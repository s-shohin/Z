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0F0B16AB-48CA-314D-A927-F42AD1CE5B9C}"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6" i="4"/>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E14" i="4"/>
  <c r="L13" i="4"/>
  <c r="E13" i="4"/>
  <c r="L12" i="4"/>
  <c r="L11" i="4" s="1"/>
  <c r="L10" i="4" s="1"/>
  <c r="K12" i="4"/>
  <c r="K11" i="4" s="1"/>
  <c r="K10" i="4" s="1"/>
  <c r="K9" i="4" s="1"/>
  <c r="K8" i="4" s="1"/>
  <c r="K7" i="4" s="1"/>
  <c r="K6" i="4" s="1"/>
  <c r="K5" i="4" s="1"/>
  <c r="K4" i="4" s="1"/>
  <c r="K3" i="4" s="1"/>
  <c r="E12" i="4"/>
  <c r="E11" i="4"/>
  <c r="E10" i="4"/>
  <c r="L9" i="4"/>
  <c r="L8" i="4" s="1"/>
  <c r="L7" i="4" s="1"/>
  <c r="L6" i="4" s="1"/>
  <c r="L5" i="4" s="1"/>
  <c r="L4" i="4" s="1"/>
  <c r="L3" i="4" s="1"/>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6" i="4"/>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H5"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G101" i="1"/>
  <c r="Y101" i="1"/>
  <c r="X101" i="1"/>
  <c r="AJ100" i="1"/>
  <c r="AJ101" i="1" s="1"/>
  <c r="AI100" i="1"/>
  <c r="AI101" i="1" s="1"/>
  <c r="AH100" i="1"/>
  <c r="AH101" i="1" s="1"/>
  <c r="AG100" i="1"/>
  <c r="AF100" i="1"/>
  <c r="AF101" i="1" s="1"/>
  <c r="AE100" i="1"/>
  <c r="AE101" i="1" s="1"/>
  <c r="AD100" i="1"/>
  <c r="AD101" i="1" s="1"/>
  <c r="AC100" i="1"/>
  <c r="AC101" i="1" s="1"/>
  <c r="AB100" i="1"/>
  <c r="AB101" i="1" s="1"/>
  <c r="AA100" i="1"/>
  <c r="AA101" i="1" s="1"/>
  <c r="Z100" i="1"/>
  <c r="Z101" i="1" s="1"/>
  <c r="Y100" i="1"/>
  <c r="X100" i="1"/>
  <c r="W100" i="1"/>
  <c r="W101" i="1" s="1"/>
  <c r="V100" i="1"/>
  <c r="V101" i="1" s="1"/>
  <c r="U100" i="1"/>
  <c r="U101" i="1" s="1"/>
  <c r="AJ97" i="1"/>
  <c r="AI97" i="1"/>
  <c r="AH97" i="1"/>
  <c r="AG97" i="1"/>
  <c r="AF97" i="1"/>
  <c r="AE97" i="1"/>
  <c r="AD97" i="1"/>
  <c r="AC97" i="1"/>
  <c r="AB97" i="1"/>
  <c r="AA97" i="1"/>
  <c r="Z97" i="1"/>
  <c r="Y97" i="1"/>
  <c r="X97" i="1"/>
  <c r="W97" i="1"/>
  <c r="V97" i="1"/>
  <c r="U97" i="1"/>
  <c r="AG85" i="1"/>
  <c r="Y85" i="1"/>
  <c r="X85" i="1"/>
  <c r="AJ84" i="1"/>
  <c r="AJ85" i="1" s="1"/>
  <c r="AI84" i="1"/>
  <c r="AI85" i="1" s="1"/>
  <c r="AH84" i="1"/>
  <c r="AH85" i="1" s="1"/>
  <c r="AG84" i="1"/>
  <c r="AF84" i="1"/>
  <c r="AF85" i="1" s="1"/>
  <c r="AE84" i="1"/>
  <c r="AE85" i="1" s="1"/>
  <c r="AD84" i="1"/>
  <c r="AD85" i="1" s="1"/>
  <c r="AC84" i="1"/>
  <c r="AC85" i="1" s="1"/>
  <c r="AB84" i="1"/>
  <c r="AB85" i="1" s="1"/>
  <c r="AA84" i="1"/>
  <c r="AA85" i="1" s="1"/>
  <c r="Z84" i="1"/>
  <c r="Z85" i="1" s="1"/>
  <c r="Y84" i="1"/>
  <c r="X84" i="1"/>
  <c r="W84" i="1"/>
  <c r="W85" i="1" s="1"/>
  <c r="V84" i="1"/>
  <c r="V85" i="1" s="1"/>
  <c r="U84" i="1"/>
  <c r="U85" i="1" s="1"/>
  <c r="AJ81" i="1"/>
  <c r="AI81" i="1"/>
  <c r="AH81" i="1"/>
  <c r="AG81" i="1"/>
  <c r="AF81" i="1"/>
  <c r="AE81" i="1"/>
  <c r="AD81" i="1"/>
  <c r="AC81" i="1"/>
  <c r="AB81" i="1"/>
  <c r="AA81" i="1"/>
  <c r="Z81" i="1"/>
  <c r="Y81" i="1"/>
  <c r="X81" i="1"/>
  <c r="W81" i="1"/>
  <c r="V81" i="1"/>
  <c r="U81" i="1"/>
  <c r="W32" i="1"/>
  <c r="V32" i="1"/>
  <c r="U32" i="1"/>
  <c r="W31" i="1"/>
  <c r="V31" i="1"/>
  <c r="U31" i="1"/>
  <c r="X29" i="1"/>
  <c r="X28" i="1"/>
  <c r="X31" i="1" s="1"/>
  <c r="X32" i="1" s="1"/>
  <c r="X22" i="1"/>
  <c r="W22" i="1"/>
  <c r="AE171" i="1" l="1"/>
  <c r="AE178" i="1" s="1"/>
  <c r="AE192" i="1" s="1"/>
  <c r="AE165"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72" i="1"/>
  <c r="AE179" i="1" s="1"/>
  <c r="AE193" i="1" s="1"/>
  <c r="AE166" i="1"/>
  <c r="AE167" i="1" l="1"/>
  <c r="AE173" i="1"/>
  <c r="AE180" i="1" s="1"/>
  <c r="AE194" i="1" s="1"/>
  <c r="K2" i="5"/>
  <c r="AE174" i="1" l="1"/>
  <c r="AE181" i="1" s="1"/>
  <c r="AE195" i="1" s="1"/>
  <c r="AE168" i="1"/>
  <c r="AE175" i="1" s="1"/>
  <c r="AE182" i="1" s="1"/>
  <c r="AE196" i="1" s="1"/>
</calcChain>
</file>

<file path=xl/sharedStrings.xml><?xml version="1.0" encoding="utf-8"?>
<sst xmlns="http://schemas.openxmlformats.org/spreadsheetml/2006/main" count="17399" uniqueCount="520">
  <si>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</si>
  <si>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</si>
  <si>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</si>
  <si>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</si>
  <si>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</si>
  <si>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</si>
  <si>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</si>
  <si>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</si>
  <si>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</si>
  <si>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</si>
  <si>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</si>
  <si>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</si>
  <si>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</si>
  <si>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</si>
  <si>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</si>
  <si>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</si>
  <si>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</si>
  <si>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</si>
  <si>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</si>
  <si>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</si>
  <si>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</si>
  <si>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</si>
  <si>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</si>
  <si>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</si>
  <si>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</si>
  <si>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</si>
  <si>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</si>
  <si>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</si>
  <si>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</si>
  <si>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</si>
  <si>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</si>
  <si>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</si>
  <si>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</si>
  <si>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</si>
  <si>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B11W</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</si>
  <si>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</si>
  <si>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</si>
  <si>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</si>
  <si>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</si>
  <si>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</si>
  <si>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</si>
  <si>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</si>
  <si>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</si>
  <si>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</si>
  <si>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</si>
  <si>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</si>
  <si>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</si>
  <si>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</si>
  <si>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</si>
  <si>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</si>
  <si>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</si>
  <si>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</si>
  <si>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</si>
  <si>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</si>
  <si>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</si>
  <si>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</si>
  <si>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</si>
  <si>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</si>
  <si>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</si>
  <si>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</si>
  <si>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</si>
  <si>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</si>
  <si>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</si>
  <si>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</si>
  <si>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</si>
  <si>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</si>
  <si>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</si>
  <si>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</si>
  <si>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</si>
  <si>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</si>
  <si>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</si>
  <si>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</si>
  <si>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</si>
  <si>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</si>
  <si>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</si>
  <si>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</si>
  <si>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</si>
  <si>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</si>
  <si>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</si>
  <si>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</si>
  <si>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</si>
  <si>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</si>
  <si>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</si>
  <si>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</si>
  <si>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</si>
  <si>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</si>
  <si>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</si>
  <si>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</si>
  <si>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</si>
  <si>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</si>
  <si>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</si>
  <si>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</si>
  <si>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</si>
  <si>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</si>
  <si>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</si>
  <si>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</si>
  <si>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</si>
  <si>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</si>
  <si>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</si>
  <si>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</si>
  <si>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</si>
  <si>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</si>
  <si>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</si>
  <si>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</si>
  <si>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</si>
  <si>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</si>
  <si>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</si>
  <si>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</si>
  <si>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</si>
  <si>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</si>
  <si>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</si>
  <si>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</si>
  <si>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</si>
  <si>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</si>
  <si>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</si>
  <si>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</si>
  <si>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</si>
  <si>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</si>
  <si>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</si>
  <si>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</si>
  <si>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</si>
  <si>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</si>
  <si>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</si>
  <si>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</si>
  <si>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</si>
  <si>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</si>
  <si>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</si>
  <si>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</si>
  <si>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</si>
  <si>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</si>
  <si>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</si>
  <si>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</si>
  <si>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</si>
  <si>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</si>
  <si>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</si>
  <si>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</si>
  <si>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</si>
  <si>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</si>
  <si>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</si>
  <si>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</si>
  <si>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</si>
  <si>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計算シート基準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</si>
  <si>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</si>
  <si>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</si>
  <si>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</si>
  <si>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</si>
  <si>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</si>
  <si>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</si>
  <si>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</si>
  <si>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</si>
  <si>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</si>
  <si>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</si>
  <si>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</si>
  <si>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</si>
  <si>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</si>
  <si>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</si>
  <si>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</si>
  <si>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</si>
  <si>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</si>
  <si>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</si>
  <si>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</si>
  <si>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</si>
  <si>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</si>
  <si>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</si>
  <si>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</si>
  <si>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</si>
  <si>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</si>
  <si>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</si>
  <si>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</si>
  <si>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</si>
  <si>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</si>
  <si>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</si>
  <si>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</si>
  <si>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</si>
  <si>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</si>
  <si>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</si>
  <si>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</si>
  <si>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</si>
  <si>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</si>
  <si>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</si>
  <si>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</si>
  <si>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</si>
  <si>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</si>
  <si>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</si>
  <si>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</si>
  <si>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</si>
  <si>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</si>
  <si>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</si>
  <si>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</si>
  <si>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</si>
  <si>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</si>
  <si>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</si>
  <si>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</si>
  <si>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</si>
  <si>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</si>
  <si>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</si>
  <si>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</si>
  <si>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</si>
  <si>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</si>
  <si>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</si>
  <si>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</si>
  <si>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</si>
  <si>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</si>
  <si>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</si>
  <si>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</si>
  <si>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</si>
  <si>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</si>
  <si>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</si>
  <si>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</si>
  <si>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</si>
  <si>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</si>
  <si>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</si>
  <si>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</si>
  <si>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</si>
  <si>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</si>
  <si>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</si>
  <si>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</si>
  <si>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</si>
  <si>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</si>
  <si>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</si>
  <si>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</si>
  <si>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</si>
  <si>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</si>
  <si>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</si>
  <si>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</si>
  <si>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</si>
  <si>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</si>
  <si>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</si>
  <si>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</si>
  <si>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</si>
  <si>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</si>
  <si>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</si>
  <si>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</si>
  <si>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</si>
  <si>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</si>
  <si>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</si>
  <si>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</si>
  <si>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</si>
  <si>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</si>
  <si>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</si>
  <si>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</si>
  <si>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</si>
  <si>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</si>
  <si>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</si>
  <si>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</si>
  <si>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</si>
  <si>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</si>
  <si>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</si>
  <si>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</si>
  <si>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</si>
  <si>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</si>
  <si>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</si>
  <si>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</si>
  <si>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</si>
  <si>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</si>
  <si>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</si>
  <si>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</si>
  <si>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</si>
  <si>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</si>
  <si>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</si>
  <si>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</si>
  <si>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</si>
  <si>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</si>
  <si>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</si>
  <si>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</si>
  <si>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</si>
  <si>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</si>
  <si>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2017(平成29)</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</si>
  <si>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</si>
  <si>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</si>
  <si>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</si>
  <si>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</si>
  <si>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</si>
  <si>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</si>
  <si>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</si>
  <si>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</si>
  <si>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</si>
  <si>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</si>
  <si>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</si>
  <si>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</si>
  <si>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</si>
  <si>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</si>
  <si>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</si>
  <si>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</si>
  <si>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</si>
  <si>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</si>
  <si>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</si>
  <si>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</si>
  <si>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</si>
  <si>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2016(平成28)</t>
  </si>
  <si>
    <t>50万円</t>
  </si>
  <si>
    <t>5,000万円</t>
  </si>
  <si>
    <t>80万円</t>
  </si>
  <si>
    <t>470万円</t>
  </si>
  <si>
    <t>180万円</t>
  </si>
  <si>
    <t>西暦変換</t>
  </si>
  <si>
    <t>変換</t>
  </si>
  <si>
    <t>等級</t>
  </si>
  <si>
    <t>2018(平成30)</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</si>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</sst>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67AE6551-C94A-29C6-CC8C-A8F60CF5B0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7A2038B6-3462-F7FA-8A30-627C8B119D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86FFD561-8CDC-78BF-D25A-717B90D9A3F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CA0500BF-17CC-BE41-0B53-67B98AAB1E6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190500</xdr:rowOff>
        </xdr:from>
        <xdr:to>
          <xdr:col>7</xdr:col>
          <xdr:colOff>12700</xdr:colOff>
          <xdr:row>55</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5CEA37E2-319F-878A-6752-C01A56F9218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330200</xdr:colOff>
          <xdr:row>29</xdr:row>
          <xdr:rowOff>228600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650840D8-7C0F-C28A-7F3C-8A7B0C5E280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419100</xdr:colOff>
          <xdr:row>104</xdr:row>
          <xdr:rowOff>12700</xdr:rowOff>
        </xdr:from>
        <xdr:to>
          <xdr:col>23</xdr:col>
          <xdr:colOff>1130300</xdr:colOff>
          <xdr:row>108</xdr:row>
          <xdr:rowOff>203200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82B91725-190D-770E-E1B1-81C77229EB3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topLeftCell="A10" zoomScaleNormal="100" workbookViewId="0">
      <selection activeCell="F53" sqref="F53"/>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4.2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4.25" customHeight="1" thickBot="1">
      <c r="D14" s="42" t="s">
        <v>9</v>
      </c>
      <c r="E14" s="44" t="s">
        <v>10</v>
      </c>
    </row>
    <row r="15" spans="2:22">
      <c r="D15" s="42"/>
      <c r="E15" s="44" t="s">
        <v>11</v>
      </c>
      <c r="S15" s="45" t="s">
        <v>12</v>
      </c>
      <c r="T15" s="46"/>
      <c r="U15" s="46"/>
      <c r="V15" s="47"/>
    </row>
    <row r="16" spans="2:22">
      <c r="D16" s="42"/>
      <c r="S16" s="48"/>
      <c r="T16" s="49"/>
      <c r="U16" s="49"/>
      <c r="V16" s="50"/>
    </row>
    <row r="17" spans="3:24" ht="14.2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2017</v>
      </c>
      <c r="V28" s="38">
        <v>2016</v>
      </c>
      <c r="W28" s="38">
        <v>2017</v>
      </c>
      <c r="X28" s="38">
        <f>IF($U$23&lt;=3,$U$22-1,$U$22)</f>
        <v>2022</v>
      </c>
    </row>
    <row r="29" spans="3:24">
      <c r="T29" s="22" t="s">
        <v>38</v>
      </c>
      <c r="U29" s="38">
        <v>12</v>
      </c>
      <c r="V29" s="38">
        <v>12</v>
      </c>
      <c r="W29" s="38">
        <v>12</v>
      </c>
      <c r="X29" s="38">
        <f>IF($U$23&lt;=3,9+$U$23,$U$23-1)</f>
        <v>11</v>
      </c>
    </row>
    <row r="30" spans="3:24">
      <c r="T30" s="22" t="s">
        <v>39</v>
      </c>
      <c r="U30" s="38">
        <v>110</v>
      </c>
      <c r="V30" s="38">
        <v>80</v>
      </c>
      <c r="W30" s="38">
        <v>180</v>
      </c>
      <c r="X30" s="38">
        <v>470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29</v>
      </c>
      <c r="V32" s="24">
        <f>IF(V$31="令和",V$28-2018,IF(V$31="平成",V$28-1988,V$28-1989+64))</f>
        <v>28</v>
      </c>
      <c r="W32" s="24">
        <f>IF(W$31="令和",W$28-2018,IF(W$31="平成",W$28-1988,W$28-1989+64))</f>
        <v>29</v>
      </c>
      <c r="X32" s="24">
        <f>IF(X$31="令和",X$28-2018,IF(X$31="平成",X$28-1988,X$28-1989+64))</f>
        <v>4</v>
      </c>
    </row>
    <row r="33" spans="3:22">
      <c r="D33" s="43" t="s">
        <v>44</v>
      </c>
    </row>
    <row r="35" spans="3:22">
      <c r="C35" s="19" t="s">
        <v>45</v>
      </c>
      <c r="D35" s="20" t="s">
        <v>46</v>
      </c>
    </row>
    <row r="36" spans="3:22">
      <c r="D36" s="43" t="s">
        <v>47</v>
      </c>
    </row>
    <row r="37" spans="3:22" ht="14.25" customHeight="1" thickBot="1">
      <c r="D37" s="43" t="s">
        <v>48</v>
      </c>
    </row>
    <row r="38" spans="3:22">
      <c r="D38" s="43" t="s">
        <v>49</v>
      </c>
      <c r="S38" s="45" t="s">
        <v>50</v>
      </c>
      <c r="T38" s="46"/>
      <c r="U38" s="46"/>
      <c r="V38" s="47"/>
    </row>
    <row r="39" spans="3:22">
      <c r="S39" s="48"/>
      <c r="T39" s="49"/>
      <c r="U39" s="49"/>
      <c r="V39" s="50"/>
    </row>
    <row r="40" spans="3:22" ht="14.2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v>2</v>
      </c>
    </row>
    <row r="46" spans="3:22">
      <c r="E46" s="62"/>
      <c r="F46" s="27">
        <v>3</v>
      </c>
    </row>
    <row r="47" spans="3:22">
      <c r="E47" s="62"/>
      <c r="F47" s="27">
        <v>4</v>
      </c>
    </row>
    <row r="48" spans="3:22" ht="14.25" customHeight="1" thickBot="1">
      <c r="E48" s="62"/>
      <c r="F48" s="27">
        <v>5</v>
      </c>
    </row>
    <row r="49" spans="5:22">
      <c r="E49" s="62"/>
      <c r="F49" s="27">
        <v>6</v>
      </c>
      <c r="S49" s="45" t="s">
        <v>58</v>
      </c>
      <c r="T49" s="46"/>
      <c r="U49" s="46"/>
      <c r="V49" s="47"/>
    </row>
    <row r="50" spans="5:22">
      <c r="E50" s="62"/>
      <c r="F50" s="27">
        <v>7</v>
      </c>
      <c r="S50" s="48"/>
      <c r="T50" s="49"/>
      <c r="U50" s="49"/>
      <c r="V50" s="50"/>
    </row>
    <row r="51" spans="5:22" ht="14.25" customHeight="1" thickBot="1">
      <c r="E51" s="62"/>
      <c r="F51" s="1">
        <v>8</v>
      </c>
      <c r="S51" s="51"/>
      <c r="T51" s="52"/>
      <c r="U51" s="52"/>
      <c r="V51" s="53"/>
    </row>
    <row r="52" spans="5:22">
      <c r="E52" s="63"/>
      <c r="F52" s="1">
        <v>9</v>
      </c>
    </row>
    <row r="53" spans="5:22">
      <c r="T53" s="44" t="s">
        <v>59</v>
      </c>
    </row>
    <row r="54" spans="5:22">
      <c r="T54" s="44" t="s">
        <v>60</v>
      </c>
    </row>
    <row r="55" spans="5:22">
      <c r="T55" s="44" t="s">
        <v>61</v>
      </c>
    </row>
    <row r="64" spans="5:22" ht="14.25" customHeight="1" thickBot="1"/>
    <row r="65" spans="19:36">
      <c r="S65" s="45" t="s">
        <v>62</v>
      </c>
      <c r="T65" s="46"/>
      <c r="U65" s="46"/>
      <c r="V65" s="47"/>
    </row>
    <row r="66" spans="19:36">
      <c r="S66" s="48"/>
      <c r="T66" s="49"/>
      <c r="U66" s="49"/>
      <c r="V66" s="50"/>
    </row>
    <row r="67" spans="19:36" ht="14.2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50800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50800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190500</xdr:rowOff>
                  </from>
                  <to>
                    <xdr:col>7</xdr:col>
                    <xdr:colOff>12700</xdr:colOff>
                    <xdr:row>55</xdr:row>
                    <xdr:rowOff>177800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330200</xdr:colOff>
                    <xdr:row>29</xdr:row>
                    <xdr:rowOff>228600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419100</xdr:colOff>
                    <xdr:row>104</xdr:row>
                    <xdr:rowOff>12700</xdr:rowOff>
                  </from>
                  <to>
                    <xdr:col>23</xdr:col>
                    <xdr:colOff>1130300</xdr:colOff>
                    <xdr:row>108</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zoomScale="70" zoomScaleNormal="70" workbookViewId="0">
      <pane ySplit="1" topLeftCell="A2" activePane="bottomLeft" state="frozen"/>
      <selection pane="bottomLeft" activeCell="CC59" sqref="CC59"/>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2017</v>
      </c>
      <c r="H2" s="44">
        <v>12</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12</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c r="BV2" s="16"/>
      <c r="BW2" s="16"/>
      <c r="BX2" s="16"/>
    </row>
    <row r="3" spans="1:79">
      <c r="A3" s="44">
        <v>2022</v>
      </c>
      <c r="B3" s="44">
        <v>12</v>
      </c>
      <c r="C3" s="44">
        <v>1</v>
      </c>
      <c r="D3" s="44">
        <v>20</v>
      </c>
      <c r="E3" s="44" t="s">
        <v>253</v>
      </c>
      <c r="F3" s="44" t="s">
        <v>254</v>
      </c>
      <c r="G3" s="44">
        <v>2017</v>
      </c>
      <c r="H3" s="44">
        <v>12</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12</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c r="BV3" s="16"/>
      <c r="BW3" s="16"/>
      <c r="BX3" s="16"/>
    </row>
    <row r="4" spans="1:79">
      <c r="A4" s="44">
        <v>2022</v>
      </c>
      <c r="B4" s="44">
        <v>12</v>
      </c>
      <c r="C4" s="44">
        <v>1</v>
      </c>
      <c r="D4" s="44">
        <v>20</v>
      </c>
      <c r="E4" s="44" t="s">
        <v>253</v>
      </c>
      <c r="F4" s="44" t="s">
        <v>254</v>
      </c>
      <c r="G4" s="44">
        <v>2017</v>
      </c>
      <c r="H4" s="44">
        <v>12</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12</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c r="BV4" s="16"/>
      <c r="BW4" s="16"/>
      <c r="BX4" s="16"/>
    </row>
    <row r="5" spans="1:79">
      <c r="A5" s="44">
        <v>2022</v>
      </c>
      <c r="B5" s="44">
        <v>12</v>
      </c>
      <c r="C5" s="44">
        <v>1</v>
      </c>
      <c r="D5" s="44">
        <v>20</v>
      </c>
      <c r="E5" s="44" t="s">
        <v>253</v>
      </c>
      <c r="F5" s="44" t="s">
        <v>254</v>
      </c>
      <c r="G5" s="44">
        <v>2017</v>
      </c>
      <c r="H5" s="44">
        <v>12</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12</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c r="BV5" s="16"/>
      <c r="BW5" s="16"/>
      <c r="BX5" s="16"/>
      <c r="BZ5" s="44"/>
      <c r="CA5" s="44"/>
    </row>
    <row r="6" spans="1:79">
      <c r="A6" s="44">
        <v>2022</v>
      </c>
      <c r="B6" s="44">
        <v>12</v>
      </c>
      <c r="C6" s="44">
        <v>1</v>
      </c>
      <c r="D6" s="44">
        <v>20</v>
      </c>
      <c r="E6" s="44" t="s">
        <v>253</v>
      </c>
      <c r="F6" s="44" t="s">
        <v>254</v>
      </c>
      <c r="G6" s="44">
        <v>2017</v>
      </c>
      <c r="H6" s="44">
        <v>12</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12</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c r="BV6" s="16"/>
      <c r="BW6" s="16"/>
      <c r="BX6" s="16"/>
      <c r="BZ6" s="44"/>
      <c r="CA6" s="44"/>
    </row>
    <row r="7" spans="1:79">
      <c r="A7" s="44">
        <v>2022</v>
      </c>
      <c r="B7" s="44">
        <v>12</v>
      </c>
      <c r="C7" s="44">
        <v>1</v>
      </c>
      <c r="D7" s="44">
        <v>20</v>
      </c>
      <c r="E7" s="44" t="s">
        <v>253</v>
      </c>
      <c r="F7" s="44" t="s">
        <v>254</v>
      </c>
      <c r="G7" s="44">
        <v>2017</v>
      </c>
      <c r="H7" s="44">
        <v>12</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12</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c r="BV7" s="16"/>
      <c r="BW7" s="16"/>
      <c r="BX7" s="16"/>
    </row>
    <row r="8" spans="1:79">
      <c r="A8" s="44">
        <v>2022</v>
      </c>
      <c r="B8" s="44">
        <v>12</v>
      </c>
      <c r="C8" s="44">
        <v>1</v>
      </c>
      <c r="D8" s="44">
        <v>20</v>
      </c>
      <c r="E8" s="44" t="s">
        <v>253</v>
      </c>
      <c r="F8" s="44" t="s">
        <v>254</v>
      </c>
      <c r="G8" s="44">
        <v>2017</v>
      </c>
      <c r="H8" s="44">
        <v>12</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12</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c r="BV8" s="16"/>
      <c r="BW8" s="16"/>
      <c r="BX8" s="16"/>
    </row>
    <row r="9" spans="1:79">
      <c r="A9" s="44">
        <v>2022</v>
      </c>
      <c r="B9" s="44">
        <v>12</v>
      </c>
      <c r="C9" s="44">
        <v>1</v>
      </c>
      <c r="D9" s="44">
        <v>20</v>
      </c>
      <c r="E9" s="44" t="s">
        <v>253</v>
      </c>
      <c r="F9" s="44" t="s">
        <v>254</v>
      </c>
      <c r="G9" s="44">
        <v>2017</v>
      </c>
      <c r="H9" s="44">
        <v>12</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12</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row>
    <row r="10" spans="1:79">
      <c r="A10" s="44">
        <v>2022</v>
      </c>
      <c r="B10" s="44">
        <v>12</v>
      </c>
      <c r="C10" s="44">
        <v>1</v>
      </c>
      <c r="D10" s="44">
        <v>20</v>
      </c>
      <c r="E10" s="44" t="s">
        <v>253</v>
      </c>
      <c r="F10" s="44" t="s">
        <v>254</v>
      </c>
      <c r="G10" s="44">
        <v>2017</v>
      </c>
      <c r="H10" s="44">
        <v>12</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12</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row>
    <row r="11" spans="1:79">
      <c r="A11" s="44">
        <v>2022</v>
      </c>
      <c r="B11" s="44">
        <v>12</v>
      </c>
      <c r="C11" s="44">
        <v>1</v>
      </c>
      <c r="D11" s="44">
        <v>20</v>
      </c>
      <c r="E11" s="44" t="s">
        <v>253</v>
      </c>
      <c r="F11" s="44" t="s">
        <v>254</v>
      </c>
      <c r="G11" s="44">
        <v>2017</v>
      </c>
      <c r="H11" s="44">
        <v>12</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12</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row>
    <row r="12" spans="1:79">
      <c r="A12" s="44">
        <v>2022</v>
      </c>
      <c r="B12" s="44">
        <v>12</v>
      </c>
      <c r="C12" s="44">
        <v>1</v>
      </c>
      <c r="D12" s="44">
        <v>20</v>
      </c>
      <c r="E12" s="44" t="s">
        <v>253</v>
      </c>
      <c r="F12" s="44" t="s">
        <v>254</v>
      </c>
      <c r="G12" s="44">
        <v>2017</v>
      </c>
      <c r="H12" s="44">
        <v>12</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12</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row>
    <row r="13" spans="1:79">
      <c r="A13" s="44">
        <v>2022</v>
      </c>
      <c r="B13" s="44">
        <v>12</v>
      </c>
      <c r="C13" s="44">
        <v>1</v>
      </c>
      <c r="D13" s="44">
        <v>20</v>
      </c>
      <c r="E13" s="44" t="s">
        <v>253</v>
      </c>
      <c r="F13" s="44" t="s">
        <v>254</v>
      </c>
      <c r="G13" s="44">
        <v>2017</v>
      </c>
      <c r="H13" s="44">
        <v>12</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12</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row>
    <row r="14" spans="1:79">
      <c r="A14" s="44">
        <v>2022</v>
      </c>
      <c r="B14" s="44">
        <v>12</v>
      </c>
      <c r="C14" s="44">
        <v>1</v>
      </c>
      <c r="D14" s="44">
        <v>20</v>
      </c>
      <c r="E14" s="44" t="s">
        <v>253</v>
      </c>
      <c r="F14" s="44" t="s">
        <v>254</v>
      </c>
      <c r="G14" s="44">
        <v>2017</v>
      </c>
      <c r="H14" s="44">
        <v>12</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12</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row>
    <row r="15" spans="1:79">
      <c r="A15" s="44">
        <v>2022</v>
      </c>
      <c r="B15" s="44">
        <v>12</v>
      </c>
      <c r="C15" s="44">
        <v>1</v>
      </c>
      <c r="D15" s="44">
        <v>20</v>
      </c>
      <c r="E15" s="44" t="s">
        <v>253</v>
      </c>
      <c r="F15" s="44" t="s">
        <v>254</v>
      </c>
      <c r="G15" s="44">
        <v>2017</v>
      </c>
      <c r="H15" s="44">
        <v>12</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12</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row>
    <row r="16" spans="1:79">
      <c r="A16" s="44">
        <v>2022</v>
      </c>
      <c r="B16" s="44">
        <v>12</v>
      </c>
      <c r="C16" s="44">
        <v>1</v>
      </c>
      <c r="D16" s="44">
        <v>20</v>
      </c>
      <c r="E16" s="44" t="s">
        <v>253</v>
      </c>
      <c r="F16" s="44" t="s">
        <v>254</v>
      </c>
      <c r="G16" s="44">
        <v>2017</v>
      </c>
      <c r="H16" s="44">
        <v>12</v>
      </c>
      <c r="I16" s="44" t="s">
        <v>33</v>
      </c>
      <c r="J16" s="44" t="s">
        <v>253</v>
      </c>
      <c r="K16" s="44">
        <v>1992</v>
      </c>
      <c r="L16" s="44">
        <v>12</v>
      </c>
      <c r="M16" s="44">
        <v>1</v>
      </c>
      <c r="N16" s="44" t="s">
        <v>255</v>
      </c>
      <c r="O16" s="44" t="s">
        <v>256</v>
      </c>
      <c r="P16" s="44" t="s">
        <v>283</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12</v>
      </c>
      <c r="AR16" s="44" t="s">
        <v>33</v>
      </c>
      <c r="AS16" s="44" t="s">
        <v>253</v>
      </c>
      <c r="AT16" s="44" t="s">
        <v>268</v>
      </c>
      <c r="AU16" s="44">
        <v>12</v>
      </c>
      <c r="AV16" s="44">
        <v>1</v>
      </c>
      <c r="AW16" s="44" t="s">
        <v>269</v>
      </c>
      <c r="AX16" s="44" t="s">
        <v>256</v>
      </c>
      <c r="AY16" s="44" t="s">
        <v>283</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row>
    <row r="17" spans="1:72">
      <c r="A17" s="44">
        <v>2022</v>
      </c>
      <c r="B17" s="44">
        <v>12</v>
      </c>
      <c r="C17" s="44">
        <v>1</v>
      </c>
      <c r="D17" s="44">
        <v>20</v>
      </c>
      <c r="E17" s="44" t="s">
        <v>253</v>
      </c>
      <c r="F17" s="44" t="s">
        <v>254</v>
      </c>
      <c r="G17" s="44">
        <v>2017</v>
      </c>
      <c r="H17" s="44">
        <v>12</v>
      </c>
      <c r="I17" s="44" t="s">
        <v>33</v>
      </c>
      <c r="J17" s="44" t="s">
        <v>253</v>
      </c>
      <c r="K17" s="44">
        <v>1987</v>
      </c>
      <c r="L17" s="44">
        <v>12</v>
      </c>
      <c r="M17" s="44">
        <v>1</v>
      </c>
      <c r="N17" s="44" t="s">
        <v>255</v>
      </c>
      <c r="O17" s="44" t="s">
        <v>256</v>
      </c>
      <c r="P17" s="44" t="s">
        <v>283</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12</v>
      </c>
      <c r="AR17" s="44" t="s">
        <v>33</v>
      </c>
      <c r="AS17" s="44" t="s">
        <v>253</v>
      </c>
      <c r="AT17" s="44" t="s">
        <v>277</v>
      </c>
      <c r="AU17" s="44">
        <v>12</v>
      </c>
      <c r="AV17" s="44">
        <v>1</v>
      </c>
      <c r="AW17" s="44" t="s">
        <v>269</v>
      </c>
      <c r="AX17" s="44" t="s">
        <v>256</v>
      </c>
      <c r="AY17" s="44" t="s">
        <v>283</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row>
    <row r="18" spans="1:72">
      <c r="A18" s="44">
        <v>2022</v>
      </c>
      <c r="B18" s="44">
        <v>12</v>
      </c>
      <c r="C18" s="44">
        <v>1</v>
      </c>
      <c r="D18" s="44">
        <v>20</v>
      </c>
      <c r="E18" s="44" t="s">
        <v>253</v>
      </c>
      <c r="F18" s="44" t="s">
        <v>254</v>
      </c>
      <c r="G18" s="44">
        <v>2017</v>
      </c>
      <c r="H18" s="44">
        <v>12</v>
      </c>
      <c r="I18" s="44" t="s">
        <v>33</v>
      </c>
      <c r="J18" s="44" t="s">
        <v>253</v>
      </c>
      <c r="K18" s="44">
        <v>1982</v>
      </c>
      <c r="L18" s="44">
        <v>12</v>
      </c>
      <c r="M18" s="44">
        <v>1</v>
      </c>
      <c r="N18" s="44" t="s">
        <v>255</v>
      </c>
      <c r="O18" s="44" t="s">
        <v>256</v>
      </c>
      <c r="P18" s="44" t="s">
        <v>283</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12</v>
      </c>
      <c r="AR18" s="44" t="s">
        <v>33</v>
      </c>
      <c r="AS18" s="44" t="s">
        <v>253</v>
      </c>
      <c r="AT18" s="44" t="s">
        <v>278</v>
      </c>
      <c r="AU18" s="44">
        <v>12</v>
      </c>
      <c r="AV18" s="44">
        <v>1</v>
      </c>
      <c r="AW18" s="44" t="s">
        <v>269</v>
      </c>
      <c r="AX18" s="44" t="s">
        <v>256</v>
      </c>
      <c r="AY18" s="44" t="s">
        <v>283</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row>
    <row r="19" spans="1:72">
      <c r="A19" s="44">
        <v>2022</v>
      </c>
      <c r="B19" s="44">
        <v>12</v>
      </c>
      <c r="C19" s="44">
        <v>1</v>
      </c>
      <c r="D19" s="44">
        <v>20</v>
      </c>
      <c r="E19" s="44" t="s">
        <v>253</v>
      </c>
      <c r="F19" s="44" t="s">
        <v>254</v>
      </c>
      <c r="G19" s="44">
        <v>2017</v>
      </c>
      <c r="H19" s="44">
        <v>12</v>
      </c>
      <c r="I19" s="44" t="s">
        <v>33</v>
      </c>
      <c r="J19" s="44" t="s">
        <v>253</v>
      </c>
      <c r="K19" s="44">
        <v>1977</v>
      </c>
      <c r="L19" s="44">
        <v>12</v>
      </c>
      <c r="M19" s="44">
        <v>1</v>
      </c>
      <c r="N19" s="44" t="s">
        <v>255</v>
      </c>
      <c r="O19" s="44" t="s">
        <v>256</v>
      </c>
      <c r="P19" s="44" t="s">
        <v>283</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12</v>
      </c>
      <c r="AR19" s="44" t="s">
        <v>33</v>
      </c>
      <c r="AS19" s="44" t="s">
        <v>253</v>
      </c>
      <c r="AT19" s="44" t="s">
        <v>279</v>
      </c>
      <c r="AU19" s="44">
        <v>12</v>
      </c>
      <c r="AV19" s="44">
        <v>1</v>
      </c>
      <c r="AW19" s="44" t="s">
        <v>269</v>
      </c>
      <c r="AX19" s="44" t="s">
        <v>256</v>
      </c>
      <c r="AY19" s="44" t="s">
        <v>283</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row>
    <row r="20" spans="1:72">
      <c r="A20" s="44">
        <v>2022</v>
      </c>
      <c r="B20" s="44">
        <v>12</v>
      </c>
      <c r="C20" s="44">
        <v>1</v>
      </c>
      <c r="D20" s="44">
        <v>20</v>
      </c>
      <c r="E20" s="44" t="s">
        <v>253</v>
      </c>
      <c r="F20" s="44" t="s">
        <v>254</v>
      </c>
      <c r="G20" s="44">
        <v>2017</v>
      </c>
      <c r="H20" s="44">
        <v>12</v>
      </c>
      <c r="I20" s="44" t="s">
        <v>33</v>
      </c>
      <c r="J20" s="44" t="s">
        <v>253</v>
      </c>
      <c r="K20" s="44">
        <v>1972</v>
      </c>
      <c r="L20" s="44">
        <v>12</v>
      </c>
      <c r="M20" s="44">
        <v>1</v>
      </c>
      <c r="N20" s="44" t="s">
        <v>255</v>
      </c>
      <c r="O20" s="44" t="s">
        <v>256</v>
      </c>
      <c r="P20" s="44" t="s">
        <v>283</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12</v>
      </c>
      <c r="AR20" s="44" t="s">
        <v>33</v>
      </c>
      <c r="AS20" s="44" t="s">
        <v>253</v>
      </c>
      <c r="AT20" s="44" t="s">
        <v>280</v>
      </c>
      <c r="AU20" s="44">
        <v>12</v>
      </c>
      <c r="AV20" s="44">
        <v>1</v>
      </c>
      <c r="AW20" s="44" t="s">
        <v>269</v>
      </c>
      <c r="AX20" s="44" t="s">
        <v>256</v>
      </c>
      <c r="AY20" s="44" t="s">
        <v>283</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row>
    <row r="21" spans="1:72">
      <c r="A21" s="44">
        <v>2022</v>
      </c>
      <c r="B21" s="44">
        <v>12</v>
      </c>
      <c r="C21" s="44">
        <v>1</v>
      </c>
      <c r="D21" s="44">
        <v>20</v>
      </c>
      <c r="E21" s="44" t="s">
        <v>253</v>
      </c>
      <c r="F21" s="44" t="s">
        <v>254</v>
      </c>
      <c r="G21" s="44">
        <v>2017</v>
      </c>
      <c r="H21" s="44">
        <v>12</v>
      </c>
      <c r="I21" s="44" t="s">
        <v>33</v>
      </c>
      <c r="J21" s="44" t="s">
        <v>253</v>
      </c>
      <c r="K21" s="44">
        <v>1962</v>
      </c>
      <c r="L21" s="44">
        <v>12</v>
      </c>
      <c r="M21" s="44">
        <v>1</v>
      </c>
      <c r="N21" s="44" t="s">
        <v>255</v>
      </c>
      <c r="O21" s="44" t="s">
        <v>256</v>
      </c>
      <c r="P21" s="44" t="s">
        <v>283</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12</v>
      </c>
      <c r="AR21" s="44" t="s">
        <v>33</v>
      </c>
      <c r="AS21" s="44" t="s">
        <v>253</v>
      </c>
      <c r="AT21" s="44" t="s">
        <v>281</v>
      </c>
      <c r="AU21" s="44">
        <v>12</v>
      </c>
      <c r="AV21" s="44">
        <v>1</v>
      </c>
      <c r="AW21" s="44" t="s">
        <v>269</v>
      </c>
      <c r="AX21" s="44" t="s">
        <v>256</v>
      </c>
      <c r="AY21" s="44" t="s">
        <v>283</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row>
    <row r="22" spans="1:72">
      <c r="A22" s="44">
        <v>2022</v>
      </c>
      <c r="B22" s="44">
        <v>12</v>
      </c>
      <c r="C22" s="44">
        <v>1</v>
      </c>
      <c r="D22" s="44">
        <v>20</v>
      </c>
      <c r="E22" s="44" t="s">
        <v>253</v>
      </c>
      <c r="F22" s="44" t="s">
        <v>254</v>
      </c>
      <c r="G22" s="44">
        <v>2017</v>
      </c>
      <c r="H22" s="44">
        <v>12</v>
      </c>
      <c r="I22" s="44" t="s">
        <v>33</v>
      </c>
      <c r="J22" s="44" t="s">
        <v>253</v>
      </c>
      <c r="K22" s="44">
        <v>1952</v>
      </c>
      <c r="L22" s="44">
        <v>12</v>
      </c>
      <c r="M22" s="44">
        <v>1</v>
      </c>
      <c r="N22" s="44" t="s">
        <v>255</v>
      </c>
      <c r="O22" s="44" t="s">
        <v>256</v>
      </c>
      <c r="P22" s="44" t="s">
        <v>283</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12</v>
      </c>
      <c r="AR22" s="44" t="s">
        <v>33</v>
      </c>
      <c r="AS22" s="44" t="s">
        <v>253</v>
      </c>
      <c r="AT22" s="44" t="s">
        <v>282</v>
      </c>
      <c r="AU22" s="44">
        <v>12</v>
      </c>
      <c r="AV22" s="44">
        <v>1</v>
      </c>
      <c r="AW22" s="44" t="s">
        <v>269</v>
      </c>
      <c r="AX22" s="44" t="s">
        <v>256</v>
      </c>
      <c r="AY22" s="44" t="s">
        <v>283</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row>
    <row r="23" spans="1:72">
      <c r="A23" s="44">
        <v>2022</v>
      </c>
      <c r="B23" s="44">
        <v>12</v>
      </c>
      <c r="C23" s="44">
        <v>1</v>
      </c>
      <c r="D23" s="44">
        <v>20</v>
      </c>
      <c r="E23" s="44" t="s">
        <v>253</v>
      </c>
      <c r="F23" s="44" t="s">
        <v>254</v>
      </c>
      <c r="G23" s="44">
        <v>2017</v>
      </c>
      <c r="H23" s="44">
        <v>12</v>
      </c>
      <c r="I23" s="44" t="s">
        <v>33</v>
      </c>
      <c r="J23" s="44" t="s">
        <v>253</v>
      </c>
      <c r="K23" s="44">
        <v>1992</v>
      </c>
      <c r="L23" s="44">
        <v>12</v>
      </c>
      <c r="M23" s="44">
        <v>1</v>
      </c>
      <c r="N23" s="44" t="s">
        <v>255</v>
      </c>
      <c r="O23" s="44" t="s">
        <v>256</v>
      </c>
      <c r="P23" s="44" t="s">
        <v>283</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12</v>
      </c>
      <c r="AR23" s="44" t="s">
        <v>33</v>
      </c>
      <c r="AS23" s="44" t="s">
        <v>253</v>
      </c>
      <c r="AT23" s="44" t="s">
        <v>268</v>
      </c>
      <c r="AU23" s="44">
        <v>12</v>
      </c>
      <c r="AV23" s="44">
        <v>1</v>
      </c>
      <c r="AW23" s="44" t="s">
        <v>269</v>
      </c>
      <c r="AX23" s="44" t="s">
        <v>256</v>
      </c>
      <c r="AY23" s="44" t="s">
        <v>283</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row>
    <row r="24" spans="1:72">
      <c r="A24" s="44">
        <v>2022</v>
      </c>
      <c r="B24" s="44">
        <v>12</v>
      </c>
      <c r="C24" s="44">
        <v>1</v>
      </c>
      <c r="D24" s="44">
        <v>20</v>
      </c>
      <c r="E24" s="44" t="s">
        <v>253</v>
      </c>
      <c r="F24" s="44" t="s">
        <v>254</v>
      </c>
      <c r="G24" s="44">
        <v>2017</v>
      </c>
      <c r="H24" s="44">
        <v>12</v>
      </c>
      <c r="I24" s="44" t="s">
        <v>33</v>
      </c>
      <c r="J24" s="44" t="s">
        <v>253</v>
      </c>
      <c r="K24" s="44">
        <v>1987</v>
      </c>
      <c r="L24" s="44">
        <v>12</v>
      </c>
      <c r="M24" s="44">
        <v>1</v>
      </c>
      <c r="N24" s="44" t="s">
        <v>255</v>
      </c>
      <c r="O24" s="44" t="s">
        <v>256</v>
      </c>
      <c r="P24" s="44" t="s">
        <v>283</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12</v>
      </c>
      <c r="AR24" s="44" t="s">
        <v>33</v>
      </c>
      <c r="AS24" s="44" t="s">
        <v>253</v>
      </c>
      <c r="AT24" s="44" t="s">
        <v>277</v>
      </c>
      <c r="AU24" s="44">
        <v>12</v>
      </c>
      <c r="AV24" s="44">
        <v>1</v>
      </c>
      <c r="AW24" s="44" t="s">
        <v>269</v>
      </c>
      <c r="AX24" s="44" t="s">
        <v>256</v>
      </c>
      <c r="AY24" s="44" t="s">
        <v>283</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row>
    <row r="25" spans="1:72">
      <c r="A25" s="44">
        <v>2022</v>
      </c>
      <c r="B25" s="44">
        <v>12</v>
      </c>
      <c r="C25" s="44">
        <v>1</v>
      </c>
      <c r="D25" s="44">
        <v>20</v>
      </c>
      <c r="E25" s="44" t="s">
        <v>253</v>
      </c>
      <c r="F25" s="44" t="s">
        <v>254</v>
      </c>
      <c r="G25" s="44">
        <v>2017</v>
      </c>
      <c r="H25" s="44">
        <v>12</v>
      </c>
      <c r="I25" s="44" t="s">
        <v>33</v>
      </c>
      <c r="J25" s="44" t="s">
        <v>253</v>
      </c>
      <c r="K25" s="44">
        <v>1982</v>
      </c>
      <c r="L25" s="44">
        <v>12</v>
      </c>
      <c r="M25" s="44">
        <v>1</v>
      </c>
      <c r="N25" s="44" t="s">
        <v>255</v>
      </c>
      <c r="O25" s="44" t="s">
        <v>256</v>
      </c>
      <c r="P25" s="44" t="s">
        <v>283</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12</v>
      </c>
      <c r="AR25" s="44" t="s">
        <v>33</v>
      </c>
      <c r="AS25" s="44" t="s">
        <v>253</v>
      </c>
      <c r="AT25" s="44" t="s">
        <v>278</v>
      </c>
      <c r="AU25" s="44">
        <v>12</v>
      </c>
      <c r="AV25" s="44">
        <v>1</v>
      </c>
      <c r="AW25" s="44" t="s">
        <v>269</v>
      </c>
      <c r="AX25" s="44" t="s">
        <v>256</v>
      </c>
      <c r="AY25" s="44" t="s">
        <v>283</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row>
    <row r="26" spans="1:72">
      <c r="A26" s="44">
        <v>2022</v>
      </c>
      <c r="B26" s="44">
        <v>12</v>
      </c>
      <c r="C26" s="44">
        <v>1</v>
      </c>
      <c r="D26" s="44">
        <v>20</v>
      </c>
      <c r="E26" s="44" t="s">
        <v>253</v>
      </c>
      <c r="F26" s="44" t="s">
        <v>254</v>
      </c>
      <c r="G26" s="44">
        <v>2017</v>
      </c>
      <c r="H26" s="44">
        <v>12</v>
      </c>
      <c r="I26" s="44" t="s">
        <v>33</v>
      </c>
      <c r="J26" s="44" t="s">
        <v>253</v>
      </c>
      <c r="K26" s="44">
        <v>1977</v>
      </c>
      <c r="L26" s="44">
        <v>12</v>
      </c>
      <c r="M26" s="44">
        <v>1</v>
      </c>
      <c r="N26" s="44" t="s">
        <v>255</v>
      </c>
      <c r="O26" s="44" t="s">
        <v>256</v>
      </c>
      <c r="P26" s="44" t="s">
        <v>283</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12</v>
      </c>
      <c r="AR26" s="44" t="s">
        <v>33</v>
      </c>
      <c r="AS26" s="44" t="s">
        <v>253</v>
      </c>
      <c r="AT26" s="44" t="s">
        <v>279</v>
      </c>
      <c r="AU26" s="44">
        <v>12</v>
      </c>
      <c r="AV26" s="44">
        <v>1</v>
      </c>
      <c r="AW26" s="44" t="s">
        <v>269</v>
      </c>
      <c r="AX26" s="44" t="s">
        <v>256</v>
      </c>
      <c r="AY26" s="44" t="s">
        <v>283</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row>
    <row r="27" spans="1:72">
      <c r="A27" s="44">
        <v>2022</v>
      </c>
      <c r="B27" s="44">
        <v>12</v>
      </c>
      <c r="C27" s="44">
        <v>1</v>
      </c>
      <c r="D27" s="44">
        <v>20</v>
      </c>
      <c r="E27" s="44" t="s">
        <v>253</v>
      </c>
      <c r="F27" s="44" t="s">
        <v>254</v>
      </c>
      <c r="G27" s="44">
        <v>2017</v>
      </c>
      <c r="H27" s="44">
        <v>12</v>
      </c>
      <c r="I27" s="44" t="s">
        <v>33</v>
      </c>
      <c r="J27" s="44" t="s">
        <v>253</v>
      </c>
      <c r="K27" s="44">
        <v>1972</v>
      </c>
      <c r="L27" s="44">
        <v>12</v>
      </c>
      <c r="M27" s="44">
        <v>1</v>
      </c>
      <c r="N27" s="44" t="s">
        <v>255</v>
      </c>
      <c r="O27" s="44" t="s">
        <v>256</v>
      </c>
      <c r="P27" s="44" t="s">
        <v>283</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12</v>
      </c>
      <c r="AR27" s="44" t="s">
        <v>33</v>
      </c>
      <c r="AS27" s="44" t="s">
        <v>253</v>
      </c>
      <c r="AT27" s="44" t="s">
        <v>280</v>
      </c>
      <c r="AU27" s="44">
        <v>12</v>
      </c>
      <c r="AV27" s="44">
        <v>1</v>
      </c>
      <c r="AW27" s="44" t="s">
        <v>269</v>
      </c>
      <c r="AX27" s="44" t="s">
        <v>256</v>
      </c>
      <c r="AY27" s="44" t="s">
        <v>283</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row>
    <row r="28" spans="1:72">
      <c r="A28" s="44">
        <v>2022</v>
      </c>
      <c r="B28" s="44">
        <v>12</v>
      </c>
      <c r="C28" s="44">
        <v>1</v>
      </c>
      <c r="D28" s="44">
        <v>20</v>
      </c>
      <c r="E28" s="44" t="s">
        <v>253</v>
      </c>
      <c r="F28" s="44" t="s">
        <v>254</v>
      </c>
      <c r="G28" s="44">
        <v>2017</v>
      </c>
      <c r="H28" s="44">
        <v>12</v>
      </c>
      <c r="I28" s="44" t="s">
        <v>33</v>
      </c>
      <c r="J28" s="44" t="s">
        <v>253</v>
      </c>
      <c r="K28" s="44">
        <v>1962</v>
      </c>
      <c r="L28" s="44">
        <v>12</v>
      </c>
      <c r="M28" s="44">
        <v>1</v>
      </c>
      <c r="N28" s="44" t="s">
        <v>255</v>
      </c>
      <c r="O28" s="44" t="s">
        <v>256</v>
      </c>
      <c r="P28" s="44" t="s">
        <v>283</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12</v>
      </c>
      <c r="AR28" s="44" t="s">
        <v>33</v>
      </c>
      <c r="AS28" s="44" t="s">
        <v>253</v>
      </c>
      <c r="AT28" s="44" t="s">
        <v>281</v>
      </c>
      <c r="AU28" s="44">
        <v>12</v>
      </c>
      <c r="AV28" s="44">
        <v>1</v>
      </c>
      <c r="AW28" s="44" t="s">
        <v>269</v>
      </c>
      <c r="AX28" s="44" t="s">
        <v>256</v>
      </c>
      <c r="AY28" s="44" t="s">
        <v>283</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row>
    <row r="29" spans="1:72">
      <c r="A29" s="44">
        <v>2022</v>
      </c>
      <c r="B29" s="44">
        <v>12</v>
      </c>
      <c r="C29" s="44">
        <v>1</v>
      </c>
      <c r="D29" s="44">
        <v>20</v>
      </c>
      <c r="E29" s="44" t="s">
        <v>253</v>
      </c>
      <c r="F29" s="44" t="s">
        <v>254</v>
      </c>
      <c r="G29" s="44">
        <v>2017</v>
      </c>
      <c r="H29" s="44">
        <v>12</v>
      </c>
      <c r="I29" s="44" t="s">
        <v>33</v>
      </c>
      <c r="J29" s="44" t="s">
        <v>253</v>
      </c>
      <c r="K29" s="44">
        <v>1952</v>
      </c>
      <c r="L29" s="44">
        <v>12</v>
      </c>
      <c r="M29" s="44">
        <v>1</v>
      </c>
      <c r="N29" s="44" t="s">
        <v>255</v>
      </c>
      <c r="O29" s="44" t="s">
        <v>256</v>
      </c>
      <c r="P29" s="44" t="s">
        <v>283</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12</v>
      </c>
      <c r="AR29" s="44" t="s">
        <v>33</v>
      </c>
      <c r="AS29" s="44" t="s">
        <v>253</v>
      </c>
      <c r="AT29" s="44" t="s">
        <v>282</v>
      </c>
      <c r="AU29" s="44">
        <v>12</v>
      </c>
      <c r="AV29" s="44">
        <v>1</v>
      </c>
      <c r="AW29" s="44" t="s">
        <v>269</v>
      </c>
      <c r="AX29" s="44" t="s">
        <v>256</v>
      </c>
      <c r="AY29" s="44" t="s">
        <v>283</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row>
    <row r="30" spans="1:72">
      <c r="A30" s="44">
        <v>2022</v>
      </c>
      <c r="B30" s="44">
        <v>12</v>
      </c>
      <c r="C30" s="44">
        <v>1</v>
      </c>
      <c r="D30" s="44">
        <v>17</v>
      </c>
      <c r="E30" s="44" t="s">
        <v>253</v>
      </c>
      <c r="F30" s="44" t="s">
        <v>254</v>
      </c>
      <c r="G30" s="44">
        <v>2017</v>
      </c>
      <c r="H30" s="44">
        <v>12</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284</v>
      </c>
      <c r="AN30" s="44" t="s">
        <v>253</v>
      </c>
      <c r="AO30" s="44" t="s">
        <v>266</v>
      </c>
      <c r="AP30" s="44" t="s">
        <v>267</v>
      </c>
      <c r="AQ30" s="44">
        <v>12</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row>
    <row r="31" spans="1:72">
      <c r="A31" s="44">
        <v>2022</v>
      </c>
      <c r="B31" s="44">
        <v>12</v>
      </c>
      <c r="C31" s="44">
        <v>1</v>
      </c>
      <c r="D31" s="44">
        <v>17</v>
      </c>
      <c r="E31" s="44" t="s">
        <v>253</v>
      </c>
      <c r="F31" s="44" t="s">
        <v>254</v>
      </c>
      <c r="G31" s="44">
        <v>2017</v>
      </c>
      <c r="H31" s="44">
        <v>12</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284</v>
      </c>
      <c r="AN31" s="44" t="s">
        <v>253</v>
      </c>
      <c r="AO31" s="44" t="s">
        <v>266</v>
      </c>
      <c r="AP31" s="44" t="s">
        <v>267</v>
      </c>
      <c r="AQ31" s="44">
        <v>12</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row>
    <row r="32" spans="1:72">
      <c r="A32" s="44">
        <v>2022</v>
      </c>
      <c r="B32" s="44">
        <v>12</v>
      </c>
      <c r="C32" s="44">
        <v>1</v>
      </c>
      <c r="D32" s="44">
        <v>17</v>
      </c>
      <c r="E32" s="44" t="s">
        <v>253</v>
      </c>
      <c r="F32" s="44" t="s">
        <v>254</v>
      </c>
      <c r="G32" s="44">
        <v>2017</v>
      </c>
      <c r="H32" s="44">
        <v>12</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284</v>
      </c>
      <c r="AN32" s="44" t="s">
        <v>253</v>
      </c>
      <c r="AO32" s="44" t="s">
        <v>266</v>
      </c>
      <c r="AP32" s="44" t="s">
        <v>267</v>
      </c>
      <c r="AQ32" s="44">
        <v>12</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row>
    <row r="33" spans="1:72">
      <c r="A33" s="44">
        <v>2022</v>
      </c>
      <c r="B33" s="44">
        <v>12</v>
      </c>
      <c r="C33" s="44">
        <v>1</v>
      </c>
      <c r="D33" s="44">
        <v>17</v>
      </c>
      <c r="E33" s="44" t="s">
        <v>253</v>
      </c>
      <c r="F33" s="44" t="s">
        <v>254</v>
      </c>
      <c r="G33" s="44">
        <v>2017</v>
      </c>
      <c r="H33" s="44">
        <v>12</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284</v>
      </c>
      <c r="AN33" s="44" t="s">
        <v>253</v>
      </c>
      <c r="AO33" s="44" t="s">
        <v>266</v>
      </c>
      <c r="AP33" s="44" t="s">
        <v>267</v>
      </c>
      <c r="AQ33" s="44">
        <v>12</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row>
    <row r="34" spans="1:72">
      <c r="A34" s="44">
        <v>2022</v>
      </c>
      <c r="B34" s="44">
        <v>12</v>
      </c>
      <c r="C34" s="44">
        <v>1</v>
      </c>
      <c r="D34" s="44">
        <v>17</v>
      </c>
      <c r="E34" s="44" t="s">
        <v>253</v>
      </c>
      <c r="F34" s="44" t="s">
        <v>254</v>
      </c>
      <c r="G34" s="44">
        <v>2017</v>
      </c>
      <c r="H34" s="44">
        <v>12</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284</v>
      </c>
      <c r="AN34" s="44" t="s">
        <v>253</v>
      </c>
      <c r="AO34" s="44" t="s">
        <v>266</v>
      </c>
      <c r="AP34" s="44" t="s">
        <v>267</v>
      </c>
      <c r="AQ34" s="44">
        <v>12</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row>
    <row r="35" spans="1:72">
      <c r="A35" s="44">
        <v>2022</v>
      </c>
      <c r="B35" s="44">
        <v>12</v>
      </c>
      <c r="C35" s="44">
        <v>1</v>
      </c>
      <c r="D35" s="44">
        <v>17</v>
      </c>
      <c r="E35" s="44" t="s">
        <v>253</v>
      </c>
      <c r="F35" s="44" t="s">
        <v>254</v>
      </c>
      <c r="G35" s="44">
        <v>2017</v>
      </c>
      <c r="H35" s="44">
        <v>12</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284</v>
      </c>
      <c r="AN35" s="44" t="s">
        <v>253</v>
      </c>
      <c r="AO35" s="44" t="s">
        <v>266</v>
      </c>
      <c r="AP35" s="44" t="s">
        <v>267</v>
      </c>
      <c r="AQ35" s="44">
        <v>12</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row>
    <row r="36" spans="1:72">
      <c r="A36" s="44">
        <v>2022</v>
      </c>
      <c r="B36" s="44">
        <v>12</v>
      </c>
      <c r="C36" s="44">
        <v>1</v>
      </c>
      <c r="D36" s="44">
        <v>17</v>
      </c>
      <c r="E36" s="44" t="s">
        <v>253</v>
      </c>
      <c r="F36" s="44" t="s">
        <v>254</v>
      </c>
      <c r="G36" s="44">
        <v>2017</v>
      </c>
      <c r="H36" s="44">
        <v>12</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284</v>
      </c>
      <c r="AN36" s="44" t="s">
        <v>253</v>
      </c>
      <c r="AO36" s="44" t="s">
        <v>266</v>
      </c>
      <c r="AP36" s="44" t="s">
        <v>267</v>
      </c>
      <c r="AQ36" s="44">
        <v>12</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row>
    <row r="37" spans="1:72">
      <c r="A37" s="44">
        <v>2022</v>
      </c>
      <c r="B37" s="44">
        <v>12</v>
      </c>
      <c r="C37" s="44">
        <v>1</v>
      </c>
      <c r="D37" s="44">
        <v>17</v>
      </c>
      <c r="E37" s="44" t="s">
        <v>253</v>
      </c>
      <c r="F37" s="44" t="s">
        <v>254</v>
      </c>
      <c r="G37" s="44">
        <v>2017</v>
      </c>
      <c r="H37" s="44">
        <v>12</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284</v>
      </c>
      <c r="AN37" s="44" t="s">
        <v>253</v>
      </c>
      <c r="AO37" s="44" t="s">
        <v>266</v>
      </c>
      <c r="AP37" s="44" t="s">
        <v>267</v>
      </c>
      <c r="AQ37" s="44">
        <v>12</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row>
    <row r="38" spans="1:72">
      <c r="A38" s="44">
        <v>2022</v>
      </c>
      <c r="B38" s="44">
        <v>12</v>
      </c>
      <c r="C38" s="44">
        <v>1</v>
      </c>
      <c r="D38" s="44">
        <v>17</v>
      </c>
      <c r="E38" s="44" t="s">
        <v>253</v>
      </c>
      <c r="F38" s="44" t="s">
        <v>254</v>
      </c>
      <c r="G38" s="44">
        <v>2017</v>
      </c>
      <c r="H38" s="44">
        <v>12</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284</v>
      </c>
      <c r="AN38" s="44" t="s">
        <v>253</v>
      </c>
      <c r="AO38" s="44" t="s">
        <v>266</v>
      </c>
      <c r="AP38" s="44" t="s">
        <v>267</v>
      </c>
      <c r="AQ38" s="44">
        <v>12</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row>
    <row r="39" spans="1:72">
      <c r="A39" s="44">
        <v>2022</v>
      </c>
      <c r="B39" s="44">
        <v>12</v>
      </c>
      <c r="C39" s="44">
        <v>1</v>
      </c>
      <c r="D39" s="44">
        <v>17</v>
      </c>
      <c r="E39" s="44" t="s">
        <v>253</v>
      </c>
      <c r="F39" s="44" t="s">
        <v>254</v>
      </c>
      <c r="G39" s="44">
        <v>2017</v>
      </c>
      <c r="H39" s="44">
        <v>12</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284</v>
      </c>
      <c r="AN39" s="44" t="s">
        <v>253</v>
      </c>
      <c r="AO39" s="44" t="s">
        <v>266</v>
      </c>
      <c r="AP39" s="44" t="s">
        <v>267</v>
      </c>
      <c r="AQ39" s="44">
        <v>12</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row>
    <row r="40" spans="1:72">
      <c r="A40" s="44">
        <v>2022</v>
      </c>
      <c r="B40" s="44">
        <v>12</v>
      </c>
      <c r="C40" s="44">
        <v>1</v>
      </c>
      <c r="D40" s="44">
        <v>17</v>
      </c>
      <c r="E40" s="44" t="s">
        <v>253</v>
      </c>
      <c r="F40" s="44" t="s">
        <v>254</v>
      </c>
      <c r="G40" s="44">
        <v>2017</v>
      </c>
      <c r="H40" s="44">
        <v>12</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284</v>
      </c>
      <c r="AN40" s="44" t="s">
        <v>253</v>
      </c>
      <c r="AO40" s="44" t="s">
        <v>266</v>
      </c>
      <c r="AP40" s="44" t="s">
        <v>267</v>
      </c>
      <c r="AQ40" s="44">
        <v>12</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row>
    <row r="41" spans="1:72">
      <c r="A41" s="44">
        <v>2022</v>
      </c>
      <c r="B41" s="44">
        <v>12</v>
      </c>
      <c r="C41" s="44">
        <v>1</v>
      </c>
      <c r="D41" s="44">
        <v>17</v>
      </c>
      <c r="E41" s="44" t="s">
        <v>253</v>
      </c>
      <c r="F41" s="44" t="s">
        <v>254</v>
      </c>
      <c r="G41" s="44">
        <v>2017</v>
      </c>
      <c r="H41" s="44">
        <v>12</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284</v>
      </c>
      <c r="AN41" s="44" t="s">
        <v>253</v>
      </c>
      <c r="AO41" s="44" t="s">
        <v>266</v>
      </c>
      <c r="AP41" s="44" t="s">
        <v>267</v>
      </c>
      <c r="AQ41" s="44">
        <v>12</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row>
    <row r="42" spans="1:72">
      <c r="A42" s="44">
        <v>2022</v>
      </c>
      <c r="B42" s="44">
        <v>12</v>
      </c>
      <c r="C42" s="44">
        <v>1</v>
      </c>
      <c r="D42" s="44">
        <v>17</v>
      </c>
      <c r="E42" s="44" t="s">
        <v>253</v>
      </c>
      <c r="F42" s="44" t="s">
        <v>254</v>
      </c>
      <c r="G42" s="44">
        <v>2017</v>
      </c>
      <c r="H42" s="44">
        <v>12</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284</v>
      </c>
      <c r="AN42" s="44" t="s">
        <v>253</v>
      </c>
      <c r="AO42" s="44" t="s">
        <v>266</v>
      </c>
      <c r="AP42" s="44" t="s">
        <v>267</v>
      </c>
      <c r="AQ42" s="44">
        <v>12</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row>
    <row r="43" spans="1:72">
      <c r="A43" s="44">
        <v>2022</v>
      </c>
      <c r="B43" s="44">
        <v>12</v>
      </c>
      <c r="C43" s="44">
        <v>1</v>
      </c>
      <c r="D43" s="44">
        <v>17</v>
      </c>
      <c r="E43" s="44" t="s">
        <v>253</v>
      </c>
      <c r="F43" s="44" t="s">
        <v>254</v>
      </c>
      <c r="G43" s="44">
        <v>2017</v>
      </c>
      <c r="H43" s="44">
        <v>12</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284</v>
      </c>
      <c r="AN43" s="44" t="s">
        <v>253</v>
      </c>
      <c r="AO43" s="44" t="s">
        <v>266</v>
      </c>
      <c r="AP43" s="44" t="s">
        <v>267</v>
      </c>
      <c r="AQ43" s="44">
        <v>12</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row>
    <row r="44" spans="1:72">
      <c r="A44" s="44">
        <v>2022</v>
      </c>
      <c r="B44" s="44">
        <v>12</v>
      </c>
      <c r="C44" s="44">
        <v>1</v>
      </c>
      <c r="D44" s="44">
        <v>17</v>
      </c>
      <c r="E44" s="44" t="s">
        <v>253</v>
      </c>
      <c r="F44" s="44" t="s">
        <v>254</v>
      </c>
      <c r="G44" s="44">
        <v>2017</v>
      </c>
      <c r="H44" s="44">
        <v>12</v>
      </c>
      <c r="I44" s="44" t="s">
        <v>33</v>
      </c>
      <c r="J44" s="44" t="s">
        <v>253</v>
      </c>
      <c r="K44" s="44">
        <v>1992</v>
      </c>
      <c r="L44" s="44">
        <v>12</v>
      </c>
      <c r="M44" s="44">
        <v>1</v>
      </c>
      <c r="N44" s="44" t="s">
        <v>255</v>
      </c>
      <c r="O44" s="44" t="s">
        <v>256</v>
      </c>
      <c r="P44" s="44" t="s">
        <v>283</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284</v>
      </c>
      <c r="AN44" s="44" t="s">
        <v>253</v>
      </c>
      <c r="AO44" s="44" t="s">
        <v>266</v>
      </c>
      <c r="AP44" s="44" t="s">
        <v>267</v>
      </c>
      <c r="AQ44" s="44">
        <v>12</v>
      </c>
      <c r="AR44" s="44" t="s">
        <v>33</v>
      </c>
      <c r="AS44" s="44" t="s">
        <v>253</v>
      </c>
      <c r="AT44" s="44" t="s">
        <v>268</v>
      </c>
      <c r="AU44" s="44">
        <v>12</v>
      </c>
      <c r="AV44" s="44">
        <v>1</v>
      </c>
      <c r="AW44" s="44" t="s">
        <v>269</v>
      </c>
      <c r="AX44" s="44" t="s">
        <v>256</v>
      </c>
      <c r="AY44" s="44" t="s">
        <v>283</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row>
    <row r="45" spans="1:72">
      <c r="A45" s="44">
        <v>2022</v>
      </c>
      <c r="B45" s="44">
        <v>12</v>
      </c>
      <c r="C45" s="44">
        <v>1</v>
      </c>
      <c r="D45" s="44">
        <v>17</v>
      </c>
      <c r="E45" s="44" t="s">
        <v>253</v>
      </c>
      <c r="F45" s="44" t="s">
        <v>254</v>
      </c>
      <c r="G45" s="44">
        <v>2017</v>
      </c>
      <c r="H45" s="44">
        <v>12</v>
      </c>
      <c r="I45" s="44" t="s">
        <v>33</v>
      </c>
      <c r="J45" s="44" t="s">
        <v>253</v>
      </c>
      <c r="K45" s="44">
        <v>1987</v>
      </c>
      <c r="L45" s="44">
        <v>12</v>
      </c>
      <c r="M45" s="44">
        <v>1</v>
      </c>
      <c r="N45" s="44" t="s">
        <v>255</v>
      </c>
      <c r="O45" s="44" t="s">
        <v>256</v>
      </c>
      <c r="P45" s="44" t="s">
        <v>283</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284</v>
      </c>
      <c r="AN45" s="44" t="s">
        <v>253</v>
      </c>
      <c r="AO45" s="44" t="s">
        <v>266</v>
      </c>
      <c r="AP45" s="44" t="s">
        <v>267</v>
      </c>
      <c r="AQ45" s="44">
        <v>12</v>
      </c>
      <c r="AR45" s="44" t="s">
        <v>33</v>
      </c>
      <c r="AS45" s="44" t="s">
        <v>253</v>
      </c>
      <c r="AT45" s="44" t="s">
        <v>277</v>
      </c>
      <c r="AU45" s="44">
        <v>12</v>
      </c>
      <c r="AV45" s="44">
        <v>1</v>
      </c>
      <c r="AW45" s="44" t="s">
        <v>269</v>
      </c>
      <c r="AX45" s="44" t="s">
        <v>256</v>
      </c>
      <c r="AY45" s="44" t="s">
        <v>283</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row>
    <row r="46" spans="1:72">
      <c r="A46" s="44">
        <v>2022</v>
      </c>
      <c r="B46" s="44">
        <v>12</v>
      </c>
      <c r="C46" s="44">
        <v>1</v>
      </c>
      <c r="D46" s="44">
        <v>17</v>
      </c>
      <c r="E46" s="44" t="s">
        <v>253</v>
      </c>
      <c r="F46" s="44" t="s">
        <v>254</v>
      </c>
      <c r="G46" s="44">
        <v>2017</v>
      </c>
      <c r="H46" s="44">
        <v>12</v>
      </c>
      <c r="I46" s="44" t="s">
        <v>33</v>
      </c>
      <c r="J46" s="44" t="s">
        <v>253</v>
      </c>
      <c r="K46" s="44">
        <v>1982</v>
      </c>
      <c r="L46" s="44">
        <v>12</v>
      </c>
      <c r="M46" s="44">
        <v>1</v>
      </c>
      <c r="N46" s="44" t="s">
        <v>255</v>
      </c>
      <c r="O46" s="44" t="s">
        <v>256</v>
      </c>
      <c r="P46" s="44" t="s">
        <v>283</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284</v>
      </c>
      <c r="AN46" s="44" t="s">
        <v>253</v>
      </c>
      <c r="AO46" s="44" t="s">
        <v>266</v>
      </c>
      <c r="AP46" s="44" t="s">
        <v>267</v>
      </c>
      <c r="AQ46" s="44">
        <v>12</v>
      </c>
      <c r="AR46" s="44" t="s">
        <v>33</v>
      </c>
      <c r="AS46" s="44" t="s">
        <v>253</v>
      </c>
      <c r="AT46" s="44" t="s">
        <v>278</v>
      </c>
      <c r="AU46" s="44">
        <v>12</v>
      </c>
      <c r="AV46" s="44">
        <v>1</v>
      </c>
      <c r="AW46" s="44" t="s">
        <v>269</v>
      </c>
      <c r="AX46" s="44" t="s">
        <v>256</v>
      </c>
      <c r="AY46" s="44" t="s">
        <v>283</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row>
    <row r="47" spans="1:72">
      <c r="A47" s="44">
        <v>2022</v>
      </c>
      <c r="B47" s="44">
        <v>12</v>
      </c>
      <c r="C47" s="44">
        <v>1</v>
      </c>
      <c r="D47" s="44">
        <v>17</v>
      </c>
      <c r="E47" s="44" t="s">
        <v>253</v>
      </c>
      <c r="F47" s="44" t="s">
        <v>254</v>
      </c>
      <c r="G47" s="44">
        <v>2017</v>
      </c>
      <c r="H47" s="44">
        <v>12</v>
      </c>
      <c r="I47" s="44" t="s">
        <v>33</v>
      </c>
      <c r="J47" s="44" t="s">
        <v>253</v>
      </c>
      <c r="K47" s="44">
        <v>1977</v>
      </c>
      <c r="L47" s="44">
        <v>12</v>
      </c>
      <c r="M47" s="44">
        <v>1</v>
      </c>
      <c r="N47" s="44" t="s">
        <v>255</v>
      </c>
      <c r="O47" s="44" t="s">
        <v>256</v>
      </c>
      <c r="P47" s="44" t="s">
        <v>283</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284</v>
      </c>
      <c r="AN47" s="44" t="s">
        <v>253</v>
      </c>
      <c r="AO47" s="44" t="s">
        <v>266</v>
      </c>
      <c r="AP47" s="44" t="s">
        <v>267</v>
      </c>
      <c r="AQ47" s="44">
        <v>12</v>
      </c>
      <c r="AR47" s="44" t="s">
        <v>33</v>
      </c>
      <c r="AS47" s="44" t="s">
        <v>253</v>
      </c>
      <c r="AT47" s="44" t="s">
        <v>279</v>
      </c>
      <c r="AU47" s="44">
        <v>12</v>
      </c>
      <c r="AV47" s="44">
        <v>1</v>
      </c>
      <c r="AW47" s="44" t="s">
        <v>269</v>
      </c>
      <c r="AX47" s="44" t="s">
        <v>256</v>
      </c>
      <c r="AY47" s="44" t="s">
        <v>283</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row>
    <row r="48" spans="1:72">
      <c r="A48" s="44">
        <v>2022</v>
      </c>
      <c r="B48" s="44">
        <v>12</v>
      </c>
      <c r="C48" s="44">
        <v>1</v>
      </c>
      <c r="D48" s="44">
        <v>17</v>
      </c>
      <c r="E48" s="44" t="s">
        <v>253</v>
      </c>
      <c r="F48" s="44" t="s">
        <v>254</v>
      </c>
      <c r="G48" s="44">
        <v>2017</v>
      </c>
      <c r="H48" s="44">
        <v>12</v>
      </c>
      <c r="I48" s="44" t="s">
        <v>33</v>
      </c>
      <c r="J48" s="44" t="s">
        <v>253</v>
      </c>
      <c r="K48" s="44">
        <v>1972</v>
      </c>
      <c r="L48" s="44">
        <v>12</v>
      </c>
      <c r="M48" s="44">
        <v>1</v>
      </c>
      <c r="N48" s="44" t="s">
        <v>255</v>
      </c>
      <c r="O48" s="44" t="s">
        <v>256</v>
      </c>
      <c r="P48" s="44" t="s">
        <v>283</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284</v>
      </c>
      <c r="AN48" s="44" t="s">
        <v>253</v>
      </c>
      <c r="AO48" s="44" t="s">
        <v>266</v>
      </c>
      <c r="AP48" s="44" t="s">
        <v>267</v>
      </c>
      <c r="AQ48" s="44">
        <v>12</v>
      </c>
      <c r="AR48" s="44" t="s">
        <v>33</v>
      </c>
      <c r="AS48" s="44" t="s">
        <v>253</v>
      </c>
      <c r="AT48" s="44" t="s">
        <v>280</v>
      </c>
      <c r="AU48" s="44">
        <v>12</v>
      </c>
      <c r="AV48" s="44">
        <v>1</v>
      </c>
      <c r="AW48" s="44" t="s">
        <v>269</v>
      </c>
      <c r="AX48" s="44" t="s">
        <v>256</v>
      </c>
      <c r="AY48" s="44" t="s">
        <v>283</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row>
    <row r="49" spans="1:72">
      <c r="A49" s="44">
        <v>2022</v>
      </c>
      <c r="B49" s="44">
        <v>12</v>
      </c>
      <c r="C49" s="44">
        <v>1</v>
      </c>
      <c r="D49" s="44">
        <v>17</v>
      </c>
      <c r="E49" s="44" t="s">
        <v>253</v>
      </c>
      <c r="F49" s="44" t="s">
        <v>254</v>
      </c>
      <c r="G49" s="44">
        <v>2017</v>
      </c>
      <c r="H49" s="44">
        <v>12</v>
      </c>
      <c r="I49" s="44" t="s">
        <v>33</v>
      </c>
      <c r="J49" s="44" t="s">
        <v>253</v>
      </c>
      <c r="K49" s="44">
        <v>1962</v>
      </c>
      <c r="L49" s="44">
        <v>12</v>
      </c>
      <c r="M49" s="44">
        <v>1</v>
      </c>
      <c r="N49" s="44" t="s">
        <v>255</v>
      </c>
      <c r="O49" s="44" t="s">
        <v>256</v>
      </c>
      <c r="P49" s="44" t="s">
        <v>283</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284</v>
      </c>
      <c r="AN49" s="44" t="s">
        <v>253</v>
      </c>
      <c r="AO49" s="44" t="s">
        <v>266</v>
      </c>
      <c r="AP49" s="44" t="s">
        <v>267</v>
      </c>
      <c r="AQ49" s="44">
        <v>12</v>
      </c>
      <c r="AR49" s="44" t="s">
        <v>33</v>
      </c>
      <c r="AS49" s="44" t="s">
        <v>253</v>
      </c>
      <c r="AT49" s="44" t="s">
        <v>281</v>
      </c>
      <c r="AU49" s="44">
        <v>12</v>
      </c>
      <c r="AV49" s="44">
        <v>1</v>
      </c>
      <c r="AW49" s="44" t="s">
        <v>269</v>
      </c>
      <c r="AX49" s="44" t="s">
        <v>256</v>
      </c>
      <c r="AY49" s="44" t="s">
        <v>283</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row>
    <row r="50" spans="1:72">
      <c r="A50" s="44">
        <v>2022</v>
      </c>
      <c r="B50" s="6">
        <v>12</v>
      </c>
      <c r="C50" s="6">
        <v>1</v>
      </c>
      <c r="D50" s="6">
        <v>17</v>
      </c>
      <c r="E50" s="6" t="s">
        <v>253</v>
      </c>
      <c r="F50" s="6" t="s">
        <v>254</v>
      </c>
      <c r="G50" s="6">
        <v>2017</v>
      </c>
      <c r="H50" s="6">
        <v>12</v>
      </c>
      <c r="I50" s="6" t="s">
        <v>33</v>
      </c>
      <c r="J50" s="6" t="s">
        <v>253</v>
      </c>
      <c r="K50" s="6">
        <v>1952</v>
      </c>
      <c r="L50" s="14">
        <v>12</v>
      </c>
      <c r="M50" s="6">
        <v>1</v>
      </c>
      <c r="N50" s="6" t="s">
        <v>255</v>
      </c>
      <c r="O50" s="6" t="s">
        <v>256</v>
      </c>
      <c r="P50" s="6" t="s">
        <v>283</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284</v>
      </c>
      <c r="AN50" s="44" t="s">
        <v>253</v>
      </c>
      <c r="AO50" s="44" t="s">
        <v>266</v>
      </c>
      <c r="AP50" s="44" t="s">
        <v>267</v>
      </c>
      <c r="AQ50" s="44">
        <v>12</v>
      </c>
      <c r="AR50" s="44" t="s">
        <v>33</v>
      </c>
      <c r="AS50" s="44" t="s">
        <v>253</v>
      </c>
      <c r="AT50" s="44" t="s">
        <v>282</v>
      </c>
      <c r="AU50" s="44">
        <v>12</v>
      </c>
      <c r="AV50" s="44">
        <v>1</v>
      </c>
      <c r="AW50" s="44" t="s">
        <v>269</v>
      </c>
      <c r="AX50" s="44" t="s">
        <v>256</v>
      </c>
      <c r="AY50" s="44" t="s">
        <v>283</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row>
    <row r="51" spans="1:72">
      <c r="A51" s="44">
        <v>2022</v>
      </c>
      <c r="B51" s="6">
        <v>12</v>
      </c>
      <c r="C51" s="6">
        <v>1</v>
      </c>
      <c r="D51" s="6">
        <v>17</v>
      </c>
      <c r="E51" s="6" t="s">
        <v>253</v>
      </c>
      <c r="F51" s="6" t="s">
        <v>254</v>
      </c>
      <c r="G51" s="6">
        <v>2017</v>
      </c>
      <c r="H51" s="6">
        <v>12</v>
      </c>
      <c r="I51" s="6" t="s">
        <v>33</v>
      </c>
      <c r="J51" s="6" t="s">
        <v>253</v>
      </c>
      <c r="K51" s="6">
        <v>1992</v>
      </c>
      <c r="L51" s="14">
        <v>12</v>
      </c>
      <c r="M51" s="6">
        <v>1</v>
      </c>
      <c r="N51" s="6" t="s">
        <v>255</v>
      </c>
      <c r="O51" s="6" t="s">
        <v>256</v>
      </c>
      <c r="P51" s="6" t="s">
        <v>283</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284</v>
      </c>
      <c r="AN51" s="44" t="s">
        <v>253</v>
      </c>
      <c r="AO51" s="44" t="s">
        <v>266</v>
      </c>
      <c r="AP51" s="44" t="s">
        <v>267</v>
      </c>
      <c r="AQ51" s="44">
        <v>12</v>
      </c>
      <c r="AR51" s="44" t="s">
        <v>33</v>
      </c>
      <c r="AS51" s="44" t="s">
        <v>253</v>
      </c>
      <c r="AT51" s="44" t="s">
        <v>268</v>
      </c>
      <c r="AU51" s="44">
        <v>12</v>
      </c>
      <c r="AV51" s="44">
        <v>1</v>
      </c>
      <c r="AW51" s="44" t="s">
        <v>269</v>
      </c>
      <c r="AX51" s="44" t="s">
        <v>256</v>
      </c>
      <c r="AY51" s="44" t="s">
        <v>283</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row>
    <row r="52" spans="1:72">
      <c r="A52" s="44">
        <v>2022</v>
      </c>
      <c r="B52" s="6">
        <v>12</v>
      </c>
      <c r="C52" s="6">
        <v>1</v>
      </c>
      <c r="D52" s="6">
        <v>17</v>
      </c>
      <c r="E52" s="6" t="s">
        <v>253</v>
      </c>
      <c r="F52" s="6" t="s">
        <v>254</v>
      </c>
      <c r="G52" s="6">
        <v>2017</v>
      </c>
      <c r="H52" s="6">
        <v>12</v>
      </c>
      <c r="I52" s="6" t="s">
        <v>33</v>
      </c>
      <c r="J52" s="6" t="s">
        <v>253</v>
      </c>
      <c r="K52" s="6">
        <v>1987</v>
      </c>
      <c r="L52" s="14">
        <v>12</v>
      </c>
      <c r="M52" s="6">
        <v>1</v>
      </c>
      <c r="N52" s="6" t="s">
        <v>255</v>
      </c>
      <c r="O52" s="6" t="s">
        <v>256</v>
      </c>
      <c r="P52" s="6" t="s">
        <v>283</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284</v>
      </c>
      <c r="AN52" s="44" t="s">
        <v>253</v>
      </c>
      <c r="AO52" s="44" t="s">
        <v>266</v>
      </c>
      <c r="AP52" s="44" t="s">
        <v>267</v>
      </c>
      <c r="AQ52" s="44">
        <v>12</v>
      </c>
      <c r="AR52" s="44" t="s">
        <v>33</v>
      </c>
      <c r="AS52" s="44" t="s">
        <v>253</v>
      </c>
      <c r="AT52" s="44" t="s">
        <v>277</v>
      </c>
      <c r="AU52" s="44">
        <v>12</v>
      </c>
      <c r="AV52" s="44">
        <v>1</v>
      </c>
      <c r="AW52" s="44" t="s">
        <v>269</v>
      </c>
      <c r="AX52" s="44" t="s">
        <v>256</v>
      </c>
      <c r="AY52" s="44" t="s">
        <v>283</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row>
    <row r="53" spans="1:72">
      <c r="A53" s="44">
        <v>2022</v>
      </c>
      <c r="B53" s="6">
        <v>12</v>
      </c>
      <c r="C53" s="6">
        <v>1</v>
      </c>
      <c r="D53" s="6">
        <v>17</v>
      </c>
      <c r="E53" s="6" t="s">
        <v>253</v>
      </c>
      <c r="F53" s="6" t="s">
        <v>254</v>
      </c>
      <c r="G53" s="6">
        <v>2017</v>
      </c>
      <c r="H53" s="6">
        <v>12</v>
      </c>
      <c r="I53" s="6" t="s">
        <v>33</v>
      </c>
      <c r="J53" s="6" t="s">
        <v>253</v>
      </c>
      <c r="K53" s="6">
        <v>1982</v>
      </c>
      <c r="L53" s="14">
        <v>12</v>
      </c>
      <c r="M53" s="6">
        <v>1</v>
      </c>
      <c r="N53" s="6" t="s">
        <v>255</v>
      </c>
      <c r="O53" s="6" t="s">
        <v>256</v>
      </c>
      <c r="P53" s="6" t="s">
        <v>283</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284</v>
      </c>
      <c r="AN53" s="44" t="s">
        <v>253</v>
      </c>
      <c r="AO53" s="44" t="s">
        <v>266</v>
      </c>
      <c r="AP53" s="44" t="s">
        <v>267</v>
      </c>
      <c r="AQ53" s="44">
        <v>12</v>
      </c>
      <c r="AR53" s="44" t="s">
        <v>33</v>
      </c>
      <c r="AS53" s="44" t="s">
        <v>253</v>
      </c>
      <c r="AT53" s="44" t="s">
        <v>278</v>
      </c>
      <c r="AU53" s="44">
        <v>12</v>
      </c>
      <c r="AV53" s="44">
        <v>1</v>
      </c>
      <c r="AW53" s="44" t="s">
        <v>269</v>
      </c>
      <c r="AX53" s="44" t="s">
        <v>256</v>
      </c>
      <c r="AY53" s="44" t="s">
        <v>283</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row>
    <row r="54" spans="1:72">
      <c r="A54" s="44">
        <v>2022</v>
      </c>
      <c r="B54" s="6">
        <v>12</v>
      </c>
      <c r="C54" s="6">
        <v>1</v>
      </c>
      <c r="D54" s="6">
        <v>17</v>
      </c>
      <c r="E54" s="6" t="s">
        <v>253</v>
      </c>
      <c r="F54" s="6" t="s">
        <v>254</v>
      </c>
      <c r="G54" s="6">
        <v>2017</v>
      </c>
      <c r="H54" s="6">
        <v>12</v>
      </c>
      <c r="I54" s="6" t="s">
        <v>33</v>
      </c>
      <c r="J54" s="6" t="s">
        <v>253</v>
      </c>
      <c r="K54" s="6">
        <v>1977</v>
      </c>
      <c r="L54" s="14">
        <v>12</v>
      </c>
      <c r="M54" s="6">
        <v>1</v>
      </c>
      <c r="N54" s="6" t="s">
        <v>255</v>
      </c>
      <c r="O54" s="6" t="s">
        <v>256</v>
      </c>
      <c r="P54" s="6" t="s">
        <v>283</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284</v>
      </c>
      <c r="AN54" s="44" t="s">
        <v>253</v>
      </c>
      <c r="AO54" s="44" t="s">
        <v>266</v>
      </c>
      <c r="AP54" s="44" t="s">
        <v>267</v>
      </c>
      <c r="AQ54" s="44">
        <v>12</v>
      </c>
      <c r="AR54" s="44" t="s">
        <v>33</v>
      </c>
      <c r="AS54" s="44" t="s">
        <v>253</v>
      </c>
      <c r="AT54" s="44" t="s">
        <v>279</v>
      </c>
      <c r="AU54" s="44">
        <v>12</v>
      </c>
      <c r="AV54" s="44">
        <v>1</v>
      </c>
      <c r="AW54" s="44" t="s">
        <v>269</v>
      </c>
      <c r="AX54" s="44" t="s">
        <v>256</v>
      </c>
      <c r="AY54" s="44" t="s">
        <v>283</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row>
    <row r="55" spans="1:72">
      <c r="A55" s="44">
        <v>2022</v>
      </c>
      <c r="B55" s="6">
        <v>12</v>
      </c>
      <c r="C55" s="6">
        <v>1</v>
      </c>
      <c r="D55" s="6">
        <v>17</v>
      </c>
      <c r="E55" s="6" t="s">
        <v>253</v>
      </c>
      <c r="F55" s="6" t="s">
        <v>254</v>
      </c>
      <c r="G55" s="6">
        <v>2017</v>
      </c>
      <c r="H55" s="6">
        <v>12</v>
      </c>
      <c r="I55" s="6" t="s">
        <v>33</v>
      </c>
      <c r="J55" s="6" t="s">
        <v>253</v>
      </c>
      <c r="K55" s="6">
        <v>1972</v>
      </c>
      <c r="L55" s="14">
        <v>12</v>
      </c>
      <c r="M55" s="6">
        <v>1</v>
      </c>
      <c r="N55" s="6" t="s">
        <v>255</v>
      </c>
      <c r="O55" s="6" t="s">
        <v>256</v>
      </c>
      <c r="P55" s="6" t="s">
        <v>283</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284</v>
      </c>
      <c r="AN55" s="44" t="s">
        <v>253</v>
      </c>
      <c r="AO55" s="44" t="s">
        <v>266</v>
      </c>
      <c r="AP55" s="44" t="s">
        <v>267</v>
      </c>
      <c r="AQ55" s="44">
        <v>12</v>
      </c>
      <c r="AR55" s="44" t="s">
        <v>33</v>
      </c>
      <c r="AS55" s="44" t="s">
        <v>253</v>
      </c>
      <c r="AT55" s="44" t="s">
        <v>280</v>
      </c>
      <c r="AU55" s="44">
        <v>12</v>
      </c>
      <c r="AV55" s="44">
        <v>1</v>
      </c>
      <c r="AW55" s="44" t="s">
        <v>269</v>
      </c>
      <c r="AX55" s="44" t="s">
        <v>256</v>
      </c>
      <c r="AY55" s="44" t="s">
        <v>283</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row>
    <row r="56" spans="1:72">
      <c r="A56" s="44">
        <v>2022</v>
      </c>
      <c r="B56" s="6">
        <v>12</v>
      </c>
      <c r="C56" s="6">
        <v>1</v>
      </c>
      <c r="D56" s="6">
        <v>17</v>
      </c>
      <c r="E56" s="6" t="s">
        <v>253</v>
      </c>
      <c r="F56" s="6" t="s">
        <v>254</v>
      </c>
      <c r="G56" s="6">
        <v>2017</v>
      </c>
      <c r="H56" s="6">
        <v>12</v>
      </c>
      <c r="I56" s="6" t="s">
        <v>33</v>
      </c>
      <c r="J56" s="6" t="s">
        <v>253</v>
      </c>
      <c r="K56" s="6">
        <v>1962</v>
      </c>
      <c r="L56" s="14">
        <v>12</v>
      </c>
      <c r="M56" s="6">
        <v>1</v>
      </c>
      <c r="N56" s="6" t="s">
        <v>255</v>
      </c>
      <c r="O56" s="6" t="s">
        <v>256</v>
      </c>
      <c r="P56" s="6" t="s">
        <v>283</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284</v>
      </c>
      <c r="AN56" s="44" t="s">
        <v>253</v>
      </c>
      <c r="AO56" s="44" t="s">
        <v>266</v>
      </c>
      <c r="AP56" s="44" t="s">
        <v>267</v>
      </c>
      <c r="AQ56" s="44">
        <v>12</v>
      </c>
      <c r="AR56" s="44" t="s">
        <v>33</v>
      </c>
      <c r="AS56" s="44" t="s">
        <v>253</v>
      </c>
      <c r="AT56" s="44" t="s">
        <v>281</v>
      </c>
      <c r="AU56" s="44">
        <v>12</v>
      </c>
      <c r="AV56" s="44">
        <v>1</v>
      </c>
      <c r="AW56" s="44" t="s">
        <v>269</v>
      </c>
      <c r="AX56" s="44" t="s">
        <v>256</v>
      </c>
      <c r="AY56" s="44" t="s">
        <v>283</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row>
    <row r="57" spans="1:72">
      <c r="A57" s="44">
        <v>2022</v>
      </c>
      <c r="B57" s="6">
        <v>12</v>
      </c>
      <c r="C57" s="6">
        <v>1</v>
      </c>
      <c r="D57" s="6">
        <v>17</v>
      </c>
      <c r="E57" s="6" t="s">
        <v>253</v>
      </c>
      <c r="F57" s="6" t="s">
        <v>254</v>
      </c>
      <c r="G57" s="6">
        <v>2017</v>
      </c>
      <c r="H57" s="6">
        <v>12</v>
      </c>
      <c r="I57" s="6" t="s">
        <v>33</v>
      </c>
      <c r="J57" s="6" t="s">
        <v>253</v>
      </c>
      <c r="K57" s="6">
        <v>1952</v>
      </c>
      <c r="L57" s="14">
        <v>12</v>
      </c>
      <c r="M57" s="6">
        <v>1</v>
      </c>
      <c r="N57" s="6" t="s">
        <v>255</v>
      </c>
      <c r="O57" s="6" t="s">
        <v>256</v>
      </c>
      <c r="P57" s="6" t="s">
        <v>283</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284</v>
      </c>
      <c r="AN57" s="44" t="s">
        <v>253</v>
      </c>
      <c r="AO57" s="44" t="s">
        <v>266</v>
      </c>
      <c r="AP57" s="44" t="s">
        <v>267</v>
      </c>
      <c r="AQ57" s="44">
        <v>12</v>
      </c>
      <c r="AR57" s="44" t="s">
        <v>33</v>
      </c>
      <c r="AS57" s="44" t="s">
        <v>253</v>
      </c>
      <c r="AT57" s="44" t="s">
        <v>282</v>
      </c>
      <c r="AU57" s="44">
        <v>12</v>
      </c>
      <c r="AV57" s="44">
        <v>1</v>
      </c>
      <c r="AW57" s="44" t="s">
        <v>269</v>
      </c>
      <c r="AX57" s="44" t="s">
        <v>256</v>
      </c>
      <c r="AY57" s="44" t="s">
        <v>283</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row>
    <row r="58" spans="1:72">
      <c r="A58" s="44">
        <v>2022</v>
      </c>
      <c r="B58" s="6">
        <v>12</v>
      </c>
      <c r="C58" s="6">
        <v>1</v>
      </c>
      <c r="D58" s="6">
        <v>10</v>
      </c>
      <c r="E58" s="6" t="s">
        <v>253</v>
      </c>
      <c r="F58" s="6" t="s">
        <v>254</v>
      </c>
      <c r="G58" s="6">
        <v>2017</v>
      </c>
      <c r="H58" s="6">
        <v>12</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285</v>
      </c>
      <c r="AN58" s="44" t="s">
        <v>253</v>
      </c>
      <c r="AO58" s="44" t="s">
        <v>266</v>
      </c>
      <c r="AP58" s="44" t="s">
        <v>267</v>
      </c>
      <c r="AQ58" s="44">
        <v>12</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row>
    <row r="59" spans="1:72">
      <c r="A59" s="44">
        <v>2022</v>
      </c>
      <c r="B59" s="6">
        <v>12</v>
      </c>
      <c r="C59" s="6">
        <v>1</v>
      </c>
      <c r="D59" s="6">
        <v>10</v>
      </c>
      <c r="E59" s="6" t="s">
        <v>253</v>
      </c>
      <c r="F59" s="6" t="s">
        <v>254</v>
      </c>
      <c r="G59" s="6">
        <v>2017</v>
      </c>
      <c r="H59" s="6">
        <v>12</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285</v>
      </c>
      <c r="AN59" s="44" t="s">
        <v>253</v>
      </c>
      <c r="AO59" s="44" t="s">
        <v>266</v>
      </c>
      <c r="AP59" s="44" t="s">
        <v>267</v>
      </c>
      <c r="AQ59" s="44">
        <v>12</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row>
    <row r="60" spans="1:72">
      <c r="A60" s="44">
        <v>2022</v>
      </c>
      <c r="B60" s="6">
        <v>12</v>
      </c>
      <c r="C60" s="6">
        <v>1</v>
      </c>
      <c r="D60" s="6">
        <v>10</v>
      </c>
      <c r="E60" s="6" t="s">
        <v>253</v>
      </c>
      <c r="F60" s="6" t="s">
        <v>254</v>
      </c>
      <c r="G60" s="6">
        <v>2017</v>
      </c>
      <c r="H60" s="6">
        <v>12</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285</v>
      </c>
      <c r="AN60" s="44" t="s">
        <v>253</v>
      </c>
      <c r="AO60" s="44" t="s">
        <v>266</v>
      </c>
      <c r="AP60" s="44" t="s">
        <v>267</v>
      </c>
      <c r="AQ60" s="44">
        <v>12</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row>
    <row r="61" spans="1:72">
      <c r="A61" s="44">
        <v>2022</v>
      </c>
      <c r="B61" s="6">
        <v>12</v>
      </c>
      <c r="C61" s="6">
        <v>1</v>
      </c>
      <c r="D61" s="6">
        <v>10</v>
      </c>
      <c r="E61" s="6" t="s">
        <v>253</v>
      </c>
      <c r="F61" s="6" t="s">
        <v>254</v>
      </c>
      <c r="G61" s="6">
        <v>2017</v>
      </c>
      <c r="H61" s="6">
        <v>12</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285</v>
      </c>
      <c r="AN61" s="44" t="s">
        <v>253</v>
      </c>
      <c r="AO61" s="44" t="s">
        <v>266</v>
      </c>
      <c r="AP61" s="44" t="s">
        <v>267</v>
      </c>
      <c r="AQ61" s="44">
        <v>12</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row>
    <row r="62" spans="1:72">
      <c r="A62" s="44">
        <v>2022</v>
      </c>
      <c r="B62" s="6">
        <v>12</v>
      </c>
      <c r="C62" s="6">
        <v>1</v>
      </c>
      <c r="D62" s="6">
        <v>10</v>
      </c>
      <c r="E62" s="6" t="s">
        <v>253</v>
      </c>
      <c r="F62" s="6" t="s">
        <v>254</v>
      </c>
      <c r="G62" s="6">
        <v>2017</v>
      </c>
      <c r="H62" s="6">
        <v>12</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285</v>
      </c>
      <c r="AN62" s="44" t="s">
        <v>253</v>
      </c>
      <c r="AO62" s="44" t="s">
        <v>266</v>
      </c>
      <c r="AP62" s="44" t="s">
        <v>267</v>
      </c>
      <c r="AQ62" s="44">
        <v>12</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row>
    <row r="63" spans="1:72">
      <c r="A63" s="44">
        <v>2022</v>
      </c>
      <c r="B63" s="6">
        <v>12</v>
      </c>
      <c r="C63" s="6">
        <v>1</v>
      </c>
      <c r="D63" s="6">
        <v>10</v>
      </c>
      <c r="E63" s="6" t="s">
        <v>253</v>
      </c>
      <c r="F63" s="6" t="s">
        <v>254</v>
      </c>
      <c r="G63" s="6">
        <v>2017</v>
      </c>
      <c r="H63" s="6">
        <v>12</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285</v>
      </c>
      <c r="AN63" s="44" t="s">
        <v>253</v>
      </c>
      <c r="AO63" s="44" t="s">
        <v>266</v>
      </c>
      <c r="AP63" s="44" t="s">
        <v>267</v>
      </c>
      <c r="AQ63" s="44">
        <v>12</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row>
    <row r="64" spans="1:72">
      <c r="A64" s="44">
        <v>2022</v>
      </c>
      <c r="B64" s="6">
        <v>12</v>
      </c>
      <c r="C64" s="6">
        <v>1</v>
      </c>
      <c r="D64" s="6">
        <v>10</v>
      </c>
      <c r="E64" s="6" t="s">
        <v>253</v>
      </c>
      <c r="F64" s="6" t="s">
        <v>254</v>
      </c>
      <c r="G64" s="6">
        <v>2017</v>
      </c>
      <c r="H64" s="6">
        <v>12</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285</v>
      </c>
      <c r="AN64" s="44" t="s">
        <v>253</v>
      </c>
      <c r="AO64" s="44" t="s">
        <v>266</v>
      </c>
      <c r="AP64" s="44" t="s">
        <v>267</v>
      </c>
      <c r="AQ64" s="44">
        <v>12</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row>
    <row r="65" spans="1:72">
      <c r="A65" s="44">
        <v>2022</v>
      </c>
      <c r="B65" s="6">
        <v>12</v>
      </c>
      <c r="C65" s="6">
        <v>1</v>
      </c>
      <c r="D65" s="6">
        <v>10</v>
      </c>
      <c r="E65" s="6" t="s">
        <v>253</v>
      </c>
      <c r="F65" s="6" t="s">
        <v>254</v>
      </c>
      <c r="G65" s="6">
        <v>2017</v>
      </c>
      <c r="H65" s="6">
        <v>12</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285</v>
      </c>
      <c r="AN65" s="44" t="s">
        <v>253</v>
      </c>
      <c r="AO65" s="44" t="s">
        <v>266</v>
      </c>
      <c r="AP65" s="44" t="s">
        <v>267</v>
      </c>
      <c r="AQ65" s="44">
        <v>12</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row>
    <row r="66" spans="1:72">
      <c r="A66" s="44">
        <v>2022</v>
      </c>
      <c r="B66" s="6">
        <v>12</v>
      </c>
      <c r="C66" s="6">
        <v>1</v>
      </c>
      <c r="D66" s="6">
        <v>10</v>
      </c>
      <c r="E66" s="6" t="s">
        <v>253</v>
      </c>
      <c r="F66" s="6" t="s">
        <v>254</v>
      </c>
      <c r="G66" s="6">
        <v>2017</v>
      </c>
      <c r="H66" s="6">
        <v>12</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285</v>
      </c>
      <c r="AN66" s="44" t="s">
        <v>253</v>
      </c>
      <c r="AO66" s="44" t="s">
        <v>266</v>
      </c>
      <c r="AP66" s="44" t="s">
        <v>267</v>
      </c>
      <c r="AQ66" s="44">
        <v>12</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row>
    <row r="67" spans="1:72">
      <c r="A67" s="44">
        <v>2022</v>
      </c>
      <c r="B67" s="6">
        <v>12</v>
      </c>
      <c r="C67" s="6">
        <v>1</v>
      </c>
      <c r="D67" s="6">
        <v>10</v>
      </c>
      <c r="E67" s="6" t="s">
        <v>253</v>
      </c>
      <c r="F67" s="6" t="s">
        <v>254</v>
      </c>
      <c r="G67" s="6">
        <v>2017</v>
      </c>
      <c r="H67" s="6">
        <v>12</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285</v>
      </c>
      <c r="AN67" s="44" t="s">
        <v>253</v>
      </c>
      <c r="AO67" s="44" t="s">
        <v>266</v>
      </c>
      <c r="AP67" s="44" t="s">
        <v>267</v>
      </c>
      <c r="AQ67" s="44">
        <v>12</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row>
    <row r="68" spans="1:72">
      <c r="A68" s="44">
        <v>2022</v>
      </c>
      <c r="B68" s="6">
        <v>12</v>
      </c>
      <c r="C68" s="6">
        <v>1</v>
      </c>
      <c r="D68" s="6">
        <v>10</v>
      </c>
      <c r="E68" s="6" t="s">
        <v>253</v>
      </c>
      <c r="F68" s="6" t="s">
        <v>254</v>
      </c>
      <c r="G68" s="6">
        <v>2017</v>
      </c>
      <c r="H68" s="6">
        <v>12</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285</v>
      </c>
      <c r="AN68" s="44" t="s">
        <v>253</v>
      </c>
      <c r="AO68" s="44" t="s">
        <v>266</v>
      </c>
      <c r="AP68" s="44" t="s">
        <v>267</v>
      </c>
      <c r="AQ68" s="44">
        <v>12</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row>
    <row r="69" spans="1:72">
      <c r="A69" s="44">
        <v>2022</v>
      </c>
      <c r="B69" s="6">
        <v>12</v>
      </c>
      <c r="C69" s="6">
        <v>1</v>
      </c>
      <c r="D69" s="6">
        <v>10</v>
      </c>
      <c r="E69" s="6" t="s">
        <v>253</v>
      </c>
      <c r="F69" s="6" t="s">
        <v>254</v>
      </c>
      <c r="G69" s="6">
        <v>2017</v>
      </c>
      <c r="H69" s="6">
        <v>12</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285</v>
      </c>
      <c r="AN69" s="44" t="s">
        <v>253</v>
      </c>
      <c r="AO69" s="44" t="s">
        <v>266</v>
      </c>
      <c r="AP69" s="44" t="s">
        <v>267</v>
      </c>
      <c r="AQ69" s="44">
        <v>12</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row>
    <row r="70" spans="1:72">
      <c r="A70" s="44">
        <v>2022</v>
      </c>
      <c r="B70" s="6">
        <v>12</v>
      </c>
      <c r="C70" s="6">
        <v>1</v>
      </c>
      <c r="D70" s="6">
        <v>10</v>
      </c>
      <c r="E70" s="6" t="s">
        <v>253</v>
      </c>
      <c r="F70" s="6" t="s">
        <v>254</v>
      </c>
      <c r="G70" s="6">
        <v>2017</v>
      </c>
      <c r="H70" s="6">
        <v>12</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285</v>
      </c>
      <c r="AN70" s="44" t="s">
        <v>253</v>
      </c>
      <c r="AO70" s="44" t="s">
        <v>266</v>
      </c>
      <c r="AP70" s="44" t="s">
        <v>267</v>
      </c>
      <c r="AQ70" s="44">
        <v>12</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row>
    <row r="71" spans="1:72">
      <c r="A71" s="44">
        <v>2022</v>
      </c>
      <c r="B71" s="6">
        <v>12</v>
      </c>
      <c r="C71" s="6">
        <v>1</v>
      </c>
      <c r="D71" s="6">
        <v>10</v>
      </c>
      <c r="E71" s="6" t="s">
        <v>253</v>
      </c>
      <c r="F71" s="6" t="s">
        <v>254</v>
      </c>
      <c r="G71" s="6">
        <v>2017</v>
      </c>
      <c r="H71" s="6">
        <v>12</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285</v>
      </c>
      <c r="AN71" s="44" t="s">
        <v>253</v>
      </c>
      <c r="AO71" s="44" t="s">
        <v>266</v>
      </c>
      <c r="AP71" s="44" t="s">
        <v>267</v>
      </c>
      <c r="AQ71" s="44">
        <v>12</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row>
    <row r="72" spans="1:72">
      <c r="A72" s="44">
        <v>2022</v>
      </c>
      <c r="B72" s="6">
        <v>12</v>
      </c>
      <c r="C72" s="6">
        <v>1</v>
      </c>
      <c r="D72" s="6">
        <v>10</v>
      </c>
      <c r="E72" s="6" t="s">
        <v>253</v>
      </c>
      <c r="F72" s="6" t="s">
        <v>254</v>
      </c>
      <c r="G72" s="6">
        <v>2017</v>
      </c>
      <c r="H72" s="6">
        <v>12</v>
      </c>
      <c r="I72" s="6" t="s">
        <v>33</v>
      </c>
      <c r="J72" s="6" t="s">
        <v>253</v>
      </c>
      <c r="K72" s="6">
        <v>1992</v>
      </c>
      <c r="L72" s="14">
        <v>12</v>
      </c>
      <c r="M72" s="6">
        <v>1</v>
      </c>
      <c r="N72" s="6" t="s">
        <v>255</v>
      </c>
      <c r="O72" s="6" t="s">
        <v>256</v>
      </c>
      <c r="P72" s="6" t="s">
        <v>283</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285</v>
      </c>
      <c r="AN72" s="44" t="s">
        <v>253</v>
      </c>
      <c r="AO72" s="44" t="s">
        <v>266</v>
      </c>
      <c r="AP72" s="44" t="s">
        <v>267</v>
      </c>
      <c r="AQ72" s="44">
        <v>12</v>
      </c>
      <c r="AR72" s="44" t="s">
        <v>33</v>
      </c>
      <c r="AS72" s="44" t="s">
        <v>253</v>
      </c>
      <c r="AT72" s="44" t="s">
        <v>268</v>
      </c>
      <c r="AU72" s="44">
        <v>12</v>
      </c>
      <c r="AV72" s="44">
        <v>1</v>
      </c>
      <c r="AW72" s="44" t="s">
        <v>269</v>
      </c>
      <c r="AX72" s="44" t="s">
        <v>256</v>
      </c>
      <c r="AY72" s="44" t="s">
        <v>283</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row>
    <row r="73" spans="1:72">
      <c r="A73" s="44">
        <v>2022</v>
      </c>
      <c r="B73" s="6">
        <v>12</v>
      </c>
      <c r="C73" s="6">
        <v>1</v>
      </c>
      <c r="D73" s="6">
        <v>10</v>
      </c>
      <c r="E73" s="6" t="s">
        <v>253</v>
      </c>
      <c r="F73" s="6" t="s">
        <v>254</v>
      </c>
      <c r="G73" s="6">
        <v>2017</v>
      </c>
      <c r="H73" s="6">
        <v>12</v>
      </c>
      <c r="I73" s="6" t="s">
        <v>33</v>
      </c>
      <c r="J73" s="6" t="s">
        <v>253</v>
      </c>
      <c r="K73" s="6">
        <v>1987</v>
      </c>
      <c r="L73" s="14">
        <v>12</v>
      </c>
      <c r="M73" s="6">
        <v>1</v>
      </c>
      <c r="N73" s="6" t="s">
        <v>255</v>
      </c>
      <c r="O73" s="6" t="s">
        <v>256</v>
      </c>
      <c r="P73" s="6" t="s">
        <v>283</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285</v>
      </c>
      <c r="AN73" s="44" t="s">
        <v>253</v>
      </c>
      <c r="AO73" s="44" t="s">
        <v>266</v>
      </c>
      <c r="AP73" s="44" t="s">
        <v>267</v>
      </c>
      <c r="AQ73" s="44">
        <v>12</v>
      </c>
      <c r="AR73" s="44" t="s">
        <v>33</v>
      </c>
      <c r="AS73" s="44" t="s">
        <v>253</v>
      </c>
      <c r="AT73" s="44" t="s">
        <v>277</v>
      </c>
      <c r="AU73" s="44">
        <v>12</v>
      </c>
      <c r="AV73" s="44">
        <v>1</v>
      </c>
      <c r="AW73" s="44" t="s">
        <v>269</v>
      </c>
      <c r="AX73" s="44" t="s">
        <v>256</v>
      </c>
      <c r="AY73" s="44" t="s">
        <v>283</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row>
    <row r="74" spans="1:72">
      <c r="A74" s="44">
        <v>2022</v>
      </c>
      <c r="B74" s="6">
        <v>12</v>
      </c>
      <c r="C74" s="6">
        <v>1</v>
      </c>
      <c r="D74" s="6">
        <v>10</v>
      </c>
      <c r="E74" s="6" t="s">
        <v>253</v>
      </c>
      <c r="F74" s="6" t="s">
        <v>254</v>
      </c>
      <c r="G74" s="6">
        <v>2017</v>
      </c>
      <c r="H74" s="6">
        <v>12</v>
      </c>
      <c r="I74" s="6" t="s">
        <v>33</v>
      </c>
      <c r="J74" s="6" t="s">
        <v>253</v>
      </c>
      <c r="K74" s="6">
        <v>1982</v>
      </c>
      <c r="L74" s="14">
        <v>12</v>
      </c>
      <c r="M74" s="6">
        <v>1</v>
      </c>
      <c r="N74" s="6" t="s">
        <v>255</v>
      </c>
      <c r="O74" s="6" t="s">
        <v>256</v>
      </c>
      <c r="P74" s="6" t="s">
        <v>283</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285</v>
      </c>
      <c r="AN74" s="44" t="s">
        <v>253</v>
      </c>
      <c r="AO74" s="44" t="s">
        <v>266</v>
      </c>
      <c r="AP74" s="44" t="s">
        <v>267</v>
      </c>
      <c r="AQ74" s="44">
        <v>12</v>
      </c>
      <c r="AR74" s="44" t="s">
        <v>33</v>
      </c>
      <c r="AS74" s="44" t="s">
        <v>253</v>
      </c>
      <c r="AT74" s="44" t="s">
        <v>278</v>
      </c>
      <c r="AU74" s="44">
        <v>12</v>
      </c>
      <c r="AV74" s="44">
        <v>1</v>
      </c>
      <c r="AW74" s="44" t="s">
        <v>269</v>
      </c>
      <c r="AX74" s="44" t="s">
        <v>256</v>
      </c>
      <c r="AY74" s="44" t="s">
        <v>283</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row>
    <row r="75" spans="1:72">
      <c r="A75" s="44">
        <v>2022</v>
      </c>
      <c r="B75" s="6">
        <v>12</v>
      </c>
      <c r="C75" s="6">
        <v>1</v>
      </c>
      <c r="D75" s="6">
        <v>10</v>
      </c>
      <c r="E75" s="6" t="s">
        <v>253</v>
      </c>
      <c r="F75" s="6" t="s">
        <v>254</v>
      </c>
      <c r="G75" s="6">
        <v>2017</v>
      </c>
      <c r="H75" s="6">
        <v>12</v>
      </c>
      <c r="I75" s="6" t="s">
        <v>33</v>
      </c>
      <c r="J75" s="6" t="s">
        <v>253</v>
      </c>
      <c r="K75" s="6">
        <v>1977</v>
      </c>
      <c r="L75" s="14">
        <v>12</v>
      </c>
      <c r="M75" s="6">
        <v>1</v>
      </c>
      <c r="N75" s="6" t="s">
        <v>255</v>
      </c>
      <c r="O75" s="6" t="s">
        <v>256</v>
      </c>
      <c r="P75" s="6" t="s">
        <v>283</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285</v>
      </c>
      <c r="AN75" s="44" t="s">
        <v>253</v>
      </c>
      <c r="AO75" s="44" t="s">
        <v>266</v>
      </c>
      <c r="AP75" s="44" t="s">
        <v>267</v>
      </c>
      <c r="AQ75" s="44">
        <v>12</v>
      </c>
      <c r="AR75" s="44" t="s">
        <v>33</v>
      </c>
      <c r="AS75" s="44" t="s">
        <v>253</v>
      </c>
      <c r="AT75" s="44" t="s">
        <v>279</v>
      </c>
      <c r="AU75" s="44">
        <v>12</v>
      </c>
      <c r="AV75" s="44">
        <v>1</v>
      </c>
      <c r="AW75" s="44" t="s">
        <v>269</v>
      </c>
      <c r="AX75" s="44" t="s">
        <v>256</v>
      </c>
      <c r="AY75" s="44" t="s">
        <v>283</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row>
    <row r="76" spans="1:72">
      <c r="A76" s="44">
        <v>2022</v>
      </c>
      <c r="B76" s="6">
        <v>12</v>
      </c>
      <c r="C76" s="6">
        <v>1</v>
      </c>
      <c r="D76" s="6">
        <v>10</v>
      </c>
      <c r="E76" s="6" t="s">
        <v>253</v>
      </c>
      <c r="F76" s="6" t="s">
        <v>254</v>
      </c>
      <c r="G76" s="6">
        <v>2017</v>
      </c>
      <c r="H76" s="6">
        <v>12</v>
      </c>
      <c r="I76" s="6" t="s">
        <v>33</v>
      </c>
      <c r="J76" s="6" t="s">
        <v>253</v>
      </c>
      <c r="K76" s="6">
        <v>1972</v>
      </c>
      <c r="L76" s="14">
        <v>12</v>
      </c>
      <c r="M76" s="6">
        <v>1</v>
      </c>
      <c r="N76" s="6" t="s">
        <v>255</v>
      </c>
      <c r="O76" s="6" t="s">
        <v>256</v>
      </c>
      <c r="P76" s="6" t="s">
        <v>283</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285</v>
      </c>
      <c r="AN76" s="44" t="s">
        <v>253</v>
      </c>
      <c r="AO76" s="44" t="s">
        <v>266</v>
      </c>
      <c r="AP76" s="44" t="s">
        <v>267</v>
      </c>
      <c r="AQ76" s="44">
        <v>12</v>
      </c>
      <c r="AR76" s="44" t="s">
        <v>33</v>
      </c>
      <c r="AS76" s="44" t="s">
        <v>253</v>
      </c>
      <c r="AT76" s="44" t="s">
        <v>280</v>
      </c>
      <c r="AU76" s="44">
        <v>12</v>
      </c>
      <c r="AV76" s="44">
        <v>1</v>
      </c>
      <c r="AW76" s="44" t="s">
        <v>269</v>
      </c>
      <c r="AX76" s="44" t="s">
        <v>256</v>
      </c>
      <c r="AY76" s="44" t="s">
        <v>283</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row>
    <row r="77" spans="1:72">
      <c r="A77" s="44">
        <v>2022</v>
      </c>
      <c r="B77" s="6">
        <v>12</v>
      </c>
      <c r="C77" s="6">
        <v>1</v>
      </c>
      <c r="D77" s="6">
        <v>10</v>
      </c>
      <c r="E77" s="6" t="s">
        <v>253</v>
      </c>
      <c r="F77" s="6" t="s">
        <v>254</v>
      </c>
      <c r="G77" s="6">
        <v>2017</v>
      </c>
      <c r="H77" s="6">
        <v>12</v>
      </c>
      <c r="I77" s="6" t="s">
        <v>33</v>
      </c>
      <c r="J77" s="6" t="s">
        <v>253</v>
      </c>
      <c r="K77" s="6">
        <v>1962</v>
      </c>
      <c r="L77" s="14">
        <v>12</v>
      </c>
      <c r="M77" s="6">
        <v>1</v>
      </c>
      <c r="N77" s="6" t="s">
        <v>255</v>
      </c>
      <c r="O77" s="6" t="s">
        <v>256</v>
      </c>
      <c r="P77" s="6" t="s">
        <v>283</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285</v>
      </c>
      <c r="AN77" s="44" t="s">
        <v>253</v>
      </c>
      <c r="AO77" s="44" t="s">
        <v>266</v>
      </c>
      <c r="AP77" s="44" t="s">
        <v>267</v>
      </c>
      <c r="AQ77" s="44">
        <v>12</v>
      </c>
      <c r="AR77" s="44" t="s">
        <v>33</v>
      </c>
      <c r="AS77" s="44" t="s">
        <v>253</v>
      </c>
      <c r="AT77" s="44" t="s">
        <v>281</v>
      </c>
      <c r="AU77" s="44">
        <v>12</v>
      </c>
      <c r="AV77" s="44">
        <v>1</v>
      </c>
      <c r="AW77" s="44" t="s">
        <v>269</v>
      </c>
      <c r="AX77" s="44" t="s">
        <v>256</v>
      </c>
      <c r="AY77" s="44" t="s">
        <v>283</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row>
    <row r="78" spans="1:72">
      <c r="A78" s="44">
        <v>2022</v>
      </c>
      <c r="B78" s="6">
        <v>12</v>
      </c>
      <c r="C78" s="6">
        <v>1</v>
      </c>
      <c r="D78" s="6">
        <v>10</v>
      </c>
      <c r="E78" s="6" t="s">
        <v>253</v>
      </c>
      <c r="F78" s="6" t="s">
        <v>254</v>
      </c>
      <c r="G78" s="6">
        <v>2017</v>
      </c>
      <c r="H78" s="6">
        <v>12</v>
      </c>
      <c r="I78" s="6" t="s">
        <v>33</v>
      </c>
      <c r="J78" s="6" t="s">
        <v>253</v>
      </c>
      <c r="K78" s="6">
        <v>1952</v>
      </c>
      <c r="L78" s="14">
        <v>12</v>
      </c>
      <c r="M78" s="6">
        <v>1</v>
      </c>
      <c r="N78" s="6" t="s">
        <v>255</v>
      </c>
      <c r="O78" s="6" t="s">
        <v>256</v>
      </c>
      <c r="P78" s="6" t="s">
        <v>283</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285</v>
      </c>
      <c r="AN78" s="44" t="s">
        <v>253</v>
      </c>
      <c r="AO78" s="44" t="s">
        <v>266</v>
      </c>
      <c r="AP78" s="44" t="s">
        <v>267</v>
      </c>
      <c r="AQ78" s="44">
        <v>12</v>
      </c>
      <c r="AR78" s="44" t="s">
        <v>33</v>
      </c>
      <c r="AS78" s="44" t="s">
        <v>253</v>
      </c>
      <c r="AT78" s="44" t="s">
        <v>282</v>
      </c>
      <c r="AU78" s="44">
        <v>12</v>
      </c>
      <c r="AV78" s="44">
        <v>1</v>
      </c>
      <c r="AW78" s="44" t="s">
        <v>269</v>
      </c>
      <c r="AX78" s="44" t="s">
        <v>256</v>
      </c>
      <c r="AY78" s="44" t="s">
        <v>283</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row>
    <row r="79" spans="1:72">
      <c r="A79" s="44">
        <v>2022</v>
      </c>
      <c r="B79" s="6">
        <v>12</v>
      </c>
      <c r="C79" s="6">
        <v>1</v>
      </c>
      <c r="D79" s="6">
        <v>10</v>
      </c>
      <c r="E79" s="6" t="s">
        <v>253</v>
      </c>
      <c r="F79" s="6" t="s">
        <v>254</v>
      </c>
      <c r="G79" s="6">
        <v>2017</v>
      </c>
      <c r="H79" s="6">
        <v>12</v>
      </c>
      <c r="I79" s="6" t="s">
        <v>33</v>
      </c>
      <c r="J79" s="6" t="s">
        <v>253</v>
      </c>
      <c r="K79" s="6">
        <v>1992</v>
      </c>
      <c r="L79" s="14">
        <v>12</v>
      </c>
      <c r="M79" s="6">
        <v>1</v>
      </c>
      <c r="N79" s="6" t="s">
        <v>255</v>
      </c>
      <c r="O79" s="6" t="s">
        <v>256</v>
      </c>
      <c r="P79" s="6" t="s">
        <v>283</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285</v>
      </c>
      <c r="AN79" s="44" t="s">
        <v>253</v>
      </c>
      <c r="AO79" s="44" t="s">
        <v>266</v>
      </c>
      <c r="AP79" s="44" t="s">
        <v>267</v>
      </c>
      <c r="AQ79" s="44">
        <v>12</v>
      </c>
      <c r="AR79" s="44" t="s">
        <v>33</v>
      </c>
      <c r="AS79" s="44" t="s">
        <v>253</v>
      </c>
      <c r="AT79" s="44" t="s">
        <v>268</v>
      </c>
      <c r="AU79" s="44">
        <v>12</v>
      </c>
      <c r="AV79" s="44">
        <v>1</v>
      </c>
      <c r="AW79" s="44" t="s">
        <v>269</v>
      </c>
      <c r="AX79" s="44" t="s">
        <v>256</v>
      </c>
      <c r="AY79" s="44" t="s">
        <v>283</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row>
    <row r="80" spans="1:72">
      <c r="A80" s="44">
        <v>2022</v>
      </c>
      <c r="B80" s="6">
        <v>12</v>
      </c>
      <c r="C80" s="6">
        <v>1</v>
      </c>
      <c r="D80" s="6">
        <v>10</v>
      </c>
      <c r="E80" s="6" t="s">
        <v>253</v>
      </c>
      <c r="F80" s="6" t="s">
        <v>254</v>
      </c>
      <c r="G80" s="6">
        <v>2017</v>
      </c>
      <c r="H80" s="6">
        <v>12</v>
      </c>
      <c r="I80" s="6" t="s">
        <v>33</v>
      </c>
      <c r="J80" s="6" t="s">
        <v>253</v>
      </c>
      <c r="K80" s="6">
        <v>1987</v>
      </c>
      <c r="L80" s="14">
        <v>12</v>
      </c>
      <c r="M80" s="6">
        <v>1</v>
      </c>
      <c r="N80" s="6" t="s">
        <v>255</v>
      </c>
      <c r="O80" s="6" t="s">
        <v>256</v>
      </c>
      <c r="P80" s="6" t="s">
        <v>283</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285</v>
      </c>
      <c r="AN80" s="44" t="s">
        <v>253</v>
      </c>
      <c r="AO80" s="44" t="s">
        <v>266</v>
      </c>
      <c r="AP80" s="44" t="s">
        <v>267</v>
      </c>
      <c r="AQ80" s="44">
        <v>12</v>
      </c>
      <c r="AR80" s="44" t="s">
        <v>33</v>
      </c>
      <c r="AS80" s="44" t="s">
        <v>253</v>
      </c>
      <c r="AT80" s="44" t="s">
        <v>277</v>
      </c>
      <c r="AU80" s="44">
        <v>12</v>
      </c>
      <c r="AV80" s="44">
        <v>1</v>
      </c>
      <c r="AW80" s="44" t="s">
        <v>269</v>
      </c>
      <c r="AX80" s="44" t="s">
        <v>256</v>
      </c>
      <c r="AY80" s="44" t="s">
        <v>283</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row>
    <row r="81" spans="1:72">
      <c r="A81" s="44">
        <v>2022</v>
      </c>
      <c r="B81" s="6">
        <v>12</v>
      </c>
      <c r="C81" s="6">
        <v>1</v>
      </c>
      <c r="D81" s="6">
        <v>10</v>
      </c>
      <c r="E81" s="6" t="s">
        <v>253</v>
      </c>
      <c r="F81" s="6" t="s">
        <v>254</v>
      </c>
      <c r="G81" s="6">
        <v>2017</v>
      </c>
      <c r="H81" s="6">
        <v>12</v>
      </c>
      <c r="I81" s="6" t="s">
        <v>33</v>
      </c>
      <c r="J81" s="6" t="s">
        <v>253</v>
      </c>
      <c r="K81" s="6">
        <v>1982</v>
      </c>
      <c r="L81" s="14">
        <v>12</v>
      </c>
      <c r="M81" s="6">
        <v>1</v>
      </c>
      <c r="N81" s="6" t="s">
        <v>255</v>
      </c>
      <c r="O81" s="6" t="s">
        <v>256</v>
      </c>
      <c r="P81" s="6" t="s">
        <v>283</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285</v>
      </c>
      <c r="AN81" s="44" t="s">
        <v>253</v>
      </c>
      <c r="AO81" s="44" t="s">
        <v>266</v>
      </c>
      <c r="AP81" s="44" t="s">
        <v>267</v>
      </c>
      <c r="AQ81" s="44">
        <v>12</v>
      </c>
      <c r="AR81" s="44" t="s">
        <v>33</v>
      </c>
      <c r="AS81" s="44" t="s">
        <v>253</v>
      </c>
      <c r="AT81" s="44" t="s">
        <v>278</v>
      </c>
      <c r="AU81" s="44">
        <v>12</v>
      </c>
      <c r="AV81" s="44">
        <v>1</v>
      </c>
      <c r="AW81" s="44" t="s">
        <v>269</v>
      </c>
      <c r="AX81" s="44" t="s">
        <v>256</v>
      </c>
      <c r="AY81" s="44" t="s">
        <v>283</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row>
    <row r="82" spans="1:72">
      <c r="A82" s="44">
        <v>2022</v>
      </c>
      <c r="B82" s="6">
        <v>12</v>
      </c>
      <c r="C82" s="6">
        <v>1</v>
      </c>
      <c r="D82" s="6">
        <v>10</v>
      </c>
      <c r="E82" s="6" t="s">
        <v>253</v>
      </c>
      <c r="F82" s="6" t="s">
        <v>254</v>
      </c>
      <c r="G82" s="6">
        <v>2017</v>
      </c>
      <c r="H82" s="6">
        <v>12</v>
      </c>
      <c r="I82" s="6" t="s">
        <v>33</v>
      </c>
      <c r="J82" s="6" t="s">
        <v>253</v>
      </c>
      <c r="K82" s="6">
        <v>1977</v>
      </c>
      <c r="L82" s="14">
        <v>12</v>
      </c>
      <c r="M82" s="6">
        <v>1</v>
      </c>
      <c r="N82" s="6" t="s">
        <v>255</v>
      </c>
      <c r="O82" s="6" t="s">
        <v>256</v>
      </c>
      <c r="P82" s="6" t="s">
        <v>283</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285</v>
      </c>
      <c r="AN82" s="44" t="s">
        <v>253</v>
      </c>
      <c r="AO82" s="44" t="s">
        <v>266</v>
      </c>
      <c r="AP82" s="44" t="s">
        <v>267</v>
      </c>
      <c r="AQ82" s="44">
        <v>12</v>
      </c>
      <c r="AR82" s="44" t="s">
        <v>33</v>
      </c>
      <c r="AS82" s="44" t="s">
        <v>253</v>
      </c>
      <c r="AT82" s="44" t="s">
        <v>279</v>
      </c>
      <c r="AU82" s="44">
        <v>12</v>
      </c>
      <c r="AV82" s="44">
        <v>1</v>
      </c>
      <c r="AW82" s="44" t="s">
        <v>269</v>
      </c>
      <c r="AX82" s="44" t="s">
        <v>256</v>
      </c>
      <c r="AY82" s="44" t="s">
        <v>283</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row>
    <row r="83" spans="1:72">
      <c r="A83" s="44">
        <v>2022</v>
      </c>
      <c r="B83" s="6">
        <v>12</v>
      </c>
      <c r="C83" s="6">
        <v>1</v>
      </c>
      <c r="D83" s="6">
        <v>10</v>
      </c>
      <c r="E83" s="6" t="s">
        <v>253</v>
      </c>
      <c r="F83" s="6" t="s">
        <v>254</v>
      </c>
      <c r="G83" s="6">
        <v>2017</v>
      </c>
      <c r="H83" s="6">
        <v>12</v>
      </c>
      <c r="I83" s="6" t="s">
        <v>33</v>
      </c>
      <c r="J83" s="6" t="s">
        <v>253</v>
      </c>
      <c r="K83" s="6">
        <v>1972</v>
      </c>
      <c r="L83" s="14">
        <v>12</v>
      </c>
      <c r="M83" s="6">
        <v>1</v>
      </c>
      <c r="N83" s="6" t="s">
        <v>255</v>
      </c>
      <c r="O83" s="6" t="s">
        <v>256</v>
      </c>
      <c r="P83" s="6" t="s">
        <v>283</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285</v>
      </c>
      <c r="AN83" s="44" t="s">
        <v>253</v>
      </c>
      <c r="AO83" s="44" t="s">
        <v>266</v>
      </c>
      <c r="AP83" s="44" t="s">
        <v>267</v>
      </c>
      <c r="AQ83" s="44">
        <v>12</v>
      </c>
      <c r="AR83" s="44" t="s">
        <v>33</v>
      </c>
      <c r="AS83" s="44" t="s">
        <v>253</v>
      </c>
      <c r="AT83" s="44" t="s">
        <v>280</v>
      </c>
      <c r="AU83" s="44">
        <v>12</v>
      </c>
      <c r="AV83" s="44">
        <v>1</v>
      </c>
      <c r="AW83" s="44" t="s">
        <v>269</v>
      </c>
      <c r="AX83" s="44" t="s">
        <v>256</v>
      </c>
      <c r="AY83" s="44" t="s">
        <v>283</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row>
    <row r="84" spans="1:72">
      <c r="A84" s="44">
        <v>2022</v>
      </c>
      <c r="B84" s="6">
        <v>12</v>
      </c>
      <c r="C84" s="6">
        <v>1</v>
      </c>
      <c r="D84" s="6">
        <v>10</v>
      </c>
      <c r="E84" s="6" t="s">
        <v>253</v>
      </c>
      <c r="F84" s="6" t="s">
        <v>254</v>
      </c>
      <c r="G84" s="6">
        <v>2017</v>
      </c>
      <c r="H84" s="6">
        <v>12</v>
      </c>
      <c r="I84" s="6" t="s">
        <v>33</v>
      </c>
      <c r="J84" s="6" t="s">
        <v>253</v>
      </c>
      <c r="K84" s="6">
        <v>1962</v>
      </c>
      <c r="L84" s="14">
        <v>12</v>
      </c>
      <c r="M84" s="6">
        <v>1</v>
      </c>
      <c r="N84" s="6" t="s">
        <v>255</v>
      </c>
      <c r="O84" s="6" t="s">
        <v>256</v>
      </c>
      <c r="P84" s="6" t="s">
        <v>283</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285</v>
      </c>
      <c r="AN84" s="44" t="s">
        <v>253</v>
      </c>
      <c r="AO84" s="44" t="s">
        <v>266</v>
      </c>
      <c r="AP84" s="44" t="s">
        <v>267</v>
      </c>
      <c r="AQ84" s="44">
        <v>12</v>
      </c>
      <c r="AR84" s="44" t="s">
        <v>33</v>
      </c>
      <c r="AS84" s="44" t="s">
        <v>253</v>
      </c>
      <c r="AT84" s="44" t="s">
        <v>281</v>
      </c>
      <c r="AU84" s="44">
        <v>12</v>
      </c>
      <c r="AV84" s="44">
        <v>1</v>
      </c>
      <c r="AW84" s="44" t="s">
        <v>269</v>
      </c>
      <c r="AX84" s="44" t="s">
        <v>256</v>
      </c>
      <c r="AY84" s="44" t="s">
        <v>283</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row>
    <row r="85" spans="1:72">
      <c r="A85" s="44">
        <v>2022</v>
      </c>
      <c r="B85" s="6">
        <v>12</v>
      </c>
      <c r="C85" s="6">
        <v>1</v>
      </c>
      <c r="D85" s="6">
        <v>10</v>
      </c>
      <c r="E85" s="6" t="s">
        <v>253</v>
      </c>
      <c r="F85" s="6" t="s">
        <v>254</v>
      </c>
      <c r="G85" s="6">
        <v>2017</v>
      </c>
      <c r="H85" s="6">
        <v>12</v>
      </c>
      <c r="I85" s="6" t="s">
        <v>33</v>
      </c>
      <c r="J85" s="6" t="s">
        <v>253</v>
      </c>
      <c r="K85" s="6">
        <v>1952</v>
      </c>
      <c r="L85" s="14">
        <v>12</v>
      </c>
      <c r="M85" s="6">
        <v>1</v>
      </c>
      <c r="N85" s="6" t="s">
        <v>255</v>
      </c>
      <c r="O85" s="6" t="s">
        <v>256</v>
      </c>
      <c r="P85" s="6" t="s">
        <v>283</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285</v>
      </c>
      <c r="AN85" s="44" t="s">
        <v>253</v>
      </c>
      <c r="AO85" s="44" t="s">
        <v>266</v>
      </c>
      <c r="AP85" s="44" t="s">
        <v>267</v>
      </c>
      <c r="AQ85" s="44">
        <v>12</v>
      </c>
      <c r="AR85" s="44" t="s">
        <v>33</v>
      </c>
      <c r="AS85" s="44" t="s">
        <v>253</v>
      </c>
      <c r="AT85" s="44" t="s">
        <v>282</v>
      </c>
      <c r="AU85" s="44">
        <v>12</v>
      </c>
      <c r="AV85" s="44">
        <v>1</v>
      </c>
      <c r="AW85" s="44" t="s">
        <v>269</v>
      </c>
      <c r="AX85" s="44" t="s">
        <v>256</v>
      </c>
      <c r="AY85" s="44" t="s">
        <v>283</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row>
    <row r="86" spans="1:72">
      <c r="A86" s="44">
        <v>2022</v>
      </c>
      <c r="B86" s="6">
        <v>12</v>
      </c>
      <c r="C86" s="6">
        <v>1</v>
      </c>
      <c r="D86" s="6" t="s">
        <v>286</v>
      </c>
      <c r="E86" s="6" t="s">
        <v>253</v>
      </c>
      <c r="F86" s="6" t="s">
        <v>254</v>
      </c>
      <c r="G86" s="6">
        <v>2017</v>
      </c>
      <c r="H86" s="6">
        <v>12</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286</v>
      </c>
      <c r="AN86" s="44" t="s">
        <v>253</v>
      </c>
      <c r="AO86" s="44" t="s">
        <v>266</v>
      </c>
      <c r="AP86" s="44" t="s">
        <v>267</v>
      </c>
      <c r="AQ86" s="44">
        <v>12</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287</v>
      </c>
      <c r="BT86" s="44">
        <v>0</v>
      </c>
    </row>
    <row r="87" spans="1:72">
      <c r="A87" s="44">
        <v>2022</v>
      </c>
      <c r="B87" s="6">
        <v>12</v>
      </c>
      <c r="C87" s="6">
        <v>1</v>
      </c>
      <c r="D87" s="6" t="s">
        <v>286</v>
      </c>
      <c r="E87" s="6" t="s">
        <v>253</v>
      </c>
      <c r="F87" s="6" t="s">
        <v>254</v>
      </c>
      <c r="G87" s="6">
        <v>2017</v>
      </c>
      <c r="H87" s="6">
        <v>12</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286</v>
      </c>
      <c r="AN87" s="44" t="s">
        <v>253</v>
      </c>
      <c r="AO87" s="44" t="s">
        <v>266</v>
      </c>
      <c r="AP87" s="44" t="s">
        <v>267</v>
      </c>
      <c r="AQ87" s="44">
        <v>12</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287</v>
      </c>
      <c r="BT87" s="44">
        <v>0</v>
      </c>
    </row>
    <row r="88" spans="1:72">
      <c r="A88" s="44">
        <v>2022</v>
      </c>
      <c r="B88" s="6">
        <v>12</v>
      </c>
      <c r="C88" s="6">
        <v>1</v>
      </c>
      <c r="D88" s="6" t="s">
        <v>286</v>
      </c>
      <c r="E88" s="6" t="s">
        <v>253</v>
      </c>
      <c r="F88" s="6" t="s">
        <v>254</v>
      </c>
      <c r="G88" s="6">
        <v>2017</v>
      </c>
      <c r="H88" s="6">
        <v>12</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286</v>
      </c>
      <c r="AN88" s="44" t="s">
        <v>253</v>
      </c>
      <c r="AO88" s="44" t="s">
        <v>266</v>
      </c>
      <c r="AP88" s="44" t="s">
        <v>267</v>
      </c>
      <c r="AQ88" s="44">
        <v>12</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287</v>
      </c>
      <c r="BT88" s="44">
        <v>0</v>
      </c>
    </row>
    <row r="89" spans="1:72">
      <c r="A89" s="44">
        <v>2022</v>
      </c>
      <c r="B89" s="6">
        <v>12</v>
      </c>
      <c r="C89" s="6">
        <v>1</v>
      </c>
      <c r="D89" s="6" t="s">
        <v>286</v>
      </c>
      <c r="E89" s="6" t="s">
        <v>253</v>
      </c>
      <c r="F89" s="6" t="s">
        <v>254</v>
      </c>
      <c r="G89" s="6">
        <v>2017</v>
      </c>
      <c r="H89" s="6">
        <v>12</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286</v>
      </c>
      <c r="AN89" s="44" t="s">
        <v>253</v>
      </c>
      <c r="AO89" s="44" t="s">
        <v>266</v>
      </c>
      <c r="AP89" s="44" t="s">
        <v>267</v>
      </c>
      <c r="AQ89" s="44">
        <v>12</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287</v>
      </c>
      <c r="BT89" s="44">
        <v>0</v>
      </c>
    </row>
    <row r="90" spans="1:72">
      <c r="A90" s="44">
        <v>2022</v>
      </c>
      <c r="B90" s="6">
        <v>12</v>
      </c>
      <c r="C90" s="6">
        <v>1</v>
      </c>
      <c r="D90" s="6" t="s">
        <v>286</v>
      </c>
      <c r="E90" s="6" t="s">
        <v>253</v>
      </c>
      <c r="F90" s="6" t="s">
        <v>254</v>
      </c>
      <c r="G90" s="6">
        <v>2017</v>
      </c>
      <c r="H90" s="6">
        <v>12</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286</v>
      </c>
      <c r="AN90" s="44" t="s">
        <v>253</v>
      </c>
      <c r="AO90" s="44" t="s">
        <v>266</v>
      </c>
      <c r="AP90" s="44" t="s">
        <v>267</v>
      </c>
      <c r="AQ90" s="44">
        <v>12</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287</v>
      </c>
      <c r="BT90" s="44">
        <v>0</v>
      </c>
    </row>
    <row r="91" spans="1:72">
      <c r="A91" s="44">
        <v>2022</v>
      </c>
      <c r="B91" s="6">
        <v>12</v>
      </c>
      <c r="C91" s="6">
        <v>1</v>
      </c>
      <c r="D91" s="6" t="s">
        <v>286</v>
      </c>
      <c r="E91" s="6" t="s">
        <v>253</v>
      </c>
      <c r="F91" s="6" t="s">
        <v>254</v>
      </c>
      <c r="G91" s="6">
        <v>2017</v>
      </c>
      <c r="H91" s="6">
        <v>12</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286</v>
      </c>
      <c r="AN91" s="44" t="s">
        <v>253</v>
      </c>
      <c r="AO91" s="44" t="s">
        <v>266</v>
      </c>
      <c r="AP91" s="44" t="s">
        <v>267</v>
      </c>
      <c r="AQ91" s="44">
        <v>12</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287</v>
      </c>
      <c r="BT91" s="44">
        <v>0</v>
      </c>
    </row>
    <row r="92" spans="1:72">
      <c r="A92" s="44">
        <v>2022</v>
      </c>
      <c r="B92" s="6">
        <v>12</v>
      </c>
      <c r="C92" s="6">
        <v>1</v>
      </c>
      <c r="D92" s="6" t="s">
        <v>286</v>
      </c>
      <c r="E92" s="6" t="s">
        <v>253</v>
      </c>
      <c r="F92" s="6" t="s">
        <v>254</v>
      </c>
      <c r="G92" s="6">
        <v>2017</v>
      </c>
      <c r="H92" s="6">
        <v>12</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286</v>
      </c>
      <c r="AN92" s="44" t="s">
        <v>253</v>
      </c>
      <c r="AO92" s="44" t="s">
        <v>266</v>
      </c>
      <c r="AP92" s="44" t="s">
        <v>267</v>
      </c>
      <c r="AQ92" s="44">
        <v>12</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287</v>
      </c>
      <c r="BT92" s="44">
        <v>0</v>
      </c>
    </row>
    <row r="93" spans="1:72">
      <c r="A93" s="44">
        <v>2022</v>
      </c>
      <c r="B93" s="6">
        <v>12</v>
      </c>
      <c r="C93" s="6">
        <v>1</v>
      </c>
      <c r="D93" s="6" t="s">
        <v>286</v>
      </c>
      <c r="E93" s="6" t="s">
        <v>253</v>
      </c>
      <c r="F93" s="6" t="s">
        <v>254</v>
      </c>
      <c r="G93" s="6">
        <v>2017</v>
      </c>
      <c r="H93" s="6">
        <v>12</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286</v>
      </c>
      <c r="AN93" s="44" t="s">
        <v>253</v>
      </c>
      <c r="AO93" s="44" t="s">
        <v>266</v>
      </c>
      <c r="AP93" s="44" t="s">
        <v>267</v>
      </c>
      <c r="AQ93" s="44">
        <v>12</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287</v>
      </c>
      <c r="BT93" s="44">
        <v>0</v>
      </c>
    </row>
    <row r="94" spans="1:72">
      <c r="A94" s="44">
        <v>2022</v>
      </c>
      <c r="B94" s="6">
        <v>12</v>
      </c>
      <c r="C94" s="6">
        <v>1</v>
      </c>
      <c r="D94" s="6" t="s">
        <v>286</v>
      </c>
      <c r="E94" s="6" t="s">
        <v>253</v>
      </c>
      <c r="F94" s="6" t="s">
        <v>254</v>
      </c>
      <c r="G94" s="6">
        <v>2017</v>
      </c>
      <c r="H94" s="6">
        <v>12</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286</v>
      </c>
      <c r="AN94" s="44" t="s">
        <v>253</v>
      </c>
      <c r="AO94" s="44" t="s">
        <v>266</v>
      </c>
      <c r="AP94" s="44" t="s">
        <v>267</v>
      </c>
      <c r="AQ94" s="44">
        <v>12</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287</v>
      </c>
      <c r="BT94" s="44">
        <v>0</v>
      </c>
    </row>
    <row r="95" spans="1:72">
      <c r="A95" s="44">
        <v>2022</v>
      </c>
      <c r="B95" s="6">
        <v>12</v>
      </c>
      <c r="C95" s="6">
        <v>1</v>
      </c>
      <c r="D95" s="6" t="s">
        <v>286</v>
      </c>
      <c r="E95" s="6" t="s">
        <v>253</v>
      </c>
      <c r="F95" s="6" t="s">
        <v>254</v>
      </c>
      <c r="G95" s="6">
        <v>2017</v>
      </c>
      <c r="H95" s="6">
        <v>12</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286</v>
      </c>
      <c r="AN95" s="44" t="s">
        <v>253</v>
      </c>
      <c r="AO95" s="44" t="s">
        <v>266</v>
      </c>
      <c r="AP95" s="44" t="s">
        <v>267</v>
      </c>
      <c r="AQ95" s="44">
        <v>12</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287</v>
      </c>
      <c r="BT95" s="44">
        <v>0</v>
      </c>
    </row>
    <row r="96" spans="1:72">
      <c r="A96" s="44">
        <v>2022</v>
      </c>
      <c r="B96" s="6">
        <v>12</v>
      </c>
      <c r="C96" s="6">
        <v>1</v>
      </c>
      <c r="D96" s="6" t="s">
        <v>286</v>
      </c>
      <c r="E96" s="6" t="s">
        <v>253</v>
      </c>
      <c r="F96" s="6" t="s">
        <v>254</v>
      </c>
      <c r="G96" s="6">
        <v>2017</v>
      </c>
      <c r="H96" s="6">
        <v>12</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286</v>
      </c>
      <c r="AN96" s="44" t="s">
        <v>253</v>
      </c>
      <c r="AO96" s="44" t="s">
        <v>266</v>
      </c>
      <c r="AP96" s="44" t="s">
        <v>267</v>
      </c>
      <c r="AQ96" s="44">
        <v>12</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287</v>
      </c>
      <c r="BT96" s="44">
        <v>0</v>
      </c>
    </row>
    <row r="97" spans="1:72">
      <c r="A97" s="44">
        <v>2022</v>
      </c>
      <c r="B97" s="6">
        <v>12</v>
      </c>
      <c r="C97" s="6">
        <v>1</v>
      </c>
      <c r="D97" s="6" t="s">
        <v>286</v>
      </c>
      <c r="E97" s="6" t="s">
        <v>253</v>
      </c>
      <c r="F97" s="6" t="s">
        <v>254</v>
      </c>
      <c r="G97" s="6">
        <v>2017</v>
      </c>
      <c r="H97" s="6">
        <v>12</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286</v>
      </c>
      <c r="AN97" s="44" t="s">
        <v>253</v>
      </c>
      <c r="AO97" s="44" t="s">
        <v>266</v>
      </c>
      <c r="AP97" s="44" t="s">
        <v>267</v>
      </c>
      <c r="AQ97" s="44">
        <v>12</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287</v>
      </c>
      <c r="BT97" s="44">
        <v>0</v>
      </c>
    </row>
    <row r="98" spans="1:72">
      <c r="A98" s="44">
        <v>2022</v>
      </c>
      <c r="B98" s="6">
        <v>12</v>
      </c>
      <c r="C98" s="6">
        <v>1</v>
      </c>
      <c r="D98" s="6" t="s">
        <v>286</v>
      </c>
      <c r="E98" s="6" t="s">
        <v>253</v>
      </c>
      <c r="F98" s="6" t="s">
        <v>254</v>
      </c>
      <c r="G98" s="6">
        <v>2017</v>
      </c>
      <c r="H98" s="6">
        <v>12</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286</v>
      </c>
      <c r="AN98" s="44" t="s">
        <v>253</v>
      </c>
      <c r="AO98" s="44" t="s">
        <v>266</v>
      </c>
      <c r="AP98" s="44" t="s">
        <v>267</v>
      </c>
      <c r="AQ98" s="44">
        <v>12</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287</v>
      </c>
      <c r="BT98" s="44">
        <v>0</v>
      </c>
    </row>
    <row r="99" spans="1:72">
      <c r="A99" s="44">
        <v>2022</v>
      </c>
      <c r="B99" s="6">
        <v>12</v>
      </c>
      <c r="C99" s="6">
        <v>1</v>
      </c>
      <c r="D99" s="6" t="s">
        <v>286</v>
      </c>
      <c r="E99" s="6" t="s">
        <v>253</v>
      </c>
      <c r="F99" s="6" t="s">
        <v>254</v>
      </c>
      <c r="G99" s="6">
        <v>2017</v>
      </c>
      <c r="H99" s="6">
        <v>12</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286</v>
      </c>
      <c r="AN99" s="44" t="s">
        <v>253</v>
      </c>
      <c r="AO99" s="44" t="s">
        <v>266</v>
      </c>
      <c r="AP99" s="44" t="s">
        <v>267</v>
      </c>
      <c r="AQ99" s="44">
        <v>12</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287</v>
      </c>
      <c r="BT99" s="44">
        <v>0</v>
      </c>
    </row>
    <row r="100" spans="1:72">
      <c r="A100" s="44">
        <v>2022</v>
      </c>
      <c r="B100" s="6">
        <v>12</v>
      </c>
      <c r="C100" s="6">
        <v>1</v>
      </c>
      <c r="D100" s="6" t="s">
        <v>286</v>
      </c>
      <c r="E100" s="6" t="s">
        <v>253</v>
      </c>
      <c r="F100" s="6" t="s">
        <v>254</v>
      </c>
      <c r="G100" s="6">
        <v>2017</v>
      </c>
      <c r="H100" s="6">
        <v>12</v>
      </c>
      <c r="I100" s="6" t="s">
        <v>33</v>
      </c>
      <c r="J100" s="6" t="s">
        <v>253</v>
      </c>
      <c r="K100" s="6">
        <v>1992</v>
      </c>
      <c r="L100" s="14">
        <v>12</v>
      </c>
      <c r="M100" s="6">
        <v>1</v>
      </c>
      <c r="N100" s="6" t="s">
        <v>255</v>
      </c>
      <c r="O100" s="6" t="s">
        <v>256</v>
      </c>
      <c r="P100" s="6" t="s">
        <v>283</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286</v>
      </c>
      <c r="AN100" s="44" t="s">
        <v>253</v>
      </c>
      <c r="AO100" s="44" t="s">
        <v>266</v>
      </c>
      <c r="AP100" s="44" t="s">
        <v>267</v>
      </c>
      <c r="AQ100" s="44">
        <v>12</v>
      </c>
      <c r="AR100" s="44" t="s">
        <v>33</v>
      </c>
      <c r="AS100" s="44" t="s">
        <v>253</v>
      </c>
      <c r="AT100" s="44" t="s">
        <v>268</v>
      </c>
      <c r="AU100" s="44">
        <v>12</v>
      </c>
      <c r="AV100" s="44">
        <v>1</v>
      </c>
      <c r="AW100" s="44" t="s">
        <v>269</v>
      </c>
      <c r="AX100" s="44" t="s">
        <v>256</v>
      </c>
      <c r="AY100" s="44" t="s">
        <v>283</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287</v>
      </c>
      <c r="BT100" s="44">
        <v>0</v>
      </c>
    </row>
    <row r="101" spans="1:72">
      <c r="A101" s="44">
        <v>2022</v>
      </c>
      <c r="B101" s="6">
        <v>12</v>
      </c>
      <c r="C101" s="6">
        <v>1</v>
      </c>
      <c r="D101" s="6" t="s">
        <v>286</v>
      </c>
      <c r="E101" s="6" t="s">
        <v>253</v>
      </c>
      <c r="F101" s="6" t="s">
        <v>254</v>
      </c>
      <c r="G101" s="6">
        <v>2017</v>
      </c>
      <c r="H101" s="6">
        <v>12</v>
      </c>
      <c r="I101" s="6" t="s">
        <v>33</v>
      </c>
      <c r="J101" s="6" t="s">
        <v>253</v>
      </c>
      <c r="K101" s="6">
        <v>1987</v>
      </c>
      <c r="L101" s="14">
        <v>12</v>
      </c>
      <c r="M101" s="6">
        <v>1</v>
      </c>
      <c r="N101" s="6" t="s">
        <v>255</v>
      </c>
      <c r="O101" s="6" t="s">
        <v>256</v>
      </c>
      <c r="P101" s="6" t="s">
        <v>283</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286</v>
      </c>
      <c r="AN101" s="44" t="s">
        <v>253</v>
      </c>
      <c r="AO101" s="44" t="s">
        <v>266</v>
      </c>
      <c r="AP101" s="44" t="s">
        <v>267</v>
      </c>
      <c r="AQ101" s="44">
        <v>12</v>
      </c>
      <c r="AR101" s="44" t="s">
        <v>33</v>
      </c>
      <c r="AS101" s="44" t="s">
        <v>253</v>
      </c>
      <c r="AT101" s="44" t="s">
        <v>277</v>
      </c>
      <c r="AU101" s="44">
        <v>12</v>
      </c>
      <c r="AV101" s="44">
        <v>1</v>
      </c>
      <c r="AW101" s="44" t="s">
        <v>269</v>
      </c>
      <c r="AX101" s="44" t="s">
        <v>256</v>
      </c>
      <c r="AY101" s="44" t="s">
        <v>283</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287</v>
      </c>
      <c r="BT101" s="44">
        <v>0</v>
      </c>
    </row>
    <row r="102" spans="1:72">
      <c r="A102" s="44">
        <v>2022</v>
      </c>
      <c r="B102" s="6">
        <v>12</v>
      </c>
      <c r="C102" s="6">
        <v>1</v>
      </c>
      <c r="D102" s="6" t="s">
        <v>286</v>
      </c>
      <c r="E102" s="6" t="s">
        <v>253</v>
      </c>
      <c r="F102" s="6" t="s">
        <v>254</v>
      </c>
      <c r="G102" s="6">
        <v>2017</v>
      </c>
      <c r="H102" s="6">
        <v>12</v>
      </c>
      <c r="I102" s="6" t="s">
        <v>33</v>
      </c>
      <c r="J102" s="6" t="s">
        <v>253</v>
      </c>
      <c r="K102" s="6">
        <v>1982</v>
      </c>
      <c r="L102" s="14">
        <v>12</v>
      </c>
      <c r="M102" s="6">
        <v>1</v>
      </c>
      <c r="N102" s="6" t="s">
        <v>255</v>
      </c>
      <c r="O102" s="6" t="s">
        <v>256</v>
      </c>
      <c r="P102" s="6" t="s">
        <v>283</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286</v>
      </c>
      <c r="AN102" s="44" t="s">
        <v>253</v>
      </c>
      <c r="AO102" s="44" t="s">
        <v>266</v>
      </c>
      <c r="AP102" s="44" t="s">
        <v>267</v>
      </c>
      <c r="AQ102" s="44">
        <v>12</v>
      </c>
      <c r="AR102" s="44" t="s">
        <v>33</v>
      </c>
      <c r="AS102" s="44" t="s">
        <v>253</v>
      </c>
      <c r="AT102" s="44" t="s">
        <v>278</v>
      </c>
      <c r="AU102" s="44">
        <v>12</v>
      </c>
      <c r="AV102" s="44">
        <v>1</v>
      </c>
      <c r="AW102" s="44" t="s">
        <v>269</v>
      </c>
      <c r="AX102" s="44" t="s">
        <v>256</v>
      </c>
      <c r="AY102" s="44" t="s">
        <v>283</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287</v>
      </c>
      <c r="BT102" s="44">
        <v>0</v>
      </c>
    </row>
    <row r="103" spans="1:72">
      <c r="A103" s="44">
        <v>2022</v>
      </c>
      <c r="B103" s="6">
        <v>12</v>
      </c>
      <c r="C103" s="6">
        <v>1</v>
      </c>
      <c r="D103" s="6" t="s">
        <v>286</v>
      </c>
      <c r="E103" s="6" t="s">
        <v>253</v>
      </c>
      <c r="F103" s="6" t="s">
        <v>254</v>
      </c>
      <c r="G103" s="6">
        <v>2017</v>
      </c>
      <c r="H103" s="6">
        <v>12</v>
      </c>
      <c r="I103" s="6" t="s">
        <v>33</v>
      </c>
      <c r="J103" s="6" t="s">
        <v>253</v>
      </c>
      <c r="K103" s="6">
        <v>1977</v>
      </c>
      <c r="L103" s="14">
        <v>12</v>
      </c>
      <c r="M103" s="6">
        <v>1</v>
      </c>
      <c r="N103" s="6" t="s">
        <v>255</v>
      </c>
      <c r="O103" s="6" t="s">
        <v>256</v>
      </c>
      <c r="P103" s="6" t="s">
        <v>283</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286</v>
      </c>
      <c r="AN103" s="44" t="s">
        <v>253</v>
      </c>
      <c r="AO103" s="44" t="s">
        <v>266</v>
      </c>
      <c r="AP103" s="44" t="s">
        <v>267</v>
      </c>
      <c r="AQ103" s="44">
        <v>12</v>
      </c>
      <c r="AR103" s="44" t="s">
        <v>33</v>
      </c>
      <c r="AS103" s="44" t="s">
        <v>253</v>
      </c>
      <c r="AT103" s="44" t="s">
        <v>279</v>
      </c>
      <c r="AU103" s="44">
        <v>12</v>
      </c>
      <c r="AV103" s="44">
        <v>1</v>
      </c>
      <c r="AW103" s="44" t="s">
        <v>269</v>
      </c>
      <c r="AX103" s="44" t="s">
        <v>256</v>
      </c>
      <c r="AY103" s="44" t="s">
        <v>283</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287</v>
      </c>
      <c r="BT103" s="44">
        <v>0</v>
      </c>
    </row>
    <row r="104" spans="1:72">
      <c r="A104" s="44">
        <v>2022</v>
      </c>
      <c r="B104" s="6">
        <v>12</v>
      </c>
      <c r="C104" s="6">
        <v>1</v>
      </c>
      <c r="D104" s="6" t="s">
        <v>286</v>
      </c>
      <c r="E104" s="6" t="s">
        <v>253</v>
      </c>
      <c r="F104" s="6" t="s">
        <v>254</v>
      </c>
      <c r="G104" s="6">
        <v>2017</v>
      </c>
      <c r="H104" s="6">
        <v>12</v>
      </c>
      <c r="I104" s="6" t="s">
        <v>33</v>
      </c>
      <c r="J104" s="6" t="s">
        <v>253</v>
      </c>
      <c r="K104" s="6">
        <v>1972</v>
      </c>
      <c r="L104" s="14">
        <v>12</v>
      </c>
      <c r="M104" s="6">
        <v>1</v>
      </c>
      <c r="N104" s="6" t="s">
        <v>255</v>
      </c>
      <c r="O104" s="6" t="s">
        <v>256</v>
      </c>
      <c r="P104" s="6" t="s">
        <v>283</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286</v>
      </c>
      <c r="AN104" s="44" t="s">
        <v>253</v>
      </c>
      <c r="AO104" s="44" t="s">
        <v>266</v>
      </c>
      <c r="AP104" s="44" t="s">
        <v>267</v>
      </c>
      <c r="AQ104" s="44">
        <v>12</v>
      </c>
      <c r="AR104" s="44" t="s">
        <v>33</v>
      </c>
      <c r="AS104" s="44" t="s">
        <v>253</v>
      </c>
      <c r="AT104" s="44" t="s">
        <v>280</v>
      </c>
      <c r="AU104" s="44">
        <v>12</v>
      </c>
      <c r="AV104" s="44">
        <v>1</v>
      </c>
      <c r="AW104" s="44" t="s">
        <v>269</v>
      </c>
      <c r="AX104" s="44" t="s">
        <v>256</v>
      </c>
      <c r="AY104" s="44" t="s">
        <v>283</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287</v>
      </c>
      <c r="BT104" s="44">
        <v>0</v>
      </c>
    </row>
    <row r="105" spans="1:72">
      <c r="A105" s="44">
        <v>2022</v>
      </c>
      <c r="B105" s="6">
        <v>12</v>
      </c>
      <c r="C105" s="6">
        <v>1</v>
      </c>
      <c r="D105" s="6" t="s">
        <v>286</v>
      </c>
      <c r="E105" s="6" t="s">
        <v>253</v>
      </c>
      <c r="F105" s="6" t="s">
        <v>254</v>
      </c>
      <c r="G105" s="6">
        <v>2017</v>
      </c>
      <c r="H105" s="6">
        <v>12</v>
      </c>
      <c r="I105" s="6" t="s">
        <v>33</v>
      </c>
      <c r="J105" s="6" t="s">
        <v>253</v>
      </c>
      <c r="K105" s="6">
        <v>1962</v>
      </c>
      <c r="L105" s="14">
        <v>12</v>
      </c>
      <c r="M105" s="6">
        <v>1</v>
      </c>
      <c r="N105" s="6" t="s">
        <v>255</v>
      </c>
      <c r="O105" s="6" t="s">
        <v>256</v>
      </c>
      <c r="P105" s="6" t="s">
        <v>283</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286</v>
      </c>
      <c r="AN105" s="44" t="s">
        <v>253</v>
      </c>
      <c r="AO105" s="44" t="s">
        <v>266</v>
      </c>
      <c r="AP105" s="44" t="s">
        <v>267</v>
      </c>
      <c r="AQ105" s="44">
        <v>12</v>
      </c>
      <c r="AR105" s="44" t="s">
        <v>33</v>
      </c>
      <c r="AS105" s="44" t="s">
        <v>253</v>
      </c>
      <c r="AT105" s="44" t="s">
        <v>281</v>
      </c>
      <c r="AU105" s="44">
        <v>12</v>
      </c>
      <c r="AV105" s="44">
        <v>1</v>
      </c>
      <c r="AW105" s="44" t="s">
        <v>269</v>
      </c>
      <c r="AX105" s="44" t="s">
        <v>256</v>
      </c>
      <c r="AY105" s="44" t="s">
        <v>283</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287</v>
      </c>
      <c r="BT105" s="44">
        <v>0</v>
      </c>
    </row>
    <row r="106" spans="1:72">
      <c r="A106" s="44">
        <v>2022</v>
      </c>
      <c r="B106" s="6">
        <v>12</v>
      </c>
      <c r="C106" s="6">
        <v>1</v>
      </c>
      <c r="D106" s="6" t="s">
        <v>286</v>
      </c>
      <c r="E106" s="6" t="s">
        <v>253</v>
      </c>
      <c r="F106" s="6" t="s">
        <v>254</v>
      </c>
      <c r="G106" s="6">
        <v>2017</v>
      </c>
      <c r="H106" s="6">
        <v>12</v>
      </c>
      <c r="I106" s="6" t="s">
        <v>33</v>
      </c>
      <c r="J106" s="6" t="s">
        <v>253</v>
      </c>
      <c r="K106" s="6">
        <v>1952</v>
      </c>
      <c r="L106" s="14">
        <v>12</v>
      </c>
      <c r="M106" s="6">
        <v>1</v>
      </c>
      <c r="N106" s="6" t="s">
        <v>255</v>
      </c>
      <c r="O106" s="6" t="s">
        <v>256</v>
      </c>
      <c r="P106" s="6" t="s">
        <v>283</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286</v>
      </c>
      <c r="AN106" s="44" t="s">
        <v>253</v>
      </c>
      <c r="AO106" s="44" t="s">
        <v>266</v>
      </c>
      <c r="AP106" s="44" t="s">
        <v>267</v>
      </c>
      <c r="AQ106" s="44">
        <v>12</v>
      </c>
      <c r="AR106" s="44" t="s">
        <v>33</v>
      </c>
      <c r="AS106" s="44" t="s">
        <v>253</v>
      </c>
      <c r="AT106" s="44" t="s">
        <v>282</v>
      </c>
      <c r="AU106" s="44">
        <v>12</v>
      </c>
      <c r="AV106" s="44">
        <v>1</v>
      </c>
      <c r="AW106" s="44" t="s">
        <v>269</v>
      </c>
      <c r="AX106" s="44" t="s">
        <v>256</v>
      </c>
      <c r="AY106" s="44" t="s">
        <v>283</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287</v>
      </c>
      <c r="BT106" s="44">
        <v>0</v>
      </c>
    </row>
    <row r="107" spans="1:72">
      <c r="A107" s="44">
        <v>2022</v>
      </c>
      <c r="B107" s="6">
        <v>12</v>
      </c>
      <c r="C107" s="6">
        <v>1</v>
      </c>
      <c r="D107" s="6" t="s">
        <v>286</v>
      </c>
      <c r="E107" s="6" t="s">
        <v>253</v>
      </c>
      <c r="F107" s="6" t="s">
        <v>254</v>
      </c>
      <c r="G107" s="6">
        <v>2017</v>
      </c>
      <c r="H107" s="6">
        <v>12</v>
      </c>
      <c r="I107" s="6" t="s">
        <v>33</v>
      </c>
      <c r="J107" s="6" t="s">
        <v>253</v>
      </c>
      <c r="K107" s="6">
        <v>1992</v>
      </c>
      <c r="L107" s="14">
        <v>12</v>
      </c>
      <c r="M107" s="6">
        <v>1</v>
      </c>
      <c r="N107" s="6" t="s">
        <v>255</v>
      </c>
      <c r="O107" s="6" t="s">
        <v>256</v>
      </c>
      <c r="P107" s="6" t="s">
        <v>283</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286</v>
      </c>
      <c r="AN107" s="44" t="s">
        <v>253</v>
      </c>
      <c r="AO107" s="44" t="s">
        <v>266</v>
      </c>
      <c r="AP107" s="44" t="s">
        <v>267</v>
      </c>
      <c r="AQ107" s="44">
        <v>12</v>
      </c>
      <c r="AR107" s="44" t="s">
        <v>33</v>
      </c>
      <c r="AS107" s="44" t="s">
        <v>253</v>
      </c>
      <c r="AT107" s="44" t="s">
        <v>268</v>
      </c>
      <c r="AU107" s="44">
        <v>12</v>
      </c>
      <c r="AV107" s="44">
        <v>1</v>
      </c>
      <c r="AW107" s="44" t="s">
        <v>269</v>
      </c>
      <c r="AX107" s="44" t="s">
        <v>256</v>
      </c>
      <c r="AY107" s="44" t="s">
        <v>283</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287</v>
      </c>
      <c r="BT107" s="44">
        <v>0</v>
      </c>
    </row>
    <row r="108" spans="1:72">
      <c r="A108" s="44">
        <v>2022</v>
      </c>
      <c r="B108" s="6">
        <v>12</v>
      </c>
      <c r="C108" s="6">
        <v>1</v>
      </c>
      <c r="D108" s="6" t="s">
        <v>286</v>
      </c>
      <c r="E108" s="6" t="s">
        <v>253</v>
      </c>
      <c r="F108" s="6" t="s">
        <v>254</v>
      </c>
      <c r="G108" s="6">
        <v>2017</v>
      </c>
      <c r="H108" s="6">
        <v>12</v>
      </c>
      <c r="I108" s="6" t="s">
        <v>33</v>
      </c>
      <c r="J108" s="6" t="s">
        <v>253</v>
      </c>
      <c r="K108" s="6">
        <v>1987</v>
      </c>
      <c r="L108" s="14">
        <v>12</v>
      </c>
      <c r="M108" s="6">
        <v>1</v>
      </c>
      <c r="N108" s="6" t="s">
        <v>255</v>
      </c>
      <c r="O108" s="6" t="s">
        <v>256</v>
      </c>
      <c r="P108" s="6" t="s">
        <v>283</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286</v>
      </c>
      <c r="AN108" s="44" t="s">
        <v>253</v>
      </c>
      <c r="AO108" s="44" t="s">
        <v>266</v>
      </c>
      <c r="AP108" s="44" t="s">
        <v>267</v>
      </c>
      <c r="AQ108" s="44">
        <v>12</v>
      </c>
      <c r="AR108" s="44" t="s">
        <v>33</v>
      </c>
      <c r="AS108" s="44" t="s">
        <v>253</v>
      </c>
      <c r="AT108" s="44" t="s">
        <v>277</v>
      </c>
      <c r="AU108" s="44">
        <v>12</v>
      </c>
      <c r="AV108" s="44">
        <v>1</v>
      </c>
      <c r="AW108" s="44" t="s">
        <v>269</v>
      </c>
      <c r="AX108" s="44" t="s">
        <v>256</v>
      </c>
      <c r="AY108" s="44" t="s">
        <v>283</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287</v>
      </c>
      <c r="BT108" s="44">
        <v>0</v>
      </c>
    </row>
    <row r="109" spans="1:72">
      <c r="A109" s="44">
        <v>2022</v>
      </c>
      <c r="B109" s="6">
        <v>12</v>
      </c>
      <c r="C109" s="6">
        <v>1</v>
      </c>
      <c r="D109" s="6" t="s">
        <v>286</v>
      </c>
      <c r="E109" s="6" t="s">
        <v>253</v>
      </c>
      <c r="F109" s="6" t="s">
        <v>254</v>
      </c>
      <c r="G109" s="6">
        <v>2017</v>
      </c>
      <c r="H109" s="6">
        <v>12</v>
      </c>
      <c r="I109" s="6" t="s">
        <v>33</v>
      </c>
      <c r="J109" s="6" t="s">
        <v>253</v>
      </c>
      <c r="K109" s="6">
        <v>1982</v>
      </c>
      <c r="L109" s="14">
        <v>12</v>
      </c>
      <c r="M109" s="6">
        <v>1</v>
      </c>
      <c r="N109" s="6" t="s">
        <v>255</v>
      </c>
      <c r="O109" s="6" t="s">
        <v>256</v>
      </c>
      <c r="P109" s="6" t="s">
        <v>283</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286</v>
      </c>
      <c r="AN109" s="44" t="s">
        <v>253</v>
      </c>
      <c r="AO109" s="44" t="s">
        <v>266</v>
      </c>
      <c r="AP109" s="44" t="s">
        <v>267</v>
      </c>
      <c r="AQ109" s="44">
        <v>12</v>
      </c>
      <c r="AR109" s="44" t="s">
        <v>33</v>
      </c>
      <c r="AS109" s="44" t="s">
        <v>253</v>
      </c>
      <c r="AT109" s="44" t="s">
        <v>278</v>
      </c>
      <c r="AU109" s="44">
        <v>12</v>
      </c>
      <c r="AV109" s="44">
        <v>1</v>
      </c>
      <c r="AW109" s="44" t="s">
        <v>269</v>
      </c>
      <c r="AX109" s="44" t="s">
        <v>256</v>
      </c>
      <c r="AY109" s="44" t="s">
        <v>283</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287</v>
      </c>
      <c r="BT109" s="44">
        <v>0</v>
      </c>
    </row>
    <row r="110" spans="1:72">
      <c r="A110" s="44">
        <v>2022</v>
      </c>
      <c r="B110" s="6">
        <v>12</v>
      </c>
      <c r="C110" s="6">
        <v>1</v>
      </c>
      <c r="D110" s="6" t="s">
        <v>286</v>
      </c>
      <c r="E110" s="6" t="s">
        <v>253</v>
      </c>
      <c r="F110" s="6" t="s">
        <v>254</v>
      </c>
      <c r="G110" s="6">
        <v>2017</v>
      </c>
      <c r="H110" s="6">
        <v>12</v>
      </c>
      <c r="I110" s="6" t="s">
        <v>33</v>
      </c>
      <c r="J110" s="6" t="s">
        <v>253</v>
      </c>
      <c r="K110" s="6">
        <v>1977</v>
      </c>
      <c r="L110" s="14">
        <v>12</v>
      </c>
      <c r="M110" s="6">
        <v>1</v>
      </c>
      <c r="N110" s="6" t="s">
        <v>255</v>
      </c>
      <c r="O110" s="6" t="s">
        <v>256</v>
      </c>
      <c r="P110" s="6" t="s">
        <v>283</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286</v>
      </c>
      <c r="AN110" s="44" t="s">
        <v>253</v>
      </c>
      <c r="AO110" s="44" t="s">
        <v>266</v>
      </c>
      <c r="AP110" s="44" t="s">
        <v>267</v>
      </c>
      <c r="AQ110" s="44">
        <v>12</v>
      </c>
      <c r="AR110" s="44" t="s">
        <v>33</v>
      </c>
      <c r="AS110" s="44" t="s">
        <v>253</v>
      </c>
      <c r="AT110" s="44" t="s">
        <v>279</v>
      </c>
      <c r="AU110" s="44">
        <v>12</v>
      </c>
      <c r="AV110" s="44">
        <v>1</v>
      </c>
      <c r="AW110" s="44" t="s">
        <v>269</v>
      </c>
      <c r="AX110" s="44" t="s">
        <v>256</v>
      </c>
      <c r="AY110" s="44" t="s">
        <v>283</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287</v>
      </c>
      <c r="BT110" s="44">
        <v>0</v>
      </c>
    </row>
    <row r="111" spans="1:72">
      <c r="A111" s="44">
        <v>2022</v>
      </c>
      <c r="B111" s="6">
        <v>12</v>
      </c>
      <c r="C111" s="6">
        <v>1</v>
      </c>
      <c r="D111" s="6" t="s">
        <v>286</v>
      </c>
      <c r="E111" s="6" t="s">
        <v>253</v>
      </c>
      <c r="F111" s="6" t="s">
        <v>254</v>
      </c>
      <c r="G111" s="6">
        <v>2017</v>
      </c>
      <c r="H111" s="6">
        <v>12</v>
      </c>
      <c r="I111" s="6" t="s">
        <v>33</v>
      </c>
      <c r="J111" s="6" t="s">
        <v>253</v>
      </c>
      <c r="K111" s="6">
        <v>1972</v>
      </c>
      <c r="L111" s="14">
        <v>12</v>
      </c>
      <c r="M111" s="6">
        <v>1</v>
      </c>
      <c r="N111" s="6" t="s">
        <v>255</v>
      </c>
      <c r="O111" s="6" t="s">
        <v>256</v>
      </c>
      <c r="P111" s="6" t="s">
        <v>283</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286</v>
      </c>
      <c r="AN111" s="44" t="s">
        <v>253</v>
      </c>
      <c r="AO111" s="44" t="s">
        <v>266</v>
      </c>
      <c r="AP111" s="44" t="s">
        <v>267</v>
      </c>
      <c r="AQ111" s="44">
        <v>12</v>
      </c>
      <c r="AR111" s="44" t="s">
        <v>33</v>
      </c>
      <c r="AS111" s="44" t="s">
        <v>253</v>
      </c>
      <c r="AT111" s="44" t="s">
        <v>280</v>
      </c>
      <c r="AU111" s="44">
        <v>12</v>
      </c>
      <c r="AV111" s="44">
        <v>1</v>
      </c>
      <c r="AW111" s="44" t="s">
        <v>269</v>
      </c>
      <c r="AX111" s="44" t="s">
        <v>256</v>
      </c>
      <c r="AY111" s="44" t="s">
        <v>283</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287</v>
      </c>
      <c r="BT111" s="44">
        <v>0</v>
      </c>
    </row>
    <row r="112" spans="1:72">
      <c r="A112" s="44">
        <v>2022</v>
      </c>
      <c r="B112" s="6">
        <v>12</v>
      </c>
      <c r="C112" s="6">
        <v>1</v>
      </c>
      <c r="D112" s="6" t="s">
        <v>286</v>
      </c>
      <c r="E112" s="6" t="s">
        <v>253</v>
      </c>
      <c r="F112" s="6" t="s">
        <v>254</v>
      </c>
      <c r="G112" s="6">
        <v>2017</v>
      </c>
      <c r="H112" s="6">
        <v>12</v>
      </c>
      <c r="I112" s="6" t="s">
        <v>33</v>
      </c>
      <c r="J112" s="6" t="s">
        <v>253</v>
      </c>
      <c r="K112" s="6">
        <v>1962</v>
      </c>
      <c r="L112" s="14">
        <v>12</v>
      </c>
      <c r="M112" s="6">
        <v>1</v>
      </c>
      <c r="N112" s="6" t="s">
        <v>255</v>
      </c>
      <c r="O112" s="6" t="s">
        <v>256</v>
      </c>
      <c r="P112" s="6" t="s">
        <v>283</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286</v>
      </c>
      <c r="AN112" s="44" t="s">
        <v>253</v>
      </c>
      <c r="AO112" s="44" t="s">
        <v>266</v>
      </c>
      <c r="AP112" s="44" t="s">
        <v>267</v>
      </c>
      <c r="AQ112" s="44">
        <v>12</v>
      </c>
      <c r="AR112" s="44" t="s">
        <v>33</v>
      </c>
      <c r="AS112" s="44" t="s">
        <v>253</v>
      </c>
      <c r="AT112" s="44" t="s">
        <v>281</v>
      </c>
      <c r="AU112" s="44">
        <v>12</v>
      </c>
      <c r="AV112" s="44">
        <v>1</v>
      </c>
      <c r="AW112" s="44" t="s">
        <v>269</v>
      </c>
      <c r="AX112" s="44" t="s">
        <v>256</v>
      </c>
      <c r="AY112" s="44" t="s">
        <v>283</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287</v>
      </c>
      <c r="BT112" s="44">
        <v>0</v>
      </c>
    </row>
    <row r="113" spans="1:72">
      <c r="A113" s="44">
        <v>2022</v>
      </c>
      <c r="B113" s="6">
        <v>12</v>
      </c>
      <c r="C113" s="6">
        <v>1</v>
      </c>
      <c r="D113" s="6" t="s">
        <v>286</v>
      </c>
      <c r="E113" s="6" t="s">
        <v>253</v>
      </c>
      <c r="F113" s="6" t="s">
        <v>254</v>
      </c>
      <c r="G113" s="6">
        <v>2017</v>
      </c>
      <c r="H113" s="6">
        <v>12</v>
      </c>
      <c r="I113" s="6" t="s">
        <v>33</v>
      </c>
      <c r="J113" s="6" t="s">
        <v>253</v>
      </c>
      <c r="K113" s="6">
        <v>1952</v>
      </c>
      <c r="L113" s="14">
        <v>12</v>
      </c>
      <c r="M113" s="6">
        <v>1</v>
      </c>
      <c r="N113" s="6" t="s">
        <v>255</v>
      </c>
      <c r="O113" s="6" t="s">
        <v>256</v>
      </c>
      <c r="P113" s="6" t="s">
        <v>283</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286</v>
      </c>
      <c r="AN113" s="44" t="s">
        <v>253</v>
      </c>
      <c r="AO113" s="44" t="s">
        <v>266</v>
      </c>
      <c r="AP113" s="44" t="s">
        <v>267</v>
      </c>
      <c r="AQ113" s="44">
        <v>12</v>
      </c>
      <c r="AR113" s="44" t="s">
        <v>33</v>
      </c>
      <c r="AS113" s="44" t="s">
        <v>253</v>
      </c>
      <c r="AT113" s="44" t="s">
        <v>282</v>
      </c>
      <c r="AU113" s="44">
        <v>12</v>
      </c>
      <c r="AV113" s="44">
        <v>1</v>
      </c>
      <c r="AW113" s="44" t="s">
        <v>269</v>
      </c>
      <c r="AX113" s="44" t="s">
        <v>256</v>
      </c>
      <c r="AY113" s="44" t="s">
        <v>283</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287</v>
      </c>
      <c r="BT113" s="44">
        <v>0</v>
      </c>
    </row>
    <row r="114" spans="1:72">
      <c r="A114" s="44">
        <v>2022</v>
      </c>
      <c r="B114" s="6">
        <v>12</v>
      </c>
      <c r="C114" s="6">
        <v>1</v>
      </c>
      <c r="D114" s="6">
        <v>20</v>
      </c>
      <c r="E114" s="6" t="s">
        <v>253</v>
      </c>
      <c r="F114" s="6" t="s">
        <v>254</v>
      </c>
      <c r="G114" s="6">
        <v>2016</v>
      </c>
      <c r="H114" s="6">
        <v>12</v>
      </c>
      <c r="I114" s="6" t="s">
        <v>34</v>
      </c>
      <c r="J114" s="6" t="s">
        <v>253</v>
      </c>
      <c r="K114" s="6">
        <v>1992</v>
      </c>
      <c r="L114" s="14">
        <v>12</v>
      </c>
      <c r="M114" s="6">
        <v>1</v>
      </c>
      <c r="N114" s="6" t="s">
        <v>255</v>
      </c>
      <c r="O114" s="6" t="s">
        <v>288</v>
      </c>
      <c r="P114" s="6" t="s">
        <v>257</v>
      </c>
      <c r="Q114" s="6">
        <v>3000</v>
      </c>
      <c r="R114" s="6" t="s">
        <v>254</v>
      </c>
      <c r="S114" s="6" t="s">
        <v>258</v>
      </c>
      <c r="T114" s="6" t="s">
        <v>259</v>
      </c>
      <c r="U114" s="6" t="s">
        <v>263</v>
      </c>
      <c r="V114" s="6">
        <v>1000</v>
      </c>
      <c r="W114" s="6" t="s">
        <v>260</v>
      </c>
      <c r="X114" s="6">
        <v>5000</v>
      </c>
      <c r="Y114" s="6" t="s">
        <v>261</v>
      </c>
      <c r="Z114" s="6">
        <v>80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289</v>
      </c>
      <c r="AQ114" s="44">
        <v>12</v>
      </c>
      <c r="AR114" s="44" t="s">
        <v>34</v>
      </c>
      <c r="AS114" s="44" t="s">
        <v>253</v>
      </c>
      <c r="AT114" s="44" t="s">
        <v>268</v>
      </c>
      <c r="AU114" s="44">
        <v>12</v>
      </c>
      <c r="AV114" s="44">
        <v>1</v>
      </c>
      <c r="AW114" s="44" t="s">
        <v>269</v>
      </c>
      <c r="AX114" s="44" t="s">
        <v>288</v>
      </c>
      <c r="AY114" s="44" t="s">
        <v>257</v>
      </c>
      <c r="AZ114" s="44">
        <v>1</v>
      </c>
      <c r="BA114" s="44" t="s">
        <v>270</v>
      </c>
      <c r="BB114" s="44" t="s">
        <v>271</v>
      </c>
      <c r="BC114" s="44" t="s">
        <v>259</v>
      </c>
      <c r="BD114" s="44" t="s">
        <v>290</v>
      </c>
      <c r="BE114" s="44" t="s">
        <v>272</v>
      </c>
      <c r="BF114" s="44" t="s">
        <v>260</v>
      </c>
      <c r="BG114" s="44" t="s">
        <v>291</v>
      </c>
      <c r="BH114" s="44" t="s">
        <v>274</v>
      </c>
      <c r="BI114" s="44" t="s">
        <v>292</v>
      </c>
      <c r="BJ114" s="44" t="s">
        <v>263</v>
      </c>
      <c r="BK114" s="44" t="s">
        <v>253</v>
      </c>
      <c r="BL114" s="44" t="s">
        <v>253</v>
      </c>
      <c r="BM114" s="44" t="s">
        <v>253</v>
      </c>
      <c r="BN114" s="44" t="s">
        <v>263</v>
      </c>
      <c r="BO114" s="44" t="s">
        <v>253</v>
      </c>
      <c r="BP114" s="44" t="s">
        <v>253</v>
      </c>
      <c r="BQ114" s="44" t="s">
        <v>253</v>
      </c>
      <c r="BR114" s="44" t="s">
        <v>253</v>
      </c>
      <c r="BS114" s="44" t="s">
        <v>276</v>
      </c>
      <c r="BT114" s="44">
        <v>0</v>
      </c>
    </row>
    <row r="115" spans="1:72">
      <c r="A115" s="44">
        <v>2022</v>
      </c>
      <c r="B115" s="6">
        <v>12</v>
      </c>
      <c r="C115" s="6">
        <v>1</v>
      </c>
      <c r="D115" s="6">
        <v>20</v>
      </c>
      <c r="E115" s="6" t="s">
        <v>253</v>
      </c>
      <c r="F115" s="6" t="s">
        <v>254</v>
      </c>
      <c r="G115" s="6">
        <v>2016</v>
      </c>
      <c r="H115" s="6">
        <v>12</v>
      </c>
      <c r="I115" s="6" t="s">
        <v>34</v>
      </c>
      <c r="J115" s="6" t="s">
        <v>253</v>
      </c>
      <c r="K115" s="6">
        <v>1987</v>
      </c>
      <c r="L115" s="14">
        <v>12</v>
      </c>
      <c r="M115" s="6">
        <v>1</v>
      </c>
      <c r="N115" s="6" t="s">
        <v>255</v>
      </c>
      <c r="O115" s="6" t="s">
        <v>288</v>
      </c>
      <c r="P115" s="6" t="s">
        <v>257</v>
      </c>
      <c r="Q115" s="6">
        <v>3000</v>
      </c>
      <c r="R115" s="6" t="s">
        <v>254</v>
      </c>
      <c r="S115" s="6" t="s">
        <v>258</v>
      </c>
      <c r="T115" s="6" t="s">
        <v>259</v>
      </c>
      <c r="U115" s="6" t="s">
        <v>263</v>
      </c>
      <c r="V115" s="6">
        <v>1000</v>
      </c>
      <c r="W115" s="6" t="s">
        <v>260</v>
      </c>
      <c r="X115" s="6">
        <v>5000</v>
      </c>
      <c r="Y115" s="6" t="s">
        <v>261</v>
      </c>
      <c r="Z115" s="6">
        <v>80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289</v>
      </c>
      <c r="AQ115" s="44">
        <v>12</v>
      </c>
      <c r="AR115" s="44" t="s">
        <v>34</v>
      </c>
      <c r="AS115" s="44" t="s">
        <v>253</v>
      </c>
      <c r="AT115" s="44" t="s">
        <v>277</v>
      </c>
      <c r="AU115" s="44">
        <v>12</v>
      </c>
      <c r="AV115" s="44">
        <v>1</v>
      </c>
      <c r="AW115" s="44" t="s">
        <v>269</v>
      </c>
      <c r="AX115" s="44" t="s">
        <v>288</v>
      </c>
      <c r="AY115" s="44" t="s">
        <v>257</v>
      </c>
      <c r="AZ115" s="44">
        <v>1</v>
      </c>
      <c r="BA115" s="44" t="s">
        <v>270</v>
      </c>
      <c r="BB115" s="44" t="s">
        <v>271</v>
      </c>
      <c r="BC115" s="44" t="s">
        <v>259</v>
      </c>
      <c r="BD115" s="44" t="s">
        <v>290</v>
      </c>
      <c r="BE115" s="44" t="s">
        <v>272</v>
      </c>
      <c r="BF115" s="44" t="s">
        <v>260</v>
      </c>
      <c r="BG115" s="44" t="s">
        <v>291</v>
      </c>
      <c r="BH115" s="44" t="s">
        <v>274</v>
      </c>
      <c r="BI115" s="44" t="s">
        <v>292</v>
      </c>
      <c r="BJ115" s="44" t="s">
        <v>263</v>
      </c>
      <c r="BK115" s="44" t="s">
        <v>253</v>
      </c>
      <c r="BL115" s="44" t="s">
        <v>253</v>
      </c>
      <c r="BM115" s="44" t="s">
        <v>253</v>
      </c>
      <c r="BN115" s="44" t="s">
        <v>263</v>
      </c>
      <c r="BO115" s="44" t="s">
        <v>253</v>
      </c>
      <c r="BP115" s="44" t="s">
        <v>253</v>
      </c>
      <c r="BQ115" s="44" t="s">
        <v>253</v>
      </c>
      <c r="BR115" s="44" t="s">
        <v>253</v>
      </c>
      <c r="BS115" s="44" t="s">
        <v>276</v>
      </c>
      <c r="BT115" s="44">
        <v>0</v>
      </c>
    </row>
    <row r="116" spans="1:72">
      <c r="A116" s="44">
        <v>2022</v>
      </c>
      <c r="B116" s="6">
        <v>12</v>
      </c>
      <c r="C116" s="6">
        <v>1</v>
      </c>
      <c r="D116" s="6">
        <v>20</v>
      </c>
      <c r="E116" s="6" t="s">
        <v>253</v>
      </c>
      <c r="F116" s="6" t="s">
        <v>254</v>
      </c>
      <c r="G116" s="6">
        <v>2016</v>
      </c>
      <c r="H116" s="6">
        <v>12</v>
      </c>
      <c r="I116" s="6" t="s">
        <v>34</v>
      </c>
      <c r="J116" s="6" t="s">
        <v>253</v>
      </c>
      <c r="K116" s="6">
        <v>1982</v>
      </c>
      <c r="L116" s="14">
        <v>12</v>
      </c>
      <c r="M116" s="6">
        <v>1</v>
      </c>
      <c r="N116" s="6" t="s">
        <v>255</v>
      </c>
      <c r="O116" s="6" t="s">
        <v>288</v>
      </c>
      <c r="P116" s="6" t="s">
        <v>257</v>
      </c>
      <c r="Q116" s="6">
        <v>3000</v>
      </c>
      <c r="R116" s="6" t="s">
        <v>254</v>
      </c>
      <c r="S116" s="6" t="s">
        <v>258</v>
      </c>
      <c r="T116" s="6" t="s">
        <v>259</v>
      </c>
      <c r="U116" s="6" t="s">
        <v>263</v>
      </c>
      <c r="V116" s="6">
        <v>1000</v>
      </c>
      <c r="W116" s="6" t="s">
        <v>260</v>
      </c>
      <c r="X116" s="6">
        <v>5000</v>
      </c>
      <c r="Y116" s="6" t="s">
        <v>261</v>
      </c>
      <c r="Z116" s="6">
        <v>80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289</v>
      </c>
      <c r="AQ116" s="44">
        <v>12</v>
      </c>
      <c r="AR116" s="44" t="s">
        <v>34</v>
      </c>
      <c r="AS116" s="44" t="s">
        <v>253</v>
      </c>
      <c r="AT116" s="44" t="s">
        <v>278</v>
      </c>
      <c r="AU116" s="44">
        <v>12</v>
      </c>
      <c r="AV116" s="44">
        <v>1</v>
      </c>
      <c r="AW116" s="44" t="s">
        <v>269</v>
      </c>
      <c r="AX116" s="44" t="s">
        <v>288</v>
      </c>
      <c r="AY116" s="44" t="s">
        <v>257</v>
      </c>
      <c r="AZ116" s="44">
        <v>1</v>
      </c>
      <c r="BA116" s="44" t="s">
        <v>270</v>
      </c>
      <c r="BB116" s="44" t="s">
        <v>271</v>
      </c>
      <c r="BC116" s="44" t="s">
        <v>259</v>
      </c>
      <c r="BD116" s="44" t="s">
        <v>290</v>
      </c>
      <c r="BE116" s="44" t="s">
        <v>272</v>
      </c>
      <c r="BF116" s="44" t="s">
        <v>260</v>
      </c>
      <c r="BG116" s="44" t="s">
        <v>291</v>
      </c>
      <c r="BH116" s="44" t="s">
        <v>274</v>
      </c>
      <c r="BI116" s="44" t="s">
        <v>292</v>
      </c>
      <c r="BJ116" s="44" t="s">
        <v>263</v>
      </c>
      <c r="BK116" s="44" t="s">
        <v>253</v>
      </c>
      <c r="BL116" s="44" t="s">
        <v>253</v>
      </c>
      <c r="BM116" s="44" t="s">
        <v>253</v>
      </c>
      <c r="BN116" s="44" t="s">
        <v>263</v>
      </c>
      <c r="BO116" s="44" t="s">
        <v>253</v>
      </c>
      <c r="BP116" s="44" t="s">
        <v>253</v>
      </c>
      <c r="BQ116" s="44" t="s">
        <v>253</v>
      </c>
      <c r="BR116" s="44" t="s">
        <v>253</v>
      </c>
      <c r="BS116" s="44" t="s">
        <v>276</v>
      </c>
      <c r="BT116" s="44">
        <v>0</v>
      </c>
    </row>
    <row r="117" spans="1:72">
      <c r="A117" s="44">
        <v>2022</v>
      </c>
      <c r="B117" s="6">
        <v>12</v>
      </c>
      <c r="C117" s="6">
        <v>1</v>
      </c>
      <c r="D117" s="6">
        <v>20</v>
      </c>
      <c r="E117" s="6" t="s">
        <v>253</v>
      </c>
      <c r="F117" s="6" t="s">
        <v>254</v>
      </c>
      <c r="G117" s="6">
        <v>2016</v>
      </c>
      <c r="H117" s="6">
        <v>12</v>
      </c>
      <c r="I117" s="6" t="s">
        <v>34</v>
      </c>
      <c r="J117" s="6" t="s">
        <v>253</v>
      </c>
      <c r="K117" s="6">
        <v>1977</v>
      </c>
      <c r="L117" s="14">
        <v>12</v>
      </c>
      <c r="M117" s="6">
        <v>1</v>
      </c>
      <c r="N117" s="6" t="s">
        <v>255</v>
      </c>
      <c r="O117" s="6" t="s">
        <v>288</v>
      </c>
      <c r="P117" s="6" t="s">
        <v>257</v>
      </c>
      <c r="Q117" s="6">
        <v>3000</v>
      </c>
      <c r="R117" s="6" t="s">
        <v>254</v>
      </c>
      <c r="S117" s="6" t="s">
        <v>258</v>
      </c>
      <c r="T117" s="6" t="s">
        <v>259</v>
      </c>
      <c r="U117" s="6" t="s">
        <v>263</v>
      </c>
      <c r="V117" s="6">
        <v>1000</v>
      </c>
      <c r="W117" s="6" t="s">
        <v>260</v>
      </c>
      <c r="X117" s="6">
        <v>5000</v>
      </c>
      <c r="Y117" s="6" t="s">
        <v>261</v>
      </c>
      <c r="Z117" s="6">
        <v>80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289</v>
      </c>
      <c r="AQ117" s="44">
        <v>12</v>
      </c>
      <c r="AR117" s="44" t="s">
        <v>34</v>
      </c>
      <c r="AS117" s="44" t="s">
        <v>253</v>
      </c>
      <c r="AT117" s="44" t="s">
        <v>279</v>
      </c>
      <c r="AU117" s="44">
        <v>12</v>
      </c>
      <c r="AV117" s="44">
        <v>1</v>
      </c>
      <c r="AW117" s="44" t="s">
        <v>269</v>
      </c>
      <c r="AX117" s="44" t="s">
        <v>288</v>
      </c>
      <c r="AY117" s="44" t="s">
        <v>257</v>
      </c>
      <c r="AZ117" s="44">
        <v>1</v>
      </c>
      <c r="BA117" s="44" t="s">
        <v>270</v>
      </c>
      <c r="BB117" s="44" t="s">
        <v>271</v>
      </c>
      <c r="BC117" s="44" t="s">
        <v>259</v>
      </c>
      <c r="BD117" s="44" t="s">
        <v>290</v>
      </c>
      <c r="BE117" s="44" t="s">
        <v>272</v>
      </c>
      <c r="BF117" s="44" t="s">
        <v>260</v>
      </c>
      <c r="BG117" s="44" t="s">
        <v>291</v>
      </c>
      <c r="BH117" s="44" t="s">
        <v>274</v>
      </c>
      <c r="BI117" s="44" t="s">
        <v>292</v>
      </c>
      <c r="BJ117" s="44" t="s">
        <v>263</v>
      </c>
      <c r="BK117" s="44" t="s">
        <v>253</v>
      </c>
      <c r="BL117" s="44" t="s">
        <v>253</v>
      </c>
      <c r="BM117" s="44" t="s">
        <v>253</v>
      </c>
      <c r="BN117" s="44" t="s">
        <v>263</v>
      </c>
      <c r="BO117" s="44" t="s">
        <v>253</v>
      </c>
      <c r="BP117" s="44" t="s">
        <v>253</v>
      </c>
      <c r="BQ117" s="44" t="s">
        <v>253</v>
      </c>
      <c r="BR117" s="44" t="s">
        <v>253</v>
      </c>
      <c r="BS117" s="44" t="s">
        <v>276</v>
      </c>
      <c r="BT117" s="44">
        <v>0</v>
      </c>
    </row>
    <row r="118" spans="1:72">
      <c r="A118" s="44">
        <v>2022</v>
      </c>
      <c r="B118" s="6">
        <v>12</v>
      </c>
      <c r="C118" s="6">
        <v>1</v>
      </c>
      <c r="D118" s="6">
        <v>20</v>
      </c>
      <c r="E118" s="6" t="s">
        <v>253</v>
      </c>
      <c r="F118" s="6" t="s">
        <v>254</v>
      </c>
      <c r="G118" s="6">
        <v>2016</v>
      </c>
      <c r="H118" s="6">
        <v>12</v>
      </c>
      <c r="I118" s="6" t="s">
        <v>34</v>
      </c>
      <c r="J118" s="6" t="s">
        <v>253</v>
      </c>
      <c r="K118" s="6">
        <v>1972</v>
      </c>
      <c r="L118" s="14">
        <v>12</v>
      </c>
      <c r="M118" s="6">
        <v>1</v>
      </c>
      <c r="N118" s="6" t="s">
        <v>255</v>
      </c>
      <c r="O118" s="6" t="s">
        <v>288</v>
      </c>
      <c r="P118" s="6" t="s">
        <v>257</v>
      </c>
      <c r="Q118" s="6">
        <v>3000</v>
      </c>
      <c r="R118" s="6" t="s">
        <v>254</v>
      </c>
      <c r="S118" s="6" t="s">
        <v>258</v>
      </c>
      <c r="T118" s="6" t="s">
        <v>259</v>
      </c>
      <c r="U118" s="6" t="s">
        <v>263</v>
      </c>
      <c r="V118" s="6">
        <v>1000</v>
      </c>
      <c r="W118" s="6" t="s">
        <v>260</v>
      </c>
      <c r="X118" s="6">
        <v>5000</v>
      </c>
      <c r="Y118" s="6" t="s">
        <v>261</v>
      </c>
      <c r="Z118" s="6">
        <v>80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289</v>
      </c>
      <c r="AQ118" s="44">
        <v>12</v>
      </c>
      <c r="AR118" s="44" t="s">
        <v>34</v>
      </c>
      <c r="AS118" s="44" t="s">
        <v>253</v>
      </c>
      <c r="AT118" s="44" t="s">
        <v>280</v>
      </c>
      <c r="AU118" s="44">
        <v>12</v>
      </c>
      <c r="AV118" s="44">
        <v>1</v>
      </c>
      <c r="AW118" s="44" t="s">
        <v>269</v>
      </c>
      <c r="AX118" s="44" t="s">
        <v>288</v>
      </c>
      <c r="AY118" s="44" t="s">
        <v>257</v>
      </c>
      <c r="AZ118" s="44">
        <v>1</v>
      </c>
      <c r="BA118" s="44" t="s">
        <v>270</v>
      </c>
      <c r="BB118" s="44" t="s">
        <v>271</v>
      </c>
      <c r="BC118" s="44" t="s">
        <v>259</v>
      </c>
      <c r="BD118" s="44" t="s">
        <v>290</v>
      </c>
      <c r="BE118" s="44" t="s">
        <v>272</v>
      </c>
      <c r="BF118" s="44" t="s">
        <v>260</v>
      </c>
      <c r="BG118" s="44" t="s">
        <v>291</v>
      </c>
      <c r="BH118" s="44" t="s">
        <v>274</v>
      </c>
      <c r="BI118" s="44" t="s">
        <v>292</v>
      </c>
      <c r="BJ118" s="44" t="s">
        <v>263</v>
      </c>
      <c r="BK118" s="44" t="s">
        <v>253</v>
      </c>
      <c r="BL118" s="44" t="s">
        <v>253</v>
      </c>
      <c r="BM118" s="44" t="s">
        <v>253</v>
      </c>
      <c r="BN118" s="44" t="s">
        <v>263</v>
      </c>
      <c r="BO118" s="44" t="s">
        <v>253</v>
      </c>
      <c r="BP118" s="44" t="s">
        <v>253</v>
      </c>
      <c r="BQ118" s="44" t="s">
        <v>253</v>
      </c>
      <c r="BR118" s="44" t="s">
        <v>253</v>
      </c>
      <c r="BS118" s="44" t="s">
        <v>276</v>
      </c>
      <c r="BT118" s="44">
        <v>0</v>
      </c>
    </row>
    <row r="119" spans="1:72">
      <c r="A119" s="44">
        <v>2022</v>
      </c>
      <c r="B119" s="6">
        <v>12</v>
      </c>
      <c r="C119" s="6">
        <v>1</v>
      </c>
      <c r="D119" s="6">
        <v>20</v>
      </c>
      <c r="E119" s="6" t="s">
        <v>253</v>
      </c>
      <c r="F119" s="6" t="s">
        <v>254</v>
      </c>
      <c r="G119" s="6">
        <v>2016</v>
      </c>
      <c r="H119" s="6">
        <v>12</v>
      </c>
      <c r="I119" s="6" t="s">
        <v>34</v>
      </c>
      <c r="J119" s="6" t="s">
        <v>253</v>
      </c>
      <c r="K119" s="6">
        <v>1962</v>
      </c>
      <c r="L119" s="14">
        <v>12</v>
      </c>
      <c r="M119" s="6">
        <v>1</v>
      </c>
      <c r="N119" s="6" t="s">
        <v>255</v>
      </c>
      <c r="O119" s="6" t="s">
        <v>288</v>
      </c>
      <c r="P119" s="6" t="s">
        <v>257</v>
      </c>
      <c r="Q119" s="6">
        <v>3000</v>
      </c>
      <c r="R119" s="6" t="s">
        <v>254</v>
      </c>
      <c r="S119" s="6" t="s">
        <v>258</v>
      </c>
      <c r="T119" s="6" t="s">
        <v>259</v>
      </c>
      <c r="U119" s="6" t="s">
        <v>263</v>
      </c>
      <c r="V119" s="6">
        <v>1000</v>
      </c>
      <c r="W119" s="6" t="s">
        <v>260</v>
      </c>
      <c r="X119" s="6">
        <v>5000</v>
      </c>
      <c r="Y119" s="6" t="s">
        <v>261</v>
      </c>
      <c r="Z119" s="6">
        <v>80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289</v>
      </c>
      <c r="AQ119" s="44">
        <v>12</v>
      </c>
      <c r="AR119" s="44" t="s">
        <v>34</v>
      </c>
      <c r="AS119" s="44" t="s">
        <v>253</v>
      </c>
      <c r="AT119" s="44" t="s">
        <v>281</v>
      </c>
      <c r="AU119" s="44">
        <v>12</v>
      </c>
      <c r="AV119" s="44">
        <v>1</v>
      </c>
      <c r="AW119" s="44" t="s">
        <v>269</v>
      </c>
      <c r="AX119" s="44" t="s">
        <v>288</v>
      </c>
      <c r="AY119" s="44" t="s">
        <v>257</v>
      </c>
      <c r="AZ119" s="44">
        <v>1</v>
      </c>
      <c r="BA119" s="44" t="s">
        <v>270</v>
      </c>
      <c r="BB119" s="44" t="s">
        <v>271</v>
      </c>
      <c r="BC119" s="44" t="s">
        <v>259</v>
      </c>
      <c r="BD119" s="44" t="s">
        <v>290</v>
      </c>
      <c r="BE119" s="44" t="s">
        <v>272</v>
      </c>
      <c r="BF119" s="44" t="s">
        <v>260</v>
      </c>
      <c r="BG119" s="44" t="s">
        <v>291</v>
      </c>
      <c r="BH119" s="44" t="s">
        <v>274</v>
      </c>
      <c r="BI119" s="44" t="s">
        <v>292</v>
      </c>
      <c r="BJ119" s="44" t="s">
        <v>263</v>
      </c>
      <c r="BK119" s="44" t="s">
        <v>253</v>
      </c>
      <c r="BL119" s="44" t="s">
        <v>253</v>
      </c>
      <c r="BM119" s="44" t="s">
        <v>253</v>
      </c>
      <c r="BN119" s="44" t="s">
        <v>263</v>
      </c>
      <c r="BO119" s="44" t="s">
        <v>253</v>
      </c>
      <c r="BP119" s="44" t="s">
        <v>253</v>
      </c>
      <c r="BQ119" s="44" t="s">
        <v>253</v>
      </c>
      <c r="BR119" s="44" t="s">
        <v>253</v>
      </c>
      <c r="BS119" s="44" t="s">
        <v>276</v>
      </c>
      <c r="BT119" s="44">
        <v>0</v>
      </c>
    </row>
    <row r="120" spans="1:72">
      <c r="A120" s="44">
        <v>2022</v>
      </c>
      <c r="B120" s="6">
        <v>12</v>
      </c>
      <c r="C120" s="6">
        <v>1</v>
      </c>
      <c r="D120" s="6">
        <v>20</v>
      </c>
      <c r="E120" s="6" t="s">
        <v>253</v>
      </c>
      <c r="F120" s="6" t="s">
        <v>254</v>
      </c>
      <c r="G120" s="6">
        <v>2016</v>
      </c>
      <c r="H120" s="6">
        <v>12</v>
      </c>
      <c r="I120" s="6" t="s">
        <v>34</v>
      </c>
      <c r="J120" s="6" t="s">
        <v>253</v>
      </c>
      <c r="K120" s="6">
        <v>1952</v>
      </c>
      <c r="L120" s="14">
        <v>12</v>
      </c>
      <c r="M120" s="6">
        <v>1</v>
      </c>
      <c r="N120" s="6" t="s">
        <v>255</v>
      </c>
      <c r="O120" s="6" t="s">
        <v>288</v>
      </c>
      <c r="P120" s="6" t="s">
        <v>257</v>
      </c>
      <c r="Q120" s="6">
        <v>3000</v>
      </c>
      <c r="R120" s="6" t="s">
        <v>254</v>
      </c>
      <c r="S120" s="6" t="s">
        <v>258</v>
      </c>
      <c r="T120" s="6" t="s">
        <v>259</v>
      </c>
      <c r="U120" s="6" t="s">
        <v>263</v>
      </c>
      <c r="V120" s="6">
        <v>1000</v>
      </c>
      <c r="W120" s="6" t="s">
        <v>260</v>
      </c>
      <c r="X120" s="6">
        <v>5000</v>
      </c>
      <c r="Y120" s="6" t="s">
        <v>261</v>
      </c>
      <c r="Z120" s="6">
        <v>80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289</v>
      </c>
      <c r="AQ120" s="44">
        <v>12</v>
      </c>
      <c r="AR120" s="44" t="s">
        <v>34</v>
      </c>
      <c r="AS120" s="44" t="s">
        <v>253</v>
      </c>
      <c r="AT120" s="44" t="s">
        <v>282</v>
      </c>
      <c r="AU120" s="44">
        <v>12</v>
      </c>
      <c r="AV120" s="44">
        <v>1</v>
      </c>
      <c r="AW120" s="44" t="s">
        <v>269</v>
      </c>
      <c r="AX120" s="44" t="s">
        <v>288</v>
      </c>
      <c r="AY120" s="44" t="s">
        <v>257</v>
      </c>
      <c r="AZ120" s="44">
        <v>1</v>
      </c>
      <c r="BA120" s="44" t="s">
        <v>270</v>
      </c>
      <c r="BB120" s="44" t="s">
        <v>271</v>
      </c>
      <c r="BC120" s="44" t="s">
        <v>259</v>
      </c>
      <c r="BD120" s="44" t="s">
        <v>290</v>
      </c>
      <c r="BE120" s="44" t="s">
        <v>272</v>
      </c>
      <c r="BF120" s="44" t="s">
        <v>260</v>
      </c>
      <c r="BG120" s="44" t="s">
        <v>291</v>
      </c>
      <c r="BH120" s="44" t="s">
        <v>274</v>
      </c>
      <c r="BI120" s="44" t="s">
        <v>292</v>
      </c>
      <c r="BJ120" s="44" t="s">
        <v>263</v>
      </c>
      <c r="BK120" s="44" t="s">
        <v>253</v>
      </c>
      <c r="BL120" s="44" t="s">
        <v>253</v>
      </c>
      <c r="BM120" s="44" t="s">
        <v>253</v>
      </c>
      <c r="BN120" s="44" t="s">
        <v>263</v>
      </c>
      <c r="BO120" s="44" t="s">
        <v>253</v>
      </c>
      <c r="BP120" s="44" t="s">
        <v>253</v>
      </c>
      <c r="BQ120" s="44" t="s">
        <v>253</v>
      </c>
      <c r="BR120" s="44" t="s">
        <v>253</v>
      </c>
      <c r="BS120" s="44" t="s">
        <v>276</v>
      </c>
      <c r="BT120" s="44">
        <v>0</v>
      </c>
    </row>
    <row r="121" spans="1:72">
      <c r="A121" s="44">
        <v>2022</v>
      </c>
      <c r="B121" s="6">
        <v>12</v>
      </c>
      <c r="C121" s="6">
        <v>1</v>
      </c>
      <c r="D121" s="6">
        <v>20</v>
      </c>
      <c r="E121" s="6" t="s">
        <v>253</v>
      </c>
      <c r="F121" s="6" t="s">
        <v>254</v>
      </c>
      <c r="G121" s="6">
        <v>2016</v>
      </c>
      <c r="H121" s="6">
        <v>12</v>
      </c>
      <c r="I121" s="6" t="s">
        <v>34</v>
      </c>
      <c r="J121" s="6" t="s">
        <v>253</v>
      </c>
      <c r="K121" s="6">
        <v>1992</v>
      </c>
      <c r="L121" s="14">
        <v>12</v>
      </c>
      <c r="M121" s="6">
        <v>1</v>
      </c>
      <c r="N121" s="6" t="s">
        <v>255</v>
      </c>
      <c r="O121" s="6" t="s">
        <v>288</v>
      </c>
      <c r="P121" s="6" t="s">
        <v>257</v>
      </c>
      <c r="Q121" s="6">
        <v>7000</v>
      </c>
      <c r="R121" s="6" t="s">
        <v>254</v>
      </c>
      <c r="S121" s="6" t="s">
        <v>258</v>
      </c>
      <c r="T121" s="6" t="s">
        <v>259</v>
      </c>
      <c r="U121" s="6" t="s">
        <v>263</v>
      </c>
      <c r="V121" s="6">
        <v>1000</v>
      </c>
      <c r="W121" s="6" t="s">
        <v>260</v>
      </c>
      <c r="X121" s="6">
        <v>5000</v>
      </c>
      <c r="Y121" s="6" t="s">
        <v>261</v>
      </c>
      <c r="Z121" s="6">
        <v>80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289</v>
      </c>
      <c r="AQ121" s="44">
        <v>12</v>
      </c>
      <c r="AR121" s="44" t="s">
        <v>34</v>
      </c>
      <c r="AS121" s="44" t="s">
        <v>253</v>
      </c>
      <c r="AT121" s="44" t="s">
        <v>268</v>
      </c>
      <c r="AU121" s="44">
        <v>12</v>
      </c>
      <c r="AV121" s="44">
        <v>1</v>
      </c>
      <c r="AW121" s="44" t="s">
        <v>269</v>
      </c>
      <c r="AX121" s="44" t="s">
        <v>288</v>
      </c>
      <c r="AY121" s="44" t="s">
        <v>257</v>
      </c>
      <c r="AZ121" s="44">
        <v>3</v>
      </c>
      <c r="BA121" s="44" t="s">
        <v>270</v>
      </c>
      <c r="BB121" s="44" t="s">
        <v>271</v>
      </c>
      <c r="BC121" s="44" t="s">
        <v>259</v>
      </c>
      <c r="BD121" s="44" t="s">
        <v>290</v>
      </c>
      <c r="BE121" s="44" t="s">
        <v>272</v>
      </c>
      <c r="BF121" s="44" t="s">
        <v>260</v>
      </c>
      <c r="BG121" s="44" t="s">
        <v>291</v>
      </c>
      <c r="BH121" s="44" t="s">
        <v>274</v>
      </c>
      <c r="BI121" s="44" t="s">
        <v>292</v>
      </c>
      <c r="BJ121" s="44" t="s">
        <v>263</v>
      </c>
      <c r="BK121" s="44" t="s">
        <v>253</v>
      </c>
      <c r="BL121" s="44" t="s">
        <v>253</v>
      </c>
      <c r="BM121" s="44" t="s">
        <v>253</v>
      </c>
      <c r="BN121" s="44" t="s">
        <v>263</v>
      </c>
      <c r="BO121" s="44" t="s">
        <v>253</v>
      </c>
      <c r="BP121" s="44" t="s">
        <v>253</v>
      </c>
      <c r="BQ121" s="44" t="s">
        <v>253</v>
      </c>
      <c r="BR121" s="44" t="s">
        <v>253</v>
      </c>
      <c r="BS121" s="44" t="s">
        <v>276</v>
      </c>
      <c r="BT121" s="44">
        <v>0</v>
      </c>
    </row>
    <row r="122" spans="1:72">
      <c r="A122" s="44">
        <v>2022</v>
      </c>
      <c r="B122" s="6">
        <v>12</v>
      </c>
      <c r="C122" s="6">
        <v>1</v>
      </c>
      <c r="D122" s="6">
        <v>20</v>
      </c>
      <c r="E122" s="6" t="s">
        <v>253</v>
      </c>
      <c r="F122" s="6" t="s">
        <v>254</v>
      </c>
      <c r="G122" s="6">
        <v>2016</v>
      </c>
      <c r="H122" s="6">
        <v>12</v>
      </c>
      <c r="I122" s="6" t="s">
        <v>34</v>
      </c>
      <c r="J122" s="6" t="s">
        <v>253</v>
      </c>
      <c r="K122" s="6">
        <v>1987</v>
      </c>
      <c r="L122" s="14">
        <v>12</v>
      </c>
      <c r="M122" s="6">
        <v>1</v>
      </c>
      <c r="N122" s="6" t="s">
        <v>255</v>
      </c>
      <c r="O122" s="6" t="s">
        <v>288</v>
      </c>
      <c r="P122" s="6" t="s">
        <v>257</v>
      </c>
      <c r="Q122" s="6">
        <v>7000</v>
      </c>
      <c r="R122" s="6" t="s">
        <v>254</v>
      </c>
      <c r="S122" s="6" t="s">
        <v>258</v>
      </c>
      <c r="T122" s="6" t="s">
        <v>259</v>
      </c>
      <c r="U122" s="6" t="s">
        <v>263</v>
      </c>
      <c r="V122" s="6">
        <v>1000</v>
      </c>
      <c r="W122" s="6" t="s">
        <v>260</v>
      </c>
      <c r="X122" s="6">
        <v>5000</v>
      </c>
      <c r="Y122" s="6" t="s">
        <v>261</v>
      </c>
      <c r="Z122" s="6">
        <v>80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289</v>
      </c>
      <c r="AQ122" s="44">
        <v>12</v>
      </c>
      <c r="AR122" s="44" t="s">
        <v>34</v>
      </c>
      <c r="AS122" s="44" t="s">
        <v>253</v>
      </c>
      <c r="AT122" s="44" t="s">
        <v>277</v>
      </c>
      <c r="AU122" s="44">
        <v>12</v>
      </c>
      <c r="AV122" s="44">
        <v>1</v>
      </c>
      <c r="AW122" s="44" t="s">
        <v>269</v>
      </c>
      <c r="AX122" s="44" t="s">
        <v>288</v>
      </c>
      <c r="AY122" s="44" t="s">
        <v>257</v>
      </c>
      <c r="AZ122" s="44">
        <v>3</v>
      </c>
      <c r="BA122" s="44" t="s">
        <v>270</v>
      </c>
      <c r="BB122" s="44" t="s">
        <v>271</v>
      </c>
      <c r="BC122" s="44" t="s">
        <v>259</v>
      </c>
      <c r="BD122" s="44" t="s">
        <v>290</v>
      </c>
      <c r="BE122" s="44" t="s">
        <v>272</v>
      </c>
      <c r="BF122" s="44" t="s">
        <v>260</v>
      </c>
      <c r="BG122" s="44" t="s">
        <v>291</v>
      </c>
      <c r="BH122" s="44" t="s">
        <v>274</v>
      </c>
      <c r="BI122" s="44" t="s">
        <v>292</v>
      </c>
      <c r="BJ122" s="44" t="s">
        <v>263</v>
      </c>
      <c r="BK122" s="44" t="s">
        <v>253</v>
      </c>
      <c r="BL122" s="44" t="s">
        <v>253</v>
      </c>
      <c r="BM122" s="44" t="s">
        <v>253</v>
      </c>
      <c r="BN122" s="44" t="s">
        <v>263</v>
      </c>
      <c r="BO122" s="44" t="s">
        <v>253</v>
      </c>
      <c r="BP122" s="44" t="s">
        <v>253</v>
      </c>
      <c r="BQ122" s="44" t="s">
        <v>253</v>
      </c>
      <c r="BR122" s="44" t="s">
        <v>253</v>
      </c>
      <c r="BS122" s="44" t="s">
        <v>276</v>
      </c>
      <c r="BT122" s="44">
        <v>0</v>
      </c>
    </row>
    <row r="123" spans="1:72">
      <c r="A123" s="44">
        <v>2022</v>
      </c>
      <c r="B123" s="6">
        <v>12</v>
      </c>
      <c r="C123" s="6">
        <v>1</v>
      </c>
      <c r="D123" s="6">
        <v>20</v>
      </c>
      <c r="E123" s="6" t="s">
        <v>253</v>
      </c>
      <c r="F123" s="6" t="s">
        <v>254</v>
      </c>
      <c r="G123" s="6">
        <v>2016</v>
      </c>
      <c r="H123" s="6">
        <v>12</v>
      </c>
      <c r="I123" s="6" t="s">
        <v>34</v>
      </c>
      <c r="J123" s="6" t="s">
        <v>253</v>
      </c>
      <c r="K123" s="6">
        <v>1982</v>
      </c>
      <c r="L123" s="14">
        <v>12</v>
      </c>
      <c r="M123" s="6">
        <v>1</v>
      </c>
      <c r="N123" s="6" t="s">
        <v>255</v>
      </c>
      <c r="O123" s="6" t="s">
        <v>288</v>
      </c>
      <c r="P123" s="6" t="s">
        <v>257</v>
      </c>
      <c r="Q123" s="6">
        <v>7000</v>
      </c>
      <c r="R123" s="6" t="s">
        <v>254</v>
      </c>
      <c r="S123" s="6" t="s">
        <v>258</v>
      </c>
      <c r="T123" s="6" t="s">
        <v>259</v>
      </c>
      <c r="U123" s="6" t="s">
        <v>263</v>
      </c>
      <c r="V123" s="6">
        <v>1000</v>
      </c>
      <c r="W123" s="6" t="s">
        <v>260</v>
      </c>
      <c r="X123" s="6">
        <v>5000</v>
      </c>
      <c r="Y123" s="6" t="s">
        <v>261</v>
      </c>
      <c r="Z123" s="6">
        <v>80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289</v>
      </c>
      <c r="AQ123" s="44">
        <v>12</v>
      </c>
      <c r="AR123" s="44" t="s">
        <v>34</v>
      </c>
      <c r="AS123" s="44" t="s">
        <v>253</v>
      </c>
      <c r="AT123" s="44" t="s">
        <v>278</v>
      </c>
      <c r="AU123" s="44">
        <v>12</v>
      </c>
      <c r="AV123" s="44">
        <v>1</v>
      </c>
      <c r="AW123" s="44" t="s">
        <v>269</v>
      </c>
      <c r="AX123" s="44" t="s">
        <v>288</v>
      </c>
      <c r="AY123" s="44" t="s">
        <v>257</v>
      </c>
      <c r="AZ123" s="44">
        <v>3</v>
      </c>
      <c r="BA123" s="44" t="s">
        <v>270</v>
      </c>
      <c r="BB123" s="44" t="s">
        <v>271</v>
      </c>
      <c r="BC123" s="44" t="s">
        <v>259</v>
      </c>
      <c r="BD123" s="44" t="s">
        <v>290</v>
      </c>
      <c r="BE123" s="44" t="s">
        <v>272</v>
      </c>
      <c r="BF123" s="44" t="s">
        <v>260</v>
      </c>
      <c r="BG123" s="44" t="s">
        <v>291</v>
      </c>
      <c r="BH123" s="44" t="s">
        <v>274</v>
      </c>
      <c r="BI123" s="44" t="s">
        <v>292</v>
      </c>
      <c r="BJ123" s="44" t="s">
        <v>263</v>
      </c>
      <c r="BK123" s="44" t="s">
        <v>253</v>
      </c>
      <c r="BL123" s="44" t="s">
        <v>253</v>
      </c>
      <c r="BM123" s="44" t="s">
        <v>253</v>
      </c>
      <c r="BN123" s="44" t="s">
        <v>263</v>
      </c>
      <c r="BO123" s="44" t="s">
        <v>253</v>
      </c>
      <c r="BP123" s="44" t="s">
        <v>253</v>
      </c>
      <c r="BQ123" s="44" t="s">
        <v>253</v>
      </c>
      <c r="BR123" s="44" t="s">
        <v>253</v>
      </c>
      <c r="BS123" s="44" t="s">
        <v>276</v>
      </c>
      <c r="BT123" s="44">
        <v>0</v>
      </c>
    </row>
    <row r="124" spans="1:72">
      <c r="A124" s="44">
        <v>2022</v>
      </c>
      <c r="B124" s="6">
        <v>12</v>
      </c>
      <c r="C124" s="6">
        <v>1</v>
      </c>
      <c r="D124" s="6">
        <v>20</v>
      </c>
      <c r="E124" s="6" t="s">
        <v>253</v>
      </c>
      <c r="F124" s="6" t="s">
        <v>254</v>
      </c>
      <c r="G124" s="6">
        <v>2016</v>
      </c>
      <c r="H124" s="6">
        <v>12</v>
      </c>
      <c r="I124" s="6" t="s">
        <v>34</v>
      </c>
      <c r="J124" s="6" t="s">
        <v>253</v>
      </c>
      <c r="K124" s="6">
        <v>1977</v>
      </c>
      <c r="L124" s="14">
        <v>12</v>
      </c>
      <c r="M124" s="6">
        <v>1</v>
      </c>
      <c r="N124" s="6" t="s">
        <v>255</v>
      </c>
      <c r="O124" s="6" t="s">
        <v>288</v>
      </c>
      <c r="P124" s="6" t="s">
        <v>257</v>
      </c>
      <c r="Q124" s="6">
        <v>7000</v>
      </c>
      <c r="R124" s="6" t="s">
        <v>254</v>
      </c>
      <c r="S124" s="6" t="s">
        <v>258</v>
      </c>
      <c r="T124" s="6" t="s">
        <v>259</v>
      </c>
      <c r="U124" s="6" t="s">
        <v>263</v>
      </c>
      <c r="V124" s="6">
        <v>1000</v>
      </c>
      <c r="W124" s="6" t="s">
        <v>260</v>
      </c>
      <c r="X124" s="6">
        <v>5000</v>
      </c>
      <c r="Y124" s="6" t="s">
        <v>261</v>
      </c>
      <c r="Z124" s="6">
        <v>80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289</v>
      </c>
      <c r="AQ124" s="44">
        <v>12</v>
      </c>
      <c r="AR124" s="44" t="s">
        <v>34</v>
      </c>
      <c r="AS124" s="44" t="s">
        <v>253</v>
      </c>
      <c r="AT124" s="44" t="s">
        <v>279</v>
      </c>
      <c r="AU124" s="44">
        <v>12</v>
      </c>
      <c r="AV124" s="44">
        <v>1</v>
      </c>
      <c r="AW124" s="44" t="s">
        <v>269</v>
      </c>
      <c r="AX124" s="44" t="s">
        <v>288</v>
      </c>
      <c r="AY124" s="44" t="s">
        <v>257</v>
      </c>
      <c r="AZ124" s="44">
        <v>3</v>
      </c>
      <c r="BA124" s="44" t="s">
        <v>270</v>
      </c>
      <c r="BB124" s="44" t="s">
        <v>271</v>
      </c>
      <c r="BC124" s="44" t="s">
        <v>259</v>
      </c>
      <c r="BD124" s="44" t="s">
        <v>290</v>
      </c>
      <c r="BE124" s="44" t="s">
        <v>272</v>
      </c>
      <c r="BF124" s="44" t="s">
        <v>260</v>
      </c>
      <c r="BG124" s="44" t="s">
        <v>291</v>
      </c>
      <c r="BH124" s="44" t="s">
        <v>274</v>
      </c>
      <c r="BI124" s="44" t="s">
        <v>292</v>
      </c>
      <c r="BJ124" s="44" t="s">
        <v>263</v>
      </c>
      <c r="BK124" s="44" t="s">
        <v>253</v>
      </c>
      <c r="BL124" s="44" t="s">
        <v>253</v>
      </c>
      <c r="BM124" s="44" t="s">
        <v>253</v>
      </c>
      <c r="BN124" s="44" t="s">
        <v>263</v>
      </c>
      <c r="BO124" s="44" t="s">
        <v>253</v>
      </c>
      <c r="BP124" s="44" t="s">
        <v>253</v>
      </c>
      <c r="BQ124" s="44" t="s">
        <v>253</v>
      </c>
      <c r="BR124" s="44" t="s">
        <v>253</v>
      </c>
      <c r="BS124" s="44" t="s">
        <v>276</v>
      </c>
      <c r="BT124" s="44">
        <v>0</v>
      </c>
    </row>
    <row r="125" spans="1:72">
      <c r="A125" s="44">
        <v>2022</v>
      </c>
      <c r="B125" s="6">
        <v>12</v>
      </c>
      <c r="C125" s="6">
        <v>1</v>
      </c>
      <c r="D125" s="6">
        <v>20</v>
      </c>
      <c r="E125" s="6" t="s">
        <v>253</v>
      </c>
      <c r="F125" s="6" t="s">
        <v>254</v>
      </c>
      <c r="G125" s="6">
        <v>2016</v>
      </c>
      <c r="H125" s="6">
        <v>12</v>
      </c>
      <c r="I125" s="6" t="s">
        <v>34</v>
      </c>
      <c r="J125" s="6" t="s">
        <v>253</v>
      </c>
      <c r="K125" s="6">
        <v>1972</v>
      </c>
      <c r="L125" s="14">
        <v>12</v>
      </c>
      <c r="M125" s="6">
        <v>1</v>
      </c>
      <c r="N125" s="6" t="s">
        <v>255</v>
      </c>
      <c r="O125" s="6" t="s">
        <v>288</v>
      </c>
      <c r="P125" s="6" t="s">
        <v>257</v>
      </c>
      <c r="Q125" s="6">
        <v>7000</v>
      </c>
      <c r="R125" s="6" t="s">
        <v>254</v>
      </c>
      <c r="S125" s="6" t="s">
        <v>258</v>
      </c>
      <c r="T125" s="6" t="s">
        <v>259</v>
      </c>
      <c r="U125" s="6" t="s">
        <v>263</v>
      </c>
      <c r="V125" s="6">
        <v>1000</v>
      </c>
      <c r="W125" s="6" t="s">
        <v>260</v>
      </c>
      <c r="X125" s="6">
        <v>5000</v>
      </c>
      <c r="Y125" s="6" t="s">
        <v>261</v>
      </c>
      <c r="Z125" s="6">
        <v>80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289</v>
      </c>
      <c r="AQ125" s="44">
        <v>12</v>
      </c>
      <c r="AR125" s="44" t="s">
        <v>34</v>
      </c>
      <c r="AS125" s="44" t="s">
        <v>253</v>
      </c>
      <c r="AT125" s="44" t="s">
        <v>280</v>
      </c>
      <c r="AU125" s="44">
        <v>12</v>
      </c>
      <c r="AV125" s="44">
        <v>1</v>
      </c>
      <c r="AW125" s="44" t="s">
        <v>269</v>
      </c>
      <c r="AX125" s="44" t="s">
        <v>288</v>
      </c>
      <c r="AY125" s="44" t="s">
        <v>257</v>
      </c>
      <c r="AZ125" s="44">
        <v>3</v>
      </c>
      <c r="BA125" s="44" t="s">
        <v>270</v>
      </c>
      <c r="BB125" s="44" t="s">
        <v>271</v>
      </c>
      <c r="BC125" s="44" t="s">
        <v>259</v>
      </c>
      <c r="BD125" s="44" t="s">
        <v>290</v>
      </c>
      <c r="BE125" s="44" t="s">
        <v>272</v>
      </c>
      <c r="BF125" s="44" t="s">
        <v>260</v>
      </c>
      <c r="BG125" s="44" t="s">
        <v>291</v>
      </c>
      <c r="BH125" s="44" t="s">
        <v>274</v>
      </c>
      <c r="BI125" s="44" t="s">
        <v>292</v>
      </c>
      <c r="BJ125" s="44" t="s">
        <v>263</v>
      </c>
      <c r="BK125" s="44" t="s">
        <v>253</v>
      </c>
      <c r="BL125" s="44" t="s">
        <v>253</v>
      </c>
      <c r="BM125" s="44" t="s">
        <v>253</v>
      </c>
      <c r="BN125" s="44" t="s">
        <v>263</v>
      </c>
      <c r="BO125" s="44" t="s">
        <v>253</v>
      </c>
      <c r="BP125" s="44" t="s">
        <v>253</v>
      </c>
      <c r="BQ125" s="44" t="s">
        <v>253</v>
      </c>
      <c r="BR125" s="44" t="s">
        <v>253</v>
      </c>
      <c r="BS125" s="44" t="s">
        <v>276</v>
      </c>
      <c r="BT125" s="44">
        <v>0</v>
      </c>
    </row>
    <row r="126" spans="1:72">
      <c r="A126" s="44">
        <v>2022</v>
      </c>
      <c r="B126" s="6">
        <v>12</v>
      </c>
      <c r="C126" s="6">
        <v>1</v>
      </c>
      <c r="D126" s="6">
        <v>20</v>
      </c>
      <c r="E126" s="6" t="s">
        <v>253</v>
      </c>
      <c r="F126" s="6" t="s">
        <v>254</v>
      </c>
      <c r="G126" s="6">
        <v>2016</v>
      </c>
      <c r="H126" s="6">
        <v>12</v>
      </c>
      <c r="I126" s="6" t="s">
        <v>34</v>
      </c>
      <c r="J126" s="6" t="s">
        <v>253</v>
      </c>
      <c r="K126" s="6">
        <v>1962</v>
      </c>
      <c r="L126" s="14">
        <v>12</v>
      </c>
      <c r="M126" s="6">
        <v>1</v>
      </c>
      <c r="N126" s="6" t="s">
        <v>255</v>
      </c>
      <c r="O126" s="6" t="s">
        <v>288</v>
      </c>
      <c r="P126" s="6" t="s">
        <v>257</v>
      </c>
      <c r="Q126" s="6">
        <v>7000</v>
      </c>
      <c r="R126" s="6" t="s">
        <v>254</v>
      </c>
      <c r="S126" s="6" t="s">
        <v>258</v>
      </c>
      <c r="T126" s="6" t="s">
        <v>259</v>
      </c>
      <c r="U126" s="6" t="s">
        <v>263</v>
      </c>
      <c r="V126" s="6">
        <v>1000</v>
      </c>
      <c r="W126" s="6" t="s">
        <v>260</v>
      </c>
      <c r="X126" s="6">
        <v>5000</v>
      </c>
      <c r="Y126" s="6" t="s">
        <v>261</v>
      </c>
      <c r="Z126" s="6">
        <v>80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289</v>
      </c>
      <c r="AQ126" s="44">
        <v>12</v>
      </c>
      <c r="AR126" s="44" t="s">
        <v>34</v>
      </c>
      <c r="AS126" s="44" t="s">
        <v>253</v>
      </c>
      <c r="AT126" s="44" t="s">
        <v>281</v>
      </c>
      <c r="AU126" s="44">
        <v>12</v>
      </c>
      <c r="AV126" s="44">
        <v>1</v>
      </c>
      <c r="AW126" s="44" t="s">
        <v>269</v>
      </c>
      <c r="AX126" s="44" t="s">
        <v>288</v>
      </c>
      <c r="AY126" s="44" t="s">
        <v>257</v>
      </c>
      <c r="AZ126" s="44">
        <v>3</v>
      </c>
      <c r="BA126" s="44" t="s">
        <v>270</v>
      </c>
      <c r="BB126" s="44" t="s">
        <v>271</v>
      </c>
      <c r="BC126" s="44" t="s">
        <v>259</v>
      </c>
      <c r="BD126" s="44" t="s">
        <v>290</v>
      </c>
      <c r="BE126" s="44" t="s">
        <v>272</v>
      </c>
      <c r="BF126" s="44" t="s">
        <v>260</v>
      </c>
      <c r="BG126" s="44" t="s">
        <v>291</v>
      </c>
      <c r="BH126" s="44" t="s">
        <v>274</v>
      </c>
      <c r="BI126" s="44" t="s">
        <v>292</v>
      </c>
      <c r="BJ126" s="44" t="s">
        <v>263</v>
      </c>
      <c r="BK126" s="44" t="s">
        <v>253</v>
      </c>
      <c r="BL126" s="44" t="s">
        <v>253</v>
      </c>
      <c r="BM126" s="44" t="s">
        <v>253</v>
      </c>
      <c r="BN126" s="44" t="s">
        <v>263</v>
      </c>
      <c r="BO126" s="44" t="s">
        <v>253</v>
      </c>
      <c r="BP126" s="44" t="s">
        <v>253</v>
      </c>
      <c r="BQ126" s="44" t="s">
        <v>253</v>
      </c>
      <c r="BR126" s="44" t="s">
        <v>253</v>
      </c>
      <c r="BS126" s="44" t="s">
        <v>276</v>
      </c>
      <c r="BT126" s="44">
        <v>0</v>
      </c>
    </row>
    <row r="127" spans="1:72">
      <c r="A127" s="44">
        <v>2022</v>
      </c>
      <c r="B127" s="6">
        <v>12</v>
      </c>
      <c r="C127" s="6">
        <v>1</v>
      </c>
      <c r="D127" s="6">
        <v>20</v>
      </c>
      <c r="E127" s="6" t="s">
        <v>253</v>
      </c>
      <c r="F127" s="6" t="s">
        <v>254</v>
      </c>
      <c r="G127" s="6">
        <v>2016</v>
      </c>
      <c r="H127" s="6">
        <v>12</v>
      </c>
      <c r="I127" s="6" t="s">
        <v>34</v>
      </c>
      <c r="J127" s="6" t="s">
        <v>253</v>
      </c>
      <c r="K127" s="6">
        <v>1952</v>
      </c>
      <c r="L127" s="14">
        <v>12</v>
      </c>
      <c r="M127" s="6">
        <v>1</v>
      </c>
      <c r="N127" s="6" t="s">
        <v>255</v>
      </c>
      <c r="O127" s="6" t="s">
        <v>288</v>
      </c>
      <c r="P127" s="6" t="s">
        <v>257</v>
      </c>
      <c r="Q127" s="6">
        <v>7000</v>
      </c>
      <c r="R127" s="6" t="s">
        <v>254</v>
      </c>
      <c r="S127" s="6" t="s">
        <v>258</v>
      </c>
      <c r="T127" s="6" t="s">
        <v>259</v>
      </c>
      <c r="U127" s="6" t="s">
        <v>263</v>
      </c>
      <c r="V127" s="6">
        <v>1000</v>
      </c>
      <c r="W127" s="6" t="s">
        <v>260</v>
      </c>
      <c r="X127" s="6">
        <v>5000</v>
      </c>
      <c r="Y127" s="6" t="s">
        <v>261</v>
      </c>
      <c r="Z127" s="6">
        <v>80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289</v>
      </c>
      <c r="AQ127" s="44">
        <v>12</v>
      </c>
      <c r="AR127" s="44" t="s">
        <v>34</v>
      </c>
      <c r="AS127" s="44" t="s">
        <v>253</v>
      </c>
      <c r="AT127" s="44" t="s">
        <v>282</v>
      </c>
      <c r="AU127" s="44">
        <v>12</v>
      </c>
      <c r="AV127" s="44">
        <v>1</v>
      </c>
      <c r="AW127" s="44" t="s">
        <v>269</v>
      </c>
      <c r="AX127" s="44" t="s">
        <v>288</v>
      </c>
      <c r="AY127" s="44" t="s">
        <v>257</v>
      </c>
      <c r="AZ127" s="44">
        <v>3</v>
      </c>
      <c r="BA127" s="44" t="s">
        <v>270</v>
      </c>
      <c r="BB127" s="44" t="s">
        <v>271</v>
      </c>
      <c r="BC127" s="44" t="s">
        <v>259</v>
      </c>
      <c r="BD127" s="44" t="s">
        <v>290</v>
      </c>
      <c r="BE127" s="44" t="s">
        <v>272</v>
      </c>
      <c r="BF127" s="44" t="s">
        <v>260</v>
      </c>
      <c r="BG127" s="44" t="s">
        <v>291</v>
      </c>
      <c r="BH127" s="44" t="s">
        <v>274</v>
      </c>
      <c r="BI127" s="44" t="s">
        <v>292</v>
      </c>
      <c r="BJ127" s="44" t="s">
        <v>263</v>
      </c>
      <c r="BK127" s="44" t="s">
        <v>253</v>
      </c>
      <c r="BL127" s="44" t="s">
        <v>253</v>
      </c>
      <c r="BM127" s="44" t="s">
        <v>253</v>
      </c>
      <c r="BN127" s="44" t="s">
        <v>263</v>
      </c>
      <c r="BO127" s="44" t="s">
        <v>253</v>
      </c>
      <c r="BP127" s="44" t="s">
        <v>253</v>
      </c>
      <c r="BQ127" s="44" t="s">
        <v>253</v>
      </c>
      <c r="BR127" s="44" t="s">
        <v>253</v>
      </c>
      <c r="BS127" s="44" t="s">
        <v>276</v>
      </c>
      <c r="BT127" s="44">
        <v>0</v>
      </c>
    </row>
    <row r="128" spans="1:72">
      <c r="A128" s="44">
        <v>2022</v>
      </c>
      <c r="B128" s="6">
        <v>12</v>
      </c>
      <c r="C128" s="6">
        <v>1</v>
      </c>
      <c r="D128" s="6">
        <v>20</v>
      </c>
      <c r="E128" s="6" t="s">
        <v>253</v>
      </c>
      <c r="F128" s="6" t="s">
        <v>254</v>
      </c>
      <c r="G128" s="6">
        <v>2016</v>
      </c>
      <c r="H128" s="6">
        <v>12</v>
      </c>
      <c r="I128" s="6" t="s">
        <v>34</v>
      </c>
      <c r="J128" s="6" t="s">
        <v>253</v>
      </c>
      <c r="K128" s="6">
        <v>1992</v>
      </c>
      <c r="L128" s="14">
        <v>12</v>
      </c>
      <c r="M128" s="6">
        <v>1</v>
      </c>
      <c r="N128" s="6" t="s">
        <v>255</v>
      </c>
      <c r="O128" s="6" t="s">
        <v>288</v>
      </c>
      <c r="P128" s="6" t="s">
        <v>283</v>
      </c>
      <c r="Q128" s="6">
        <v>3000</v>
      </c>
      <c r="R128" s="6" t="s">
        <v>254</v>
      </c>
      <c r="S128" s="6" t="s">
        <v>258</v>
      </c>
      <c r="T128" s="6" t="s">
        <v>259</v>
      </c>
      <c r="U128" s="6" t="s">
        <v>263</v>
      </c>
      <c r="V128" s="6">
        <v>1000</v>
      </c>
      <c r="W128" s="6" t="s">
        <v>260</v>
      </c>
      <c r="X128" s="6">
        <v>5000</v>
      </c>
      <c r="Y128" s="6" t="s">
        <v>261</v>
      </c>
      <c r="Z128" s="6">
        <v>80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289</v>
      </c>
      <c r="AQ128" s="44">
        <v>12</v>
      </c>
      <c r="AR128" s="44" t="s">
        <v>34</v>
      </c>
      <c r="AS128" s="44" t="s">
        <v>253</v>
      </c>
      <c r="AT128" s="44" t="s">
        <v>268</v>
      </c>
      <c r="AU128" s="44">
        <v>12</v>
      </c>
      <c r="AV128" s="44">
        <v>1</v>
      </c>
      <c r="AW128" s="44" t="s">
        <v>269</v>
      </c>
      <c r="AX128" s="44" t="s">
        <v>288</v>
      </c>
      <c r="AY128" s="44" t="s">
        <v>283</v>
      </c>
      <c r="AZ128" s="44">
        <v>1</v>
      </c>
      <c r="BA128" s="44" t="s">
        <v>270</v>
      </c>
      <c r="BB128" s="44" t="s">
        <v>271</v>
      </c>
      <c r="BC128" s="44" t="s">
        <v>259</v>
      </c>
      <c r="BD128" s="44" t="s">
        <v>290</v>
      </c>
      <c r="BE128" s="44" t="s">
        <v>272</v>
      </c>
      <c r="BF128" s="44" t="s">
        <v>260</v>
      </c>
      <c r="BG128" s="44" t="s">
        <v>291</v>
      </c>
      <c r="BH128" s="44" t="s">
        <v>274</v>
      </c>
      <c r="BI128" s="44" t="s">
        <v>292</v>
      </c>
      <c r="BJ128" s="44" t="s">
        <v>263</v>
      </c>
      <c r="BK128" s="44" t="s">
        <v>253</v>
      </c>
      <c r="BL128" s="44" t="s">
        <v>253</v>
      </c>
      <c r="BM128" s="44" t="s">
        <v>253</v>
      </c>
      <c r="BN128" s="44" t="s">
        <v>263</v>
      </c>
      <c r="BO128" s="44" t="s">
        <v>253</v>
      </c>
      <c r="BP128" s="44" t="s">
        <v>253</v>
      </c>
      <c r="BQ128" s="44" t="s">
        <v>253</v>
      </c>
      <c r="BR128" s="44" t="s">
        <v>253</v>
      </c>
      <c r="BS128" s="44" t="s">
        <v>276</v>
      </c>
      <c r="BT128" s="44">
        <v>0</v>
      </c>
    </row>
    <row r="129" spans="1:72">
      <c r="A129" s="44">
        <v>2022</v>
      </c>
      <c r="B129" s="6">
        <v>12</v>
      </c>
      <c r="C129" s="6">
        <v>1</v>
      </c>
      <c r="D129" s="6">
        <v>20</v>
      </c>
      <c r="E129" s="6" t="s">
        <v>253</v>
      </c>
      <c r="F129" s="6" t="s">
        <v>254</v>
      </c>
      <c r="G129" s="6">
        <v>2016</v>
      </c>
      <c r="H129" s="6">
        <v>12</v>
      </c>
      <c r="I129" s="6" t="s">
        <v>34</v>
      </c>
      <c r="J129" s="6" t="s">
        <v>253</v>
      </c>
      <c r="K129" s="6">
        <v>1987</v>
      </c>
      <c r="L129" s="14">
        <v>12</v>
      </c>
      <c r="M129" s="6">
        <v>1</v>
      </c>
      <c r="N129" s="6" t="s">
        <v>255</v>
      </c>
      <c r="O129" s="6" t="s">
        <v>288</v>
      </c>
      <c r="P129" s="6" t="s">
        <v>283</v>
      </c>
      <c r="Q129" s="6">
        <v>3000</v>
      </c>
      <c r="R129" s="6" t="s">
        <v>254</v>
      </c>
      <c r="S129" s="6" t="s">
        <v>258</v>
      </c>
      <c r="T129" s="6" t="s">
        <v>259</v>
      </c>
      <c r="U129" s="6" t="s">
        <v>263</v>
      </c>
      <c r="V129" s="6">
        <v>1000</v>
      </c>
      <c r="W129" s="6" t="s">
        <v>260</v>
      </c>
      <c r="X129" s="6">
        <v>5000</v>
      </c>
      <c r="Y129" s="6" t="s">
        <v>261</v>
      </c>
      <c r="Z129" s="6">
        <v>80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289</v>
      </c>
      <c r="AQ129" s="44">
        <v>12</v>
      </c>
      <c r="AR129" s="44" t="s">
        <v>34</v>
      </c>
      <c r="AS129" s="44" t="s">
        <v>253</v>
      </c>
      <c r="AT129" s="44" t="s">
        <v>277</v>
      </c>
      <c r="AU129" s="44">
        <v>12</v>
      </c>
      <c r="AV129" s="44">
        <v>1</v>
      </c>
      <c r="AW129" s="44" t="s">
        <v>269</v>
      </c>
      <c r="AX129" s="44" t="s">
        <v>288</v>
      </c>
      <c r="AY129" s="44" t="s">
        <v>283</v>
      </c>
      <c r="AZ129" s="44">
        <v>1</v>
      </c>
      <c r="BA129" s="44" t="s">
        <v>270</v>
      </c>
      <c r="BB129" s="44" t="s">
        <v>271</v>
      </c>
      <c r="BC129" s="44" t="s">
        <v>259</v>
      </c>
      <c r="BD129" s="44" t="s">
        <v>290</v>
      </c>
      <c r="BE129" s="44" t="s">
        <v>272</v>
      </c>
      <c r="BF129" s="44" t="s">
        <v>260</v>
      </c>
      <c r="BG129" s="44" t="s">
        <v>291</v>
      </c>
      <c r="BH129" s="44" t="s">
        <v>274</v>
      </c>
      <c r="BI129" s="44" t="s">
        <v>292</v>
      </c>
      <c r="BJ129" s="44" t="s">
        <v>263</v>
      </c>
      <c r="BK129" s="44" t="s">
        <v>253</v>
      </c>
      <c r="BL129" s="44" t="s">
        <v>253</v>
      </c>
      <c r="BM129" s="44" t="s">
        <v>253</v>
      </c>
      <c r="BN129" s="44" t="s">
        <v>263</v>
      </c>
      <c r="BO129" s="44" t="s">
        <v>253</v>
      </c>
      <c r="BP129" s="44" t="s">
        <v>253</v>
      </c>
      <c r="BQ129" s="44" t="s">
        <v>253</v>
      </c>
      <c r="BR129" s="44" t="s">
        <v>253</v>
      </c>
      <c r="BS129" s="44" t="s">
        <v>276</v>
      </c>
      <c r="BT129" s="44">
        <v>0</v>
      </c>
    </row>
    <row r="130" spans="1:72">
      <c r="A130" s="44">
        <v>2022</v>
      </c>
      <c r="B130" s="6">
        <v>12</v>
      </c>
      <c r="C130" s="6">
        <v>1</v>
      </c>
      <c r="D130" s="6">
        <v>20</v>
      </c>
      <c r="E130" s="6" t="s">
        <v>253</v>
      </c>
      <c r="F130" s="6" t="s">
        <v>254</v>
      </c>
      <c r="G130" s="6">
        <v>2016</v>
      </c>
      <c r="H130" s="6">
        <v>12</v>
      </c>
      <c r="I130" s="6" t="s">
        <v>34</v>
      </c>
      <c r="J130" s="6" t="s">
        <v>253</v>
      </c>
      <c r="K130" s="6">
        <v>1982</v>
      </c>
      <c r="L130" s="14">
        <v>12</v>
      </c>
      <c r="M130" s="6">
        <v>1</v>
      </c>
      <c r="N130" s="6" t="s">
        <v>255</v>
      </c>
      <c r="O130" s="6" t="s">
        <v>288</v>
      </c>
      <c r="P130" s="6" t="s">
        <v>283</v>
      </c>
      <c r="Q130" s="6">
        <v>3000</v>
      </c>
      <c r="R130" s="6" t="s">
        <v>254</v>
      </c>
      <c r="S130" s="6" t="s">
        <v>258</v>
      </c>
      <c r="T130" s="6" t="s">
        <v>259</v>
      </c>
      <c r="U130" s="6" t="s">
        <v>263</v>
      </c>
      <c r="V130" s="6">
        <v>1000</v>
      </c>
      <c r="W130" s="6" t="s">
        <v>260</v>
      </c>
      <c r="X130" s="6">
        <v>5000</v>
      </c>
      <c r="Y130" s="6" t="s">
        <v>261</v>
      </c>
      <c r="Z130" s="6">
        <v>80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289</v>
      </c>
      <c r="AQ130" s="44">
        <v>12</v>
      </c>
      <c r="AR130" s="44" t="s">
        <v>34</v>
      </c>
      <c r="AS130" s="44" t="s">
        <v>253</v>
      </c>
      <c r="AT130" s="44" t="s">
        <v>278</v>
      </c>
      <c r="AU130" s="44">
        <v>12</v>
      </c>
      <c r="AV130" s="44">
        <v>1</v>
      </c>
      <c r="AW130" s="44" t="s">
        <v>269</v>
      </c>
      <c r="AX130" s="44" t="s">
        <v>288</v>
      </c>
      <c r="AY130" s="44" t="s">
        <v>283</v>
      </c>
      <c r="AZ130" s="44">
        <v>1</v>
      </c>
      <c r="BA130" s="44" t="s">
        <v>270</v>
      </c>
      <c r="BB130" s="44" t="s">
        <v>271</v>
      </c>
      <c r="BC130" s="44" t="s">
        <v>259</v>
      </c>
      <c r="BD130" s="44" t="s">
        <v>290</v>
      </c>
      <c r="BE130" s="44" t="s">
        <v>272</v>
      </c>
      <c r="BF130" s="44" t="s">
        <v>260</v>
      </c>
      <c r="BG130" s="44" t="s">
        <v>291</v>
      </c>
      <c r="BH130" s="44" t="s">
        <v>274</v>
      </c>
      <c r="BI130" s="44" t="s">
        <v>292</v>
      </c>
      <c r="BJ130" s="44" t="s">
        <v>263</v>
      </c>
      <c r="BK130" s="44" t="s">
        <v>253</v>
      </c>
      <c r="BL130" s="44" t="s">
        <v>253</v>
      </c>
      <c r="BM130" s="44" t="s">
        <v>253</v>
      </c>
      <c r="BN130" s="44" t="s">
        <v>263</v>
      </c>
      <c r="BO130" s="44" t="s">
        <v>253</v>
      </c>
      <c r="BP130" s="44" t="s">
        <v>253</v>
      </c>
      <c r="BQ130" s="44" t="s">
        <v>253</v>
      </c>
      <c r="BR130" s="44" t="s">
        <v>253</v>
      </c>
      <c r="BS130" s="44" t="s">
        <v>276</v>
      </c>
      <c r="BT130" s="44">
        <v>0</v>
      </c>
    </row>
    <row r="131" spans="1:72">
      <c r="A131" s="44">
        <v>2022</v>
      </c>
      <c r="B131" s="6">
        <v>12</v>
      </c>
      <c r="C131" s="6">
        <v>1</v>
      </c>
      <c r="D131" s="6">
        <v>20</v>
      </c>
      <c r="E131" s="6" t="s">
        <v>253</v>
      </c>
      <c r="F131" s="6" t="s">
        <v>254</v>
      </c>
      <c r="G131" s="6">
        <v>2016</v>
      </c>
      <c r="H131" s="6">
        <v>12</v>
      </c>
      <c r="I131" s="6" t="s">
        <v>34</v>
      </c>
      <c r="J131" s="6" t="s">
        <v>253</v>
      </c>
      <c r="K131" s="6">
        <v>1977</v>
      </c>
      <c r="L131" s="14">
        <v>12</v>
      </c>
      <c r="M131" s="6">
        <v>1</v>
      </c>
      <c r="N131" s="6" t="s">
        <v>255</v>
      </c>
      <c r="O131" s="6" t="s">
        <v>288</v>
      </c>
      <c r="P131" s="6" t="s">
        <v>283</v>
      </c>
      <c r="Q131" s="6">
        <v>3000</v>
      </c>
      <c r="R131" s="6" t="s">
        <v>254</v>
      </c>
      <c r="S131" s="6" t="s">
        <v>258</v>
      </c>
      <c r="T131" s="6" t="s">
        <v>259</v>
      </c>
      <c r="U131" s="6" t="s">
        <v>263</v>
      </c>
      <c r="V131" s="6">
        <v>1000</v>
      </c>
      <c r="W131" s="6" t="s">
        <v>260</v>
      </c>
      <c r="X131" s="6">
        <v>5000</v>
      </c>
      <c r="Y131" s="6" t="s">
        <v>261</v>
      </c>
      <c r="Z131" s="6">
        <v>80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289</v>
      </c>
      <c r="AQ131" s="44">
        <v>12</v>
      </c>
      <c r="AR131" s="44" t="s">
        <v>34</v>
      </c>
      <c r="AS131" s="44" t="s">
        <v>253</v>
      </c>
      <c r="AT131" s="44" t="s">
        <v>279</v>
      </c>
      <c r="AU131" s="44">
        <v>12</v>
      </c>
      <c r="AV131" s="44">
        <v>1</v>
      </c>
      <c r="AW131" s="44" t="s">
        <v>269</v>
      </c>
      <c r="AX131" s="44" t="s">
        <v>288</v>
      </c>
      <c r="AY131" s="44" t="s">
        <v>283</v>
      </c>
      <c r="AZ131" s="44">
        <v>1</v>
      </c>
      <c r="BA131" s="44" t="s">
        <v>270</v>
      </c>
      <c r="BB131" s="44" t="s">
        <v>271</v>
      </c>
      <c r="BC131" s="44" t="s">
        <v>259</v>
      </c>
      <c r="BD131" s="44" t="s">
        <v>290</v>
      </c>
      <c r="BE131" s="44" t="s">
        <v>272</v>
      </c>
      <c r="BF131" s="44" t="s">
        <v>260</v>
      </c>
      <c r="BG131" s="44" t="s">
        <v>291</v>
      </c>
      <c r="BH131" s="44" t="s">
        <v>274</v>
      </c>
      <c r="BI131" s="44" t="s">
        <v>292</v>
      </c>
      <c r="BJ131" s="44" t="s">
        <v>263</v>
      </c>
      <c r="BK131" s="44" t="s">
        <v>253</v>
      </c>
      <c r="BL131" s="44" t="s">
        <v>253</v>
      </c>
      <c r="BM131" s="44" t="s">
        <v>253</v>
      </c>
      <c r="BN131" s="44" t="s">
        <v>263</v>
      </c>
      <c r="BO131" s="44" t="s">
        <v>253</v>
      </c>
      <c r="BP131" s="44" t="s">
        <v>253</v>
      </c>
      <c r="BQ131" s="44" t="s">
        <v>253</v>
      </c>
      <c r="BR131" s="44" t="s">
        <v>253</v>
      </c>
      <c r="BS131" s="44" t="s">
        <v>276</v>
      </c>
      <c r="BT131" s="44">
        <v>0</v>
      </c>
    </row>
    <row r="132" spans="1:72">
      <c r="A132" s="44">
        <v>2022</v>
      </c>
      <c r="B132" s="6">
        <v>12</v>
      </c>
      <c r="C132" s="6">
        <v>1</v>
      </c>
      <c r="D132" s="6">
        <v>20</v>
      </c>
      <c r="E132" s="6" t="s">
        <v>253</v>
      </c>
      <c r="F132" s="6" t="s">
        <v>254</v>
      </c>
      <c r="G132" s="6">
        <v>2016</v>
      </c>
      <c r="H132" s="6">
        <v>12</v>
      </c>
      <c r="I132" s="6" t="s">
        <v>34</v>
      </c>
      <c r="J132" s="6" t="s">
        <v>253</v>
      </c>
      <c r="K132" s="6">
        <v>1972</v>
      </c>
      <c r="L132" s="14">
        <v>12</v>
      </c>
      <c r="M132" s="6">
        <v>1</v>
      </c>
      <c r="N132" s="6" t="s">
        <v>255</v>
      </c>
      <c r="O132" s="6" t="s">
        <v>288</v>
      </c>
      <c r="P132" s="6" t="s">
        <v>283</v>
      </c>
      <c r="Q132" s="6">
        <v>3000</v>
      </c>
      <c r="R132" s="6" t="s">
        <v>254</v>
      </c>
      <c r="S132" s="6" t="s">
        <v>258</v>
      </c>
      <c r="T132" s="6" t="s">
        <v>259</v>
      </c>
      <c r="U132" s="6" t="s">
        <v>263</v>
      </c>
      <c r="V132" s="6">
        <v>1000</v>
      </c>
      <c r="W132" s="6" t="s">
        <v>260</v>
      </c>
      <c r="X132" s="6">
        <v>5000</v>
      </c>
      <c r="Y132" s="6" t="s">
        <v>261</v>
      </c>
      <c r="Z132" s="6">
        <v>80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289</v>
      </c>
      <c r="AQ132" s="44">
        <v>12</v>
      </c>
      <c r="AR132" s="44" t="s">
        <v>34</v>
      </c>
      <c r="AS132" s="44" t="s">
        <v>253</v>
      </c>
      <c r="AT132" s="44" t="s">
        <v>280</v>
      </c>
      <c r="AU132" s="44">
        <v>12</v>
      </c>
      <c r="AV132" s="44">
        <v>1</v>
      </c>
      <c r="AW132" s="44" t="s">
        <v>269</v>
      </c>
      <c r="AX132" s="44" t="s">
        <v>288</v>
      </c>
      <c r="AY132" s="44" t="s">
        <v>283</v>
      </c>
      <c r="AZ132" s="44">
        <v>1</v>
      </c>
      <c r="BA132" s="44" t="s">
        <v>270</v>
      </c>
      <c r="BB132" s="44" t="s">
        <v>271</v>
      </c>
      <c r="BC132" s="44" t="s">
        <v>259</v>
      </c>
      <c r="BD132" s="44" t="s">
        <v>290</v>
      </c>
      <c r="BE132" s="44" t="s">
        <v>272</v>
      </c>
      <c r="BF132" s="44" t="s">
        <v>260</v>
      </c>
      <c r="BG132" s="44" t="s">
        <v>291</v>
      </c>
      <c r="BH132" s="44" t="s">
        <v>274</v>
      </c>
      <c r="BI132" s="44" t="s">
        <v>292</v>
      </c>
      <c r="BJ132" s="44" t="s">
        <v>263</v>
      </c>
      <c r="BK132" s="44" t="s">
        <v>253</v>
      </c>
      <c r="BL132" s="44" t="s">
        <v>253</v>
      </c>
      <c r="BM132" s="44" t="s">
        <v>253</v>
      </c>
      <c r="BN132" s="44" t="s">
        <v>263</v>
      </c>
      <c r="BO132" s="44" t="s">
        <v>253</v>
      </c>
      <c r="BP132" s="44" t="s">
        <v>253</v>
      </c>
      <c r="BQ132" s="44" t="s">
        <v>253</v>
      </c>
      <c r="BR132" s="44" t="s">
        <v>253</v>
      </c>
      <c r="BS132" s="44" t="s">
        <v>276</v>
      </c>
      <c r="BT132" s="44">
        <v>0</v>
      </c>
    </row>
    <row r="133" spans="1:72">
      <c r="A133" s="44">
        <v>2022</v>
      </c>
      <c r="B133" s="6">
        <v>12</v>
      </c>
      <c r="C133" s="6">
        <v>1</v>
      </c>
      <c r="D133" s="6">
        <v>20</v>
      </c>
      <c r="E133" s="6" t="s">
        <v>253</v>
      </c>
      <c r="F133" s="6" t="s">
        <v>254</v>
      </c>
      <c r="G133" s="6">
        <v>2016</v>
      </c>
      <c r="H133" s="6">
        <v>12</v>
      </c>
      <c r="I133" s="6" t="s">
        <v>34</v>
      </c>
      <c r="J133" s="6" t="s">
        <v>253</v>
      </c>
      <c r="K133" s="6">
        <v>1962</v>
      </c>
      <c r="L133" s="14">
        <v>12</v>
      </c>
      <c r="M133" s="6">
        <v>1</v>
      </c>
      <c r="N133" s="6" t="s">
        <v>255</v>
      </c>
      <c r="O133" s="6" t="s">
        <v>288</v>
      </c>
      <c r="P133" s="6" t="s">
        <v>283</v>
      </c>
      <c r="Q133" s="6">
        <v>3000</v>
      </c>
      <c r="R133" s="6" t="s">
        <v>254</v>
      </c>
      <c r="S133" s="6" t="s">
        <v>258</v>
      </c>
      <c r="T133" s="6" t="s">
        <v>259</v>
      </c>
      <c r="U133" s="6" t="s">
        <v>263</v>
      </c>
      <c r="V133" s="6">
        <v>1000</v>
      </c>
      <c r="W133" s="6" t="s">
        <v>260</v>
      </c>
      <c r="X133" s="6">
        <v>5000</v>
      </c>
      <c r="Y133" s="6" t="s">
        <v>261</v>
      </c>
      <c r="Z133" s="6">
        <v>80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289</v>
      </c>
      <c r="AQ133" s="44">
        <v>12</v>
      </c>
      <c r="AR133" s="44" t="s">
        <v>34</v>
      </c>
      <c r="AS133" s="44" t="s">
        <v>253</v>
      </c>
      <c r="AT133" s="44" t="s">
        <v>281</v>
      </c>
      <c r="AU133" s="44">
        <v>12</v>
      </c>
      <c r="AV133" s="44">
        <v>1</v>
      </c>
      <c r="AW133" s="44" t="s">
        <v>269</v>
      </c>
      <c r="AX133" s="44" t="s">
        <v>288</v>
      </c>
      <c r="AY133" s="44" t="s">
        <v>283</v>
      </c>
      <c r="AZ133" s="44">
        <v>1</v>
      </c>
      <c r="BA133" s="44" t="s">
        <v>270</v>
      </c>
      <c r="BB133" s="44" t="s">
        <v>271</v>
      </c>
      <c r="BC133" s="44" t="s">
        <v>259</v>
      </c>
      <c r="BD133" s="44" t="s">
        <v>290</v>
      </c>
      <c r="BE133" s="44" t="s">
        <v>272</v>
      </c>
      <c r="BF133" s="44" t="s">
        <v>260</v>
      </c>
      <c r="BG133" s="44" t="s">
        <v>291</v>
      </c>
      <c r="BH133" s="44" t="s">
        <v>274</v>
      </c>
      <c r="BI133" s="44" t="s">
        <v>292</v>
      </c>
      <c r="BJ133" s="44" t="s">
        <v>263</v>
      </c>
      <c r="BK133" s="44" t="s">
        <v>253</v>
      </c>
      <c r="BL133" s="44" t="s">
        <v>253</v>
      </c>
      <c r="BM133" s="44" t="s">
        <v>253</v>
      </c>
      <c r="BN133" s="44" t="s">
        <v>263</v>
      </c>
      <c r="BO133" s="44" t="s">
        <v>253</v>
      </c>
      <c r="BP133" s="44" t="s">
        <v>253</v>
      </c>
      <c r="BQ133" s="44" t="s">
        <v>253</v>
      </c>
      <c r="BR133" s="44" t="s">
        <v>253</v>
      </c>
      <c r="BS133" s="44" t="s">
        <v>276</v>
      </c>
      <c r="BT133" s="44">
        <v>0</v>
      </c>
    </row>
    <row r="134" spans="1:72">
      <c r="A134" s="44">
        <v>2022</v>
      </c>
      <c r="B134" s="6">
        <v>12</v>
      </c>
      <c r="C134" s="6">
        <v>1</v>
      </c>
      <c r="D134" s="6">
        <v>20</v>
      </c>
      <c r="E134" s="6" t="s">
        <v>253</v>
      </c>
      <c r="F134" s="6" t="s">
        <v>254</v>
      </c>
      <c r="G134" s="6">
        <v>2016</v>
      </c>
      <c r="H134" s="6">
        <v>12</v>
      </c>
      <c r="I134" s="6" t="s">
        <v>34</v>
      </c>
      <c r="J134" s="6" t="s">
        <v>253</v>
      </c>
      <c r="K134" s="6">
        <v>1952</v>
      </c>
      <c r="L134" s="14">
        <v>12</v>
      </c>
      <c r="M134" s="6">
        <v>1</v>
      </c>
      <c r="N134" s="6" t="s">
        <v>255</v>
      </c>
      <c r="O134" s="6" t="s">
        <v>288</v>
      </c>
      <c r="P134" s="6" t="s">
        <v>283</v>
      </c>
      <c r="Q134" s="6">
        <v>3000</v>
      </c>
      <c r="R134" s="6" t="s">
        <v>254</v>
      </c>
      <c r="S134" s="6" t="s">
        <v>258</v>
      </c>
      <c r="T134" s="6" t="s">
        <v>259</v>
      </c>
      <c r="U134" s="6" t="s">
        <v>263</v>
      </c>
      <c r="V134" s="6">
        <v>1000</v>
      </c>
      <c r="W134" s="6" t="s">
        <v>260</v>
      </c>
      <c r="X134" s="6">
        <v>5000</v>
      </c>
      <c r="Y134" s="6" t="s">
        <v>261</v>
      </c>
      <c r="Z134" s="6">
        <v>80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289</v>
      </c>
      <c r="AQ134" s="44">
        <v>12</v>
      </c>
      <c r="AR134" s="44" t="s">
        <v>34</v>
      </c>
      <c r="AS134" s="44" t="s">
        <v>253</v>
      </c>
      <c r="AT134" s="44" t="s">
        <v>282</v>
      </c>
      <c r="AU134" s="44">
        <v>12</v>
      </c>
      <c r="AV134" s="44">
        <v>1</v>
      </c>
      <c r="AW134" s="44" t="s">
        <v>269</v>
      </c>
      <c r="AX134" s="44" t="s">
        <v>288</v>
      </c>
      <c r="AY134" s="44" t="s">
        <v>283</v>
      </c>
      <c r="AZ134" s="44">
        <v>1</v>
      </c>
      <c r="BA134" s="44" t="s">
        <v>270</v>
      </c>
      <c r="BB134" s="44" t="s">
        <v>271</v>
      </c>
      <c r="BC134" s="44" t="s">
        <v>259</v>
      </c>
      <c r="BD134" s="44" t="s">
        <v>290</v>
      </c>
      <c r="BE134" s="44" t="s">
        <v>272</v>
      </c>
      <c r="BF134" s="44" t="s">
        <v>260</v>
      </c>
      <c r="BG134" s="44" t="s">
        <v>291</v>
      </c>
      <c r="BH134" s="44" t="s">
        <v>274</v>
      </c>
      <c r="BI134" s="44" t="s">
        <v>292</v>
      </c>
      <c r="BJ134" s="44" t="s">
        <v>263</v>
      </c>
      <c r="BK134" s="44" t="s">
        <v>253</v>
      </c>
      <c r="BL134" s="44" t="s">
        <v>253</v>
      </c>
      <c r="BM134" s="44" t="s">
        <v>253</v>
      </c>
      <c r="BN134" s="44" t="s">
        <v>263</v>
      </c>
      <c r="BO134" s="44" t="s">
        <v>253</v>
      </c>
      <c r="BP134" s="44" t="s">
        <v>253</v>
      </c>
      <c r="BQ134" s="44" t="s">
        <v>253</v>
      </c>
      <c r="BR134" s="44" t="s">
        <v>253</v>
      </c>
      <c r="BS134" s="44" t="s">
        <v>276</v>
      </c>
      <c r="BT134" s="44">
        <v>0</v>
      </c>
    </row>
    <row r="135" spans="1:72">
      <c r="A135" s="44">
        <v>2022</v>
      </c>
      <c r="B135" s="6">
        <v>12</v>
      </c>
      <c r="C135" s="6">
        <v>1</v>
      </c>
      <c r="D135" s="6">
        <v>20</v>
      </c>
      <c r="E135" s="6" t="s">
        <v>253</v>
      </c>
      <c r="F135" s="6" t="s">
        <v>254</v>
      </c>
      <c r="G135" s="6">
        <v>2016</v>
      </c>
      <c r="H135" s="6">
        <v>12</v>
      </c>
      <c r="I135" s="6" t="s">
        <v>34</v>
      </c>
      <c r="J135" s="6" t="s">
        <v>253</v>
      </c>
      <c r="K135" s="6">
        <v>1992</v>
      </c>
      <c r="L135" s="14">
        <v>12</v>
      </c>
      <c r="M135" s="6">
        <v>1</v>
      </c>
      <c r="N135" s="6" t="s">
        <v>255</v>
      </c>
      <c r="O135" s="6" t="s">
        <v>288</v>
      </c>
      <c r="P135" s="6" t="s">
        <v>283</v>
      </c>
      <c r="Q135" s="6">
        <v>7000</v>
      </c>
      <c r="R135" s="6" t="s">
        <v>254</v>
      </c>
      <c r="S135" s="6" t="s">
        <v>258</v>
      </c>
      <c r="T135" s="6" t="s">
        <v>259</v>
      </c>
      <c r="U135" s="6" t="s">
        <v>263</v>
      </c>
      <c r="V135" s="6">
        <v>1000</v>
      </c>
      <c r="W135" s="6" t="s">
        <v>260</v>
      </c>
      <c r="X135" s="6">
        <v>5000</v>
      </c>
      <c r="Y135" s="6" t="s">
        <v>261</v>
      </c>
      <c r="Z135" s="6">
        <v>80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289</v>
      </c>
      <c r="AQ135" s="44">
        <v>12</v>
      </c>
      <c r="AR135" s="44" t="s">
        <v>34</v>
      </c>
      <c r="AS135" s="44" t="s">
        <v>253</v>
      </c>
      <c r="AT135" s="44" t="s">
        <v>268</v>
      </c>
      <c r="AU135" s="44">
        <v>12</v>
      </c>
      <c r="AV135" s="44">
        <v>1</v>
      </c>
      <c r="AW135" s="44" t="s">
        <v>269</v>
      </c>
      <c r="AX135" s="44" t="s">
        <v>288</v>
      </c>
      <c r="AY135" s="44" t="s">
        <v>283</v>
      </c>
      <c r="AZ135" s="44">
        <v>3</v>
      </c>
      <c r="BA135" s="44" t="s">
        <v>270</v>
      </c>
      <c r="BB135" s="44" t="s">
        <v>271</v>
      </c>
      <c r="BC135" s="44" t="s">
        <v>259</v>
      </c>
      <c r="BD135" s="44" t="s">
        <v>290</v>
      </c>
      <c r="BE135" s="44" t="s">
        <v>272</v>
      </c>
      <c r="BF135" s="44" t="s">
        <v>260</v>
      </c>
      <c r="BG135" s="44" t="s">
        <v>291</v>
      </c>
      <c r="BH135" s="44" t="s">
        <v>274</v>
      </c>
      <c r="BI135" s="44" t="s">
        <v>292</v>
      </c>
      <c r="BJ135" s="44" t="s">
        <v>263</v>
      </c>
      <c r="BK135" s="44" t="s">
        <v>253</v>
      </c>
      <c r="BL135" s="44" t="s">
        <v>253</v>
      </c>
      <c r="BM135" s="44" t="s">
        <v>253</v>
      </c>
      <c r="BN135" s="44" t="s">
        <v>263</v>
      </c>
      <c r="BO135" s="44" t="s">
        <v>253</v>
      </c>
      <c r="BP135" s="44" t="s">
        <v>253</v>
      </c>
      <c r="BQ135" s="44" t="s">
        <v>253</v>
      </c>
      <c r="BR135" s="44" t="s">
        <v>253</v>
      </c>
      <c r="BS135" s="44" t="s">
        <v>276</v>
      </c>
      <c r="BT135" s="44">
        <v>0</v>
      </c>
    </row>
    <row r="136" spans="1:72">
      <c r="A136" s="44">
        <v>2022</v>
      </c>
      <c r="B136" s="6">
        <v>12</v>
      </c>
      <c r="C136" s="6">
        <v>1</v>
      </c>
      <c r="D136" s="6">
        <v>20</v>
      </c>
      <c r="E136" s="6" t="s">
        <v>253</v>
      </c>
      <c r="F136" s="6" t="s">
        <v>254</v>
      </c>
      <c r="G136" s="6">
        <v>2016</v>
      </c>
      <c r="H136" s="6">
        <v>12</v>
      </c>
      <c r="I136" s="6" t="s">
        <v>34</v>
      </c>
      <c r="J136" s="6" t="s">
        <v>253</v>
      </c>
      <c r="K136" s="6">
        <v>1987</v>
      </c>
      <c r="L136" s="14">
        <v>12</v>
      </c>
      <c r="M136" s="6">
        <v>1</v>
      </c>
      <c r="N136" s="6" t="s">
        <v>255</v>
      </c>
      <c r="O136" s="6" t="s">
        <v>288</v>
      </c>
      <c r="P136" s="6" t="s">
        <v>283</v>
      </c>
      <c r="Q136" s="6">
        <v>7000</v>
      </c>
      <c r="R136" s="6" t="s">
        <v>254</v>
      </c>
      <c r="S136" s="6" t="s">
        <v>258</v>
      </c>
      <c r="T136" s="6" t="s">
        <v>259</v>
      </c>
      <c r="U136" s="6" t="s">
        <v>263</v>
      </c>
      <c r="V136" s="6">
        <v>1000</v>
      </c>
      <c r="W136" s="6" t="s">
        <v>260</v>
      </c>
      <c r="X136" s="6">
        <v>5000</v>
      </c>
      <c r="Y136" s="6" t="s">
        <v>261</v>
      </c>
      <c r="Z136" s="6">
        <v>80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289</v>
      </c>
      <c r="AQ136" s="44">
        <v>12</v>
      </c>
      <c r="AR136" s="44" t="s">
        <v>34</v>
      </c>
      <c r="AS136" s="44" t="s">
        <v>253</v>
      </c>
      <c r="AT136" s="44" t="s">
        <v>277</v>
      </c>
      <c r="AU136" s="44">
        <v>12</v>
      </c>
      <c r="AV136" s="44">
        <v>1</v>
      </c>
      <c r="AW136" s="44" t="s">
        <v>269</v>
      </c>
      <c r="AX136" s="44" t="s">
        <v>288</v>
      </c>
      <c r="AY136" s="44" t="s">
        <v>283</v>
      </c>
      <c r="AZ136" s="44">
        <v>3</v>
      </c>
      <c r="BA136" s="44" t="s">
        <v>270</v>
      </c>
      <c r="BB136" s="44" t="s">
        <v>271</v>
      </c>
      <c r="BC136" s="44" t="s">
        <v>259</v>
      </c>
      <c r="BD136" s="44" t="s">
        <v>290</v>
      </c>
      <c r="BE136" s="44" t="s">
        <v>272</v>
      </c>
      <c r="BF136" s="44" t="s">
        <v>260</v>
      </c>
      <c r="BG136" s="44" t="s">
        <v>291</v>
      </c>
      <c r="BH136" s="44" t="s">
        <v>274</v>
      </c>
      <c r="BI136" s="44" t="s">
        <v>292</v>
      </c>
      <c r="BJ136" s="44" t="s">
        <v>263</v>
      </c>
      <c r="BK136" s="44" t="s">
        <v>253</v>
      </c>
      <c r="BL136" s="44" t="s">
        <v>253</v>
      </c>
      <c r="BM136" s="44" t="s">
        <v>253</v>
      </c>
      <c r="BN136" s="44" t="s">
        <v>263</v>
      </c>
      <c r="BO136" s="44" t="s">
        <v>253</v>
      </c>
      <c r="BP136" s="44" t="s">
        <v>253</v>
      </c>
      <c r="BQ136" s="44" t="s">
        <v>253</v>
      </c>
      <c r="BR136" s="44" t="s">
        <v>253</v>
      </c>
      <c r="BS136" s="44" t="s">
        <v>276</v>
      </c>
      <c r="BT136" s="44">
        <v>0</v>
      </c>
    </row>
    <row r="137" spans="1:72">
      <c r="A137" s="44">
        <v>2022</v>
      </c>
      <c r="B137" s="6">
        <v>12</v>
      </c>
      <c r="C137" s="6">
        <v>1</v>
      </c>
      <c r="D137" s="6">
        <v>20</v>
      </c>
      <c r="E137" s="6" t="s">
        <v>253</v>
      </c>
      <c r="F137" s="6" t="s">
        <v>254</v>
      </c>
      <c r="G137" s="6">
        <v>2016</v>
      </c>
      <c r="H137" s="6">
        <v>12</v>
      </c>
      <c r="I137" s="6" t="s">
        <v>34</v>
      </c>
      <c r="J137" s="6" t="s">
        <v>253</v>
      </c>
      <c r="K137" s="6">
        <v>1982</v>
      </c>
      <c r="L137" s="14">
        <v>12</v>
      </c>
      <c r="M137" s="6">
        <v>1</v>
      </c>
      <c r="N137" s="6" t="s">
        <v>255</v>
      </c>
      <c r="O137" s="6" t="s">
        <v>288</v>
      </c>
      <c r="P137" s="6" t="s">
        <v>283</v>
      </c>
      <c r="Q137" s="6">
        <v>7000</v>
      </c>
      <c r="R137" s="6" t="s">
        <v>254</v>
      </c>
      <c r="S137" s="6" t="s">
        <v>258</v>
      </c>
      <c r="T137" s="6" t="s">
        <v>259</v>
      </c>
      <c r="U137" s="6" t="s">
        <v>263</v>
      </c>
      <c r="V137" s="6">
        <v>1000</v>
      </c>
      <c r="W137" s="6" t="s">
        <v>260</v>
      </c>
      <c r="X137" s="6">
        <v>5000</v>
      </c>
      <c r="Y137" s="6" t="s">
        <v>261</v>
      </c>
      <c r="Z137" s="6">
        <v>80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289</v>
      </c>
      <c r="AQ137" s="44">
        <v>12</v>
      </c>
      <c r="AR137" s="44" t="s">
        <v>34</v>
      </c>
      <c r="AS137" s="44" t="s">
        <v>253</v>
      </c>
      <c r="AT137" s="44" t="s">
        <v>278</v>
      </c>
      <c r="AU137" s="44">
        <v>12</v>
      </c>
      <c r="AV137" s="44">
        <v>1</v>
      </c>
      <c r="AW137" s="44" t="s">
        <v>269</v>
      </c>
      <c r="AX137" s="44" t="s">
        <v>288</v>
      </c>
      <c r="AY137" s="44" t="s">
        <v>283</v>
      </c>
      <c r="AZ137" s="44">
        <v>3</v>
      </c>
      <c r="BA137" s="44" t="s">
        <v>270</v>
      </c>
      <c r="BB137" s="44" t="s">
        <v>271</v>
      </c>
      <c r="BC137" s="44" t="s">
        <v>259</v>
      </c>
      <c r="BD137" s="44" t="s">
        <v>290</v>
      </c>
      <c r="BE137" s="44" t="s">
        <v>272</v>
      </c>
      <c r="BF137" s="44" t="s">
        <v>260</v>
      </c>
      <c r="BG137" s="44" t="s">
        <v>291</v>
      </c>
      <c r="BH137" s="44" t="s">
        <v>274</v>
      </c>
      <c r="BI137" s="44" t="s">
        <v>292</v>
      </c>
      <c r="BJ137" s="44" t="s">
        <v>263</v>
      </c>
      <c r="BK137" s="44" t="s">
        <v>253</v>
      </c>
      <c r="BL137" s="44" t="s">
        <v>253</v>
      </c>
      <c r="BM137" s="44" t="s">
        <v>253</v>
      </c>
      <c r="BN137" s="44" t="s">
        <v>263</v>
      </c>
      <c r="BO137" s="44" t="s">
        <v>253</v>
      </c>
      <c r="BP137" s="44" t="s">
        <v>253</v>
      </c>
      <c r="BQ137" s="44" t="s">
        <v>253</v>
      </c>
      <c r="BR137" s="44" t="s">
        <v>253</v>
      </c>
      <c r="BS137" s="44" t="s">
        <v>276</v>
      </c>
      <c r="BT137" s="44">
        <v>0</v>
      </c>
    </row>
    <row r="138" spans="1:72">
      <c r="A138" s="44">
        <v>2022</v>
      </c>
      <c r="B138" s="6">
        <v>12</v>
      </c>
      <c r="C138" s="6">
        <v>1</v>
      </c>
      <c r="D138" s="6">
        <v>20</v>
      </c>
      <c r="E138" s="6" t="s">
        <v>253</v>
      </c>
      <c r="F138" s="6" t="s">
        <v>254</v>
      </c>
      <c r="G138" s="6">
        <v>2016</v>
      </c>
      <c r="H138" s="6">
        <v>12</v>
      </c>
      <c r="I138" s="6" t="s">
        <v>34</v>
      </c>
      <c r="J138" s="6" t="s">
        <v>253</v>
      </c>
      <c r="K138" s="6">
        <v>1977</v>
      </c>
      <c r="L138" s="14">
        <v>12</v>
      </c>
      <c r="M138" s="6">
        <v>1</v>
      </c>
      <c r="N138" s="6" t="s">
        <v>255</v>
      </c>
      <c r="O138" s="6" t="s">
        <v>288</v>
      </c>
      <c r="P138" s="6" t="s">
        <v>283</v>
      </c>
      <c r="Q138" s="6">
        <v>7000</v>
      </c>
      <c r="R138" s="6" t="s">
        <v>254</v>
      </c>
      <c r="S138" s="6" t="s">
        <v>258</v>
      </c>
      <c r="T138" s="6" t="s">
        <v>259</v>
      </c>
      <c r="U138" s="6" t="s">
        <v>263</v>
      </c>
      <c r="V138" s="6">
        <v>1000</v>
      </c>
      <c r="W138" s="6" t="s">
        <v>260</v>
      </c>
      <c r="X138" s="6">
        <v>5000</v>
      </c>
      <c r="Y138" s="6" t="s">
        <v>261</v>
      </c>
      <c r="Z138" s="6">
        <v>80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289</v>
      </c>
      <c r="AQ138" s="44">
        <v>12</v>
      </c>
      <c r="AR138" s="44" t="s">
        <v>34</v>
      </c>
      <c r="AS138" s="44" t="s">
        <v>253</v>
      </c>
      <c r="AT138" s="44" t="s">
        <v>279</v>
      </c>
      <c r="AU138" s="44">
        <v>12</v>
      </c>
      <c r="AV138" s="44">
        <v>1</v>
      </c>
      <c r="AW138" s="44" t="s">
        <v>269</v>
      </c>
      <c r="AX138" s="44" t="s">
        <v>288</v>
      </c>
      <c r="AY138" s="44" t="s">
        <v>283</v>
      </c>
      <c r="AZ138" s="44">
        <v>3</v>
      </c>
      <c r="BA138" s="44" t="s">
        <v>270</v>
      </c>
      <c r="BB138" s="44" t="s">
        <v>271</v>
      </c>
      <c r="BC138" s="44" t="s">
        <v>259</v>
      </c>
      <c r="BD138" s="44" t="s">
        <v>290</v>
      </c>
      <c r="BE138" s="44" t="s">
        <v>272</v>
      </c>
      <c r="BF138" s="44" t="s">
        <v>260</v>
      </c>
      <c r="BG138" s="44" t="s">
        <v>291</v>
      </c>
      <c r="BH138" s="44" t="s">
        <v>274</v>
      </c>
      <c r="BI138" s="44" t="s">
        <v>292</v>
      </c>
      <c r="BJ138" s="44" t="s">
        <v>263</v>
      </c>
      <c r="BK138" s="44" t="s">
        <v>253</v>
      </c>
      <c r="BL138" s="44" t="s">
        <v>253</v>
      </c>
      <c r="BM138" s="44" t="s">
        <v>253</v>
      </c>
      <c r="BN138" s="44" t="s">
        <v>263</v>
      </c>
      <c r="BO138" s="44" t="s">
        <v>253</v>
      </c>
      <c r="BP138" s="44" t="s">
        <v>253</v>
      </c>
      <c r="BQ138" s="44" t="s">
        <v>253</v>
      </c>
      <c r="BR138" s="44" t="s">
        <v>253</v>
      </c>
      <c r="BS138" s="44" t="s">
        <v>276</v>
      </c>
      <c r="BT138" s="44">
        <v>0</v>
      </c>
    </row>
    <row r="139" spans="1:72">
      <c r="A139" s="44">
        <v>2022</v>
      </c>
      <c r="B139" s="6">
        <v>12</v>
      </c>
      <c r="C139" s="6">
        <v>1</v>
      </c>
      <c r="D139" s="6">
        <v>20</v>
      </c>
      <c r="E139" s="6" t="s">
        <v>253</v>
      </c>
      <c r="F139" s="6" t="s">
        <v>254</v>
      </c>
      <c r="G139" s="6">
        <v>2016</v>
      </c>
      <c r="H139" s="6">
        <v>12</v>
      </c>
      <c r="I139" s="6" t="s">
        <v>34</v>
      </c>
      <c r="J139" s="6" t="s">
        <v>253</v>
      </c>
      <c r="K139" s="6">
        <v>1972</v>
      </c>
      <c r="L139" s="14">
        <v>12</v>
      </c>
      <c r="M139" s="6">
        <v>1</v>
      </c>
      <c r="N139" s="6" t="s">
        <v>255</v>
      </c>
      <c r="O139" s="6" t="s">
        <v>288</v>
      </c>
      <c r="P139" s="6" t="s">
        <v>283</v>
      </c>
      <c r="Q139" s="6">
        <v>7000</v>
      </c>
      <c r="R139" s="6" t="s">
        <v>254</v>
      </c>
      <c r="S139" s="6" t="s">
        <v>258</v>
      </c>
      <c r="T139" s="6" t="s">
        <v>259</v>
      </c>
      <c r="U139" s="6" t="s">
        <v>263</v>
      </c>
      <c r="V139" s="6">
        <v>1000</v>
      </c>
      <c r="W139" s="6" t="s">
        <v>260</v>
      </c>
      <c r="X139" s="6">
        <v>5000</v>
      </c>
      <c r="Y139" s="6" t="s">
        <v>261</v>
      </c>
      <c r="Z139" s="6">
        <v>80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289</v>
      </c>
      <c r="AQ139" s="44">
        <v>12</v>
      </c>
      <c r="AR139" s="44" t="s">
        <v>34</v>
      </c>
      <c r="AS139" s="44" t="s">
        <v>253</v>
      </c>
      <c r="AT139" s="44" t="s">
        <v>280</v>
      </c>
      <c r="AU139" s="44">
        <v>12</v>
      </c>
      <c r="AV139" s="44">
        <v>1</v>
      </c>
      <c r="AW139" s="44" t="s">
        <v>269</v>
      </c>
      <c r="AX139" s="44" t="s">
        <v>288</v>
      </c>
      <c r="AY139" s="44" t="s">
        <v>283</v>
      </c>
      <c r="AZ139" s="44">
        <v>3</v>
      </c>
      <c r="BA139" s="44" t="s">
        <v>270</v>
      </c>
      <c r="BB139" s="44" t="s">
        <v>271</v>
      </c>
      <c r="BC139" s="44" t="s">
        <v>259</v>
      </c>
      <c r="BD139" s="44" t="s">
        <v>290</v>
      </c>
      <c r="BE139" s="44" t="s">
        <v>272</v>
      </c>
      <c r="BF139" s="44" t="s">
        <v>260</v>
      </c>
      <c r="BG139" s="44" t="s">
        <v>291</v>
      </c>
      <c r="BH139" s="44" t="s">
        <v>274</v>
      </c>
      <c r="BI139" s="44" t="s">
        <v>292</v>
      </c>
      <c r="BJ139" s="44" t="s">
        <v>263</v>
      </c>
      <c r="BK139" s="44" t="s">
        <v>253</v>
      </c>
      <c r="BL139" s="44" t="s">
        <v>253</v>
      </c>
      <c r="BM139" s="44" t="s">
        <v>253</v>
      </c>
      <c r="BN139" s="44" t="s">
        <v>263</v>
      </c>
      <c r="BO139" s="44" t="s">
        <v>253</v>
      </c>
      <c r="BP139" s="44" t="s">
        <v>253</v>
      </c>
      <c r="BQ139" s="44" t="s">
        <v>253</v>
      </c>
      <c r="BR139" s="44" t="s">
        <v>253</v>
      </c>
      <c r="BS139" s="44" t="s">
        <v>276</v>
      </c>
      <c r="BT139" s="44">
        <v>0</v>
      </c>
    </row>
    <row r="140" spans="1:72">
      <c r="A140" s="44">
        <v>2022</v>
      </c>
      <c r="B140" s="6">
        <v>12</v>
      </c>
      <c r="C140" s="6">
        <v>1</v>
      </c>
      <c r="D140" s="6">
        <v>20</v>
      </c>
      <c r="E140" s="6" t="s">
        <v>253</v>
      </c>
      <c r="F140" s="6" t="s">
        <v>254</v>
      </c>
      <c r="G140" s="6">
        <v>2016</v>
      </c>
      <c r="H140" s="6">
        <v>12</v>
      </c>
      <c r="I140" s="6" t="s">
        <v>34</v>
      </c>
      <c r="J140" s="6" t="s">
        <v>253</v>
      </c>
      <c r="K140" s="6">
        <v>1962</v>
      </c>
      <c r="L140" s="14">
        <v>12</v>
      </c>
      <c r="M140" s="6">
        <v>1</v>
      </c>
      <c r="N140" s="6" t="s">
        <v>255</v>
      </c>
      <c r="O140" s="6" t="s">
        <v>288</v>
      </c>
      <c r="P140" s="6" t="s">
        <v>283</v>
      </c>
      <c r="Q140" s="6">
        <v>7000</v>
      </c>
      <c r="R140" s="6" t="s">
        <v>254</v>
      </c>
      <c r="S140" s="6" t="s">
        <v>258</v>
      </c>
      <c r="T140" s="6" t="s">
        <v>259</v>
      </c>
      <c r="U140" s="6" t="s">
        <v>263</v>
      </c>
      <c r="V140" s="6">
        <v>1000</v>
      </c>
      <c r="W140" s="6" t="s">
        <v>260</v>
      </c>
      <c r="X140" s="6">
        <v>5000</v>
      </c>
      <c r="Y140" s="6" t="s">
        <v>261</v>
      </c>
      <c r="Z140" s="6">
        <v>80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289</v>
      </c>
      <c r="AQ140" s="44">
        <v>12</v>
      </c>
      <c r="AR140" s="44" t="s">
        <v>34</v>
      </c>
      <c r="AS140" s="44" t="s">
        <v>253</v>
      </c>
      <c r="AT140" s="44" t="s">
        <v>281</v>
      </c>
      <c r="AU140" s="44">
        <v>12</v>
      </c>
      <c r="AV140" s="44">
        <v>1</v>
      </c>
      <c r="AW140" s="44" t="s">
        <v>269</v>
      </c>
      <c r="AX140" s="44" t="s">
        <v>288</v>
      </c>
      <c r="AY140" s="44" t="s">
        <v>283</v>
      </c>
      <c r="AZ140" s="44">
        <v>3</v>
      </c>
      <c r="BA140" s="44" t="s">
        <v>270</v>
      </c>
      <c r="BB140" s="44" t="s">
        <v>271</v>
      </c>
      <c r="BC140" s="44" t="s">
        <v>259</v>
      </c>
      <c r="BD140" s="44" t="s">
        <v>290</v>
      </c>
      <c r="BE140" s="44" t="s">
        <v>272</v>
      </c>
      <c r="BF140" s="44" t="s">
        <v>260</v>
      </c>
      <c r="BG140" s="44" t="s">
        <v>291</v>
      </c>
      <c r="BH140" s="44" t="s">
        <v>274</v>
      </c>
      <c r="BI140" s="44" t="s">
        <v>292</v>
      </c>
      <c r="BJ140" s="44" t="s">
        <v>263</v>
      </c>
      <c r="BK140" s="44" t="s">
        <v>253</v>
      </c>
      <c r="BL140" s="44" t="s">
        <v>253</v>
      </c>
      <c r="BM140" s="44" t="s">
        <v>253</v>
      </c>
      <c r="BN140" s="44" t="s">
        <v>263</v>
      </c>
      <c r="BO140" s="44" t="s">
        <v>253</v>
      </c>
      <c r="BP140" s="44" t="s">
        <v>253</v>
      </c>
      <c r="BQ140" s="44" t="s">
        <v>253</v>
      </c>
      <c r="BR140" s="44" t="s">
        <v>253</v>
      </c>
      <c r="BS140" s="44" t="s">
        <v>276</v>
      </c>
      <c r="BT140" s="44">
        <v>0</v>
      </c>
    </row>
    <row r="141" spans="1:72">
      <c r="A141" s="44">
        <v>2022</v>
      </c>
      <c r="B141" s="6">
        <v>12</v>
      </c>
      <c r="C141" s="6">
        <v>1</v>
      </c>
      <c r="D141" s="6">
        <v>20</v>
      </c>
      <c r="E141" s="6" t="s">
        <v>253</v>
      </c>
      <c r="F141" s="6" t="s">
        <v>254</v>
      </c>
      <c r="G141" s="6">
        <v>2016</v>
      </c>
      <c r="H141" s="6">
        <v>12</v>
      </c>
      <c r="I141" s="6" t="s">
        <v>34</v>
      </c>
      <c r="J141" s="6" t="s">
        <v>253</v>
      </c>
      <c r="K141" s="6">
        <v>1952</v>
      </c>
      <c r="L141" s="14">
        <v>12</v>
      </c>
      <c r="M141" s="6">
        <v>1</v>
      </c>
      <c r="N141" s="6" t="s">
        <v>255</v>
      </c>
      <c r="O141" s="6" t="s">
        <v>288</v>
      </c>
      <c r="P141" s="6" t="s">
        <v>283</v>
      </c>
      <c r="Q141" s="6">
        <v>7000</v>
      </c>
      <c r="R141" s="6" t="s">
        <v>254</v>
      </c>
      <c r="S141" s="6" t="s">
        <v>258</v>
      </c>
      <c r="T141" s="6" t="s">
        <v>259</v>
      </c>
      <c r="U141" s="6" t="s">
        <v>263</v>
      </c>
      <c r="V141" s="6">
        <v>1000</v>
      </c>
      <c r="W141" s="6" t="s">
        <v>260</v>
      </c>
      <c r="X141" s="6">
        <v>5000</v>
      </c>
      <c r="Y141" s="6" t="s">
        <v>261</v>
      </c>
      <c r="Z141" s="6">
        <v>80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289</v>
      </c>
      <c r="AQ141" s="44">
        <v>12</v>
      </c>
      <c r="AR141" s="44" t="s">
        <v>34</v>
      </c>
      <c r="AS141" s="44" t="s">
        <v>253</v>
      </c>
      <c r="AT141" s="44" t="s">
        <v>282</v>
      </c>
      <c r="AU141" s="44">
        <v>12</v>
      </c>
      <c r="AV141" s="44">
        <v>1</v>
      </c>
      <c r="AW141" s="44" t="s">
        <v>269</v>
      </c>
      <c r="AX141" s="44" t="s">
        <v>288</v>
      </c>
      <c r="AY141" s="44" t="s">
        <v>283</v>
      </c>
      <c r="AZ141" s="44">
        <v>3</v>
      </c>
      <c r="BA141" s="44" t="s">
        <v>270</v>
      </c>
      <c r="BB141" s="44" t="s">
        <v>271</v>
      </c>
      <c r="BC141" s="44" t="s">
        <v>259</v>
      </c>
      <c r="BD141" s="44" t="s">
        <v>290</v>
      </c>
      <c r="BE141" s="44" t="s">
        <v>272</v>
      </c>
      <c r="BF141" s="44" t="s">
        <v>260</v>
      </c>
      <c r="BG141" s="44" t="s">
        <v>291</v>
      </c>
      <c r="BH141" s="44" t="s">
        <v>274</v>
      </c>
      <c r="BI141" s="44" t="s">
        <v>292</v>
      </c>
      <c r="BJ141" s="44" t="s">
        <v>263</v>
      </c>
      <c r="BK141" s="44" t="s">
        <v>253</v>
      </c>
      <c r="BL141" s="44" t="s">
        <v>253</v>
      </c>
      <c r="BM141" s="44" t="s">
        <v>253</v>
      </c>
      <c r="BN141" s="44" t="s">
        <v>263</v>
      </c>
      <c r="BO141" s="44" t="s">
        <v>253</v>
      </c>
      <c r="BP141" s="44" t="s">
        <v>253</v>
      </c>
      <c r="BQ141" s="44" t="s">
        <v>253</v>
      </c>
      <c r="BR141" s="44" t="s">
        <v>253</v>
      </c>
      <c r="BS141" s="44" t="s">
        <v>276</v>
      </c>
      <c r="BT141" s="44">
        <v>0</v>
      </c>
    </row>
    <row r="142" spans="1:72">
      <c r="A142" s="44">
        <v>2022</v>
      </c>
      <c r="B142" s="6">
        <v>12</v>
      </c>
      <c r="C142" s="6">
        <v>1</v>
      </c>
      <c r="D142" s="6">
        <v>17</v>
      </c>
      <c r="E142" s="6" t="s">
        <v>253</v>
      </c>
      <c r="F142" s="6" t="s">
        <v>254</v>
      </c>
      <c r="G142" s="6">
        <v>2016</v>
      </c>
      <c r="H142" s="6">
        <v>12</v>
      </c>
      <c r="I142" s="6" t="s">
        <v>34</v>
      </c>
      <c r="J142" s="6" t="s">
        <v>253</v>
      </c>
      <c r="K142" s="6">
        <v>1992</v>
      </c>
      <c r="L142" s="14">
        <v>12</v>
      </c>
      <c r="M142" s="6">
        <v>1</v>
      </c>
      <c r="N142" s="6" t="s">
        <v>255</v>
      </c>
      <c r="O142" s="6" t="s">
        <v>288</v>
      </c>
      <c r="P142" s="6" t="s">
        <v>257</v>
      </c>
      <c r="Q142" s="6">
        <v>3000</v>
      </c>
      <c r="R142" s="6" t="s">
        <v>254</v>
      </c>
      <c r="S142" s="6" t="s">
        <v>258</v>
      </c>
      <c r="T142" s="6" t="s">
        <v>259</v>
      </c>
      <c r="U142" s="6" t="s">
        <v>263</v>
      </c>
      <c r="V142" s="6">
        <v>1000</v>
      </c>
      <c r="W142" s="6" t="s">
        <v>260</v>
      </c>
      <c r="X142" s="6">
        <v>5000</v>
      </c>
      <c r="Y142" s="6" t="s">
        <v>261</v>
      </c>
      <c r="Z142" s="6">
        <v>80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284</v>
      </c>
      <c r="AN142" s="44" t="s">
        <v>253</v>
      </c>
      <c r="AO142" s="44" t="s">
        <v>266</v>
      </c>
      <c r="AP142" s="44" t="s">
        <v>289</v>
      </c>
      <c r="AQ142" s="44">
        <v>12</v>
      </c>
      <c r="AR142" s="44" t="s">
        <v>34</v>
      </c>
      <c r="AS142" s="44" t="s">
        <v>253</v>
      </c>
      <c r="AT142" s="44" t="s">
        <v>268</v>
      </c>
      <c r="AU142" s="44">
        <v>12</v>
      </c>
      <c r="AV142" s="44">
        <v>1</v>
      </c>
      <c r="AW142" s="44" t="s">
        <v>269</v>
      </c>
      <c r="AX142" s="44" t="s">
        <v>288</v>
      </c>
      <c r="AY142" s="44" t="s">
        <v>257</v>
      </c>
      <c r="AZ142" s="44">
        <v>1</v>
      </c>
      <c r="BA142" s="44" t="s">
        <v>270</v>
      </c>
      <c r="BB142" s="44" t="s">
        <v>271</v>
      </c>
      <c r="BC142" s="44" t="s">
        <v>259</v>
      </c>
      <c r="BD142" s="44" t="s">
        <v>290</v>
      </c>
      <c r="BE142" s="44" t="s">
        <v>272</v>
      </c>
      <c r="BF142" s="44" t="s">
        <v>260</v>
      </c>
      <c r="BG142" s="44" t="s">
        <v>291</v>
      </c>
      <c r="BH142" s="44" t="s">
        <v>274</v>
      </c>
      <c r="BI142" s="44" t="s">
        <v>292</v>
      </c>
      <c r="BJ142" s="44" t="s">
        <v>263</v>
      </c>
      <c r="BK142" s="44" t="s">
        <v>253</v>
      </c>
      <c r="BL142" s="44" t="s">
        <v>253</v>
      </c>
      <c r="BM142" s="44" t="s">
        <v>253</v>
      </c>
      <c r="BN142" s="44" t="s">
        <v>263</v>
      </c>
      <c r="BO142" s="44" t="s">
        <v>253</v>
      </c>
      <c r="BP142" s="44" t="s">
        <v>253</v>
      </c>
      <c r="BQ142" s="44" t="s">
        <v>253</v>
      </c>
      <c r="BR142" s="44" t="s">
        <v>253</v>
      </c>
      <c r="BS142" s="44" t="s">
        <v>276</v>
      </c>
      <c r="BT142" s="44">
        <v>0</v>
      </c>
    </row>
    <row r="143" spans="1:72">
      <c r="A143" s="44">
        <v>2022</v>
      </c>
      <c r="B143" s="6">
        <v>12</v>
      </c>
      <c r="C143" s="6">
        <v>1</v>
      </c>
      <c r="D143" s="6">
        <v>17</v>
      </c>
      <c r="E143" s="6" t="s">
        <v>253</v>
      </c>
      <c r="F143" s="6" t="s">
        <v>254</v>
      </c>
      <c r="G143" s="6">
        <v>2016</v>
      </c>
      <c r="H143" s="6">
        <v>12</v>
      </c>
      <c r="I143" s="6" t="s">
        <v>34</v>
      </c>
      <c r="J143" s="6" t="s">
        <v>253</v>
      </c>
      <c r="K143" s="6">
        <v>1987</v>
      </c>
      <c r="L143" s="14">
        <v>12</v>
      </c>
      <c r="M143" s="6">
        <v>1</v>
      </c>
      <c r="N143" s="6" t="s">
        <v>255</v>
      </c>
      <c r="O143" s="6" t="s">
        <v>288</v>
      </c>
      <c r="P143" s="6" t="s">
        <v>257</v>
      </c>
      <c r="Q143" s="6">
        <v>3000</v>
      </c>
      <c r="R143" s="6" t="s">
        <v>254</v>
      </c>
      <c r="S143" s="6" t="s">
        <v>258</v>
      </c>
      <c r="T143" s="6" t="s">
        <v>259</v>
      </c>
      <c r="U143" s="6" t="s">
        <v>263</v>
      </c>
      <c r="V143" s="6">
        <v>1000</v>
      </c>
      <c r="W143" s="6" t="s">
        <v>260</v>
      </c>
      <c r="X143" s="6">
        <v>5000</v>
      </c>
      <c r="Y143" s="6" t="s">
        <v>261</v>
      </c>
      <c r="Z143" s="6">
        <v>80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284</v>
      </c>
      <c r="AN143" s="44" t="s">
        <v>253</v>
      </c>
      <c r="AO143" s="44" t="s">
        <v>266</v>
      </c>
      <c r="AP143" s="44" t="s">
        <v>289</v>
      </c>
      <c r="AQ143" s="44">
        <v>12</v>
      </c>
      <c r="AR143" s="44" t="s">
        <v>34</v>
      </c>
      <c r="AS143" s="44" t="s">
        <v>253</v>
      </c>
      <c r="AT143" s="44" t="s">
        <v>277</v>
      </c>
      <c r="AU143" s="44">
        <v>12</v>
      </c>
      <c r="AV143" s="44">
        <v>1</v>
      </c>
      <c r="AW143" s="44" t="s">
        <v>269</v>
      </c>
      <c r="AX143" s="44" t="s">
        <v>288</v>
      </c>
      <c r="AY143" s="44" t="s">
        <v>257</v>
      </c>
      <c r="AZ143" s="44">
        <v>1</v>
      </c>
      <c r="BA143" s="44" t="s">
        <v>270</v>
      </c>
      <c r="BB143" s="44" t="s">
        <v>271</v>
      </c>
      <c r="BC143" s="44" t="s">
        <v>259</v>
      </c>
      <c r="BD143" s="44" t="s">
        <v>290</v>
      </c>
      <c r="BE143" s="44" t="s">
        <v>272</v>
      </c>
      <c r="BF143" s="44" t="s">
        <v>260</v>
      </c>
      <c r="BG143" s="44" t="s">
        <v>291</v>
      </c>
      <c r="BH143" s="44" t="s">
        <v>274</v>
      </c>
      <c r="BI143" s="44" t="s">
        <v>292</v>
      </c>
      <c r="BJ143" s="44" t="s">
        <v>263</v>
      </c>
      <c r="BK143" s="44" t="s">
        <v>253</v>
      </c>
      <c r="BL143" s="44" t="s">
        <v>253</v>
      </c>
      <c r="BM143" s="44" t="s">
        <v>253</v>
      </c>
      <c r="BN143" s="44" t="s">
        <v>263</v>
      </c>
      <c r="BO143" s="44" t="s">
        <v>253</v>
      </c>
      <c r="BP143" s="44" t="s">
        <v>253</v>
      </c>
      <c r="BQ143" s="44" t="s">
        <v>253</v>
      </c>
      <c r="BR143" s="44" t="s">
        <v>253</v>
      </c>
      <c r="BS143" s="44" t="s">
        <v>276</v>
      </c>
      <c r="BT143" s="44">
        <v>0</v>
      </c>
    </row>
    <row r="144" spans="1:72">
      <c r="A144" s="44">
        <v>2022</v>
      </c>
      <c r="B144" s="6">
        <v>12</v>
      </c>
      <c r="C144" s="6">
        <v>1</v>
      </c>
      <c r="D144" s="6">
        <v>17</v>
      </c>
      <c r="E144" s="6" t="s">
        <v>253</v>
      </c>
      <c r="F144" s="6" t="s">
        <v>254</v>
      </c>
      <c r="G144" s="6">
        <v>2016</v>
      </c>
      <c r="H144" s="6">
        <v>12</v>
      </c>
      <c r="I144" s="6" t="s">
        <v>34</v>
      </c>
      <c r="J144" s="6" t="s">
        <v>253</v>
      </c>
      <c r="K144" s="6">
        <v>1982</v>
      </c>
      <c r="L144" s="14">
        <v>12</v>
      </c>
      <c r="M144" s="6">
        <v>1</v>
      </c>
      <c r="N144" s="6" t="s">
        <v>255</v>
      </c>
      <c r="O144" s="6" t="s">
        <v>288</v>
      </c>
      <c r="P144" s="6" t="s">
        <v>257</v>
      </c>
      <c r="Q144" s="6">
        <v>3000</v>
      </c>
      <c r="R144" s="6" t="s">
        <v>254</v>
      </c>
      <c r="S144" s="6" t="s">
        <v>258</v>
      </c>
      <c r="T144" s="6" t="s">
        <v>259</v>
      </c>
      <c r="U144" s="6" t="s">
        <v>263</v>
      </c>
      <c r="V144" s="6">
        <v>1000</v>
      </c>
      <c r="W144" s="6" t="s">
        <v>260</v>
      </c>
      <c r="X144" s="6">
        <v>5000</v>
      </c>
      <c r="Y144" s="6" t="s">
        <v>261</v>
      </c>
      <c r="Z144" s="6">
        <v>80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284</v>
      </c>
      <c r="AN144" s="44" t="s">
        <v>253</v>
      </c>
      <c r="AO144" s="44" t="s">
        <v>266</v>
      </c>
      <c r="AP144" s="44" t="s">
        <v>289</v>
      </c>
      <c r="AQ144" s="44">
        <v>12</v>
      </c>
      <c r="AR144" s="44" t="s">
        <v>34</v>
      </c>
      <c r="AS144" s="44" t="s">
        <v>253</v>
      </c>
      <c r="AT144" s="44" t="s">
        <v>278</v>
      </c>
      <c r="AU144" s="44">
        <v>12</v>
      </c>
      <c r="AV144" s="44">
        <v>1</v>
      </c>
      <c r="AW144" s="44" t="s">
        <v>269</v>
      </c>
      <c r="AX144" s="44" t="s">
        <v>288</v>
      </c>
      <c r="AY144" s="44" t="s">
        <v>257</v>
      </c>
      <c r="AZ144" s="44">
        <v>1</v>
      </c>
      <c r="BA144" s="44" t="s">
        <v>270</v>
      </c>
      <c r="BB144" s="44" t="s">
        <v>271</v>
      </c>
      <c r="BC144" s="44" t="s">
        <v>259</v>
      </c>
      <c r="BD144" s="44" t="s">
        <v>290</v>
      </c>
      <c r="BE144" s="44" t="s">
        <v>272</v>
      </c>
      <c r="BF144" s="44" t="s">
        <v>260</v>
      </c>
      <c r="BG144" s="44" t="s">
        <v>291</v>
      </c>
      <c r="BH144" s="44" t="s">
        <v>274</v>
      </c>
      <c r="BI144" s="44" t="s">
        <v>292</v>
      </c>
      <c r="BJ144" s="44" t="s">
        <v>263</v>
      </c>
      <c r="BK144" s="44" t="s">
        <v>253</v>
      </c>
      <c r="BL144" s="44" t="s">
        <v>253</v>
      </c>
      <c r="BM144" s="44" t="s">
        <v>253</v>
      </c>
      <c r="BN144" s="44" t="s">
        <v>263</v>
      </c>
      <c r="BO144" s="44" t="s">
        <v>253</v>
      </c>
      <c r="BP144" s="44" t="s">
        <v>253</v>
      </c>
      <c r="BQ144" s="44" t="s">
        <v>253</v>
      </c>
      <c r="BR144" s="44" t="s">
        <v>253</v>
      </c>
      <c r="BS144" s="44" t="s">
        <v>276</v>
      </c>
      <c r="BT144" s="44">
        <v>0</v>
      </c>
    </row>
    <row r="145" spans="1:72">
      <c r="A145" s="44">
        <v>2022</v>
      </c>
      <c r="B145" s="6">
        <v>12</v>
      </c>
      <c r="C145" s="6">
        <v>1</v>
      </c>
      <c r="D145" s="6">
        <v>17</v>
      </c>
      <c r="E145" s="6" t="s">
        <v>253</v>
      </c>
      <c r="F145" s="6" t="s">
        <v>254</v>
      </c>
      <c r="G145" s="6">
        <v>2016</v>
      </c>
      <c r="H145" s="6">
        <v>12</v>
      </c>
      <c r="I145" s="6" t="s">
        <v>34</v>
      </c>
      <c r="J145" s="6" t="s">
        <v>253</v>
      </c>
      <c r="K145" s="6">
        <v>1977</v>
      </c>
      <c r="L145" s="14">
        <v>12</v>
      </c>
      <c r="M145" s="6">
        <v>1</v>
      </c>
      <c r="N145" s="6" t="s">
        <v>255</v>
      </c>
      <c r="O145" s="6" t="s">
        <v>288</v>
      </c>
      <c r="P145" s="6" t="s">
        <v>257</v>
      </c>
      <c r="Q145" s="6">
        <v>3000</v>
      </c>
      <c r="R145" s="6" t="s">
        <v>254</v>
      </c>
      <c r="S145" s="6" t="s">
        <v>258</v>
      </c>
      <c r="T145" s="6" t="s">
        <v>259</v>
      </c>
      <c r="U145" s="6" t="s">
        <v>263</v>
      </c>
      <c r="V145" s="6">
        <v>1000</v>
      </c>
      <c r="W145" s="6" t="s">
        <v>260</v>
      </c>
      <c r="X145" s="6">
        <v>5000</v>
      </c>
      <c r="Y145" s="6" t="s">
        <v>261</v>
      </c>
      <c r="Z145" s="6">
        <v>80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284</v>
      </c>
      <c r="AN145" s="44" t="s">
        <v>253</v>
      </c>
      <c r="AO145" s="44" t="s">
        <v>266</v>
      </c>
      <c r="AP145" s="44" t="s">
        <v>289</v>
      </c>
      <c r="AQ145" s="44">
        <v>12</v>
      </c>
      <c r="AR145" s="44" t="s">
        <v>34</v>
      </c>
      <c r="AS145" s="44" t="s">
        <v>253</v>
      </c>
      <c r="AT145" s="44" t="s">
        <v>279</v>
      </c>
      <c r="AU145" s="44">
        <v>12</v>
      </c>
      <c r="AV145" s="44">
        <v>1</v>
      </c>
      <c r="AW145" s="44" t="s">
        <v>269</v>
      </c>
      <c r="AX145" s="44" t="s">
        <v>288</v>
      </c>
      <c r="AY145" s="44" t="s">
        <v>257</v>
      </c>
      <c r="AZ145" s="44">
        <v>1</v>
      </c>
      <c r="BA145" s="44" t="s">
        <v>270</v>
      </c>
      <c r="BB145" s="44" t="s">
        <v>271</v>
      </c>
      <c r="BC145" s="44" t="s">
        <v>259</v>
      </c>
      <c r="BD145" s="44" t="s">
        <v>290</v>
      </c>
      <c r="BE145" s="44" t="s">
        <v>272</v>
      </c>
      <c r="BF145" s="44" t="s">
        <v>260</v>
      </c>
      <c r="BG145" s="44" t="s">
        <v>291</v>
      </c>
      <c r="BH145" s="44" t="s">
        <v>274</v>
      </c>
      <c r="BI145" s="44" t="s">
        <v>292</v>
      </c>
      <c r="BJ145" s="44" t="s">
        <v>263</v>
      </c>
      <c r="BK145" s="44" t="s">
        <v>253</v>
      </c>
      <c r="BL145" s="44" t="s">
        <v>253</v>
      </c>
      <c r="BM145" s="44" t="s">
        <v>253</v>
      </c>
      <c r="BN145" s="44" t="s">
        <v>263</v>
      </c>
      <c r="BO145" s="44" t="s">
        <v>253</v>
      </c>
      <c r="BP145" s="44" t="s">
        <v>253</v>
      </c>
      <c r="BQ145" s="44" t="s">
        <v>253</v>
      </c>
      <c r="BR145" s="44" t="s">
        <v>253</v>
      </c>
      <c r="BS145" s="44" t="s">
        <v>276</v>
      </c>
      <c r="BT145" s="44">
        <v>0</v>
      </c>
    </row>
    <row r="146" spans="1:72">
      <c r="A146" s="44">
        <v>2022</v>
      </c>
      <c r="B146" s="6">
        <v>12</v>
      </c>
      <c r="C146" s="6">
        <v>1</v>
      </c>
      <c r="D146" s="6">
        <v>17</v>
      </c>
      <c r="E146" s="6" t="s">
        <v>253</v>
      </c>
      <c r="F146" s="6" t="s">
        <v>254</v>
      </c>
      <c r="G146" s="6">
        <v>2016</v>
      </c>
      <c r="H146" s="6">
        <v>12</v>
      </c>
      <c r="I146" s="6" t="s">
        <v>34</v>
      </c>
      <c r="J146" s="6" t="s">
        <v>253</v>
      </c>
      <c r="K146" s="6">
        <v>1972</v>
      </c>
      <c r="L146" s="14">
        <v>12</v>
      </c>
      <c r="M146" s="6">
        <v>1</v>
      </c>
      <c r="N146" s="6" t="s">
        <v>255</v>
      </c>
      <c r="O146" s="6" t="s">
        <v>288</v>
      </c>
      <c r="P146" s="6" t="s">
        <v>257</v>
      </c>
      <c r="Q146" s="6">
        <v>3000</v>
      </c>
      <c r="R146" s="6" t="s">
        <v>254</v>
      </c>
      <c r="S146" s="6" t="s">
        <v>258</v>
      </c>
      <c r="T146" s="6" t="s">
        <v>259</v>
      </c>
      <c r="U146" s="6" t="s">
        <v>263</v>
      </c>
      <c r="V146" s="6">
        <v>1000</v>
      </c>
      <c r="W146" s="6" t="s">
        <v>260</v>
      </c>
      <c r="X146" s="6">
        <v>5000</v>
      </c>
      <c r="Y146" s="6" t="s">
        <v>261</v>
      </c>
      <c r="Z146" s="6">
        <v>80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284</v>
      </c>
      <c r="AN146" s="44" t="s">
        <v>253</v>
      </c>
      <c r="AO146" s="44" t="s">
        <v>266</v>
      </c>
      <c r="AP146" s="44" t="s">
        <v>289</v>
      </c>
      <c r="AQ146" s="44">
        <v>12</v>
      </c>
      <c r="AR146" s="44" t="s">
        <v>34</v>
      </c>
      <c r="AS146" s="44" t="s">
        <v>253</v>
      </c>
      <c r="AT146" s="44" t="s">
        <v>280</v>
      </c>
      <c r="AU146" s="44">
        <v>12</v>
      </c>
      <c r="AV146" s="44">
        <v>1</v>
      </c>
      <c r="AW146" s="44" t="s">
        <v>269</v>
      </c>
      <c r="AX146" s="44" t="s">
        <v>288</v>
      </c>
      <c r="AY146" s="44" t="s">
        <v>257</v>
      </c>
      <c r="AZ146" s="44">
        <v>1</v>
      </c>
      <c r="BA146" s="44" t="s">
        <v>270</v>
      </c>
      <c r="BB146" s="44" t="s">
        <v>271</v>
      </c>
      <c r="BC146" s="44" t="s">
        <v>259</v>
      </c>
      <c r="BD146" s="44" t="s">
        <v>290</v>
      </c>
      <c r="BE146" s="44" t="s">
        <v>272</v>
      </c>
      <c r="BF146" s="44" t="s">
        <v>260</v>
      </c>
      <c r="BG146" s="44" t="s">
        <v>291</v>
      </c>
      <c r="BH146" s="44" t="s">
        <v>274</v>
      </c>
      <c r="BI146" s="44" t="s">
        <v>292</v>
      </c>
      <c r="BJ146" s="44" t="s">
        <v>263</v>
      </c>
      <c r="BK146" s="44" t="s">
        <v>253</v>
      </c>
      <c r="BL146" s="44" t="s">
        <v>253</v>
      </c>
      <c r="BM146" s="44" t="s">
        <v>253</v>
      </c>
      <c r="BN146" s="44" t="s">
        <v>263</v>
      </c>
      <c r="BO146" s="44" t="s">
        <v>253</v>
      </c>
      <c r="BP146" s="44" t="s">
        <v>253</v>
      </c>
      <c r="BQ146" s="44" t="s">
        <v>253</v>
      </c>
      <c r="BR146" s="44" t="s">
        <v>253</v>
      </c>
      <c r="BS146" s="44" t="s">
        <v>276</v>
      </c>
      <c r="BT146" s="44">
        <v>0</v>
      </c>
    </row>
    <row r="147" spans="1:72">
      <c r="A147" s="44">
        <v>2022</v>
      </c>
      <c r="B147" s="6">
        <v>12</v>
      </c>
      <c r="C147" s="6">
        <v>1</v>
      </c>
      <c r="D147" s="6">
        <v>17</v>
      </c>
      <c r="E147" s="6" t="s">
        <v>253</v>
      </c>
      <c r="F147" s="6" t="s">
        <v>254</v>
      </c>
      <c r="G147" s="6">
        <v>2016</v>
      </c>
      <c r="H147" s="6">
        <v>12</v>
      </c>
      <c r="I147" s="6" t="s">
        <v>34</v>
      </c>
      <c r="J147" s="6" t="s">
        <v>253</v>
      </c>
      <c r="K147" s="6">
        <v>1962</v>
      </c>
      <c r="L147" s="14">
        <v>12</v>
      </c>
      <c r="M147" s="6">
        <v>1</v>
      </c>
      <c r="N147" s="6" t="s">
        <v>255</v>
      </c>
      <c r="O147" s="6" t="s">
        <v>288</v>
      </c>
      <c r="P147" s="6" t="s">
        <v>257</v>
      </c>
      <c r="Q147" s="6">
        <v>3000</v>
      </c>
      <c r="R147" s="6" t="s">
        <v>254</v>
      </c>
      <c r="S147" s="6" t="s">
        <v>258</v>
      </c>
      <c r="T147" s="6" t="s">
        <v>259</v>
      </c>
      <c r="U147" s="6" t="s">
        <v>263</v>
      </c>
      <c r="V147" s="6">
        <v>1000</v>
      </c>
      <c r="W147" s="6" t="s">
        <v>260</v>
      </c>
      <c r="X147" s="6">
        <v>5000</v>
      </c>
      <c r="Y147" s="6" t="s">
        <v>261</v>
      </c>
      <c r="Z147" s="6">
        <v>80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284</v>
      </c>
      <c r="AN147" s="44" t="s">
        <v>253</v>
      </c>
      <c r="AO147" s="44" t="s">
        <v>266</v>
      </c>
      <c r="AP147" s="44" t="s">
        <v>289</v>
      </c>
      <c r="AQ147" s="44">
        <v>12</v>
      </c>
      <c r="AR147" s="44" t="s">
        <v>34</v>
      </c>
      <c r="AS147" s="44" t="s">
        <v>253</v>
      </c>
      <c r="AT147" s="44" t="s">
        <v>281</v>
      </c>
      <c r="AU147" s="44">
        <v>12</v>
      </c>
      <c r="AV147" s="44">
        <v>1</v>
      </c>
      <c r="AW147" s="44" t="s">
        <v>269</v>
      </c>
      <c r="AX147" s="44" t="s">
        <v>288</v>
      </c>
      <c r="AY147" s="44" t="s">
        <v>257</v>
      </c>
      <c r="AZ147" s="44">
        <v>1</v>
      </c>
      <c r="BA147" s="44" t="s">
        <v>270</v>
      </c>
      <c r="BB147" s="44" t="s">
        <v>271</v>
      </c>
      <c r="BC147" s="44" t="s">
        <v>259</v>
      </c>
      <c r="BD147" s="44" t="s">
        <v>290</v>
      </c>
      <c r="BE147" s="44" t="s">
        <v>272</v>
      </c>
      <c r="BF147" s="44" t="s">
        <v>260</v>
      </c>
      <c r="BG147" s="44" t="s">
        <v>291</v>
      </c>
      <c r="BH147" s="44" t="s">
        <v>274</v>
      </c>
      <c r="BI147" s="44" t="s">
        <v>292</v>
      </c>
      <c r="BJ147" s="44" t="s">
        <v>263</v>
      </c>
      <c r="BK147" s="44" t="s">
        <v>253</v>
      </c>
      <c r="BL147" s="44" t="s">
        <v>253</v>
      </c>
      <c r="BM147" s="44" t="s">
        <v>253</v>
      </c>
      <c r="BN147" s="44" t="s">
        <v>263</v>
      </c>
      <c r="BO147" s="44" t="s">
        <v>253</v>
      </c>
      <c r="BP147" s="44" t="s">
        <v>253</v>
      </c>
      <c r="BQ147" s="44" t="s">
        <v>253</v>
      </c>
      <c r="BR147" s="44" t="s">
        <v>253</v>
      </c>
      <c r="BS147" s="44" t="s">
        <v>276</v>
      </c>
      <c r="BT147" s="44">
        <v>0</v>
      </c>
    </row>
    <row r="148" spans="1:72">
      <c r="A148" s="44">
        <v>2022</v>
      </c>
      <c r="B148" s="6">
        <v>12</v>
      </c>
      <c r="C148" s="6">
        <v>1</v>
      </c>
      <c r="D148" s="6">
        <v>17</v>
      </c>
      <c r="E148" s="6" t="s">
        <v>253</v>
      </c>
      <c r="F148" s="6" t="s">
        <v>254</v>
      </c>
      <c r="G148" s="6">
        <v>2016</v>
      </c>
      <c r="H148" s="6">
        <v>12</v>
      </c>
      <c r="I148" s="6" t="s">
        <v>34</v>
      </c>
      <c r="J148" s="6" t="s">
        <v>253</v>
      </c>
      <c r="K148" s="6">
        <v>1952</v>
      </c>
      <c r="L148" s="14">
        <v>12</v>
      </c>
      <c r="M148" s="6">
        <v>1</v>
      </c>
      <c r="N148" s="6" t="s">
        <v>255</v>
      </c>
      <c r="O148" s="6" t="s">
        <v>288</v>
      </c>
      <c r="P148" s="6" t="s">
        <v>257</v>
      </c>
      <c r="Q148" s="6">
        <v>3000</v>
      </c>
      <c r="R148" s="6" t="s">
        <v>254</v>
      </c>
      <c r="S148" s="6" t="s">
        <v>258</v>
      </c>
      <c r="T148" s="6" t="s">
        <v>259</v>
      </c>
      <c r="U148" s="6" t="s">
        <v>263</v>
      </c>
      <c r="V148" s="6">
        <v>1000</v>
      </c>
      <c r="W148" s="6" t="s">
        <v>260</v>
      </c>
      <c r="X148" s="6">
        <v>5000</v>
      </c>
      <c r="Y148" s="6" t="s">
        <v>261</v>
      </c>
      <c r="Z148" s="6">
        <v>80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284</v>
      </c>
      <c r="AN148" s="44" t="s">
        <v>253</v>
      </c>
      <c r="AO148" s="44" t="s">
        <v>266</v>
      </c>
      <c r="AP148" s="44" t="s">
        <v>289</v>
      </c>
      <c r="AQ148" s="44">
        <v>12</v>
      </c>
      <c r="AR148" s="44" t="s">
        <v>34</v>
      </c>
      <c r="AS148" s="44" t="s">
        <v>253</v>
      </c>
      <c r="AT148" s="44" t="s">
        <v>282</v>
      </c>
      <c r="AU148" s="44">
        <v>12</v>
      </c>
      <c r="AV148" s="44">
        <v>1</v>
      </c>
      <c r="AW148" s="44" t="s">
        <v>269</v>
      </c>
      <c r="AX148" s="44" t="s">
        <v>288</v>
      </c>
      <c r="AY148" s="44" t="s">
        <v>257</v>
      </c>
      <c r="AZ148" s="44">
        <v>1</v>
      </c>
      <c r="BA148" s="44" t="s">
        <v>270</v>
      </c>
      <c r="BB148" s="44" t="s">
        <v>271</v>
      </c>
      <c r="BC148" s="44" t="s">
        <v>259</v>
      </c>
      <c r="BD148" s="44" t="s">
        <v>290</v>
      </c>
      <c r="BE148" s="44" t="s">
        <v>272</v>
      </c>
      <c r="BF148" s="44" t="s">
        <v>260</v>
      </c>
      <c r="BG148" s="44" t="s">
        <v>291</v>
      </c>
      <c r="BH148" s="44" t="s">
        <v>274</v>
      </c>
      <c r="BI148" s="44" t="s">
        <v>292</v>
      </c>
      <c r="BJ148" s="44" t="s">
        <v>263</v>
      </c>
      <c r="BK148" s="44" t="s">
        <v>253</v>
      </c>
      <c r="BL148" s="44" t="s">
        <v>253</v>
      </c>
      <c r="BM148" s="44" t="s">
        <v>253</v>
      </c>
      <c r="BN148" s="44" t="s">
        <v>263</v>
      </c>
      <c r="BO148" s="44" t="s">
        <v>253</v>
      </c>
      <c r="BP148" s="44" t="s">
        <v>253</v>
      </c>
      <c r="BQ148" s="44" t="s">
        <v>253</v>
      </c>
      <c r="BR148" s="44" t="s">
        <v>253</v>
      </c>
      <c r="BS148" s="44" t="s">
        <v>276</v>
      </c>
      <c r="BT148" s="44">
        <v>0</v>
      </c>
    </row>
    <row r="149" spans="1:72">
      <c r="A149" s="44">
        <v>2022</v>
      </c>
      <c r="B149" s="6">
        <v>12</v>
      </c>
      <c r="C149" s="6">
        <v>1</v>
      </c>
      <c r="D149" s="6">
        <v>17</v>
      </c>
      <c r="E149" s="6" t="s">
        <v>253</v>
      </c>
      <c r="F149" s="6" t="s">
        <v>254</v>
      </c>
      <c r="G149" s="6">
        <v>2016</v>
      </c>
      <c r="H149" s="6">
        <v>12</v>
      </c>
      <c r="I149" s="6" t="s">
        <v>34</v>
      </c>
      <c r="J149" s="6" t="s">
        <v>253</v>
      </c>
      <c r="K149" s="6">
        <v>1992</v>
      </c>
      <c r="L149" s="14">
        <v>12</v>
      </c>
      <c r="M149" s="6">
        <v>1</v>
      </c>
      <c r="N149" s="6" t="s">
        <v>255</v>
      </c>
      <c r="O149" s="6" t="s">
        <v>288</v>
      </c>
      <c r="P149" s="6" t="s">
        <v>257</v>
      </c>
      <c r="Q149" s="6">
        <v>7000</v>
      </c>
      <c r="R149" s="6" t="s">
        <v>254</v>
      </c>
      <c r="S149" s="6" t="s">
        <v>258</v>
      </c>
      <c r="T149" s="6" t="s">
        <v>259</v>
      </c>
      <c r="U149" s="6" t="s">
        <v>263</v>
      </c>
      <c r="V149" s="6">
        <v>1000</v>
      </c>
      <c r="W149" s="6" t="s">
        <v>260</v>
      </c>
      <c r="X149" s="6">
        <v>5000</v>
      </c>
      <c r="Y149" s="6" t="s">
        <v>261</v>
      </c>
      <c r="Z149" s="6">
        <v>80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284</v>
      </c>
      <c r="AN149" s="44" t="s">
        <v>253</v>
      </c>
      <c r="AO149" s="44" t="s">
        <v>266</v>
      </c>
      <c r="AP149" s="44" t="s">
        <v>289</v>
      </c>
      <c r="AQ149" s="44">
        <v>12</v>
      </c>
      <c r="AR149" s="44" t="s">
        <v>34</v>
      </c>
      <c r="AS149" s="44" t="s">
        <v>253</v>
      </c>
      <c r="AT149" s="44" t="s">
        <v>268</v>
      </c>
      <c r="AU149" s="44">
        <v>12</v>
      </c>
      <c r="AV149" s="44">
        <v>1</v>
      </c>
      <c r="AW149" s="44" t="s">
        <v>269</v>
      </c>
      <c r="AX149" s="44" t="s">
        <v>288</v>
      </c>
      <c r="AY149" s="44" t="s">
        <v>257</v>
      </c>
      <c r="AZ149" s="44">
        <v>3</v>
      </c>
      <c r="BA149" s="44" t="s">
        <v>270</v>
      </c>
      <c r="BB149" s="44" t="s">
        <v>271</v>
      </c>
      <c r="BC149" s="44" t="s">
        <v>259</v>
      </c>
      <c r="BD149" s="44" t="s">
        <v>290</v>
      </c>
      <c r="BE149" s="44" t="s">
        <v>272</v>
      </c>
      <c r="BF149" s="44" t="s">
        <v>260</v>
      </c>
      <c r="BG149" s="44" t="s">
        <v>291</v>
      </c>
      <c r="BH149" s="44" t="s">
        <v>274</v>
      </c>
      <c r="BI149" s="44" t="s">
        <v>292</v>
      </c>
      <c r="BJ149" s="44" t="s">
        <v>263</v>
      </c>
      <c r="BK149" s="44" t="s">
        <v>253</v>
      </c>
      <c r="BL149" s="44" t="s">
        <v>253</v>
      </c>
      <c r="BM149" s="44" t="s">
        <v>253</v>
      </c>
      <c r="BN149" s="44" t="s">
        <v>263</v>
      </c>
      <c r="BO149" s="44" t="s">
        <v>253</v>
      </c>
      <c r="BP149" s="44" t="s">
        <v>253</v>
      </c>
      <c r="BQ149" s="44" t="s">
        <v>253</v>
      </c>
      <c r="BR149" s="44" t="s">
        <v>253</v>
      </c>
      <c r="BS149" s="44" t="s">
        <v>276</v>
      </c>
      <c r="BT149" s="44">
        <v>0</v>
      </c>
    </row>
    <row r="150" spans="1:72">
      <c r="A150" s="44">
        <v>2022</v>
      </c>
      <c r="B150" s="6">
        <v>12</v>
      </c>
      <c r="C150" s="6">
        <v>1</v>
      </c>
      <c r="D150" s="6">
        <v>17</v>
      </c>
      <c r="E150" s="6" t="s">
        <v>253</v>
      </c>
      <c r="F150" s="6" t="s">
        <v>254</v>
      </c>
      <c r="G150" s="6">
        <v>2016</v>
      </c>
      <c r="H150" s="6">
        <v>12</v>
      </c>
      <c r="I150" s="6" t="s">
        <v>34</v>
      </c>
      <c r="J150" s="6" t="s">
        <v>253</v>
      </c>
      <c r="K150" s="6">
        <v>1987</v>
      </c>
      <c r="L150" s="14">
        <v>12</v>
      </c>
      <c r="M150" s="6">
        <v>1</v>
      </c>
      <c r="N150" s="6" t="s">
        <v>255</v>
      </c>
      <c r="O150" s="6" t="s">
        <v>288</v>
      </c>
      <c r="P150" s="6" t="s">
        <v>257</v>
      </c>
      <c r="Q150" s="6">
        <v>7000</v>
      </c>
      <c r="R150" s="6" t="s">
        <v>254</v>
      </c>
      <c r="S150" s="6" t="s">
        <v>258</v>
      </c>
      <c r="T150" s="6" t="s">
        <v>259</v>
      </c>
      <c r="U150" s="6" t="s">
        <v>263</v>
      </c>
      <c r="V150" s="6">
        <v>1000</v>
      </c>
      <c r="W150" s="6" t="s">
        <v>260</v>
      </c>
      <c r="X150" s="6">
        <v>5000</v>
      </c>
      <c r="Y150" s="6" t="s">
        <v>261</v>
      </c>
      <c r="Z150" s="6">
        <v>80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284</v>
      </c>
      <c r="AN150" s="44" t="s">
        <v>253</v>
      </c>
      <c r="AO150" s="44" t="s">
        <v>266</v>
      </c>
      <c r="AP150" s="44" t="s">
        <v>289</v>
      </c>
      <c r="AQ150" s="44">
        <v>12</v>
      </c>
      <c r="AR150" s="44" t="s">
        <v>34</v>
      </c>
      <c r="AS150" s="44" t="s">
        <v>253</v>
      </c>
      <c r="AT150" s="44" t="s">
        <v>277</v>
      </c>
      <c r="AU150" s="44">
        <v>12</v>
      </c>
      <c r="AV150" s="44">
        <v>1</v>
      </c>
      <c r="AW150" s="44" t="s">
        <v>269</v>
      </c>
      <c r="AX150" s="44" t="s">
        <v>288</v>
      </c>
      <c r="AY150" s="44" t="s">
        <v>257</v>
      </c>
      <c r="AZ150" s="44">
        <v>3</v>
      </c>
      <c r="BA150" s="44" t="s">
        <v>270</v>
      </c>
      <c r="BB150" s="44" t="s">
        <v>271</v>
      </c>
      <c r="BC150" s="44" t="s">
        <v>259</v>
      </c>
      <c r="BD150" s="44" t="s">
        <v>290</v>
      </c>
      <c r="BE150" s="44" t="s">
        <v>272</v>
      </c>
      <c r="BF150" s="44" t="s">
        <v>260</v>
      </c>
      <c r="BG150" s="44" t="s">
        <v>291</v>
      </c>
      <c r="BH150" s="44" t="s">
        <v>274</v>
      </c>
      <c r="BI150" s="44" t="s">
        <v>292</v>
      </c>
      <c r="BJ150" s="44" t="s">
        <v>263</v>
      </c>
      <c r="BK150" s="44" t="s">
        <v>253</v>
      </c>
      <c r="BL150" s="44" t="s">
        <v>253</v>
      </c>
      <c r="BM150" s="44" t="s">
        <v>253</v>
      </c>
      <c r="BN150" s="44" t="s">
        <v>263</v>
      </c>
      <c r="BO150" s="44" t="s">
        <v>253</v>
      </c>
      <c r="BP150" s="44" t="s">
        <v>253</v>
      </c>
      <c r="BQ150" s="44" t="s">
        <v>253</v>
      </c>
      <c r="BR150" s="44" t="s">
        <v>253</v>
      </c>
      <c r="BS150" s="44" t="s">
        <v>276</v>
      </c>
      <c r="BT150" s="44">
        <v>0</v>
      </c>
    </row>
    <row r="151" spans="1:72">
      <c r="A151" s="44">
        <v>2022</v>
      </c>
      <c r="B151" s="6">
        <v>12</v>
      </c>
      <c r="C151" s="6">
        <v>1</v>
      </c>
      <c r="D151" s="6">
        <v>17</v>
      </c>
      <c r="E151" s="6" t="s">
        <v>253</v>
      </c>
      <c r="F151" s="6" t="s">
        <v>254</v>
      </c>
      <c r="G151" s="6">
        <v>2016</v>
      </c>
      <c r="H151" s="6">
        <v>12</v>
      </c>
      <c r="I151" s="6" t="s">
        <v>34</v>
      </c>
      <c r="J151" s="6" t="s">
        <v>253</v>
      </c>
      <c r="K151" s="6">
        <v>1982</v>
      </c>
      <c r="L151" s="14">
        <v>12</v>
      </c>
      <c r="M151" s="6">
        <v>1</v>
      </c>
      <c r="N151" s="6" t="s">
        <v>255</v>
      </c>
      <c r="O151" s="6" t="s">
        <v>288</v>
      </c>
      <c r="P151" s="6" t="s">
        <v>257</v>
      </c>
      <c r="Q151" s="6">
        <v>7000</v>
      </c>
      <c r="R151" s="6" t="s">
        <v>254</v>
      </c>
      <c r="S151" s="6" t="s">
        <v>258</v>
      </c>
      <c r="T151" s="6" t="s">
        <v>259</v>
      </c>
      <c r="U151" s="6" t="s">
        <v>263</v>
      </c>
      <c r="V151" s="6">
        <v>1000</v>
      </c>
      <c r="W151" s="6" t="s">
        <v>260</v>
      </c>
      <c r="X151" s="6">
        <v>5000</v>
      </c>
      <c r="Y151" s="6" t="s">
        <v>261</v>
      </c>
      <c r="Z151" s="6">
        <v>80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284</v>
      </c>
      <c r="AN151" s="44" t="s">
        <v>253</v>
      </c>
      <c r="AO151" s="44" t="s">
        <v>266</v>
      </c>
      <c r="AP151" s="44" t="s">
        <v>289</v>
      </c>
      <c r="AQ151" s="44">
        <v>12</v>
      </c>
      <c r="AR151" s="44" t="s">
        <v>34</v>
      </c>
      <c r="AS151" s="44" t="s">
        <v>253</v>
      </c>
      <c r="AT151" s="44" t="s">
        <v>278</v>
      </c>
      <c r="AU151" s="44">
        <v>12</v>
      </c>
      <c r="AV151" s="44">
        <v>1</v>
      </c>
      <c r="AW151" s="44" t="s">
        <v>269</v>
      </c>
      <c r="AX151" s="44" t="s">
        <v>288</v>
      </c>
      <c r="AY151" s="44" t="s">
        <v>257</v>
      </c>
      <c r="AZ151" s="44">
        <v>3</v>
      </c>
      <c r="BA151" s="44" t="s">
        <v>270</v>
      </c>
      <c r="BB151" s="44" t="s">
        <v>271</v>
      </c>
      <c r="BC151" s="44" t="s">
        <v>259</v>
      </c>
      <c r="BD151" s="44" t="s">
        <v>290</v>
      </c>
      <c r="BE151" s="44" t="s">
        <v>272</v>
      </c>
      <c r="BF151" s="44" t="s">
        <v>260</v>
      </c>
      <c r="BG151" s="44" t="s">
        <v>291</v>
      </c>
      <c r="BH151" s="44" t="s">
        <v>274</v>
      </c>
      <c r="BI151" s="44" t="s">
        <v>292</v>
      </c>
      <c r="BJ151" s="44" t="s">
        <v>263</v>
      </c>
      <c r="BK151" s="44" t="s">
        <v>253</v>
      </c>
      <c r="BL151" s="44" t="s">
        <v>253</v>
      </c>
      <c r="BM151" s="44" t="s">
        <v>253</v>
      </c>
      <c r="BN151" s="44" t="s">
        <v>263</v>
      </c>
      <c r="BO151" s="44" t="s">
        <v>253</v>
      </c>
      <c r="BP151" s="44" t="s">
        <v>253</v>
      </c>
      <c r="BQ151" s="44" t="s">
        <v>253</v>
      </c>
      <c r="BR151" s="44" t="s">
        <v>253</v>
      </c>
      <c r="BS151" s="44" t="s">
        <v>276</v>
      </c>
      <c r="BT151" s="44">
        <v>0</v>
      </c>
    </row>
    <row r="152" spans="1:72">
      <c r="A152" s="44">
        <v>2022</v>
      </c>
      <c r="B152" s="6">
        <v>12</v>
      </c>
      <c r="C152" s="6">
        <v>1</v>
      </c>
      <c r="D152" s="6">
        <v>17</v>
      </c>
      <c r="E152" s="6" t="s">
        <v>253</v>
      </c>
      <c r="F152" s="6" t="s">
        <v>254</v>
      </c>
      <c r="G152" s="6">
        <v>2016</v>
      </c>
      <c r="H152" s="6">
        <v>12</v>
      </c>
      <c r="I152" s="6" t="s">
        <v>34</v>
      </c>
      <c r="J152" s="6" t="s">
        <v>253</v>
      </c>
      <c r="K152" s="6">
        <v>1977</v>
      </c>
      <c r="L152" s="14">
        <v>12</v>
      </c>
      <c r="M152" s="6">
        <v>1</v>
      </c>
      <c r="N152" s="6" t="s">
        <v>255</v>
      </c>
      <c r="O152" s="6" t="s">
        <v>288</v>
      </c>
      <c r="P152" s="6" t="s">
        <v>257</v>
      </c>
      <c r="Q152" s="6">
        <v>7000</v>
      </c>
      <c r="R152" s="6" t="s">
        <v>254</v>
      </c>
      <c r="S152" s="6" t="s">
        <v>258</v>
      </c>
      <c r="T152" s="6" t="s">
        <v>259</v>
      </c>
      <c r="U152" s="6" t="s">
        <v>263</v>
      </c>
      <c r="V152" s="6">
        <v>1000</v>
      </c>
      <c r="W152" s="6" t="s">
        <v>260</v>
      </c>
      <c r="X152" s="6">
        <v>5000</v>
      </c>
      <c r="Y152" s="6" t="s">
        <v>261</v>
      </c>
      <c r="Z152" s="6">
        <v>80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284</v>
      </c>
      <c r="AN152" s="44" t="s">
        <v>253</v>
      </c>
      <c r="AO152" s="44" t="s">
        <v>266</v>
      </c>
      <c r="AP152" s="44" t="s">
        <v>289</v>
      </c>
      <c r="AQ152" s="44">
        <v>12</v>
      </c>
      <c r="AR152" s="44" t="s">
        <v>34</v>
      </c>
      <c r="AS152" s="44" t="s">
        <v>253</v>
      </c>
      <c r="AT152" s="44" t="s">
        <v>279</v>
      </c>
      <c r="AU152" s="44">
        <v>12</v>
      </c>
      <c r="AV152" s="44">
        <v>1</v>
      </c>
      <c r="AW152" s="44" t="s">
        <v>269</v>
      </c>
      <c r="AX152" s="44" t="s">
        <v>288</v>
      </c>
      <c r="AY152" s="44" t="s">
        <v>257</v>
      </c>
      <c r="AZ152" s="44">
        <v>3</v>
      </c>
      <c r="BA152" s="44" t="s">
        <v>270</v>
      </c>
      <c r="BB152" s="44" t="s">
        <v>271</v>
      </c>
      <c r="BC152" s="44" t="s">
        <v>259</v>
      </c>
      <c r="BD152" s="44" t="s">
        <v>290</v>
      </c>
      <c r="BE152" s="44" t="s">
        <v>272</v>
      </c>
      <c r="BF152" s="44" t="s">
        <v>260</v>
      </c>
      <c r="BG152" s="44" t="s">
        <v>291</v>
      </c>
      <c r="BH152" s="44" t="s">
        <v>274</v>
      </c>
      <c r="BI152" s="44" t="s">
        <v>292</v>
      </c>
      <c r="BJ152" s="44" t="s">
        <v>263</v>
      </c>
      <c r="BK152" s="44" t="s">
        <v>253</v>
      </c>
      <c r="BL152" s="44" t="s">
        <v>253</v>
      </c>
      <c r="BM152" s="44" t="s">
        <v>253</v>
      </c>
      <c r="BN152" s="44" t="s">
        <v>263</v>
      </c>
      <c r="BO152" s="44" t="s">
        <v>253</v>
      </c>
      <c r="BP152" s="44" t="s">
        <v>253</v>
      </c>
      <c r="BQ152" s="44" t="s">
        <v>253</v>
      </c>
      <c r="BR152" s="44" t="s">
        <v>253</v>
      </c>
      <c r="BS152" s="44" t="s">
        <v>276</v>
      </c>
      <c r="BT152" s="44">
        <v>0</v>
      </c>
    </row>
    <row r="153" spans="1:72">
      <c r="A153" s="44">
        <v>2022</v>
      </c>
      <c r="B153" s="6">
        <v>12</v>
      </c>
      <c r="C153" s="6">
        <v>1</v>
      </c>
      <c r="D153" s="6">
        <v>17</v>
      </c>
      <c r="E153" s="6" t="s">
        <v>253</v>
      </c>
      <c r="F153" s="6" t="s">
        <v>254</v>
      </c>
      <c r="G153" s="6">
        <v>2016</v>
      </c>
      <c r="H153" s="6">
        <v>12</v>
      </c>
      <c r="I153" s="6" t="s">
        <v>34</v>
      </c>
      <c r="J153" s="6" t="s">
        <v>253</v>
      </c>
      <c r="K153" s="6">
        <v>1972</v>
      </c>
      <c r="L153" s="14">
        <v>12</v>
      </c>
      <c r="M153" s="6">
        <v>1</v>
      </c>
      <c r="N153" s="6" t="s">
        <v>255</v>
      </c>
      <c r="O153" s="6" t="s">
        <v>288</v>
      </c>
      <c r="P153" s="6" t="s">
        <v>257</v>
      </c>
      <c r="Q153" s="6">
        <v>7000</v>
      </c>
      <c r="R153" s="6" t="s">
        <v>254</v>
      </c>
      <c r="S153" s="6" t="s">
        <v>258</v>
      </c>
      <c r="T153" s="6" t="s">
        <v>259</v>
      </c>
      <c r="U153" s="6" t="s">
        <v>263</v>
      </c>
      <c r="V153" s="6">
        <v>1000</v>
      </c>
      <c r="W153" s="6" t="s">
        <v>260</v>
      </c>
      <c r="X153" s="6">
        <v>5000</v>
      </c>
      <c r="Y153" s="6" t="s">
        <v>261</v>
      </c>
      <c r="Z153" s="6">
        <v>80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284</v>
      </c>
      <c r="AN153" s="44" t="s">
        <v>253</v>
      </c>
      <c r="AO153" s="44" t="s">
        <v>266</v>
      </c>
      <c r="AP153" s="44" t="s">
        <v>289</v>
      </c>
      <c r="AQ153" s="44">
        <v>12</v>
      </c>
      <c r="AR153" s="44" t="s">
        <v>34</v>
      </c>
      <c r="AS153" s="44" t="s">
        <v>253</v>
      </c>
      <c r="AT153" s="44" t="s">
        <v>280</v>
      </c>
      <c r="AU153" s="44">
        <v>12</v>
      </c>
      <c r="AV153" s="44">
        <v>1</v>
      </c>
      <c r="AW153" s="44" t="s">
        <v>269</v>
      </c>
      <c r="AX153" s="44" t="s">
        <v>288</v>
      </c>
      <c r="AY153" s="44" t="s">
        <v>257</v>
      </c>
      <c r="AZ153" s="44">
        <v>3</v>
      </c>
      <c r="BA153" s="44" t="s">
        <v>270</v>
      </c>
      <c r="BB153" s="44" t="s">
        <v>271</v>
      </c>
      <c r="BC153" s="44" t="s">
        <v>259</v>
      </c>
      <c r="BD153" s="44" t="s">
        <v>290</v>
      </c>
      <c r="BE153" s="44" t="s">
        <v>272</v>
      </c>
      <c r="BF153" s="44" t="s">
        <v>260</v>
      </c>
      <c r="BG153" s="44" t="s">
        <v>291</v>
      </c>
      <c r="BH153" s="44" t="s">
        <v>274</v>
      </c>
      <c r="BI153" s="44" t="s">
        <v>292</v>
      </c>
      <c r="BJ153" s="44" t="s">
        <v>263</v>
      </c>
      <c r="BK153" s="44" t="s">
        <v>253</v>
      </c>
      <c r="BL153" s="44" t="s">
        <v>253</v>
      </c>
      <c r="BM153" s="44" t="s">
        <v>253</v>
      </c>
      <c r="BN153" s="44" t="s">
        <v>263</v>
      </c>
      <c r="BO153" s="44" t="s">
        <v>253</v>
      </c>
      <c r="BP153" s="44" t="s">
        <v>253</v>
      </c>
      <c r="BQ153" s="44" t="s">
        <v>253</v>
      </c>
      <c r="BR153" s="44" t="s">
        <v>253</v>
      </c>
      <c r="BS153" s="44" t="s">
        <v>276</v>
      </c>
      <c r="BT153" s="44">
        <v>0</v>
      </c>
    </row>
    <row r="154" spans="1:72">
      <c r="A154" s="44">
        <v>2022</v>
      </c>
      <c r="B154" s="6">
        <v>12</v>
      </c>
      <c r="C154" s="6">
        <v>1</v>
      </c>
      <c r="D154" s="6">
        <v>17</v>
      </c>
      <c r="E154" s="6" t="s">
        <v>253</v>
      </c>
      <c r="F154" s="6" t="s">
        <v>254</v>
      </c>
      <c r="G154" s="6">
        <v>2016</v>
      </c>
      <c r="H154" s="6">
        <v>12</v>
      </c>
      <c r="I154" s="6" t="s">
        <v>34</v>
      </c>
      <c r="J154" s="6" t="s">
        <v>253</v>
      </c>
      <c r="K154" s="6">
        <v>1962</v>
      </c>
      <c r="L154" s="14">
        <v>12</v>
      </c>
      <c r="M154" s="6">
        <v>1</v>
      </c>
      <c r="N154" s="6" t="s">
        <v>255</v>
      </c>
      <c r="O154" s="6" t="s">
        <v>288</v>
      </c>
      <c r="P154" s="6" t="s">
        <v>257</v>
      </c>
      <c r="Q154" s="6">
        <v>7000</v>
      </c>
      <c r="R154" s="6" t="s">
        <v>254</v>
      </c>
      <c r="S154" s="6" t="s">
        <v>258</v>
      </c>
      <c r="T154" s="6" t="s">
        <v>259</v>
      </c>
      <c r="U154" s="6" t="s">
        <v>263</v>
      </c>
      <c r="V154" s="6">
        <v>1000</v>
      </c>
      <c r="W154" s="6" t="s">
        <v>260</v>
      </c>
      <c r="X154" s="6">
        <v>5000</v>
      </c>
      <c r="Y154" s="6" t="s">
        <v>261</v>
      </c>
      <c r="Z154" s="6">
        <v>80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284</v>
      </c>
      <c r="AN154" s="44" t="s">
        <v>253</v>
      </c>
      <c r="AO154" s="44" t="s">
        <v>266</v>
      </c>
      <c r="AP154" s="44" t="s">
        <v>289</v>
      </c>
      <c r="AQ154" s="44">
        <v>12</v>
      </c>
      <c r="AR154" s="44" t="s">
        <v>34</v>
      </c>
      <c r="AS154" s="44" t="s">
        <v>253</v>
      </c>
      <c r="AT154" s="44" t="s">
        <v>281</v>
      </c>
      <c r="AU154" s="44">
        <v>12</v>
      </c>
      <c r="AV154" s="44">
        <v>1</v>
      </c>
      <c r="AW154" s="44" t="s">
        <v>269</v>
      </c>
      <c r="AX154" s="44" t="s">
        <v>288</v>
      </c>
      <c r="AY154" s="44" t="s">
        <v>257</v>
      </c>
      <c r="AZ154" s="44">
        <v>3</v>
      </c>
      <c r="BA154" s="44" t="s">
        <v>270</v>
      </c>
      <c r="BB154" s="44" t="s">
        <v>271</v>
      </c>
      <c r="BC154" s="44" t="s">
        <v>259</v>
      </c>
      <c r="BD154" s="44" t="s">
        <v>290</v>
      </c>
      <c r="BE154" s="44" t="s">
        <v>272</v>
      </c>
      <c r="BF154" s="44" t="s">
        <v>260</v>
      </c>
      <c r="BG154" s="44" t="s">
        <v>291</v>
      </c>
      <c r="BH154" s="44" t="s">
        <v>274</v>
      </c>
      <c r="BI154" s="44" t="s">
        <v>292</v>
      </c>
      <c r="BJ154" s="44" t="s">
        <v>263</v>
      </c>
      <c r="BK154" s="44" t="s">
        <v>253</v>
      </c>
      <c r="BL154" s="44" t="s">
        <v>253</v>
      </c>
      <c r="BM154" s="44" t="s">
        <v>253</v>
      </c>
      <c r="BN154" s="44" t="s">
        <v>263</v>
      </c>
      <c r="BO154" s="44" t="s">
        <v>253</v>
      </c>
      <c r="BP154" s="44" t="s">
        <v>253</v>
      </c>
      <c r="BQ154" s="44" t="s">
        <v>253</v>
      </c>
      <c r="BR154" s="44" t="s">
        <v>253</v>
      </c>
      <c r="BS154" s="44" t="s">
        <v>276</v>
      </c>
      <c r="BT154" s="44">
        <v>0</v>
      </c>
    </row>
    <row r="155" spans="1:72">
      <c r="A155" s="44">
        <v>2022</v>
      </c>
      <c r="B155" s="6">
        <v>12</v>
      </c>
      <c r="C155" s="6">
        <v>1</v>
      </c>
      <c r="D155" s="6">
        <v>17</v>
      </c>
      <c r="E155" s="6" t="s">
        <v>253</v>
      </c>
      <c r="F155" s="6" t="s">
        <v>254</v>
      </c>
      <c r="G155" s="6">
        <v>2016</v>
      </c>
      <c r="H155" s="6">
        <v>12</v>
      </c>
      <c r="I155" s="6" t="s">
        <v>34</v>
      </c>
      <c r="J155" s="6" t="s">
        <v>253</v>
      </c>
      <c r="K155" s="6">
        <v>1952</v>
      </c>
      <c r="L155" s="14">
        <v>12</v>
      </c>
      <c r="M155" s="6">
        <v>1</v>
      </c>
      <c r="N155" s="6" t="s">
        <v>255</v>
      </c>
      <c r="O155" s="6" t="s">
        <v>288</v>
      </c>
      <c r="P155" s="6" t="s">
        <v>257</v>
      </c>
      <c r="Q155" s="6">
        <v>7000</v>
      </c>
      <c r="R155" s="6" t="s">
        <v>254</v>
      </c>
      <c r="S155" s="6" t="s">
        <v>258</v>
      </c>
      <c r="T155" s="6" t="s">
        <v>259</v>
      </c>
      <c r="U155" s="6" t="s">
        <v>263</v>
      </c>
      <c r="V155" s="6">
        <v>1000</v>
      </c>
      <c r="W155" s="6" t="s">
        <v>260</v>
      </c>
      <c r="X155" s="6">
        <v>5000</v>
      </c>
      <c r="Y155" s="6" t="s">
        <v>261</v>
      </c>
      <c r="Z155" s="6">
        <v>80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284</v>
      </c>
      <c r="AN155" s="44" t="s">
        <v>253</v>
      </c>
      <c r="AO155" s="44" t="s">
        <v>266</v>
      </c>
      <c r="AP155" s="44" t="s">
        <v>289</v>
      </c>
      <c r="AQ155" s="44">
        <v>12</v>
      </c>
      <c r="AR155" s="44" t="s">
        <v>34</v>
      </c>
      <c r="AS155" s="44" t="s">
        <v>253</v>
      </c>
      <c r="AT155" s="44" t="s">
        <v>282</v>
      </c>
      <c r="AU155" s="44">
        <v>12</v>
      </c>
      <c r="AV155" s="44">
        <v>1</v>
      </c>
      <c r="AW155" s="44" t="s">
        <v>269</v>
      </c>
      <c r="AX155" s="44" t="s">
        <v>288</v>
      </c>
      <c r="AY155" s="44" t="s">
        <v>257</v>
      </c>
      <c r="AZ155" s="44">
        <v>3</v>
      </c>
      <c r="BA155" s="44" t="s">
        <v>270</v>
      </c>
      <c r="BB155" s="44" t="s">
        <v>271</v>
      </c>
      <c r="BC155" s="44" t="s">
        <v>259</v>
      </c>
      <c r="BD155" s="44" t="s">
        <v>290</v>
      </c>
      <c r="BE155" s="44" t="s">
        <v>272</v>
      </c>
      <c r="BF155" s="44" t="s">
        <v>260</v>
      </c>
      <c r="BG155" s="44" t="s">
        <v>291</v>
      </c>
      <c r="BH155" s="44" t="s">
        <v>274</v>
      </c>
      <c r="BI155" s="44" t="s">
        <v>292</v>
      </c>
      <c r="BJ155" s="44" t="s">
        <v>263</v>
      </c>
      <c r="BK155" s="44" t="s">
        <v>253</v>
      </c>
      <c r="BL155" s="44" t="s">
        <v>253</v>
      </c>
      <c r="BM155" s="44" t="s">
        <v>253</v>
      </c>
      <c r="BN155" s="44" t="s">
        <v>263</v>
      </c>
      <c r="BO155" s="44" t="s">
        <v>253</v>
      </c>
      <c r="BP155" s="44" t="s">
        <v>253</v>
      </c>
      <c r="BQ155" s="44" t="s">
        <v>253</v>
      </c>
      <c r="BR155" s="44" t="s">
        <v>253</v>
      </c>
      <c r="BS155" s="44" t="s">
        <v>276</v>
      </c>
      <c r="BT155" s="44">
        <v>0</v>
      </c>
    </row>
    <row r="156" spans="1:72">
      <c r="A156" s="44">
        <v>2022</v>
      </c>
      <c r="B156" s="6">
        <v>12</v>
      </c>
      <c r="C156" s="6">
        <v>1</v>
      </c>
      <c r="D156" s="6">
        <v>17</v>
      </c>
      <c r="E156" s="6" t="s">
        <v>253</v>
      </c>
      <c r="F156" s="6" t="s">
        <v>254</v>
      </c>
      <c r="G156" s="6">
        <v>2016</v>
      </c>
      <c r="H156" s="6">
        <v>12</v>
      </c>
      <c r="I156" s="6" t="s">
        <v>34</v>
      </c>
      <c r="J156" s="6" t="s">
        <v>253</v>
      </c>
      <c r="K156" s="6">
        <v>1992</v>
      </c>
      <c r="L156" s="14">
        <v>12</v>
      </c>
      <c r="M156" s="6">
        <v>1</v>
      </c>
      <c r="N156" s="6" t="s">
        <v>255</v>
      </c>
      <c r="O156" s="6" t="s">
        <v>288</v>
      </c>
      <c r="P156" s="6" t="s">
        <v>283</v>
      </c>
      <c r="Q156" s="6">
        <v>3000</v>
      </c>
      <c r="R156" s="6" t="s">
        <v>254</v>
      </c>
      <c r="S156" s="6" t="s">
        <v>258</v>
      </c>
      <c r="T156" s="6" t="s">
        <v>259</v>
      </c>
      <c r="U156" s="6" t="s">
        <v>263</v>
      </c>
      <c r="V156" s="6">
        <v>1000</v>
      </c>
      <c r="W156" s="6" t="s">
        <v>260</v>
      </c>
      <c r="X156" s="6">
        <v>5000</v>
      </c>
      <c r="Y156" s="6" t="s">
        <v>261</v>
      </c>
      <c r="Z156" s="6">
        <v>80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284</v>
      </c>
      <c r="AN156" s="44" t="s">
        <v>253</v>
      </c>
      <c r="AO156" s="44" t="s">
        <v>266</v>
      </c>
      <c r="AP156" s="44" t="s">
        <v>289</v>
      </c>
      <c r="AQ156" s="44">
        <v>12</v>
      </c>
      <c r="AR156" s="44" t="s">
        <v>34</v>
      </c>
      <c r="AS156" s="44" t="s">
        <v>253</v>
      </c>
      <c r="AT156" s="44" t="s">
        <v>268</v>
      </c>
      <c r="AU156" s="44">
        <v>12</v>
      </c>
      <c r="AV156" s="44">
        <v>1</v>
      </c>
      <c r="AW156" s="44" t="s">
        <v>269</v>
      </c>
      <c r="AX156" s="44" t="s">
        <v>288</v>
      </c>
      <c r="AY156" s="44" t="s">
        <v>283</v>
      </c>
      <c r="AZ156" s="44">
        <v>1</v>
      </c>
      <c r="BA156" s="44" t="s">
        <v>270</v>
      </c>
      <c r="BB156" s="44" t="s">
        <v>271</v>
      </c>
      <c r="BC156" s="44" t="s">
        <v>259</v>
      </c>
      <c r="BD156" s="44" t="s">
        <v>290</v>
      </c>
      <c r="BE156" s="44" t="s">
        <v>272</v>
      </c>
      <c r="BF156" s="44" t="s">
        <v>260</v>
      </c>
      <c r="BG156" s="44" t="s">
        <v>291</v>
      </c>
      <c r="BH156" s="44" t="s">
        <v>274</v>
      </c>
      <c r="BI156" s="44" t="s">
        <v>292</v>
      </c>
      <c r="BJ156" s="44" t="s">
        <v>263</v>
      </c>
      <c r="BK156" s="44" t="s">
        <v>253</v>
      </c>
      <c r="BL156" s="44" t="s">
        <v>253</v>
      </c>
      <c r="BM156" s="44" t="s">
        <v>253</v>
      </c>
      <c r="BN156" s="44" t="s">
        <v>263</v>
      </c>
      <c r="BO156" s="44" t="s">
        <v>253</v>
      </c>
      <c r="BP156" s="44" t="s">
        <v>253</v>
      </c>
      <c r="BQ156" s="44" t="s">
        <v>253</v>
      </c>
      <c r="BR156" s="44" t="s">
        <v>253</v>
      </c>
      <c r="BS156" s="44" t="s">
        <v>276</v>
      </c>
      <c r="BT156" s="44">
        <v>0</v>
      </c>
    </row>
    <row r="157" spans="1:72">
      <c r="A157" s="44">
        <v>2022</v>
      </c>
      <c r="B157" s="6">
        <v>12</v>
      </c>
      <c r="C157" s="6">
        <v>1</v>
      </c>
      <c r="D157" s="6">
        <v>17</v>
      </c>
      <c r="E157" s="6" t="s">
        <v>253</v>
      </c>
      <c r="F157" s="6" t="s">
        <v>254</v>
      </c>
      <c r="G157" s="6">
        <v>2016</v>
      </c>
      <c r="H157" s="6">
        <v>12</v>
      </c>
      <c r="I157" s="6" t="s">
        <v>34</v>
      </c>
      <c r="J157" s="6" t="s">
        <v>253</v>
      </c>
      <c r="K157" s="6">
        <v>1987</v>
      </c>
      <c r="L157" s="14">
        <v>12</v>
      </c>
      <c r="M157" s="6">
        <v>1</v>
      </c>
      <c r="N157" s="6" t="s">
        <v>255</v>
      </c>
      <c r="O157" s="6" t="s">
        <v>288</v>
      </c>
      <c r="P157" s="6" t="s">
        <v>283</v>
      </c>
      <c r="Q157" s="6">
        <v>3000</v>
      </c>
      <c r="R157" s="6" t="s">
        <v>254</v>
      </c>
      <c r="S157" s="6" t="s">
        <v>258</v>
      </c>
      <c r="T157" s="6" t="s">
        <v>259</v>
      </c>
      <c r="U157" s="6" t="s">
        <v>263</v>
      </c>
      <c r="V157" s="6">
        <v>1000</v>
      </c>
      <c r="W157" s="6" t="s">
        <v>260</v>
      </c>
      <c r="X157" s="6">
        <v>5000</v>
      </c>
      <c r="Y157" s="6" t="s">
        <v>261</v>
      </c>
      <c r="Z157" s="6">
        <v>80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284</v>
      </c>
      <c r="AN157" s="44" t="s">
        <v>253</v>
      </c>
      <c r="AO157" s="44" t="s">
        <v>266</v>
      </c>
      <c r="AP157" s="44" t="s">
        <v>289</v>
      </c>
      <c r="AQ157" s="44">
        <v>12</v>
      </c>
      <c r="AR157" s="44" t="s">
        <v>34</v>
      </c>
      <c r="AS157" s="44" t="s">
        <v>253</v>
      </c>
      <c r="AT157" s="44" t="s">
        <v>277</v>
      </c>
      <c r="AU157" s="44">
        <v>12</v>
      </c>
      <c r="AV157" s="44">
        <v>1</v>
      </c>
      <c r="AW157" s="44" t="s">
        <v>269</v>
      </c>
      <c r="AX157" s="44" t="s">
        <v>288</v>
      </c>
      <c r="AY157" s="44" t="s">
        <v>283</v>
      </c>
      <c r="AZ157" s="44">
        <v>1</v>
      </c>
      <c r="BA157" s="44" t="s">
        <v>270</v>
      </c>
      <c r="BB157" s="44" t="s">
        <v>271</v>
      </c>
      <c r="BC157" s="44" t="s">
        <v>259</v>
      </c>
      <c r="BD157" s="44" t="s">
        <v>290</v>
      </c>
      <c r="BE157" s="44" t="s">
        <v>272</v>
      </c>
      <c r="BF157" s="44" t="s">
        <v>260</v>
      </c>
      <c r="BG157" s="44" t="s">
        <v>291</v>
      </c>
      <c r="BH157" s="44" t="s">
        <v>274</v>
      </c>
      <c r="BI157" s="44" t="s">
        <v>292</v>
      </c>
      <c r="BJ157" s="44" t="s">
        <v>263</v>
      </c>
      <c r="BK157" s="44" t="s">
        <v>253</v>
      </c>
      <c r="BL157" s="44" t="s">
        <v>253</v>
      </c>
      <c r="BM157" s="44" t="s">
        <v>253</v>
      </c>
      <c r="BN157" s="44" t="s">
        <v>263</v>
      </c>
      <c r="BO157" s="44" t="s">
        <v>253</v>
      </c>
      <c r="BP157" s="44" t="s">
        <v>253</v>
      </c>
      <c r="BQ157" s="44" t="s">
        <v>253</v>
      </c>
      <c r="BR157" s="44" t="s">
        <v>253</v>
      </c>
      <c r="BS157" s="44" t="s">
        <v>276</v>
      </c>
      <c r="BT157" s="44">
        <v>0</v>
      </c>
    </row>
    <row r="158" spans="1:72">
      <c r="A158" s="44">
        <v>2022</v>
      </c>
      <c r="B158" s="6">
        <v>12</v>
      </c>
      <c r="C158" s="6">
        <v>1</v>
      </c>
      <c r="D158" s="6">
        <v>17</v>
      </c>
      <c r="E158" s="6" t="s">
        <v>253</v>
      </c>
      <c r="F158" s="6" t="s">
        <v>254</v>
      </c>
      <c r="G158" s="6">
        <v>2016</v>
      </c>
      <c r="H158" s="6">
        <v>12</v>
      </c>
      <c r="I158" s="6" t="s">
        <v>34</v>
      </c>
      <c r="J158" s="6" t="s">
        <v>253</v>
      </c>
      <c r="K158" s="6">
        <v>1982</v>
      </c>
      <c r="L158" s="14">
        <v>12</v>
      </c>
      <c r="M158" s="6">
        <v>1</v>
      </c>
      <c r="N158" s="6" t="s">
        <v>255</v>
      </c>
      <c r="O158" s="6" t="s">
        <v>288</v>
      </c>
      <c r="P158" s="6" t="s">
        <v>283</v>
      </c>
      <c r="Q158" s="6">
        <v>3000</v>
      </c>
      <c r="R158" s="6" t="s">
        <v>254</v>
      </c>
      <c r="S158" s="6" t="s">
        <v>258</v>
      </c>
      <c r="T158" s="6" t="s">
        <v>259</v>
      </c>
      <c r="U158" s="6" t="s">
        <v>263</v>
      </c>
      <c r="V158" s="6">
        <v>1000</v>
      </c>
      <c r="W158" s="6" t="s">
        <v>260</v>
      </c>
      <c r="X158" s="6">
        <v>5000</v>
      </c>
      <c r="Y158" s="6" t="s">
        <v>261</v>
      </c>
      <c r="Z158" s="6">
        <v>80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284</v>
      </c>
      <c r="AN158" s="44" t="s">
        <v>253</v>
      </c>
      <c r="AO158" s="44" t="s">
        <v>266</v>
      </c>
      <c r="AP158" s="44" t="s">
        <v>289</v>
      </c>
      <c r="AQ158" s="44">
        <v>12</v>
      </c>
      <c r="AR158" s="44" t="s">
        <v>34</v>
      </c>
      <c r="AS158" s="44" t="s">
        <v>253</v>
      </c>
      <c r="AT158" s="44" t="s">
        <v>278</v>
      </c>
      <c r="AU158" s="44">
        <v>12</v>
      </c>
      <c r="AV158" s="44">
        <v>1</v>
      </c>
      <c r="AW158" s="44" t="s">
        <v>269</v>
      </c>
      <c r="AX158" s="44" t="s">
        <v>288</v>
      </c>
      <c r="AY158" s="44" t="s">
        <v>283</v>
      </c>
      <c r="AZ158" s="44">
        <v>1</v>
      </c>
      <c r="BA158" s="44" t="s">
        <v>270</v>
      </c>
      <c r="BB158" s="44" t="s">
        <v>271</v>
      </c>
      <c r="BC158" s="44" t="s">
        <v>259</v>
      </c>
      <c r="BD158" s="44" t="s">
        <v>290</v>
      </c>
      <c r="BE158" s="44" t="s">
        <v>272</v>
      </c>
      <c r="BF158" s="44" t="s">
        <v>260</v>
      </c>
      <c r="BG158" s="44" t="s">
        <v>291</v>
      </c>
      <c r="BH158" s="44" t="s">
        <v>274</v>
      </c>
      <c r="BI158" s="44" t="s">
        <v>292</v>
      </c>
      <c r="BJ158" s="44" t="s">
        <v>263</v>
      </c>
      <c r="BK158" s="44" t="s">
        <v>253</v>
      </c>
      <c r="BL158" s="44" t="s">
        <v>253</v>
      </c>
      <c r="BM158" s="44" t="s">
        <v>253</v>
      </c>
      <c r="BN158" s="44" t="s">
        <v>263</v>
      </c>
      <c r="BO158" s="44" t="s">
        <v>253</v>
      </c>
      <c r="BP158" s="44" t="s">
        <v>253</v>
      </c>
      <c r="BQ158" s="44" t="s">
        <v>253</v>
      </c>
      <c r="BR158" s="44" t="s">
        <v>253</v>
      </c>
      <c r="BS158" s="44" t="s">
        <v>276</v>
      </c>
      <c r="BT158" s="44">
        <v>0</v>
      </c>
    </row>
    <row r="159" spans="1:72">
      <c r="A159" s="44">
        <v>2022</v>
      </c>
      <c r="B159" s="6">
        <v>12</v>
      </c>
      <c r="C159" s="6">
        <v>1</v>
      </c>
      <c r="D159" s="6">
        <v>17</v>
      </c>
      <c r="E159" s="6" t="s">
        <v>253</v>
      </c>
      <c r="F159" s="6" t="s">
        <v>254</v>
      </c>
      <c r="G159" s="6">
        <v>2016</v>
      </c>
      <c r="H159" s="6">
        <v>12</v>
      </c>
      <c r="I159" s="6" t="s">
        <v>34</v>
      </c>
      <c r="J159" s="6" t="s">
        <v>253</v>
      </c>
      <c r="K159" s="6">
        <v>1977</v>
      </c>
      <c r="L159" s="14">
        <v>12</v>
      </c>
      <c r="M159" s="6">
        <v>1</v>
      </c>
      <c r="N159" s="6" t="s">
        <v>255</v>
      </c>
      <c r="O159" s="6" t="s">
        <v>288</v>
      </c>
      <c r="P159" s="6" t="s">
        <v>283</v>
      </c>
      <c r="Q159" s="6">
        <v>3000</v>
      </c>
      <c r="R159" s="6" t="s">
        <v>254</v>
      </c>
      <c r="S159" s="6" t="s">
        <v>258</v>
      </c>
      <c r="T159" s="6" t="s">
        <v>259</v>
      </c>
      <c r="U159" s="6" t="s">
        <v>263</v>
      </c>
      <c r="V159" s="6">
        <v>1000</v>
      </c>
      <c r="W159" s="6" t="s">
        <v>260</v>
      </c>
      <c r="X159" s="6">
        <v>5000</v>
      </c>
      <c r="Y159" s="6" t="s">
        <v>261</v>
      </c>
      <c r="Z159" s="6">
        <v>80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284</v>
      </c>
      <c r="AN159" s="44" t="s">
        <v>253</v>
      </c>
      <c r="AO159" s="44" t="s">
        <v>266</v>
      </c>
      <c r="AP159" s="44" t="s">
        <v>289</v>
      </c>
      <c r="AQ159" s="44">
        <v>12</v>
      </c>
      <c r="AR159" s="44" t="s">
        <v>34</v>
      </c>
      <c r="AS159" s="44" t="s">
        <v>253</v>
      </c>
      <c r="AT159" s="44" t="s">
        <v>279</v>
      </c>
      <c r="AU159" s="44">
        <v>12</v>
      </c>
      <c r="AV159" s="44">
        <v>1</v>
      </c>
      <c r="AW159" s="44" t="s">
        <v>269</v>
      </c>
      <c r="AX159" s="44" t="s">
        <v>288</v>
      </c>
      <c r="AY159" s="44" t="s">
        <v>283</v>
      </c>
      <c r="AZ159" s="44">
        <v>1</v>
      </c>
      <c r="BA159" s="44" t="s">
        <v>270</v>
      </c>
      <c r="BB159" s="44" t="s">
        <v>271</v>
      </c>
      <c r="BC159" s="44" t="s">
        <v>259</v>
      </c>
      <c r="BD159" s="44" t="s">
        <v>290</v>
      </c>
      <c r="BE159" s="44" t="s">
        <v>272</v>
      </c>
      <c r="BF159" s="44" t="s">
        <v>260</v>
      </c>
      <c r="BG159" s="44" t="s">
        <v>291</v>
      </c>
      <c r="BH159" s="44" t="s">
        <v>274</v>
      </c>
      <c r="BI159" s="44" t="s">
        <v>292</v>
      </c>
      <c r="BJ159" s="44" t="s">
        <v>263</v>
      </c>
      <c r="BK159" s="44" t="s">
        <v>253</v>
      </c>
      <c r="BL159" s="44" t="s">
        <v>253</v>
      </c>
      <c r="BM159" s="44" t="s">
        <v>253</v>
      </c>
      <c r="BN159" s="44" t="s">
        <v>263</v>
      </c>
      <c r="BO159" s="44" t="s">
        <v>253</v>
      </c>
      <c r="BP159" s="44" t="s">
        <v>253</v>
      </c>
      <c r="BQ159" s="44" t="s">
        <v>253</v>
      </c>
      <c r="BR159" s="44" t="s">
        <v>253</v>
      </c>
      <c r="BS159" s="44" t="s">
        <v>276</v>
      </c>
      <c r="BT159" s="44">
        <v>0</v>
      </c>
    </row>
    <row r="160" spans="1:72">
      <c r="A160" s="44">
        <v>2022</v>
      </c>
      <c r="B160" s="6">
        <v>12</v>
      </c>
      <c r="C160" s="6">
        <v>1</v>
      </c>
      <c r="D160" s="6">
        <v>17</v>
      </c>
      <c r="E160" s="6" t="s">
        <v>253</v>
      </c>
      <c r="F160" s="6" t="s">
        <v>254</v>
      </c>
      <c r="G160" s="6">
        <v>2016</v>
      </c>
      <c r="H160" s="6">
        <v>12</v>
      </c>
      <c r="I160" s="6" t="s">
        <v>34</v>
      </c>
      <c r="J160" s="6" t="s">
        <v>253</v>
      </c>
      <c r="K160" s="6">
        <v>1972</v>
      </c>
      <c r="L160" s="14">
        <v>12</v>
      </c>
      <c r="M160" s="6">
        <v>1</v>
      </c>
      <c r="N160" s="6" t="s">
        <v>255</v>
      </c>
      <c r="O160" s="6" t="s">
        <v>288</v>
      </c>
      <c r="P160" s="6" t="s">
        <v>283</v>
      </c>
      <c r="Q160" s="6">
        <v>3000</v>
      </c>
      <c r="R160" s="6" t="s">
        <v>254</v>
      </c>
      <c r="S160" s="6" t="s">
        <v>258</v>
      </c>
      <c r="T160" s="6" t="s">
        <v>259</v>
      </c>
      <c r="U160" s="6" t="s">
        <v>263</v>
      </c>
      <c r="V160" s="6">
        <v>1000</v>
      </c>
      <c r="W160" s="6" t="s">
        <v>260</v>
      </c>
      <c r="X160" s="6">
        <v>5000</v>
      </c>
      <c r="Y160" s="6" t="s">
        <v>261</v>
      </c>
      <c r="Z160" s="6">
        <v>80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284</v>
      </c>
      <c r="AN160" s="44" t="s">
        <v>253</v>
      </c>
      <c r="AO160" s="44" t="s">
        <v>266</v>
      </c>
      <c r="AP160" s="44" t="s">
        <v>289</v>
      </c>
      <c r="AQ160" s="44">
        <v>12</v>
      </c>
      <c r="AR160" s="44" t="s">
        <v>34</v>
      </c>
      <c r="AS160" s="44" t="s">
        <v>253</v>
      </c>
      <c r="AT160" s="44" t="s">
        <v>280</v>
      </c>
      <c r="AU160" s="44">
        <v>12</v>
      </c>
      <c r="AV160" s="44">
        <v>1</v>
      </c>
      <c r="AW160" s="44" t="s">
        <v>269</v>
      </c>
      <c r="AX160" s="44" t="s">
        <v>288</v>
      </c>
      <c r="AY160" s="44" t="s">
        <v>283</v>
      </c>
      <c r="AZ160" s="44">
        <v>1</v>
      </c>
      <c r="BA160" s="44" t="s">
        <v>270</v>
      </c>
      <c r="BB160" s="44" t="s">
        <v>271</v>
      </c>
      <c r="BC160" s="44" t="s">
        <v>259</v>
      </c>
      <c r="BD160" s="44" t="s">
        <v>290</v>
      </c>
      <c r="BE160" s="44" t="s">
        <v>272</v>
      </c>
      <c r="BF160" s="44" t="s">
        <v>260</v>
      </c>
      <c r="BG160" s="44" t="s">
        <v>291</v>
      </c>
      <c r="BH160" s="44" t="s">
        <v>274</v>
      </c>
      <c r="BI160" s="44" t="s">
        <v>292</v>
      </c>
      <c r="BJ160" s="44" t="s">
        <v>263</v>
      </c>
      <c r="BK160" s="44" t="s">
        <v>253</v>
      </c>
      <c r="BL160" s="44" t="s">
        <v>253</v>
      </c>
      <c r="BM160" s="44" t="s">
        <v>253</v>
      </c>
      <c r="BN160" s="44" t="s">
        <v>263</v>
      </c>
      <c r="BO160" s="44" t="s">
        <v>253</v>
      </c>
      <c r="BP160" s="44" t="s">
        <v>253</v>
      </c>
      <c r="BQ160" s="44" t="s">
        <v>253</v>
      </c>
      <c r="BR160" s="44" t="s">
        <v>253</v>
      </c>
      <c r="BS160" s="44" t="s">
        <v>276</v>
      </c>
      <c r="BT160" s="44">
        <v>0</v>
      </c>
    </row>
    <row r="161" spans="1:72">
      <c r="A161" s="44">
        <v>2022</v>
      </c>
      <c r="B161" s="6">
        <v>12</v>
      </c>
      <c r="C161" s="6">
        <v>1</v>
      </c>
      <c r="D161" s="6">
        <v>17</v>
      </c>
      <c r="E161" s="6" t="s">
        <v>253</v>
      </c>
      <c r="F161" s="6" t="s">
        <v>254</v>
      </c>
      <c r="G161" s="6">
        <v>2016</v>
      </c>
      <c r="H161" s="6">
        <v>12</v>
      </c>
      <c r="I161" s="6" t="s">
        <v>34</v>
      </c>
      <c r="J161" s="6" t="s">
        <v>253</v>
      </c>
      <c r="K161" s="6">
        <v>1962</v>
      </c>
      <c r="L161" s="14">
        <v>12</v>
      </c>
      <c r="M161" s="6">
        <v>1</v>
      </c>
      <c r="N161" s="6" t="s">
        <v>255</v>
      </c>
      <c r="O161" s="6" t="s">
        <v>288</v>
      </c>
      <c r="P161" s="6" t="s">
        <v>283</v>
      </c>
      <c r="Q161" s="6">
        <v>3000</v>
      </c>
      <c r="R161" s="6" t="s">
        <v>254</v>
      </c>
      <c r="S161" s="6" t="s">
        <v>258</v>
      </c>
      <c r="T161" s="6" t="s">
        <v>259</v>
      </c>
      <c r="U161" s="6" t="s">
        <v>263</v>
      </c>
      <c r="V161" s="6">
        <v>1000</v>
      </c>
      <c r="W161" s="6" t="s">
        <v>260</v>
      </c>
      <c r="X161" s="6">
        <v>5000</v>
      </c>
      <c r="Y161" s="6" t="s">
        <v>261</v>
      </c>
      <c r="Z161" s="6">
        <v>80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284</v>
      </c>
      <c r="AN161" s="44" t="s">
        <v>253</v>
      </c>
      <c r="AO161" s="44" t="s">
        <v>266</v>
      </c>
      <c r="AP161" s="44" t="s">
        <v>289</v>
      </c>
      <c r="AQ161" s="44">
        <v>12</v>
      </c>
      <c r="AR161" s="44" t="s">
        <v>34</v>
      </c>
      <c r="AS161" s="44" t="s">
        <v>253</v>
      </c>
      <c r="AT161" s="44" t="s">
        <v>281</v>
      </c>
      <c r="AU161" s="44">
        <v>12</v>
      </c>
      <c r="AV161" s="44">
        <v>1</v>
      </c>
      <c r="AW161" s="44" t="s">
        <v>269</v>
      </c>
      <c r="AX161" s="44" t="s">
        <v>288</v>
      </c>
      <c r="AY161" s="44" t="s">
        <v>283</v>
      </c>
      <c r="AZ161" s="44">
        <v>1</v>
      </c>
      <c r="BA161" s="44" t="s">
        <v>270</v>
      </c>
      <c r="BB161" s="44" t="s">
        <v>271</v>
      </c>
      <c r="BC161" s="44" t="s">
        <v>259</v>
      </c>
      <c r="BD161" s="44" t="s">
        <v>290</v>
      </c>
      <c r="BE161" s="44" t="s">
        <v>272</v>
      </c>
      <c r="BF161" s="44" t="s">
        <v>260</v>
      </c>
      <c r="BG161" s="44" t="s">
        <v>291</v>
      </c>
      <c r="BH161" s="44" t="s">
        <v>274</v>
      </c>
      <c r="BI161" s="44" t="s">
        <v>292</v>
      </c>
      <c r="BJ161" s="44" t="s">
        <v>263</v>
      </c>
      <c r="BK161" s="44" t="s">
        <v>253</v>
      </c>
      <c r="BL161" s="44" t="s">
        <v>253</v>
      </c>
      <c r="BM161" s="44" t="s">
        <v>253</v>
      </c>
      <c r="BN161" s="44" t="s">
        <v>263</v>
      </c>
      <c r="BO161" s="44" t="s">
        <v>253</v>
      </c>
      <c r="BP161" s="44" t="s">
        <v>253</v>
      </c>
      <c r="BQ161" s="44" t="s">
        <v>253</v>
      </c>
      <c r="BR161" s="44" t="s">
        <v>253</v>
      </c>
      <c r="BS161" s="44" t="s">
        <v>276</v>
      </c>
      <c r="BT161" s="44">
        <v>0</v>
      </c>
    </row>
    <row r="162" spans="1:72">
      <c r="A162" s="44">
        <v>2022</v>
      </c>
      <c r="B162" s="6">
        <v>12</v>
      </c>
      <c r="C162" s="6">
        <v>1</v>
      </c>
      <c r="D162" s="6">
        <v>17</v>
      </c>
      <c r="E162" s="6" t="s">
        <v>253</v>
      </c>
      <c r="F162" s="6" t="s">
        <v>254</v>
      </c>
      <c r="G162" s="6">
        <v>2016</v>
      </c>
      <c r="H162" s="6">
        <v>12</v>
      </c>
      <c r="I162" s="6" t="s">
        <v>34</v>
      </c>
      <c r="J162" s="6" t="s">
        <v>253</v>
      </c>
      <c r="K162" s="6">
        <v>1952</v>
      </c>
      <c r="L162" s="14">
        <v>12</v>
      </c>
      <c r="M162" s="6">
        <v>1</v>
      </c>
      <c r="N162" s="6" t="s">
        <v>255</v>
      </c>
      <c r="O162" s="6" t="s">
        <v>288</v>
      </c>
      <c r="P162" s="6" t="s">
        <v>283</v>
      </c>
      <c r="Q162" s="6">
        <v>3000</v>
      </c>
      <c r="R162" s="6" t="s">
        <v>254</v>
      </c>
      <c r="S162" s="6" t="s">
        <v>258</v>
      </c>
      <c r="T162" s="6" t="s">
        <v>259</v>
      </c>
      <c r="U162" s="6" t="s">
        <v>263</v>
      </c>
      <c r="V162" s="6">
        <v>1000</v>
      </c>
      <c r="W162" s="6" t="s">
        <v>260</v>
      </c>
      <c r="X162" s="6">
        <v>5000</v>
      </c>
      <c r="Y162" s="6" t="s">
        <v>261</v>
      </c>
      <c r="Z162" s="6">
        <v>80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284</v>
      </c>
      <c r="AN162" s="44" t="s">
        <v>253</v>
      </c>
      <c r="AO162" s="44" t="s">
        <v>266</v>
      </c>
      <c r="AP162" s="44" t="s">
        <v>289</v>
      </c>
      <c r="AQ162" s="44">
        <v>12</v>
      </c>
      <c r="AR162" s="44" t="s">
        <v>34</v>
      </c>
      <c r="AS162" s="44" t="s">
        <v>253</v>
      </c>
      <c r="AT162" s="44" t="s">
        <v>282</v>
      </c>
      <c r="AU162" s="44">
        <v>12</v>
      </c>
      <c r="AV162" s="44">
        <v>1</v>
      </c>
      <c r="AW162" s="44" t="s">
        <v>269</v>
      </c>
      <c r="AX162" s="44" t="s">
        <v>288</v>
      </c>
      <c r="AY162" s="44" t="s">
        <v>283</v>
      </c>
      <c r="AZ162" s="44">
        <v>1</v>
      </c>
      <c r="BA162" s="44" t="s">
        <v>270</v>
      </c>
      <c r="BB162" s="44" t="s">
        <v>271</v>
      </c>
      <c r="BC162" s="44" t="s">
        <v>259</v>
      </c>
      <c r="BD162" s="44" t="s">
        <v>290</v>
      </c>
      <c r="BE162" s="44" t="s">
        <v>272</v>
      </c>
      <c r="BF162" s="44" t="s">
        <v>260</v>
      </c>
      <c r="BG162" s="44" t="s">
        <v>291</v>
      </c>
      <c r="BH162" s="44" t="s">
        <v>274</v>
      </c>
      <c r="BI162" s="44" t="s">
        <v>292</v>
      </c>
      <c r="BJ162" s="44" t="s">
        <v>263</v>
      </c>
      <c r="BK162" s="44" t="s">
        <v>253</v>
      </c>
      <c r="BL162" s="44" t="s">
        <v>253</v>
      </c>
      <c r="BM162" s="44" t="s">
        <v>253</v>
      </c>
      <c r="BN162" s="44" t="s">
        <v>263</v>
      </c>
      <c r="BO162" s="44" t="s">
        <v>253</v>
      </c>
      <c r="BP162" s="44" t="s">
        <v>253</v>
      </c>
      <c r="BQ162" s="44" t="s">
        <v>253</v>
      </c>
      <c r="BR162" s="44" t="s">
        <v>253</v>
      </c>
      <c r="BS162" s="44" t="s">
        <v>276</v>
      </c>
      <c r="BT162" s="44">
        <v>0</v>
      </c>
    </row>
    <row r="163" spans="1:72">
      <c r="A163" s="44">
        <v>2022</v>
      </c>
      <c r="B163" s="6">
        <v>12</v>
      </c>
      <c r="C163" s="6">
        <v>1</v>
      </c>
      <c r="D163" s="6">
        <v>17</v>
      </c>
      <c r="E163" s="6" t="s">
        <v>253</v>
      </c>
      <c r="F163" s="6" t="s">
        <v>254</v>
      </c>
      <c r="G163" s="6">
        <v>2016</v>
      </c>
      <c r="H163" s="6">
        <v>12</v>
      </c>
      <c r="I163" s="6" t="s">
        <v>34</v>
      </c>
      <c r="J163" s="6" t="s">
        <v>253</v>
      </c>
      <c r="K163" s="6">
        <v>1992</v>
      </c>
      <c r="L163" s="14">
        <v>12</v>
      </c>
      <c r="M163" s="6">
        <v>1</v>
      </c>
      <c r="N163" s="6" t="s">
        <v>255</v>
      </c>
      <c r="O163" s="6" t="s">
        <v>288</v>
      </c>
      <c r="P163" s="6" t="s">
        <v>283</v>
      </c>
      <c r="Q163" s="6">
        <v>7000</v>
      </c>
      <c r="R163" s="6" t="s">
        <v>254</v>
      </c>
      <c r="S163" s="6" t="s">
        <v>258</v>
      </c>
      <c r="T163" s="6" t="s">
        <v>259</v>
      </c>
      <c r="U163" s="6" t="s">
        <v>263</v>
      </c>
      <c r="V163" s="6">
        <v>1000</v>
      </c>
      <c r="W163" s="6" t="s">
        <v>260</v>
      </c>
      <c r="X163" s="6">
        <v>5000</v>
      </c>
      <c r="Y163" s="6" t="s">
        <v>261</v>
      </c>
      <c r="Z163" s="6">
        <v>80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284</v>
      </c>
      <c r="AN163" s="44" t="s">
        <v>253</v>
      </c>
      <c r="AO163" s="44" t="s">
        <v>266</v>
      </c>
      <c r="AP163" s="44" t="s">
        <v>289</v>
      </c>
      <c r="AQ163" s="44">
        <v>12</v>
      </c>
      <c r="AR163" s="44" t="s">
        <v>34</v>
      </c>
      <c r="AS163" s="44" t="s">
        <v>253</v>
      </c>
      <c r="AT163" s="44" t="s">
        <v>268</v>
      </c>
      <c r="AU163" s="44">
        <v>12</v>
      </c>
      <c r="AV163" s="44">
        <v>1</v>
      </c>
      <c r="AW163" s="44" t="s">
        <v>269</v>
      </c>
      <c r="AX163" s="44" t="s">
        <v>288</v>
      </c>
      <c r="AY163" s="44" t="s">
        <v>283</v>
      </c>
      <c r="AZ163" s="44">
        <v>3</v>
      </c>
      <c r="BA163" s="44" t="s">
        <v>270</v>
      </c>
      <c r="BB163" s="44" t="s">
        <v>271</v>
      </c>
      <c r="BC163" s="44" t="s">
        <v>259</v>
      </c>
      <c r="BD163" s="44" t="s">
        <v>290</v>
      </c>
      <c r="BE163" s="44" t="s">
        <v>272</v>
      </c>
      <c r="BF163" s="44" t="s">
        <v>260</v>
      </c>
      <c r="BG163" s="44" t="s">
        <v>291</v>
      </c>
      <c r="BH163" s="44" t="s">
        <v>274</v>
      </c>
      <c r="BI163" s="44" t="s">
        <v>292</v>
      </c>
      <c r="BJ163" s="44" t="s">
        <v>263</v>
      </c>
      <c r="BK163" s="44" t="s">
        <v>253</v>
      </c>
      <c r="BL163" s="44" t="s">
        <v>253</v>
      </c>
      <c r="BM163" s="44" t="s">
        <v>253</v>
      </c>
      <c r="BN163" s="44" t="s">
        <v>263</v>
      </c>
      <c r="BO163" s="44" t="s">
        <v>253</v>
      </c>
      <c r="BP163" s="44" t="s">
        <v>253</v>
      </c>
      <c r="BQ163" s="44" t="s">
        <v>253</v>
      </c>
      <c r="BR163" s="44" t="s">
        <v>253</v>
      </c>
      <c r="BS163" s="44" t="s">
        <v>276</v>
      </c>
      <c r="BT163" s="44">
        <v>0</v>
      </c>
    </row>
    <row r="164" spans="1:72">
      <c r="A164" s="44">
        <v>2022</v>
      </c>
      <c r="B164" s="6">
        <v>12</v>
      </c>
      <c r="C164" s="6">
        <v>1</v>
      </c>
      <c r="D164" s="6">
        <v>17</v>
      </c>
      <c r="E164" s="6" t="s">
        <v>253</v>
      </c>
      <c r="F164" s="6" t="s">
        <v>254</v>
      </c>
      <c r="G164" s="6">
        <v>2016</v>
      </c>
      <c r="H164" s="6">
        <v>12</v>
      </c>
      <c r="I164" s="6" t="s">
        <v>34</v>
      </c>
      <c r="J164" s="6" t="s">
        <v>253</v>
      </c>
      <c r="K164" s="6">
        <v>1987</v>
      </c>
      <c r="L164" s="14">
        <v>12</v>
      </c>
      <c r="M164" s="6">
        <v>1</v>
      </c>
      <c r="N164" s="6" t="s">
        <v>255</v>
      </c>
      <c r="O164" s="6" t="s">
        <v>288</v>
      </c>
      <c r="P164" s="6" t="s">
        <v>283</v>
      </c>
      <c r="Q164" s="6">
        <v>7000</v>
      </c>
      <c r="R164" s="6" t="s">
        <v>254</v>
      </c>
      <c r="S164" s="6" t="s">
        <v>258</v>
      </c>
      <c r="T164" s="6" t="s">
        <v>259</v>
      </c>
      <c r="U164" s="6" t="s">
        <v>263</v>
      </c>
      <c r="V164" s="6">
        <v>1000</v>
      </c>
      <c r="W164" s="6" t="s">
        <v>260</v>
      </c>
      <c r="X164" s="6">
        <v>5000</v>
      </c>
      <c r="Y164" s="6" t="s">
        <v>261</v>
      </c>
      <c r="Z164" s="6">
        <v>80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284</v>
      </c>
      <c r="AN164" s="44" t="s">
        <v>253</v>
      </c>
      <c r="AO164" s="44" t="s">
        <v>266</v>
      </c>
      <c r="AP164" s="44" t="s">
        <v>289</v>
      </c>
      <c r="AQ164" s="44">
        <v>12</v>
      </c>
      <c r="AR164" s="44" t="s">
        <v>34</v>
      </c>
      <c r="AS164" s="44" t="s">
        <v>253</v>
      </c>
      <c r="AT164" s="44" t="s">
        <v>277</v>
      </c>
      <c r="AU164" s="44">
        <v>12</v>
      </c>
      <c r="AV164" s="44">
        <v>1</v>
      </c>
      <c r="AW164" s="44" t="s">
        <v>269</v>
      </c>
      <c r="AX164" s="44" t="s">
        <v>288</v>
      </c>
      <c r="AY164" s="44" t="s">
        <v>283</v>
      </c>
      <c r="AZ164" s="44">
        <v>3</v>
      </c>
      <c r="BA164" s="44" t="s">
        <v>270</v>
      </c>
      <c r="BB164" s="44" t="s">
        <v>271</v>
      </c>
      <c r="BC164" s="44" t="s">
        <v>259</v>
      </c>
      <c r="BD164" s="44" t="s">
        <v>290</v>
      </c>
      <c r="BE164" s="44" t="s">
        <v>272</v>
      </c>
      <c r="BF164" s="44" t="s">
        <v>260</v>
      </c>
      <c r="BG164" s="44" t="s">
        <v>291</v>
      </c>
      <c r="BH164" s="44" t="s">
        <v>274</v>
      </c>
      <c r="BI164" s="44" t="s">
        <v>292</v>
      </c>
      <c r="BJ164" s="44" t="s">
        <v>263</v>
      </c>
      <c r="BK164" s="44" t="s">
        <v>253</v>
      </c>
      <c r="BL164" s="44" t="s">
        <v>253</v>
      </c>
      <c r="BM164" s="44" t="s">
        <v>253</v>
      </c>
      <c r="BN164" s="44" t="s">
        <v>263</v>
      </c>
      <c r="BO164" s="44" t="s">
        <v>253</v>
      </c>
      <c r="BP164" s="44" t="s">
        <v>253</v>
      </c>
      <c r="BQ164" s="44" t="s">
        <v>253</v>
      </c>
      <c r="BR164" s="44" t="s">
        <v>253</v>
      </c>
      <c r="BS164" s="44" t="s">
        <v>276</v>
      </c>
      <c r="BT164" s="44">
        <v>0</v>
      </c>
    </row>
    <row r="165" spans="1:72">
      <c r="A165" s="44">
        <v>2022</v>
      </c>
      <c r="B165" s="6">
        <v>12</v>
      </c>
      <c r="C165" s="6">
        <v>1</v>
      </c>
      <c r="D165" s="6">
        <v>17</v>
      </c>
      <c r="E165" s="6" t="s">
        <v>253</v>
      </c>
      <c r="F165" s="6" t="s">
        <v>254</v>
      </c>
      <c r="G165" s="6">
        <v>2016</v>
      </c>
      <c r="H165" s="6">
        <v>12</v>
      </c>
      <c r="I165" s="6" t="s">
        <v>34</v>
      </c>
      <c r="J165" s="6" t="s">
        <v>253</v>
      </c>
      <c r="K165" s="6">
        <v>1982</v>
      </c>
      <c r="L165" s="14">
        <v>12</v>
      </c>
      <c r="M165" s="6">
        <v>1</v>
      </c>
      <c r="N165" s="6" t="s">
        <v>255</v>
      </c>
      <c r="O165" s="6" t="s">
        <v>288</v>
      </c>
      <c r="P165" s="6" t="s">
        <v>283</v>
      </c>
      <c r="Q165" s="6">
        <v>7000</v>
      </c>
      <c r="R165" s="6" t="s">
        <v>254</v>
      </c>
      <c r="S165" s="6" t="s">
        <v>258</v>
      </c>
      <c r="T165" s="6" t="s">
        <v>259</v>
      </c>
      <c r="U165" s="6" t="s">
        <v>263</v>
      </c>
      <c r="V165" s="6">
        <v>1000</v>
      </c>
      <c r="W165" s="6" t="s">
        <v>260</v>
      </c>
      <c r="X165" s="6">
        <v>5000</v>
      </c>
      <c r="Y165" s="6" t="s">
        <v>261</v>
      </c>
      <c r="Z165" s="6">
        <v>80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284</v>
      </c>
      <c r="AN165" s="44" t="s">
        <v>253</v>
      </c>
      <c r="AO165" s="44" t="s">
        <v>266</v>
      </c>
      <c r="AP165" s="44" t="s">
        <v>289</v>
      </c>
      <c r="AQ165" s="44">
        <v>12</v>
      </c>
      <c r="AR165" s="44" t="s">
        <v>34</v>
      </c>
      <c r="AS165" s="44" t="s">
        <v>253</v>
      </c>
      <c r="AT165" s="44" t="s">
        <v>278</v>
      </c>
      <c r="AU165" s="44">
        <v>12</v>
      </c>
      <c r="AV165" s="44">
        <v>1</v>
      </c>
      <c r="AW165" s="44" t="s">
        <v>269</v>
      </c>
      <c r="AX165" s="44" t="s">
        <v>288</v>
      </c>
      <c r="AY165" s="44" t="s">
        <v>283</v>
      </c>
      <c r="AZ165" s="44">
        <v>3</v>
      </c>
      <c r="BA165" s="44" t="s">
        <v>270</v>
      </c>
      <c r="BB165" s="44" t="s">
        <v>271</v>
      </c>
      <c r="BC165" s="44" t="s">
        <v>259</v>
      </c>
      <c r="BD165" s="44" t="s">
        <v>290</v>
      </c>
      <c r="BE165" s="44" t="s">
        <v>272</v>
      </c>
      <c r="BF165" s="44" t="s">
        <v>260</v>
      </c>
      <c r="BG165" s="44" t="s">
        <v>291</v>
      </c>
      <c r="BH165" s="44" t="s">
        <v>274</v>
      </c>
      <c r="BI165" s="44" t="s">
        <v>292</v>
      </c>
      <c r="BJ165" s="44" t="s">
        <v>263</v>
      </c>
      <c r="BK165" s="44" t="s">
        <v>253</v>
      </c>
      <c r="BL165" s="44" t="s">
        <v>253</v>
      </c>
      <c r="BM165" s="44" t="s">
        <v>253</v>
      </c>
      <c r="BN165" s="44" t="s">
        <v>263</v>
      </c>
      <c r="BO165" s="44" t="s">
        <v>253</v>
      </c>
      <c r="BP165" s="44" t="s">
        <v>253</v>
      </c>
      <c r="BQ165" s="44" t="s">
        <v>253</v>
      </c>
      <c r="BR165" s="44" t="s">
        <v>253</v>
      </c>
      <c r="BS165" s="44" t="s">
        <v>276</v>
      </c>
      <c r="BT165" s="44">
        <v>0</v>
      </c>
    </row>
    <row r="166" spans="1:72">
      <c r="A166" s="44">
        <v>2022</v>
      </c>
      <c r="B166" s="6">
        <v>12</v>
      </c>
      <c r="C166" s="6">
        <v>1</v>
      </c>
      <c r="D166" s="6">
        <v>17</v>
      </c>
      <c r="E166" s="6" t="s">
        <v>253</v>
      </c>
      <c r="F166" s="6" t="s">
        <v>254</v>
      </c>
      <c r="G166" s="6">
        <v>2016</v>
      </c>
      <c r="H166" s="6">
        <v>12</v>
      </c>
      <c r="I166" s="6" t="s">
        <v>34</v>
      </c>
      <c r="J166" s="6" t="s">
        <v>253</v>
      </c>
      <c r="K166" s="6">
        <v>1977</v>
      </c>
      <c r="L166" s="14">
        <v>12</v>
      </c>
      <c r="M166" s="6">
        <v>1</v>
      </c>
      <c r="N166" s="6" t="s">
        <v>255</v>
      </c>
      <c r="O166" s="6" t="s">
        <v>288</v>
      </c>
      <c r="P166" s="6" t="s">
        <v>283</v>
      </c>
      <c r="Q166" s="6">
        <v>7000</v>
      </c>
      <c r="R166" s="6" t="s">
        <v>254</v>
      </c>
      <c r="S166" s="6" t="s">
        <v>258</v>
      </c>
      <c r="T166" s="6" t="s">
        <v>259</v>
      </c>
      <c r="U166" s="6" t="s">
        <v>263</v>
      </c>
      <c r="V166" s="6">
        <v>1000</v>
      </c>
      <c r="W166" s="6" t="s">
        <v>260</v>
      </c>
      <c r="X166" s="6">
        <v>5000</v>
      </c>
      <c r="Y166" s="6" t="s">
        <v>261</v>
      </c>
      <c r="Z166" s="6">
        <v>80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284</v>
      </c>
      <c r="AN166" s="44" t="s">
        <v>253</v>
      </c>
      <c r="AO166" s="44" t="s">
        <v>266</v>
      </c>
      <c r="AP166" s="44" t="s">
        <v>289</v>
      </c>
      <c r="AQ166" s="44">
        <v>12</v>
      </c>
      <c r="AR166" s="44" t="s">
        <v>34</v>
      </c>
      <c r="AS166" s="44" t="s">
        <v>253</v>
      </c>
      <c r="AT166" s="44" t="s">
        <v>279</v>
      </c>
      <c r="AU166" s="44">
        <v>12</v>
      </c>
      <c r="AV166" s="44">
        <v>1</v>
      </c>
      <c r="AW166" s="44" t="s">
        <v>269</v>
      </c>
      <c r="AX166" s="44" t="s">
        <v>288</v>
      </c>
      <c r="AY166" s="44" t="s">
        <v>283</v>
      </c>
      <c r="AZ166" s="44">
        <v>3</v>
      </c>
      <c r="BA166" s="44" t="s">
        <v>270</v>
      </c>
      <c r="BB166" s="44" t="s">
        <v>271</v>
      </c>
      <c r="BC166" s="44" t="s">
        <v>259</v>
      </c>
      <c r="BD166" s="44" t="s">
        <v>290</v>
      </c>
      <c r="BE166" s="44" t="s">
        <v>272</v>
      </c>
      <c r="BF166" s="44" t="s">
        <v>260</v>
      </c>
      <c r="BG166" s="44" t="s">
        <v>291</v>
      </c>
      <c r="BH166" s="44" t="s">
        <v>274</v>
      </c>
      <c r="BI166" s="44" t="s">
        <v>292</v>
      </c>
      <c r="BJ166" s="44" t="s">
        <v>263</v>
      </c>
      <c r="BK166" s="44" t="s">
        <v>253</v>
      </c>
      <c r="BL166" s="44" t="s">
        <v>253</v>
      </c>
      <c r="BM166" s="44" t="s">
        <v>253</v>
      </c>
      <c r="BN166" s="44" t="s">
        <v>263</v>
      </c>
      <c r="BO166" s="44" t="s">
        <v>253</v>
      </c>
      <c r="BP166" s="44" t="s">
        <v>253</v>
      </c>
      <c r="BQ166" s="44" t="s">
        <v>253</v>
      </c>
      <c r="BR166" s="44" t="s">
        <v>253</v>
      </c>
      <c r="BS166" s="44" t="s">
        <v>276</v>
      </c>
      <c r="BT166" s="44">
        <v>0</v>
      </c>
    </row>
    <row r="167" spans="1:72">
      <c r="A167" s="44">
        <v>2022</v>
      </c>
      <c r="B167" s="6">
        <v>12</v>
      </c>
      <c r="C167" s="6">
        <v>1</v>
      </c>
      <c r="D167" s="6">
        <v>17</v>
      </c>
      <c r="E167" s="6" t="s">
        <v>253</v>
      </c>
      <c r="F167" s="6" t="s">
        <v>254</v>
      </c>
      <c r="G167" s="6">
        <v>2016</v>
      </c>
      <c r="H167" s="6">
        <v>12</v>
      </c>
      <c r="I167" s="6" t="s">
        <v>34</v>
      </c>
      <c r="J167" s="6" t="s">
        <v>253</v>
      </c>
      <c r="K167" s="6">
        <v>1972</v>
      </c>
      <c r="L167" s="14">
        <v>12</v>
      </c>
      <c r="M167" s="6">
        <v>1</v>
      </c>
      <c r="N167" s="6" t="s">
        <v>255</v>
      </c>
      <c r="O167" s="6" t="s">
        <v>288</v>
      </c>
      <c r="P167" s="6" t="s">
        <v>283</v>
      </c>
      <c r="Q167" s="6">
        <v>7000</v>
      </c>
      <c r="R167" s="6" t="s">
        <v>254</v>
      </c>
      <c r="S167" s="6" t="s">
        <v>258</v>
      </c>
      <c r="T167" s="6" t="s">
        <v>259</v>
      </c>
      <c r="U167" s="6" t="s">
        <v>263</v>
      </c>
      <c r="V167" s="6">
        <v>1000</v>
      </c>
      <c r="W167" s="6" t="s">
        <v>260</v>
      </c>
      <c r="X167" s="6">
        <v>5000</v>
      </c>
      <c r="Y167" s="6" t="s">
        <v>261</v>
      </c>
      <c r="Z167" s="6">
        <v>80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284</v>
      </c>
      <c r="AN167" s="44" t="s">
        <v>253</v>
      </c>
      <c r="AO167" s="44" t="s">
        <v>266</v>
      </c>
      <c r="AP167" s="44" t="s">
        <v>289</v>
      </c>
      <c r="AQ167" s="44">
        <v>12</v>
      </c>
      <c r="AR167" s="44" t="s">
        <v>34</v>
      </c>
      <c r="AS167" s="44" t="s">
        <v>253</v>
      </c>
      <c r="AT167" s="44" t="s">
        <v>280</v>
      </c>
      <c r="AU167" s="44">
        <v>12</v>
      </c>
      <c r="AV167" s="44">
        <v>1</v>
      </c>
      <c r="AW167" s="44" t="s">
        <v>269</v>
      </c>
      <c r="AX167" s="44" t="s">
        <v>288</v>
      </c>
      <c r="AY167" s="44" t="s">
        <v>283</v>
      </c>
      <c r="AZ167" s="44">
        <v>3</v>
      </c>
      <c r="BA167" s="44" t="s">
        <v>270</v>
      </c>
      <c r="BB167" s="44" t="s">
        <v>271</v>
      </c>
      <c r="BC167" s="44" t="s">
        <v>259</v>
      </c>
      <c r="BD167" s="44" t="s">
        <v>290</v>
      </c>
      <c r="BE167" s="44" t="s">
        <v>272</v>
      </c>
      <c r="BF167" s="44" t="s">
        <v>260</v>
      </c>
      <c r="BG167" s="44" t="s">
        <v>291</v>
      </c>
      <c r="BH167" s="44" t="s">
        <v>274</v>
      </c>
      <c r="BI167" s="44" t="s">
        <v>292</v>
      </c>
      <c r="BJ167" s="44" t="s">
        <v>263</v>
      </c>
      <c r="BK167" s="44" t="s">
        <v>253</v>
      </c>
      <c r="BL167" s="44" t="s">
        <v>253</v>
      </c>
      <c r="BM167" s="44" t="s">
        <v>253</v>
      </c>
      <c r="BN167" s="44" t="s">
        <v>263</v>
      </c>
      <c r="BO167" s="44" t="s">
        <v>253</v>
      </c>
      <c r="BP167" s="44" t="s">
        <v>253</v>
      </c>
      <c r="BQ167" s="44" t="s">
        <v>253</v>
      </c>
      <c r="BR167" s="44" t="s">
        <v>253</v>
      </c>
      <c r="BS167" s="44" t="s">
        <v>276</v>
      </c>
      <c r="BT167" s="44">
        <v>0</v>
      </c>
    </row>
    <row r="168" spans="1:72">
      <c r="A168" s="44">
        <v>2022</v>
      </c>
      <c r="B168" s="6">
        <v>12</v>
      </c>
      <c r="C168" s="6">
        <v>1</v>
      </c>
      <c r="D168" s="6">
        <v>17</v>
      </c>
      <c r="E168" s="6" t="s">
        <v>253</v>
      </c>
      <c r="F168" s="6" t="s">
        <v>254</v>
      </c>
      <c r="G168" s="6">
        <v>2016</v>
      </c>
      <c r="H168" s="6">
        <v>12</v>
      </c>
      <c r="I168" s="6" t="s">
        <v>34</v>
      </c>
      <c r="J168" s="6" t="s">
        <v>253</v>
      </c>
      <c r="K168" s="6">
        <v>1962</v>
      </c>
      <c r="L168" s="14">
        <v>12</v>
      </c>
      <c r="M168" s="6">
        <v>1</v>
      </c>
      <c r="N168" s="6" t="s">
        <v>255</v>
      </c>
      <c r="O168" s="6" t="s">
        <v>288</v>
      </c>
      <c r="P168" s="6" t="s">
        <v>283</v>
      </c>
      <c r="Q168" s="6">
        <v>7000</v>
      </c>
      <c r="R168" s="6" t="s">
        <v>254</v>
      </c>
      <c r="S168" s="6" t="s">
        <v>258</v>
      </c>
      <c r="T168" s="6" t="s">
        <v>259</v>
      </c>
      <c r="U168" s="6" t="s">
        <v>263</v>
      </c>
      <c r="V168" s="6">
        <v>1000</v>
      </c>
      <c r="W168" s="6" t="s">
        <v>260</v>
      </c>
      <c r="X168" s="6">
        <v>5000</v>
      </c>
      <c r="Y168" s="6" t="s">
        <v>261</v>
      </c>
      <c r="Z168" s="6">
        <v>80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284</v>
      </c>
      <c r="AN168" s="44" t="s">
        <v>253</v>
      </c>
      <c r="AO168" s="44" t="s">
        <v>266</v>
      </c>
      <c r="AP168" s="44" t="s">
        <v>289</v>
      </c>
      <c r="AQ168" s="44">
        <v>12</v>
      </c>
      <c r="AR168" s="44" t="s">
        <v>34</v>
      </c>
      <c r="AS168" s="44" t="s">
        <v>253</v>
      </c>
      <c r="AT168" s="44" t="s">
        <v>281</v>
      </c>
      <c r="AU168" s="44">
        <v>12</v>
      </c>
      <c r="AV168" s="44">
        <v>1</v>
      </c>
      <c r="AW168" s="44" t="s">
        <v>269</v>
      </c>
      <c r="AX168" s="44" t="s">
        <v>288</v>
      </c>
      <c r="AY168" s="44" t="s">
        <v>283</v>
      </c>
      <c r="AZ168" s="44">
        <v>3</v>
      </c>
      <c r="BA168" s="44" t="s">
        <v>270</v>
      </c>
      <c r="BB168" s="44" t="s">
        <v>271</v>
      </c>
      <c r="BC168" s="44" t="s">
        <v>259</v>
      </c>
      <c r="BD168" s="44" t="s">
        <v>290</v>
      </c>
      <c r="BE168" s="44" t="s">
        <v>272</v>
      </c>
      <c r="BF168" s="44" t="s">
        <v>260</v>
      </c>
      <c r="BG168" s="44" t="s">
        <v>291</v>
      </c>
      <c r="BH168" s="44" t="s">
        <v>274</v>
      </c>
      <c r="BI168" s="44" t="s">
        <v>292</v>
      </c>
      <c r="BJ168" s="44" t="s">
        <v>263</v>
      </c>
      <c r="BK168" s="44" t="s">
        <v>253</v>
      </c>
      <c r="BL168" s="44" t="s">
        <v>253</v>
      </c>
      <c r="BM168" s="44" t="s">
        <v>253</v>
      </c>
      <c r="BN168" s="44" t="s">
        <v>263</v>
      </c>
      <c r="BO168" s="44" t="s">
        <v>253</v>
      </c>
      <c r="BP168" s="44" t="s">
        <v>253</v>
      </c>
      <c r="BQ168" s="44" t="s">
        <v>253</v>
      </c>
      <c r="BR168" s="44" t="s">
        <v>253</v>
      </c>
      <c r="BS168" s="44" t="s">
        <v>276</v>
      </c>
      <c r="BT168" s="44">
        <v>0</v>
      </c>
    </row>
    <row r="169" spans="1:72">
      <c r="A169" s="44">
        <v>2022</v>
      </c>
      <c r="B169" s="6">
        <v>12</v>
      </c>
      <c r="C169" s="6">
        <v>1</v>
      </c>
      <c r="D169" s="6">
        <v>17</v>
      </c>
      <c r="E169" s="6" t="s">
        <v>253</v>
      </c>
      <c r="F169" s="6" t="s">
        <v>254</v>
      </c>
      <c r="G169" s="6">
        <v>2016</v>
      </c>
      <c r="H169" s="6">
        <v>12</v>
      </c>
      <c r="I169" s="6" t="s">
        <v>34</v>
      </c>
      <c r="J169" s="6" t="s">
        <v>253</v>
      </c>
      <c r="K169" s="6">
        <v>1952</v>
      </c>
      <c r="L169" s="14">
        <v>12</v>
      </c>
      <c r="M169" s="6">
        <v>1</v>
      </c>
      <c r="N169" s="6" t="s">
        <v>255</v>
      </c>
      <c r="O169" s="6" t="s">
        <v>288</v>
      </c>
      <c r="P169" s="6" t="s">
        <v>283</v>
      </c>
      <c r="Q169" s="6">
        <v>7000</v>
      </c>
      <c r="R169" s="6" t="s">
        <v>254</v>
      </c>
      <c r="S169" s="6" t="s">
        <v>258</v>
      </c>
      <c r="T169" s="6" t="s">
        <v>259</v>
      </c>
      <c r="U169" s="6" t="s">
        <v>263</v>
      </c>
      <c r="V169" s="6">
        <v>1000</v>
      </c>
      <c r="W169" s="6" t="s">
        <v>260</v>
      </c>
      <c r="X169" s="6">
        <v>5000</v>
      </c>
      <c r="Y169" s="6" t="s">
        <v>261</v>
      </c>
      <c r="Z169" s="6">
        <v>80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284</v>
      </c>
      <c r="AN169" s="44" t="s">
        <v>253</v>
      </c>
      <c r="AO169" s="44" t="s">
        <v>266</v>
      </c>
      <c r="AP169" s="44" t="s">
        <v>289</v>
      </c>
      <c r="AQ169" s="44">
        <v>12</v>
      </c>
      <c r="AR169" s="44" t="s">
        <v>34</v>
      </c>
      <c r="AS169" s="44" t="s">
        <v>253</v>
      </c>
      <c r="AT169" s="44" t="s">
        <v>282</v>
      </c>
      <c r="AU169" s="44">
        <v>12</v>
      </c>
      <c r="AV169" s="44">
        <v>1</v>
      </c>
      <c r="AW169" s="44" t="s">
        <v>269</v>
      </c>
      <c r="AX169" s="44" t="s">
        <v>288</v>
      </c>
      <c r="AY169" s="44" t="s">
        <v>283</v>
      </c>
      <c r="AZ169" s="44">
        <v>3</v>
      </c>
      <c r="BA169" s="44" t="s">
        <v>270</v>
      </c>
      <c r="BB169" s="44" t="s">
        <v>271</v>
      </c>
      <c r="BC169" s="44" t="s">
        <v>259</v>
      </c>
      <c r="BD169" s="44" t="s">
        <v>290</v>
      </c>
      <c r="BE169" s="44" t="s">
        <v>272</v>
      </c>
      <c r="BF169" s="44" t="s">
        <v>260</v>
      </c>
      <c r="BG169" s="44" t="s">
        <v>291</v>
      </c>
      <c r="BH169" s="44" t="s">
        <v>274</v>
      </c>
      <c r="BI169" s="44" t="s">
        <v>292</v>
      </c>
      <c r="BJ169" s="44" t="s">
        <v>263</v>
      </c>
      <c r="BK169" s="44" t="s">
        <v>253</v>
      </c>
      <c r="BL169" s="44" t="s">
        <v>253</v>
      </c>
      <c r="BM169" s="44" t="s">
        <v>253</v>
      </c>
      <c r="BN169" s="44" t="s">
        <v>263</v>
      </c>
      <c r="BO169" s="44" t="s">
        <v>253</v>
      </c>
      <c r="BP169" s="44" t="s">
        <v>253</v>
      </c>
      <c r="BQ169" s="44" t="s">
        <v>253</v>
      </c>
      <c r="BR169" s="44" t="s">
        <v>253</v>
      </c>
      <c r="BS169" s="44" t="s">
        <v>276</v>
      </c>
      <c r="BT169" s="44">
        <v>0</v>
      </c>
    </row>
    <row r="170" spans="1:72">
      <c r="A170" s="44">
        <v>2022</v>
      </c>
      <c r="B170" s="6">
        <v>12</v>
      </c>
      <c r="C170" s="6">
        <v>1</v>
      </c>
      <c r="D170" s="6" t="s">
        <v>286</v>
      </c>
      <c r="E170" s="6" t="s">
        <v>253</v>
      </c>
      <c r="F170" s="6" t="s">
        <v>254</v>
      </c>
      <c r="G170" s="6">
        <v>2016</v>
      </c>
      <c r="H170" s="6">
        <v>12</v>
      </c>
      <c r="I170" s="6" t="s">
        <v>34</v>
      </c>
      <c r="J170" s="6" t="s">
        <v>253</v>
      </c>
      <c r="K170" s="6">
        <v>1992</v>
      </c>
      <c r="L170" s="14">
        <v>12</v>
      </c>
      <c r="M170" s="6">
        <v>1</v>
      </c>
      <c r="N170" s="6" t="s">
        <v>255</v>
      </c>
      <c r="O170" s="6" t="s">
        <v>288</v>
      </c>
      <c r="P170" s="6" t="s">
        <v>257</v>
      </c>
      <c r="Q170" s="6">
        <v>3000</v>
      </c>
      <c r="R170" s="6" t="s">
        <v>254</v>
      </c>
      <c r="S170" s="6" t="s">
        <v>258</v>
      </c>
      <c r="T170" s="6" t="s">
        <v>259</v>
      </c>
      <c r="U170" s="6" t="s">
        <v>263</v>
      </c>
      <c r="V170" s="6">
        <v>1000</v>
      </c>
      <c r="W170" s="6" t="s">
        <v>260</v>
      </c>
      <c r="X170" s="6">
        <v>5000</v>
      </c>
      <c r="Y170" s="6" t="s">
        <v>261</v>
      </c>
      <c r="Z170" s="6">
        <v>80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286</v>
      </c>
      <c r="AN170" s="44" t="s">
        <v>253</v>
      </c>
      <c r="AO170" s="44" t="s">
        <v>266</v>
      </c>
      <c r="AP170" s="44" t="s">
        <v>289</v>
      </c>
      <c r="AQ170" s="44">
        <v>12</v>
      </c>
      <c r="AR170" s="44" t="s">
        <v>34</v>
      </c>
      <c r="AS170" s="44" t="s">
        <v>253</v>
      </c>
      <c r="AT170" s="44" t="s">
        <v>268</v>
      </c>
      <c r="AU170" s="44">
        <v>12</v>
      </c>
      <c r="AV170" s="44">
        <v>1</v>
      </c>
      <c r="AW170" s="44" t="s">
        <v>269</v>
      </c>
      <c r="AX170" s="44" t="s">
        <v>288</v>
      </c>
      <c r="AY170" s="44" t="s">
        <v>257</v>
      </c>
      <c r="AZ170" s="44">
        <v>1</v>
      </c>
      <c r="BA170" s="44" t="s">
        <v>270</v>
      </c>
      <c r="BB170" s="44" t="s">
        <v>271</v>
      </c>
      <c r="BC170" s="44" t="s">
        <v>259</v>
      </c>
      <c r="BD170" s="44" t="s">
        <v>290</v>
      </c>
      <c r="BE170" s="44" t="s">
        <v>272</v>
      </c>
      <c r="BF170" s="44" t="s">
        <v>260</v>
      </c>
      <c r="BG170" s="44" t="s">
        <v>291</v>
      </c>
      <c r="BH170" s="44" t="s">
        <v>274</v>
      </c>
      <c r="BI170" s="44" t="s">
        <v>292</v>
      </c>
      <c r="BJ170" s="44" t="s">
        <v>263</v>
      </c>
      <c r="BK170" s="44" t="s">
        <v>253</v>
      </c>
      <c r="BL170" s="44" t="s">
        <v>253</v>
      </c>
      <c r="BM170" s="44" t="s">
        <v>253</v>
      </c>
      <c r="BN170" s="44" t="s">
        <v>263</v>
      </c>
      <c r="BO170" s="44" t="s">
        <v>253</v>
      </c>
      <c r="BP170" s="44" t="s">
        <v>253</v>
      </c>
      <c r="BQ170" s="44" t="s">
        <v>253</v>
      </c>
      <c r="BR170" s="44" t="s">
        <v>253</v>
      </c>
      <c r="BS170" s="44" t="s">
        <v>287</v>
      </c>
      <c r="BT170" s="44">
        <v>0</v>
      </c>
    </row>
    <row r="171" spans="1:72">
      <c r="A171" s="44">
        <v>2022</v>
      </c>
      <c r="B171" s="6">
        <v>12</v>
      </c>
      <c r="C171" s="6">
        <v>1</v>
      </c>
      <c r="D171" s="6" t="s">
        <v>286</v>
      </c>
      <c r="E171" s="6" t="s">
        <v>253</v>
      </c>
      <c r="F171" s="6" t="s">
        <v>254</v>
      </c>
      <c r="G171" s="6">
        <v>2016</v>
      </c>
      <c r="H171" s="6">
        <v>12</v>
      </c>
      <c r="I171" s="6" t="s">
        <v>34</v>
      </c>
      <c r="J171" s="6" t="s">
        <v>253</v>
      </c>
      <c r="K171" s="6">
        <v>1987</v>
      </c>
      <c r="L171" s="14">
        <v>12</v>
      </c>
      <c r="M171" s="6">
        <v>1</v>
      </c>
      <c r="N171" s="6" t="s">
        <v>255</v>
      </c>
      <c r="O171" s="6" t="s">
        <v>288</v>
      </c>
      <c r="P171" s="6" t="s">
        <v>257</v>
      </c>
      <c r="Q171" s="6">
        <v>3000</v>
      </c>
      <c r="R171" s="6" t="s">
        <v>254</v>
      </c>
      <c r="S171" s="6" t="s">
        <v>258</v>
      </c>
      <c r="T171" s="6" t="s">
        <v>259</v>
      </c>
      <c r="U171" s="6" t="s">
        <v>263</v>
      </c>
      <c r="V171" s="6">
        <v>1000</v>
      </c>
      <c r="W171" s="6" t="s">
        <v>260</v>
      </c>
      <c r="X171" s="6">
        <v>5000</v>
      </c>
      <c r="Y171" s="6" t="s">
        <v>261</v>
      </c>
      <c r="Z171" s="6">
        <v>80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286</v>
      </c>
      <c r="AN171" s="44" t="s">
        <v>253</v>
      </c>
      <c r="AO171" s="44" t="s">
        <v>266</v>
      </c>
      <c r="AP171" s="44" t="s">
        <v>289</v>
      </c>
      <c r="AQ171" s="44">
        <v>12</v>
      </c>
      <c r="AR171" s="44" t="s">
        <v>34</v>
      </c>
      <c r="AS171" s="44" t="s">
        <v>253</v>
      </c>
      <c r="AT171" s="44" t="s">
        <v>277</v>
      </c>
      <c r="AU171" s="44">
        <v>12</v>
      </c>
      <c r="AV171" s="44">
        <v>1</v>
      </c>
      <c r="AW171" s="44" t="s">
        <v>269</v>
      </c>
      <c r="AX171" s="44" t="s">
        <v>288</v>
      </c>
      <c r="AY171" s="44" t="s">
        <v>257</v>
      </c>
      <c r="AZ171" s="44">
        <v>1</v>
      </c>
      <c r="BA171" s="44" t="s">
        <v>270</v>
      </c>
      <c r="BB171" s="44" t="s">
        <v>271</v>
      </c>
      <c r="BC171" s="44" t="s">
        <v>259</v>
      </c>
      <c r="BD171" s="44" t="s">
        <v>290</v>
      </c>
      <c r="BE171" s="44" t="s">
        <v>272</v>
      </c>
      <c r="BF171" s="44" t="s">
        <v>260</v>
      </c>
      <c r="BG171" s="44" t="s">
        <v>291</v>
      </c>
      <c r="BH171" s="44" t="s">
        <v>274</v>
      </c>
      <c r="BI171" s="44" t="s">
        <v>292</v>
      </c>
      <c r="BJ171" s="44" t="s">
        <v>263</v>
      </c>
      <c r="BK171" s="44" t="s">
        <v>253</v>
      </c>
      <c r="BL171" s="44" t="s">
        <v>253</v>
      </c>
      <c r="BM171" s="44" t="s">
        <v>253</v>
      </c>
      <c r="BN171" s="44" t="s">
        <v>263</v>
      </c>
      <c r="BO171" s="44" t="s">
        <v>253</v>
      </c>
      <c r="BP171" s="44" t="s">
        <v>253</v>
      </c>
      <c r="BQ171" s="44" t="s">
        <v>253</v>
      </c>
      <c r="BR171" s="44" t="s">
        <v>253</v>
      </c>
      <c r="BS171" s="44" t="s">
        <v>287</v>
      </c>
      <c r="BT171" s="44">
        <v>0</v>
      </c>
    </row>
    <row r="172" spans="1:72">
      <c r="A172" s="44">
        <v>2022</v>
      </c>
      <c r="B172" s="6">
        <v>12</v>
      </c>
      <c r="C172" s="6">
        <v>1</v>
      </c>
      <c r="D172" s="6" t="s">
        <v>286</v>
      </c>
      <c r="E172" s="6" t="s">
        <v>253</v>
      </c>
      <c r="F172" s="6" t="s">
        <v>254</v>
      </c>
      <c r="G172" s="6">
        <v>2016</v>
      </c>
      <c r="H172" s="6">
        <v>12</v>
      </c>
      <c r="I172" s="6" t="s">
        <v>34</v>
      </c>
      <c r="J172" s="6" t="s">
        <v>253</v>
      </c>
      <c r="K172" s="6">
        <v>1982</v>
      </c>
      <c r="L172" s="14">
        <v>12</v>
      </c>
      <c r="M172" s="6">
        <v>1</v>
      </c>
      <c r="N172" s="6" t="s">
        <v>255</v>
      </c>
      <c r="O172" s="6" t="s">
        <v>288</v>
      </c>
      <c r="P172" s="6" t="s">
        <v>257</v>
      </c>
      <c r="Q172" s="6">
        <v>3000</v>
      </c>
      <c r="R172" s="6" t="s">
        <v>254</v>
      </c>
      <c r="S172" s="6" t="s">
        <v>258</v>
      </c>
      <c r="T172" s="6" t="s">
        <v>259</v>
      </c>
      <c r="U172" s="6" t="s">
        <v>263</v>
      </c>
      <c r="V172" s="6">
        <v>1000</v>
      </c>
      <c r="W172" s="6" t="s">
        <v>260</v>
      </c>
      <c r="X172" s="6">
        <v>5000</v>
      </c>
      <c r="Y172" s="6" t="s">
        <v>261</v>
      </c>
      <c r="Z172" s="6">
        <v>80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286</v>
      </c>
      <c r="AN172" s="44" t="s">
        <v>253</v>
      </c>
      <c r="AO172" s="44" t="s">
        <v>266</v>
      </c>
      <c r="AP172" s="44" t="s">
        <v>289</v>
      </c>
      <c r="AQ172" s="44">
        <v>12</v>
      </c>
      <c r="AR172" s="44" t="s">
        <v>34</v>
      </c>
      <c r="AS172" s="44" t="s">
        <v>253</v>
      </c>
      <c r="AT172" s="44" t="s">
        <v>278</v>
      </c>
      <c r="AU172" s="44">
        <v>12</v>
      </c>
      <c r="AV172" s="44">
        <v>1</v>
      </c>
      <c r="AW172" s="44" t="s">
        <v>269</v>
      </c>
      <c r="AX172" s="44" t="s">
        <v>288</v>
      </c>
      <c r="AY172" s="44" t="s">
        <v>257</v>
      </c>
      <c r="AZ172" s="44">
        <v>1</v>
      </c>
      <c r="BA172" s="44" t="s">
        <v>270</v>
      </c>
      <c r="BB172" s="44" t="s">
        <v>271</v>
      </c>
      <c r="BC172" s="44" t="s">
        <v>259</v>
      </c>
      <c r="BD172" s="44" t="s">
        <v>290</v>
      </c>
      <c r="BE172" s="44" t="s">
        <v>272</v>
      </c>
      <c r="BF172" s="44" t="s">
        <v>260</v>
      </c>
      <c r="BG172" s="44" t="s">
        <v>291</v>
      </c>
      <c r="BH172" s="44" t="s">
        <v>274</v>
      </c>
      <c r="BI172" s="44" t="s">
        <v>292</v>
      </c>
      <c r="BJ172" s="44" t="s">
        <v>263</v>
      </c>
      <c r="BK172" s="44" t="s">
        <v>253</v>
      </c>
      <c r="BL172" s="44" t="s">
        <v>253</v>
      </c>
      <c r="BM172" s="44" t="s">
        <v>253</v>
      </c>
      <c r="BN172" s="44" t="s">
        <v>263</v>
      </c>
      <c r="BO172" s="44" t="s">
        <v>253</v>
      </c>
      <c r="BP172" s="44" t="s">
        <v>253</v>
      </c>
      <c r="BQ172" s="44" t="s">
        <v>253</v>
      </c>
      <c r="BR172" s="44" t="s">
        <v>253</v>
      </c>
      <c r="BS172" s="44" t="s">
        <v>287</v>
      </c>
      <c r="BT172" s="44">
        <v>0</v>
      </c>
    </row>
    <row r="173" spans="1:72">
      <c r="A173" s="44">
        <v>2022</v>
      </c>
      <c r="B173" s="6">
        <v>12</v>
      </c>
      <c r="C173" s="6">
        <v>1</v>
      </c>
      <c r="D173" s="6" t="s">
        <v>286</v>
      </c>
      <c r="E173" s="6" t="s">
        <v>253</v>
      </c>
      <c r="F173" s="6" t="s">
        <v>254</v>
      </c>
      <c r="G173" s="6">
        <v>2016</v>
      </c>
      <c r="H173" s="6">
        <v>12</v>
      </c>
      <c r="I173" s="6" t="s">
        <v>34</v>
      </c>
      <c r="J173" s="6" t="s">
        <v>253</v>
      </c>
      <c r="K173" s="6">
        <v>1977</v>
      </c>
      <c r="L173" s="14">
        <v>12</v>
      </c>
      <c r="M173" s="6">
        <v>1</v>
      </c>
      <c r="N173" s="6" t="s">
        <v>255</v>
      </c>
      <c r="O173" s="6" t="s">
        <v>288</v>
      </c>
      <c r="P173" s="6" t="s">
        <v>257</v>
      </c>
      <c r="Q173" s="6">
        <v>3000</v>
      </c>
      <c r="R173" s="6" t="s">
        <v>254</v>
      </c>
      <c r="S173" s="6" t="s">
        <v>258</v>
      </c>
      <c r="T173" s="6" t="s">
        <v>259</v>
      </c>
      <c r="U173" s="6" t="s">
        <v>263</v>
      </c>
      <c r="V173" s="6">
        <v>1000</v>
      </c>
      <c r="W173" s="6" t="s">
        <v>260</v>
      </c>
      <c r="X173" s="6">
        <v>5000</v>
      </c>
      <c r="Y173" s="6" t="s">
        <v>261</v>
      </c>
      <c r="Z173" s="6">
        <v>80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286</v>
      </c>
      <c r="AN173" s="44" t="s">
        <v>253</v>
      </c>
      <c r="AO173" s="44" t="s">
        <v>266</v>
      </c>
      <c r="AP173" s="44" t="s">
        <v>289</v>
      </c>
      <c r="AQ173" s="44">
        <v>12</v>
      </c>
      <c r="AR173" s="44" t="s">
        <v>34</v>
      </c>
      <c r="AS173" s="44" t="s">
        <v>253</v>
      </c>
      <c r="AT173" s="44" t="s">
        <v>279</v>
      </c>
      <c r="AU173" s="44">
        <v>12</v>
      </c>
      <c r="AV173" s="44">
        <v>1</v>
      </c>
      <c r="AW173" s="44" t="s">
        <v>269</v>
      </c>
      <c r="AX173" s="44" t="s">
        <v>288</v>
      </c>
      <c r="AY173" s="44" t="s">
        <v>257</v>
      </c>
      <c r="AZ173" s="44">
        <v>1</v>
      </c>
      <c r="BA173" s="44" t="s">
        <v>270</v>
      </c>
      <c r="BB173" s="44" t="s">
        <v>271</v>
      </c>
      <c r="BC173" s="44" t="s">
        <v>259</v>
      </c>
      <c r="BD173" s="44" t="s">
        <v>290</v>
      </c>
      <c r="BE173" s="44" t="s">
        <v>272</v>
      </c>
      <c r="BF173" s="44" t="s">
        <v>260</v>
      </c>
      <c r="BG173" s="44" t="s">
        <v>291</v>
      </c>
      <c r="BH173" s="44" t="s">
        <v>274</v>
      </c>
      <c r="BI173" s="44" t="s">
        <v>292</v>
      </c>
      <c r="BJ173" s="44" t="s">
        <v>263</v>
      </c>
      <c r="BK173" s="44" t="s">
        <v>253</v>
      </c>
      <c r="BL173" s="44" t="s">
        <v>253</v>
      </c>
      <c r="BM173" s="44" t="s">
        <v>253</v>
      </c>
      <c r="BN173" s="44" t="s">
        <v>263</v>
      </c>
      <c r="BO173" s="44" t="s">
        <v>253</v>
      </c>
      <c r="BP173" s="44" t="s">
        <v>253</v>
      </c>
      <c r="BQ173" s="44" t="s">
        <v>253</v>
      </c>
      <c r="BR173" s="44" t="s">
        <v>253</v>
      </c>
      <c r="BS173" s="44" t="s">
        <v>287</v>
      </c>
      <c r="BT173" s="44">
        <v>0</v>
      </c>
    </row>
    <row r="174" spans="1:72">
      <c r="A174" s="44">
        <v>2022</v>
      </c>
      <c r="B174" s="6">
        <v>12</v>
      </c>
      <c r="C174" s="6">
        <v>1</v>
      </c>
      <c r="D174" s="6" t="s">
        <v>286</v>
      </c>
      <c r="E174" s="6" t="s">
        <v>253</v>
      </c>
      <c r="F174" s="6" t="s">
        <v>254</v>
      </c>
      <c r="G174" s="6">
        <v>2016</v>
      </c>
      <c r="H174" s="6">
        <v>12</v>
      </c>
      <c r="I174" s="6" t="s">
        <v>34</v>
      </c>
      <c r="J174" s="6" t="s">
        <v>253</v>
      </c>
      <c r="K174" s="6">
        <v>1972</v>
      </c>
      <c r="L174" s="14">
        <v>12</v>
      </c>
      <c r="M174" s="6">
        <v>1</v>
      </c>
      <c r="N174" s="6" t="s">
        <v>255</v>
      </c>
      <c r="O174" s="6" t="s">
        <v>288</v>
      </c>
      <c r="P174" s="6" t="s">
        <v>257</v>
      </c>
      <c r="Q174" s="6">
        <v>3000</v>
      </c>
      <c r="R174" s="6" t="s">
        <v>254</v>
      </c>
      <c r="S174" s="6" t="s">
        <v>258</v>
      </c>
      <c r="T174" s="6" t="s">
        <v>259</v>
      </c>
      <c r="U174" s="6" t="s">
        <v>263</v>
      </c>
      <c r="V174" s="6">
        <v>1000</v>
      </c>
      <c r="W174" s="6" t="s">
        <v>260</v>
      </c>
      <c r="X174" s="6">
        <v>5000</v>
      </c>
      <c r="Y174" s="6" t="s">
        <v>261</v>
      </c>
      <c r="Z174" s="6">
        <v>80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286</v>
      </c>
      <c r="AN174" s="44" t="s">
        <v>253</v>
      </c>
      <c r="AO174" s="44" t="s">
        <v>266</v>
      </c>
      <c r="AP174" s="44" t="s">
        <v>289</v>
      </c>
      <c r="AQ174" s="44">
        <v>12</v>
      </c>
      <c r="AR174" s="44" t="s">
        <v>34</v>
      </c>
      <c r="AS174" s="44" t="s">
        <v>253</v>
      </c>
      <c r="AT174" s="44" t="s">
        <v>280</v>
      </c>
      <c r="AU174" s="44">
        <v>12</v>
      </c>
      <c r="AV174" s="44">
        <v>1</v>
      </c>
      <c r="AW174" s="44" t="s">
        <v>269</v>
      </c>
      <c r="AX174" s="44" t="s">
        <v>288</v>
      </c>
      <c r="AY174" s="44" t="s">
        <v>257</v>
      </c>
      <c r="AZ174" s="44">
        <v>1</v>
      </c>
      <c r="BA174" s="44" t="s">
        <v>270</v>
      </c>
      <c r="BB174" s="44" t="s">
        <v>271</v>
      </c>
      <c r="BC174" s="44" t="s">
        <v>259</v>
      </c>
      <c r="BD174" s="44" t="s">
        <v>290</v>
      </c>
      <c r="BE174" s="44" t="s">
        <v>272</v>
      </c>
      <c r="BF174" s="44" t="s">
        <v>260</v>
      </c>
      <c r="BG174" s="44" t="s">
        <v>291</v>
      </c>
      <c r="BH174" s="44" t="s">
        <v>274</v>
      </c>
      <c r="BI174" s="44" t="s">
        <v>292</v>
      </c>
      <c r="BJ174" s="44" t="s">
        <v>263</v>
      </c>
      <c r="BK174" s="44" t="s">
        <v>253</v>
      </c>
      <c r="BL174" s="44" t="s">
        <v>253</v>
      </c>
      <c r="BM174" s="44" t="s">
        <v>253</v>
      </c>
      <c r="BN174" s="44" t="s">
        <v>263</v>
      </c>
      <c r="BO174" s="44" t="s">
        <v>253</v>
      </c>
      <c r="BP174" s="44" t="s">
        <v>253</v>
      </c>
      <c r="BQ174" s="44" t="s">
        <v>253</v>
      </c>
      <c r="BR174" s="44" t="s">
        <v>253</v>
      </c>
      <c r="BS174" s="44" t="s">
        <v>287</v>
      </c>
      <c r="BT174" s="44">
        <v>0</v>
      </c>
    </row>
    <row r="175" spans="1:72">
      <c r="A175" s="44">
        <v>2022</v>
      </c>
      <c r="B175" s="6">
        <v>12</v>
      </c>
      <c r="C175" s="6">
        <v>1</v>
      </c>
      <c r="D175" s="6" t="s">
        <v>286</v>
      </c>
      <c r="E175" s="6" t="s">
        <v>253</v>
      </c>
      <c r="F175" s="6" t="s">
        <v>254</v>
      </c>
      <c r="G175" s="6">
        <v>2016</v>
      </c>
      <c r="H175" s="6">
        <v>12</v>
      </c>
      <c r="I175" s="6" t="s">
        <v>34</v>
      </c>
      <c r="J175" s="6" t="s">
        <v>253</v>
      </c>
      <c r="K175" s="6">
        <v>1962</v>
      </c>
      <c r="L175" s="14">
        <v>12</v>
      </c>
      <c r="M175" s="6">
        <v>1</v>
      </c>
      <c r="N175" s="6" t="s">
        <v>255</v>
      </c>
      <c r="O175" s="6" t="s">
        <v>288</v>
      </c>
      <c r="P175" s="6" t="s">
        <v>257</v>
      </c>
      <c r="Q175" s="6">
        <v>3000</v>
      </c>
      <c r="R175" s="6" t="s">
        <v>254</v>
      </c>
      <c r="S175" s="6" t="s">
        <v>258</v>
      </c>
      <c r="T175" s="6" t="s">
        <v>259</v>
      </c>
      <c r="U175" s="6" t="s">
        <v>263</v>
      </c>
      <c r="V175" s="6">
        <v>1000</v>
      </c>
      <c r="W175" s="6" t="s">
        <v>260</v>
      </c>
      <c r="X175" s="6">
        <v>5000</v>
      </c>
      <c r="Y175" s="6" t="s">
        <v>261</v>
      </c>
      <c r="Z175" s="6">
        <v>80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286</v>
      </c>
      <c r="AN175" s="44" t="s">
        <v>253</v>
      </c>
      <c r="AO175" s="44" t="s">
        <v>266</v>
      </c>
      <c r="AP175" s="44" t="s">
        <v>289</v>
      </c>
      <c r="AQ175" s="44">
        <v>12</v>
      </c>
      <c r="AR175" s="44" t="s">
        <v>34</v>
      </c>
      <c r="AS175" s="44" t="s">
        <v>253</v>
      </c>
      <c r="AT175" s="44" t="s">
        <v>281</v>
      </c>
      <c r="AU175" s="44">
        <v>12</v>
      </c>
      <c r="AV175" s="44">
        <v>1</v>
      </c>
      <c r="AW175" s="44" t="s">
        <v>269</v>
      </c>
      <c r="AX175" s="44" t="s">
        <v>288</v>
      </c>
      <c r="AY175" s="44" t="s">
        <v>257</v>
      </c>
      <c r="AZ175" s="44">
        <v>1</v>
      </c>
      <c r="BA175" s="44" t="s">
        <v>270</v>
      </c>
      <c r="BB175" s="44" t="s">
        <v>271</v>
      </c>
      <c r="BC175" s="44" t="s">
        <v>259</v>
      </c>
      <c r="BD175" s="44" t="s">
        <v>290</v>
      </c>
      <c r="BE175" s="44" t="s">
        <v>272</v>
      </c>
      <c r="BF175" s="44" t="s">
        <v>260</v>
      </c>
      <c r="BG175" s="44" t="s">
        <v>291</v>
      </c>
      <c r="BH175" s="44" t="s">
        <v>274</v>
      </c>
      <c r="BI175" s="44" t="s">
        <v>292</v>
      </c>
      <c r="BJ175" s="44" t="s">
        <v>263</v>
      </c>
      <c r="BK175" s="44" t="s">
        <v>253</v>
      </c>
      <c r="BL175" s="44" t="s">
        <v>253</v>
      </c>
      <c r="BM175" s="44" t="s">
        <v>253</v>
      </c>
      <c r="BN175" s="44" t="s">
        <v>263</v>
      </c>
      <c r="BO175" s="44" t="s">
        <v>253</v>
      </c>
      <c r="BP175" s="44" t="s">
        <v>253</v>
      </c>
      <c r="BQ175" s="44" t="s">
        <v>253</v>
      </c>
      <c r="BR175" s="44" t="s">
        <v>253</v>
      </c>
      <c r="BS175" s="44" t="s">
        <v>287</v>
      </c>
      <c r="BT175" s="44">
        <v>0</v>
      </c>
    </row>
    <row r="176" spans="1:72">
      <c r="A176" s="44">
        <v>2022</v>
      </c>
      <c r="B176" s="6">
        <v>12</v>
      </c>
      <c r="C176" s="6">
        <v>1</v>
      </c>
      <c r="D176" s="6" t="s">
        <v>286</v>
      </c>
      <c r="E176" s="6" t="s">
        <v>253</v>
      </c>
      <c r="F176" s="6" t="s">
        <v>254</v>
      </c>
      <c r="G176" s="6">
        <v>2016</v>
      </c>
      <c r="H176" s="6">
        <v>12</v>
      </c>
      <c r="I176" s="6" t="s">
        <v>34</v>
      </c>
      <c r="J176" s="6" t="s">
        <v>253</v>
      </c>
      <c r="K176" s="6">
        <v>1952</v>
      </c>
      <c r="L176" s="14">
        <v>12</v>
      </c>
      <c r="M176" s="6">
        <v>1</v>
      </c>
      <c r="N176" s="6" t="s">
        <v>255</v>
      </c>
      <c r="O176" s="6" t="s">
        <v>288</v>
      </c>
      <c r="P176" s="6" t="s">
        <v>257</v>
      </c>
      <c r="Q176" s="6">
        <v>3000</v>
      </c>
      <c r="R176" s="6" t="s">
        <v>254</v>
      </c>
      <c r="S176" s="6" t="s">
        <v>258</v>
      </c>
      <c r="T176" s="6" t="s">
        <v>259</v>
      </c>
      <c r="U176" s="6" t="s">
        <v>263</v>
      </c>
      <c r="V176" s="6">
        <v>1000</v>
      </c>
      <c r="W176" s="6" t="s">
        <v>260</v>
      </c>
      <c r="X176" s="6">
        <v>5000</v>
      </c>
      <c r="Y176" s="6" t="s">
        <v>261</v>
      </c>
      <c r="Z176" s="6">
        <v>80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286</v>
      </c>
      <c r="AN176" s="44" t="s">
        <v>253</v>
      </c>
      <c r="AO176" s="44" t="s">
        <v>266</v>
      </c>
      <c r="AP176" s="44" t="s">
        <v>289</v>
      </c>
      <c r="AQ176" s="44">
        <v>12</v>
      </c>
      <c r="AR176" s="44" t="s">
        <v>34</v>
      </c>
      <c r="AS176" s="44" t="s">
        <v>253</v>
      </c>
      <c r="AT176" s="44" t="s">
        <v>282</v>
      </c>
      <c r="AU176" s="44">
        <v>12</v>
      </c>
      <c r="AV176" s="44">
        <v>1</v>
      </c>
      <c r="AW176" s="44" t="s">
        <v>269</v>
      </c>
      <c r="AX176" s="44" t="s">
        <v>288</v>
      </c>
      <c r="AY176" s="44" t="s">
        <v>257</v>
      </c>
      <c r="AZ176" s="44">
        <v>1</v>
      </c>
      <c r="BA176" s="44" t="s">
        <v>270</v>
      </c>
      <c r="BB176" s="44" t="s">
        <v>271</v>
      </c>
      <c r="BC176" s="44" t="s">
        <v>259</v>
      </c>
      <c r="BD176" s="44" t="s">
        <v>290</v>
      </c>
      <c r="BE176" s="44" t="s">
        <v>272</v>
      </c>
      <c r="BF176" s="44" t="s">
        <v>260</v>
      </c>
      <c r="BG176" s="44" t="s">
        <v>291</v>
      </c>
      <c r="BH176" s="44" t="s">
        <v>274</v>
      </c>
      <c r="BI176" s="44" t="s">
        <v>292</v>
      </c>
      <c r="BJ176" s="44" t="s">
        <v>263</v>
      </c>
      <c r="BK176" s="44" t="s">
        <v>253</v>
      </c>
      <c r="BL176" s="44" t="s">
        <v>253</v>
      </c>
      <c r="BM176" s="44" t="s">
        <v>253</v>
      </c>
      <c r="BN176" s="44" t="s">
        <v>263</v>
      </c>
      <c r="BO176" s="44" t="s">
        <v>253</v>
      </c>
      <c r="BP176" s="44" t="s">
        <v>253</v>
      </c>
      <c r="BQ176" s="44" t="s">
        <v>253</v>
      </c>
      <c r="BR176" s="44" t="s">
        <v>253</v>
      </c>
      <c r="BS176" s="44" t="s">
        <v>287</v>
      </c>
      <c r="BT176" s="44">
        <v>0</v>
      </c>
    </row>
    <row r="177" spans="1:72">
      <c r="A177" s="44">
        <v>2022</v>
      </c>
      <c r="B177" s="6">
        <v>12</v>
      </c>
      <c r="C177" s="6">
        <v>1</v>
      </c>
      <c r="D177" s="6" t="s">
        <v>286</v>
      </c>
      <c r="E177" s="6" t="s">
        <v>253</v>
      </c>
      <c r="F177" s="6" t="s">
        <v>254</v>
      </c>
      <c r="G177" s="6">
        <v>2016</v>
      </c>
      <c r="H177" s="6">
        <v>12</v>
      </c>
      <c r="I177" s="6" t="s">
        <v>34</v>
      </c>
      <c r="J177" s="6" t="s">
        <v>253</v>
      </c>
      <c r="K177" s="6">
        <v>1992</v>
      </c>
      <c r="L177" s="14">
        <v>12</v>
      </c>
      <c r="M177" s="6">
        <v>1</v>
      </c>
      <c r="N177" s="6" t="s">
        <v>255</v>
      </c>
      <c r="O177" s="6" t="s">
        <v>288</v>
      </c>
      <c r="P177" s="6" t="s">
        <v>257</v>
      </c>
      <c r="Q177" s="6">
        <v>7000</v>
      </c>
      <c r="R177" s="6" t="s">
        <v>254</v>
      </c>
      <c r="S177" s="6" t="s">
        <v>258</v>
      </c>
      <c r="T177" s="6" t="s">
        <v>259</v>
      </c>
      <c r="U177" s="6" t="s">
        <v>263</v>
      </c>
      <c r="V177" s="6">
        <v>1000</v>
      </c>
      <c r="W177" s="6" t="s">
        <v>260</v>
      </c>
      <c r="X177" s="6">
        <v>5000</v>
      </c>
      <c r="Y177" s="6" t="s">
        <v>261</v>
      </c>
      <c r="Z177" s="6">
        <v>80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286</v>
      </c>
      <c r="AN177" s="44" t="s">
        <v>253</v>
      </c>
      <c r="AO177" s="44" t="s">
        <v>266</v>
      </c>
      <c r="AP177" s="44" t="s">
        <v>289</v>
      </c>
      <c r="AQ177" s="44">
        <v>12</v>
      </c>
      <c r="AR177" s="44" t="s">
        <v>34</v>
      </c>
      <c r="AS177" s="44" t="s">
        <v>253</v>
      </c>
      <c r="AT177" s="44" t="s">
        <v>268</v>
      </c>
      <c r="AU177" s="44">
        <v>12</v>
      </c>
      <c r="AV177" s="44">
        <v>1</v>
      </c>
      <c r="AW177" s="44" t="s">
        <v>269</v>
      </c>
      <c r="AX177" s="44" t="s">
        <v>288</v>
      </c>
      <c r="AY177" s="44" t="s">
        <v>257</v>
      </c>
      <c r="AZ177" s="44">
        <v>3</v>
      </c>
      <c r="BA177" s="44" t="s">
        <v>270</v>
      </c>
      <c r="BB177" s="44" t="s">
        <v>271</v>
      </c>
      <c r="BC177" s="44" t="s">
        <v>259</v>
      </c>
      <c r="BD177" s="44" t="s">
        <v>290</v>
      </c>
      <c r="BE177" s="44" t="s">
        <v>272</v>
      </c>
      <c r="BF177" s="44" t="s">
        <v>260</v>
      </c>
      <c r="BG177" s="44" t="s">
        <v>291</v>
      </c>
      <c r="BH177" s="44" t="s">
        <v>274</v>
      </c>
      <c r="BI177" s="44" t="s">
        <v>292</v>
      </c>
      <c r="BJ177" s="44" t="s">
        <v>263</v>
      </c>
      <c r="BK177" s="44" t="s">
        <v>253</v>
      </c>
      <c r="BL177" s="44" t="s">
        <v>253</v>
      </c>
      <c r="BM177" s="44" t="s">
        <v>253</v>
      </c>
      <c r="BN177" s="44" t="s">
        <v>263</v>
      </c>
      <c r="BO177" s="44" t="s">
        <v>253</v>
      </c>
      <c r="BP177" s="44" t="s">
        <v>253</v>
      </c>
      <c r="BQ177" s="44" t="s">
        <v>253</v>
      </c>
      <c r="BR177" s="44" t="s">
        <v>253</v>
      </c>
      <c r="BS177" s="44" t="s">
        <v>287</v>
      </c>
      <c r="BT177" s="44">
        <v>0</v>
      </c>
    </row>
    <row r="178" spans="1:72">
      <c r="A178" s="44">
        <v>2022</v>
      </c>
      <c r="B178" s="6">
        <v>12</v>
      </c>
      <c r="C178" s="6">
        <v>1</v>
      </c>
      <c r="D178" s="6" t="s">
        <v>286</v>
      </c>
      <c r="E178" s="6" t="s">
        <v>253</v>
      </c>
      <c r="F178" s="6" t="s">
        <v>254</v>
      </c>
      <c r="G178" s="6">
        <v>2016</v>
      </c>
      <c r="H178" s="6">
        <v>12</v>
      </c>
      <c r="I178" s="6" t="s">
        <v>34</v>
      </c>
      <c r="J178" s="6" t="s">
        <v>253</v>
      </c>
      <c r="K178" s="6">
        <v>1987</v>
      </c>
      <c r="L178" s="14">
        <v>12</v>
      </c>
      <c r="M178" s="6">
        <v>1</v>
      </c>
      <c r="N178" s="6" t="s">
        <v>255</v>
      </c>
      <c r="O178" s="6" t="s">
        <v>288</v>
      </c>
      <c r="P178" s="6" t="s">
        <v>257</v>
      </c>
      <c r="Q178" s="6">
        <v>7000</v>
      </c>
      <c r="R178" s="6" t="s">
        <v>254</v>
      </c>
      <c r="S178" s="6" t="s">
        <v>258</v>
      </c>
      <c r="T178" s="6" t="s">
        <v>259</v>
      </c>
      <c r="U178" s="6" t="s">
        <v>263</v>
      </c>
      <c r="V178" s="6">
        <v>1000</v>
      </c>
      <c r="W178" s="6" t="s">
        <v>260</v>
      </c>
      <c r="X178" s="6">
        <v>5000</v>
      </c>
      <c r="Y178" s="6" t="s">
        <v>261</v>
      </c>
      <c r="Z178" s="6">
        <v>80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286</v>
      </c>
      <c r="AN178" s="44" t="s">
        <v>253</v>
      </c>
      <c r="AO178" s="44" t="s">
        <v>266</v>
      </c>
      <c r="AP178" s="44" t="s">
        <v>289</v>
      </c>
      <c r="AQ178" s="44">
        <v>12</v>
      </c>
      <c r="AR178" s="44" t="s">
        <v>34</v>
      </c>
      <c r="AS178" s="44" t="s">
        <v>253</v>
      </c>
      <c r="AT178" s="44" t="s">
        <v>277</v>
      </c>
      <c r="AU178" s="44">
        <v>12</v>
      </c>
      <c r="AV178" s="44">
        <v>1</v>
      </c>
      <c r="AW178" s="44" t="s">
        <v>269</v>
      </c>
      <c r="AX178" s="44" t="s">
        <v>288</v>
      </c>
      <c r="AY178" s="44" t="s">
        <v>257</v>
      </c>
      <c r="AZ178" s="44">
        <v>3</v>
      </c>
      <c r="BA178" s="44" t="s">
        <v>270</v>
      </c>
      <c r="BB178" s="44" t="s">
        <v>271</v>
      </c>
      <c r="BC178" s="44" t="s">
        <v>259</v>
      </c>
      <c r="BD178" s="44" t="s">
        <v>290</v>
      </c>
      <c r="BE178" s="44" t="s">
        <v>272</v>
      </c>
      <c r="BF178" s="44" t="s">
        <v>260</v>
      </c>
      <c r="BG178" s="44" t="s">
        <v>291</v>
      </c>
      <c r="BH178" s="44" t="s">
        <v>274</v>
      </c>
      <c r="BI178" s="44" t="s">
        <v>292</v>
      </c>
      <c r="BJ178" s="44" t="s">
        <v>263</v>
      </c>
      <c r="BK178" s="44" t="s">
        <v>253</v>
      </c>
      <c r="BL178" s="44" t="s">
        <v>253</v>
      </c>
      <c r="BM178" s="44" t="s">
        <v>253</v>
      </c>
      <c r="BN178" s="44" t="s">
        <v>263</v>
      </c>
      <c r="BO178" s="44" t="s">
        <v>253</v>
      </c>
      <c r="BP178" s="44" t="s">
        <v>253</v>
      </c>
      <c r="BQ178" s="44" t="s">
        <v>253</v>
      </c>
      <c r="BR178" s="44" t="s">
        <v>253</v>
      </c>
      <c r="BS178" s="44" t="s">
        <v>287</v>
      </c>
      <c r="BT178" s="44">
        <v>0</v>
      </c>
    </row>
    <row r="179" spans="1:72">
      <c r="A179" s="44">
        <v>2022</v>
      </c>
      <c r="B179" s="6">
        <v>12</v>
      </c>
      <c r="C179" s="6">
        <v>1</v>
      </c>
      <c r="D179" s="6" t="s">
        <v>286</v>
      </c>
      <c r="E179" s="6" t="s">
        <v>253</v>
      </c>
      <c r="F179" s="6" t="s">
        <v>254</v>
      </c>
      <c r="G179" s="6">
        <v>2016</v>
      </c>
      <c r="H179" s="6">
        <v>12</v>
      </c>
      <c r="I179" s="6" t="s">
        <v>34</v>
      </c>
      <c r="J179" s="6" t="s">
        <v>253</v>
      </c>
      <c r="K179" s="6">
        <v>1982</v>
      </c>
      <c r="L179" s="14">
        <v>12</v>
      </c>
      <c r="M179" s="6">
        <v>1</v>
      </c>
      <c r="N179" s="6" t="s">
        <v>255</v>
      </c>
      <c r="O179" s="6" t="s">
        <v>288</v>
      </c>
      <c r="P179" s="6" t="s">
        <v>257</v>
      </c>
      <c r="Q179" s="6">
        <v>7000</v>
      </c>
      <c r="R179" s="6" t="s">
        <v>254</v>
      </c>
      <c r="S179" s="6" t="s">
        <v>258</v>
      </c>
      <c r="T179" s="6" t="s">
        <v>259</v>
      </c>
      <c r="U179" s="6" t="s">
        <v>263</v>
      </c>
      <c r="V179" s="6">
        <v>1000</v>
      </c>
      <c r="W179" s="6" t="s">
        <v>260</v>
      </c>
      <c r="X179" s="6">
        <v>5000</v>
      </c>
      <c r="Y179" s="6" t="s">
        <v>261</v>
      </c>
      <c r="Z179" s="6">
        <v>80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286</v>
      </c>
      <c r="AN179" s="44" t="s">
        <v>253</v>
      </c>
      <c r="AO179" s="44" t="s">
        <v>266</v>
      </c>
      <c r="AP179" s="44" t="s">
        <v>289</v>
      </c>
      <c r="AQ179" s="44">
        <v>12</v>
      </c>
      <c r="AR179" s="44" t="s">
        <v>34</v>
      </c>
      <c r="AS179" s="44" t="s">
        <v>253</v>
      </c>
      <c r="AT179" s="44" t="s">
        <v>278</v>
      </c>
      <c r="AU179" s="44">
        <v>12</v>
      </c>
      <c r="AV179" s="44">
        <v>1</v>
      </c>
      <c r="AW179" s="44" t="s">
        <v>269</v>
      </c>
      <c r="AX179" s="44" t="s">
        <v>288</v>
      </c>
      <c r="AY179" s="44" t="s">
        <v>257</v>
      </c>
      <c r="AZ179" s="44">
        <v>3</v>
      </c>
      <c r="BA179" s="44" t="s">
        <v>270</v>
      </c>
      <c r="BB179" s="44" t="s">
        <v>271</v>
      </c>
      <c r="BC179" s="44" t="s">
        <v>259</v>
      </c>
      <c r="BD179" s="44" t="s">
        <v>290</v>
      </c>
      <c r="BE179" s="44" t="s">
        <v>272</v>
      </c>
      <c r="BF179" s="44" t="s">
        <v>260</v>
      </c>
      <c r="BG179" s="44" t="s">
        <v>291</v>
      </c>
      <c r="BH179" s="44" t="s">
        <v>274</v>
      </c>
      <c r="BI179" s="44" t="s">
        <v>292</v>
      </c>
      <c r="BJ179" s="44" t="s">
        <v>263</v>
      </c>
      <c r="BK179" s="44" t="s">
        <v>253</v>
      </c>
      <c r="BL179" s="44" t="s">
        <v>253</v>
      </c>
      <c r="BM179" s="44" t="s">
        <v>253</v>
      </c>
      <c r="BN179" s="44" t="s">
        <v>263</v>
      </c>
      <c r="BO179" s="44" t="s">
        <v>253</v>
      </c>
      <c r="BP179" s="44" t="s">
        <v>253</v>
      </c>
      <c r="BQ179" s="44" t="s">
        <v>253</v>
      </c>
      <c r="BR179" s="44" t="s">
        <v>253</v>
      </c>
      <c r="BS179" s="44" t="s">
        <v>287</v>
      </c>
      <c r="BT179" s="44">
        <v>0</v>
      </c>
    </row>
    <row r="180" spans="1:72">
      <c r="A180" s="44">
        <v>2022</v>
      </c>
      <c r="B180" s="6">
        <v>12</v>
      </c>
      <c r="C180" s="6">
        <v>1</v>
      </c>
      <c r="D180" s="6" t="s">
        <v>286</v>
      </c>
      <c r="E180" s="6" t="s">
        <v>253</v>
      </c>
      <c r="F180" s="6" t="s">
        <v>254</v>
      </c>
      <c r="G180" s="6">
        <v>2016</v>
      </c>
      <c r="H180" s="6">
        <v>12</v>
      </c>
      <c r="I180" s="6" t="s">
        <v>34</v>
      </c>
      <c r="J180" s="6" t="s">
        <v>253</v>
      </c>
      <c r="K180" s="6">
        <v>1977</v>
      </c>
      <c r="L180" s="14">
        <v>12</v>
      </c>
      <c r="M180" s="6">
        <v>1</v>
      </c>
      <c r="N180" s="6" t="s">
        <v>255</v>
      </c>
      <c r="O180" s="6" t="s">
        <v>288</v>
      </c>
      <c r="P180" s="6" t="s">
        <v>257</v>
      </c>
      <c r="Q180" s="6">
        <v>7000</v>
      </c>
      <c r="R180" s="6" t="s">
        <v>254</v>
      </c>
      <c r="S180" s="6" t="s">
        <v>258</v>
      </c>
      <c r="T180" s="6" t="s">
        <v>259</v>
      </c>
      <c r="U180" s="6" t="s">
        <v>263</v>
      </c>
      <c r="V180" s="6">
        <v>1000</v>
      </c>
      <c r="W180" s="6" t="s">
        <v>260</v>
      </c>
      <c r="X180" s="6">
        <v>5000</v>
      </c>
      <c r="Y180" s="6" t="s">
        <v>261</v>
      </c>
      <c r="Z180" s="6">
        <v>80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286</v>
      </c>
      <c r="AN180" s="44" t="s">
        <v>253</v>
      </c>
      <c r="AO180" s="44" t="s">
        <v>266</v>
      </c>
      <c r="AP180" s="44" t="s">
        <v>289</v>
      </c>
      <c r="AQ180" s="44">
        <v>12</v>
      </c>
      <c r="AR180" s="44" t="s">
        <v>34</v>
      </c>
      <c r="AS180" s="44" t="s">
        <v>253</v>
      </c>
      <c r="AT180" s="44" t="s">
        <v>279</v>
      </c>
      <c r="AU180" s="44">
        <v>12</v>
      </c>
      <c r="AV180" s="44">
        <v>1</v>
      </c>
      <c r="AW180" s="44" t="s">
        <v>269</v>
      </c>
      <c r="AX180" s="44" t="s">
        <v>288</v>
      </c>
      <c r="AY180" s="44" t="s">
        <v>257</v>
      </c>
      <c r="AZ180" s="44">
        <v>3</v>
      </c>
      <c r="BA180" s="44" t="s">
        <v>270</v>
      </c>
      <c r="BB180" s="44" t="s">
        <v>271</v>
      </c>
      <c r="BC180" s="44" t="s">
        <v>259</v>
      </c>
      <c r="BD180" s="44" t="s">
        <v>290</v>
      </c>
      <c r="BE180" s="44" t="s">
        <v>272</v>
      </c>
      <c r="BF180" s="44" t="s">
        <v>260</v>
      </c>
      <c r="BG180" s="44" t="s">
        <v>291</v>
      </c>
      <c r="BH180" s="44" t="s">
        <v>274</v>
      </c>
      <c r="BI180" s="44" t="s">
        <v>292</v>
      </c>
      <c r="BJ180" s="44" t="s">
        <v>263</v>
      </c>
      <c r="BK180" s="44" t="s">
        <v>253</v>
      </c>
      <c r="BL180" s="44" t="s">
        <v>253</v>
      </c>
      <c r="BM180" s="44" t="s">
        <v>253</v>
      </c>
      <c r="BN180" s="44" t="s">
        <v>263</v>
      </c>
      <c r="BO180" s="44" t="s">
        <v>253</v>
      </c>
      <c r="BP180" s="44" t="s">
        <v>253</v>
      </c>
      <c r="BQ180" s="44" t="s">
        <v>253</v>
      </c>
      <c r="BR180" s="44" t="s">
        <v>253</v>
      </c>
      <c r="BS180" s="44" t="s">
        <v>287</v>
      </c>
      <c r="BT180" s="44">
        <v>0</v>
      </c>
    </row>
    <row r="181" spans="1:72">
      <c r="A181" s="44">
        <v>2022</v>
      </c>
      <c r="B181" s="6">
        <v>12</v>
      </c>
      <c r="C181" s="6">
        <v>1</v>
      </c>
      <c r="D181" s="6" t="s">
        <v>286</v>
      </c>
      <c r="E181" s="6" t="s">
        <v>253</v>
      </c>
      <c r="F181" s="6" t="s">
        <v>254</v>
      </c>
      <c r="G181" s="6">
        <v>2016</v>
      </c>
      <c r="H181" s="6">
        <v>12</v>
      </c>
      <c r="I181" s="6" t="s">
        <v>34</v>
      </c>
      <c r="J181" s="6" t="s">
        <v>253</v>
      </c>
      <c r="K181" s="6">
        <v>1972</v>
      </c>
      <c r="L181" s="14">
        <v>12</v>
      </c>
      <c r="M181" s="6">
        <v>1</v>
      </c>
      <c r="N181" s="6" t="s">
        <v>255</v>
      </c>
      <c r="O181" s="6" t="s">
        <v>288</v>
      </c>
      <c r="P181" s="6" t="s">
        <v>257</v>
      </c>
      <c r="Q181" s="6">
        <v>7000</v>
      </c>
      <c r="R181" s="6" t="s">
        <v>254</v>
      </c>
      <c r="S181" s="6" t="s">
        <v>258</v>
      </c>
      <c r="T181" s="6" t="s">
        <v>259</v>
      </c>
      <c r="U181" s="6" t="s">
        <v>263</v>
      </c>
      <c r="V181" s="6">
        <v>1000</v>
      </c>
      <c r="W181" s="6" t="s">
        <v>260</v>
      </c>
      <c r="X181" s="6">
        <v>5000</v>
      </c>
      <c r="Y181" s="6" t="s">
        <v>261</v>
      </c>
      <c r="Z181" s="6">
        <v>80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286</v>
      </c>
      <c r="AN181" s="44" t="s">
        <v>253</v>
      </c>
      <c r="AO181" s="44" t="s">
        <v>266</v>
      </c>
      <c r="AP181" s="44" t="s">
        <v>289</v>
      </c>
      <c r="AQ181" s="44">
        <v>12</v>
      </c>
      <c r="AR181" s="44" t="s">
        <v>34</v>
      </c>
      <c r="AS181" s="44" t="s">
        <v>253</v>
      </c>
      <c r="AT181" s="44" t="s">
        <v>280</v>
      </c>
      <c r="AU181" s="44">
        <v>12</v>
      </c>
      <c r="AV181" s="44">
        <v>1</v>
      </c>
      <c r="AW181" s="44" t="s">
        <v>269</v>
      </c>
      <c r="AX181" s="44" t="s">
        <v>288</v>
      </c>
      <c r="AY181" s="44" t="s">
        <v>257</v>
      </c>
      <c r="AZ181" s="44">
        <v>3</v>
      </c>
      <c r="BA181" s="44" t="s">
        <v>270</v>
      </c>
      <c r="BB181" s="44" t="s">
        <v>271</v>
      </c>
      <c r="BC181" s="44" t="s">
        <v>259</v>
      </c>
      <c r="BD181" s="44" t="s">
        <v>290</v>
      </c>
      <c r="BE181" s="44" t="s">
        <v>272</v>
      </c>
      <c r="BF181" s="44" t="s">
        <v>260</v>
      </c>
      <c r="BG181" s="44" t="s">
        <v>291</v>
      </c>
      <c r="BH181" s="44" t="s">
        <v>274</v>
      </c>
      <c r="BI181" s="44" t="s">
        <v>292</v>
      </c>
      <c r="BJ181" s="44" t="s">
        <v>263</v>
      </c>
      <c r="BK181" s="44" t="s">
        <v>253</v>
      </c>
      <c r="BL181" s="44" t="s">
        <v>253</v>
      </c>
      <c r="BM181" s="44" t="s">
        <v>253</v>
      </c>
      <c r="BN181" s="44" t="s">
        <v>263</v>
      </c>
      <c r="BO181" s="44" t="s">
        <v>253</v>
      </c>
      <c r="BP181" s="44" t="s">
        <v>253</v>
      </c>
      <c r="BQ181" s="44" t="s">
        <v>253</v>
      </c>
      <c r="BR181" s="44" t="s">
        <v>253</v>
      </c>
      <c r="BS181" s="44" t="s">
        <v>287</v>
      </c>
      <c r="BT181" s="44">
        <v>0</v>
      </c>
    </row>
    <row r="182" spans="1:72">
      <c r="A182" s="44">
        <v>2022</v>
      </c>
      <c r="B182" s="6">
        <v>12</v>
      </c>
      <c r="C182" s="6">
        <v>1</v>
      </c>
      <c r="D182" s="6" t="s">
        <v>286</v>
      </c>
      <c r="E182" s="6" t="s">
        <v>253</v>
      </c>
      <c r="F182" s="6" t="s">
        <v>254</v>
      </c>
      <c r="G182" s="6">
        <v>2016</v>
      </c>
      <c r="H182" s="6">
        <v>12</v>
      </c>
      <c r="I182" s="6" t="s">
        <v>34</v>
      </c>
      <c r="J182" s="6" t="s">
        <v>253</v>
      </c>
      <c r="K182" s="6">
        <v>1962</v>
      </c>
      <c r="L182" s="14">
        <v>12</v>
      </c>
      <c r="M182" s="6">
        <v>1</v>
      </c>
      <c r="N182" s="6" t="s">
        <v>255</v>
      </c>
      <c r="O182" s="6" t="s">
        <v>288</v>
      </c>
      <c r="P182" s="6" t="s">
        <v>257</v>
      </c>
      <c r="Q182" s="6">
        <v>7000</v>
      </c>
      <c r="R182" s="6" t="s">
        <v>254</v>
      </c>
      <c r="S182" s="6" t="s">
        <v>258</v>
      </c>
      <c r="T182" s="6" t="s">
        <v>259</v>
      </c>
      <c r="U182" s="6" t="s">
        <v>263</v>
      </c>
      <c r="V182" s="6">
        <v>1000</v>
      </c>
      <c r="W182" s="6" t="s">
        <v>260</v>
      </c>
      <c r="X182" s="6">
        <v>5000</v>
      </c>
      <c r="Y182" s="6" t="s">
        <v>261</v>
      </c>
      <c r="Z182" s="6">
        <v>80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286</v>
      </c>
      <c r="AN182" s="44" t="s">
        <v>253</v>
      </c>
      <c r="AO182" s="44" t="s">
        <v>266</v>
      </c>
      <c r="AP182" s="44" t="s">
        <v>289</v>
      </c>
      <c r="AQ182" s="44">
        <v>12</v>
      </c>
      <c r="AR182" s="44" t="s">
        <v>34</v>
      </c>
      <c r="AS182" s="44" t="s">
        <v>253</v>
      </c>
      <c r="AT182" s="44" t="s">
        <v>281</v>
      </c>
      <c r="AU182" s="44">
        <v>12</v>
      </c>
      <c r="AV182" s="44">
        <v>1</v>
      </c>
      <c r="AW182" s="44" t="s">
        <v>269</v>
      </c>
      <c r="AX182" s="44" t="s">
        <v>288</v>
      </c>
      <c r="AY182" s="44" t="s">
        <v>257</v>
      </c>
      <c r="AZ182" s="44">
        <v>3</v>
      </c>
      <c r="BA182" s="44" t="s">
        <v>270</v>
      </c>
      <c r="BB182" s="44" t="s">
        <v>271</v>
      </c>
      <c r="BC182" s="44" t="s">
        <v>259</v>
      </c>
      <c r="BD182" s="44" t="s">
        <v>290</v>
      </c>
      <c r="BE182" s="44" t="s">
        <v>272</v>
      </c>
      <c r="BF182" s="44" t="s">
        <v>260</v>
      </c>
      <c r="BG182" s="44" t="s">
        <v>291</v>
      </c>
      <c r="BH182" s="44" t="s">
        <v>274</v>
      </c>
      <c r="BI182" s="44" t="s">
        <v>292</v>
      </c>
      <c r="BJ182" s="44" t="s">
        <v>263</v>
      </c>
      <c r="BK182" s="44" t="s">
        <v>253</v>
      </c>
      <c r="BL182" s="44" t="s">
        <v>253</v>
      </c>
      <c r="BM182" s="44" t="s">
        <v>253</v>
      </c>
      <c r="BN182" s="44" t="s">
        <v>263</v>
      </c>
      <c r="BO182" s="44" t="s">
        <v>253</v>
      </c>
      <c r="BP182" s="44" t="s">
        <v>253</v>
      </c>
      <c r="BQ182" s="44" t="s">
        <v>253</v>
      </c>
      <c r="BR182" s="44" t="s">
        <v>253</v>
      </c>
      <c r="BS182" s="44" t="s">
        <v>287</v>
      </c>
      <c r="BT182" s="44">
        <v>0</v>
      </c>
    </row>
    <row r="183" spans="1:72">
      <c r="A183" s="44">
        <v>2022</v>
      </c>
      <c r="B183" s="6">
        <v>12</v>
      </c>
      <c r="C183" s="6">
        <v>1</v>
      </c>
      <c r="D183" s="6" t="s">
        <v>286</v>
      </c>
      <c r="E183" s="6" t="s">
        <v>253</v>
      </c>
      <c r="F183" s="6" t="s">
        <v>254</v>
      </c>
      <c r="G183" s="6">
        <v>2016</v>
      </c>
      <c r="H183" s="6">
        <v>12</v>
      </c>
      <c r="I183" s="6" t="s">
        <v>34</v>
      </c>
      <c r="J183" s="6" t="s">
        <v>253</v>
      </c>
      <c r="K183" s="6">
        <v>1952</v>
      </c>
      <c r="L183" s="14">
        <v>12</v>
      </c>
      <c r="M183" s="6">
        <v>1</v>
      </c>
      <c r="N183" s="6" t="s">
        <v>255</v>
      </c>
      <c r="O183" s="6" t="s">
        <v>288</v>
      </c>
      <c r="P183" s="6" t="s">
        <v>257</v>
      </c>
      <c r="Q183" s="6">
        <v>7000</v>
      </c>
      <c r="R183" s="6" t="s">
        <v>254</v>
      </c>
      <c r="S183" s="6" t="s">
        <v>258</v>
      </c>
      <c r="T183" s="6" t="s">
        <v>259</v>
      </c>
      <c r="U183" s="6" t="s">
        <v>263</v>
      </c>
      <c r="V183" s="6">
        <v>1000</v>
      </c>
      <c r="W183" s="6" t="s">
        <v>260</v>
      </c>
      <c r="X183" s="6">
        <v>5000</v>
      </c>
      <c r="Y183" s="6" t="s">
        <v>261</v>
      </c>
      <c r="Z183" s="6">
        <v>80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286</v>
      </c>
      <c r="AN183" s="44" t="s">
        <v>253</v>
      </c>
      <c r="AO183" s="44" t="s">
        <v>266</v>
      </c>
      <c r="AP183" s="44" t="s">
        <v>289</v>
      </c>
      <c r="AQ183" s="44">
        <v>12</v>
      </c>
      <c r="AR183" s="44" t="s">
        <v>34</v>
      </c>
      <c r="AS183" s="44" t="s">
        <v>253</v>
      </c>
      <c r="AT183" s="44" t="s">
        <v>282</v>
      </c>
      <c r="AU183" s="44">
        <v>12</v>
      </c>
      <c r="AV183" s="44">
        <v>1</v>
      </c>
      <c r="AW183" s="44" t="s">
        <v>269</v>
      </c>
      <c r="AX183" s="44" t="s">
        <v>288</v>
      </c>
      <c r="AY183" s="44" t="s">
        <v>257</v>
      </c>
      <c r="AZ183" s="44">
        <v>3</v>
      </c>
      <c r="BA183" s="44" t="s">
        <v>270</v>
      </c>
      <c r="BB183" s="44" t="s">
        <v>271</v>
      </c>
      <c r="BC183" s="44" t="s">
        <v>259</v>
      </c>
      <c r="BD183" s="44" t="s">
        <v>290</v>
      </c>
      <c r="BE183" s="44" t="s">
        <v>272</v>
      </c>
      <c r="BF183" s="44" t="s">
        <v>260</v>
      </c>
      <c r="BG183" s="44" t="s">
        <v>291</v>
      </c>
      <c r="BH183" s="44" t="s">
        <v>274</v>
      </c>
      <c r="BI183" s="44" t="s">
        <v>292</v>
      </c>
      <c r="BJ183" s="44" t="s">
        <v>263</v>
      </c>
      <c r="BK183" s="44" t="s">
        <v>253</v>
      </c>
      <c r="BL183" s="44" t="s">
        <v>253</v>
      </c>
      <c r="BM183" s="44" t="s">
        <v>253</v>
      </c>
      <c r="BN183" s="44" t="s">
        <v>263</v>
      </c>
      <c r="BO183" s="44" t="s">
        <v>253</v>
      </c>
      <c r="BP183" s="44" t="s">
        <v>253</v>
      </c>
      <c r="BQ183" s="44" t="s">
        <v>253</v>
      </c>
      <c r="BR183" s="44" t="s">
        <v>253</v>
      </c>
      <c r="BS183" s="44" t="s">
        <v>287</v>
      </c>
      <c r="BT183" s="44">
        <v>0</v>
      </c>
    </row>
    <row r="184" spans="1:72">
      <c r="A184" s="44">
        <v>2022</v>
      </c>
      <c r="B184" s="6">
        <v>12</v>
      </c>
      <c r="C184" s="6">
        <v>1</v>
      </c>
      <c r="D184" s="6" t="s">
        <v>286</v>
      </c>
      <c r="E184" s="6" t="s">
        <v>253</v>
      </c>
      <c r="F184" s="6" t="s">
        <v>254</v>
      </c>
      <c r="G184" s="6">
        <v>2016</v>
      </c>
      <c r="H184" s="6">
        <v>12</v>
      </c>
      <c r="I184" s="6" t="s">
        <v>34</v>
      </c>
      <c r="J184" s="6" t="s">
        <v>253</v>
      </c>
      <c r="K184" s="6">
        <v>1992</v>
      </c>
      <c r="L184" s="14">
        <v>12</v>
      </c>
      <c r="M184" s="6">
        <v>1</v>
      </c>
      <c r="N184" s="6" t="s">
        <v>255</v>
      </c>
      <c r="O184" s="6" t="s">
        <v>288</v>
      </c>
      <c r="P184" s="6" t="s">
        <v>283</v>
      </c>
      <c r="Q184" s="6">
        <v>3000</v>
      </c>
      <c r="R184" s="6" t="s">
        <v>254</v>
      </c>
      <c r="S184" s="6" t="s">
        <v>258</v>
      </c>
      <c r="T184" s="6" t="s">
        <v>259</v>
      </c>
      <c r="U184" s="6" t="s">
        <v>263</v>
      </c>
      <c r="V184" s="6">
        <v>1000</v>
      </c>
      <c r="W184" s="6" t="s">
        <v>260</v>
      </c>
      <c r="X184" s="6">
        <v>5000</v>
      </c>
      <c r="Y184" s="6" t="s">
        <v>261</v>
      </c>
      <c r="Z184" s="6">
        <v>80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286</v>
      </c>
      <c r="AN184" s="44" t="s">
        <v>253</v>
      </c>
      <c r="AO184" s="44" t="s">
        <v>266</v>
      </c>
      <c r="AP184" s="44" t="s">
        <v>289</v>
      </c>
      <c r="AQ184" s="44">
        <v>12</v>
      </c>
      <c r="AR184" s="44" t="s">
        <v>34</v>
      </c>
      <c r="AS184" s="44" t="s">
        <v>253</v>
      </c>
      <c r="AT184" s="44" t="s">
        <v>268</v>
      </c>
      <c r="AU184" s="44">
        <v>12</v>
      </c>
      <c r="AV184" s="44">
        <v>1</v>
      </c>
      <c r="AW184" s="44" t="s">
        <v>269</v>
      </c>
      <c r="AX184" s="44" t="s">
        <v>288</v>
      </c>
      <c r="AY184" s="44" t="s">
        <v>283</v>
      </c>
      <c r="AZ184" s="44">
        <v>1</v>
      </c>
      <c r="BA184" s="44" t="s">
        <v>270</v>
      </c>
      <c r="BB184" s="44" t="s">
        <v>271</v>
      </c>
      <c r="BC184" s="44" t="s">
        <v>259</v>
      </c>
      <c r="BD184" s="44" t="s">
        <v>290</v>
      </c>
      <c r="BE184" s="44" t="s">
        <v>272</v>
      </c>
      <c r="BF184" s="44" t="s">
        <v>260</v>
      </c>
      <c r="BG184" s="44" t="s">
        <v>291</v>
      </c>
      <c r="BH184" s="44" t="s">
        <v>274</v>
      </c>
      <c r="BI184" s="44" t="s">
        <v>292</v>
      </c>
      <c r="BJ184" s="44" t="s">
        <v>263</v>
      </c>
      <c r="BK184" s="44" t="s">
        <v>253</v>
      </c>
      <c r="BL184" s="44" t="s">
        <v>253</v>
      </c>
      <c r="BM184" s="44" t="s">
        <v>253</v>
      </c>
      <c r="BN184" s="44" t="s">
        <v>263</v>
      </c>
      <c r="BO184" s="44" t="s">
        <v>253</v>
      </c>
      <c r="BP184" s="44" t="s">
        <v>253</v>
      </c>
      <c r="BQ184" s="44" t="s">
        <v>253</v>
      </c>
      <c r="BR184" s="44" t="s">
        <v>253</v>
      </c>
      <c r="BS184" s="44" t="s">
        <v>287</v>
      </c>
      <c r="BT184" s="44">
        <v>0</v>
      </c>
    </row>
    <row r="185" spans="1:72">
      <c r="A185" s="44">
        <v>2022</v>
      </c>
      <c r="B185" s="6">
        <v>12</v>
      </c>
      <c r="C185" s="6">
        <v>1</v>
      </c>
      <c r="D185" s="6" t="s">
        <v>286</v>
      </c>
      <c r="E185" s="6" t="s">
        <v>253</v>
      </c>
      <c r="F185" s="6" t="s">
        <v>254</v>
      </c>
      <c r="G185" s="6">
        <v>2016</v>
      </c>
      <c r="H185" s="6">
        <v>12</v>
      </c>
      <c r="I185" s="6" t="s">
        <v>34</v>
      </c>
      <c r="J185" s="6" t="s">
        <v>253</v>
      </c>
      <c r="K185" s="6">
        <v>1987</v>
      </c>
      <c r="L185" s="14">
        <v>12</v>
      </c>
      <c r="M185" s="6">
        <v>1</v>
      </c>
      <c r="N185" s="6" t="s">
        <v>255</v>
      </c>
      <c r="O185" s="6" t="s">
        <v>288</v>
      </c>
      <c r="P185" s="6" t="s">
        <v>283</v>
      </c>
      <c r="Q185" s="6">
        <v>3000</v>
      </c>
      <c r="R185" s="6" t="s">
        <v>254</v>
      </c>
      <c r="S185" s="6" t="s">
        <v>258</v>
      </c>
      <c r="T185" s="6" t="s">
        <v>259</v>
      </c>
      <c r="U185" s="6" t="s">
        <v>263</v>
      </c>
      <c r="V185" s="6">
        <v>1000</v>
      </c>
      <c r="W185" s="6" t="s">
        <v>260</v>
      </c>
      <c r="X185" s="6">
        <v>5000</v>
      </c>
      <c r="Y185" s="6" t="s">
        <v>261</v>
      </c>
      <c r="Z185" s="6">
        <v>80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286</v>
      </c>
      <c r="AN185" s="44" t="s">
        <v>253</v>
      </c>
      <c r="AO185" s="44" t="s">
        <v>266</v>
      </c>
      <c r="AP185" s="44" t="s">
        <v>289</v>
      </c>
      <c r="AQ185" s="44">
        <v>12</v>
      </c>
      <c r="AR185" s="44" t="s">
        <v>34</v>
      </c>
      <c r="AS185" s="44" t="s">
        <v>253</v>
      </c>
      <c r="AT185" s="44" t="s">
        <v>277</v>
      </c>
      <c r="AU185" s="44">
        <v>12</v>
      </c>
      <c r="AV185" s="44">
        <v>1</v>
      </c>
      <c r="AW185" s="44" t="s">
        <v>269</v>
      </c>
      <c r="AX185" s="44" t="s">
        <v>288</v>
      </c>
      <c r="AY185" s="44" t="s">
        <v>283</v>
      </c>
      <c r="AZ185" s="44">
        <v>1</v>
      </c>
      <c r="BA185" s="44" t="s">
        <v>270</v>
      </c>
      <c r="BB185" s="44" t="s">
        <v>271</v>
      </c>
      <c r="BC185" s="44" t="s">
        <v>259</v>
      </c>
      <c r="BD185" s="44" t="s">
        <v>290</v>
      </c>
      <c r="BE185" s="44" t="s">
        <v>272</v>
      </c>
      <c r="BF185" s="44" t="s">
        <v>260</v>
      </c>
      <c r="BG185" s="44" t="s">
        <v>291</v>
      </c>
      <c r="BH185" s="44" t="s">
        <v>274</v>
      </c>
      <c r="BI185" s="44" t="s">
        <v>292</v>
      </c>
      <c r="BJ185" s="44" t="s">
        <v>263</v>
      </c>
      <c r="BK185" s="44" t="s">
        <v>253</v>
      </c>
      <c r="BL185" s="44" t="s">
        <v>253</v>
      </c>
      <c r="BM185" s="44" t="s">
        <v>253</v>
      </c>
      <c r="BN185" s="44" t="s">
        <v>263</v>
      </c>
      <c r="BO185" s="44" t="s">
        <v>253</v>
      </c>
      <c r="BP185" s="44" t="s">
        <v>253</v>
      </c>
      <c r="BQ185" s="44" t="s">
        <v>253</v>
      </c>
      <c r="BR185" s="44" t="s">
        <v>253</v>
      </c>
      <c r="BS185" s="44" t="s">
        <v>287</v>
      </c>
      <c r="BT185" s="44">
        <v>0</v>
      </c>
    </row>
    <row r="186" spans="1:72">
      <c r="A186" s="44">
        <v>2022</v>
      </c>
      <c r="B186" s="6">
        <v>12</v>
      </c>
      <c r="C186" s="6">
        <v>1</v>
      </c>
      <c r="D186" s="6" t="s">
        <v>286</v>
      </c>
      <c r="E186" s="6" t="s">
        <v>253</v>
      </c>
      <c r="F186" s="6" t="s">
        <v>254</v>
      </c>
      <c r="G186" s="6">
        <v>2016</v>
      </c>
      <c r="H186" s="6">
        <v>12</v>
      </c>
      <c r="I186" s="6" t="s">
        <v>34</v>
      </c>
      <c r="J186" s="6" t="s">
        <v>253</v>
      </c>
      <c r="K186" s="6">
        <v>1982</v>
      </c>
      <c r="L186" s="14">
        <v>12</v>
      </c>
      <c r="M186" s="6">
        <v>1</v>
      </c>
      <c r="N186" s="6" t="s">
        <v>255</v>
      </c>
      <c r="O186" s="6" t="s">
        <v>288</v>
      </c>
      <c r="P186" s="6" t="s">
        <v>283</v>
      </c>
      <c r="Q186" s="6">
        <v>3000</v>
      </c>
      <c r="R186" s="6" t="s">
        <v>254</v>
      </c>
      <c r="S186" s="6" t="s">
        <v>258</v>
      </c>
      <c r="T186" s="6" t="s">
        <v>259</v>
      </c>
      <c r="U186" s="6" t="s">
        <v>263</v>
      </c>
      <c r="V186" s="6">
        <v>1000</v>
      </c>
      <c r="W186" s="6" t="s">
        <v>260</v>
      </c>
      <c r="X186" s="6">
        <v>5000</v>
      </c>
      <c r="Y186" s="6" t="s">
        <v>261</v>
      </c>
      <c r="Z186" s="6">
        <v>80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286</v>
      </c>
      <c r="AN186" s="44" t="s">
        <v>253</v>
      </c>
      <c r="AO186" s="44" t="s">
        <v>266</v>
      </c>
      <c r="AP186" s="44" t="s">
        <v>289</v>
      </c>
      <c r="AQ186" s="44">
        <v>12</v>
      </c>
      <c r="AR186" s="44" t="s">
        <v>34</v>
      </c>
      <c r="AS186" s="44" t="s">
        <v>253</v>
      </c>
      <c r="AT186" s="44" t="s">
        <v>278</v>
      </c>
      <c r="AU186" s="44">
        <v>12</v>
      </c>
      <c r="AV186" s="44">
        <v>1</v>
      </c>
      <c r="AW186" s="44" t="s">
        <v>269</v>
      </c>
      <c r="AX186" s="44" t="s">
        <v>288</v>
      </c>
      <c r="AY186" s="44" t="s">
        <v>283</v>
      </c>
      <c r="AZ186" s="44">
        <v>1</v>
      </c>
      <c r="BA186" s="44" t="s">
        <v>270</v>
      </c>
      <c r="BB186" s="44" t="s">
        <v>271</v>
      </c>
      <c r="BC186" s="44" t="s">
        <v>259</v>
      </c>
      <c r="BD186" s="44" t="s">
        <v>290</v>
      </c>
      <c r="BE186" s="44" t="s">
        <v>272</v>
      </c>
      <c r="BF186" s="44" t="s">
        <v>260</v>
      </c>
      <c r="BG186" s="44" t="s">
        <v>291</v>
      </c>
      <c r="BH186" s="44" t="s">
        <v>274</v>
      </c>
      <c r="BI186" s="44" t="s">
        <v>292</v>
      </c>
      <c r="BJ186" s="44" t="s">
        <v>263</v>
      </c>
      <c r="BK186" s="44" t="s">
        <v>253</v>
      </c>
      <c r="BL186" s="44" t="s">
        <v>253</v>
      </c>
      <c r="BM186" s="44" t="s">
        <v>253</v>
      </c>
      <c r="BN186" s="44" t="s">
        <v>263</v>
      </c>
      <c r="BO186" s="44" t="s">
        <v>253</v>
      </c>
      <c r="BP186" s="44" t="s">
        <v>253</v>
      </c>
      <c r="BQ186" s="44" t="s">
        <v>253</v>
      </c>
      <c r="BR186" s="44" t="s">
        <v>253</v>
      </c>
      <c r="BS186" s="44" t="s">
        <v>287</v>
      </c>
      <c r="BT186" s="44">
        <v>0</v>
      </c>
    </row>
    <row r="187" spans="1:72">
      <c r="A187" s="44">
        <v>2022</v>
      </c>
      <c r="B187" s="6">
        <v>12</v>
      </c>
      <c r="C187" s="6">
        <v>1</v>
      </c>
      <c r="D187" s="6" t="s">
        <v>286</v>
      </c>
      <c r="E187" s="6" t="s">
        <v>253</v>
      </c>
      <c r="F187" s="6" t="s">
        <v>254</v>
      </c>
      <c r="G187" s="6">
        <v>2016</v>
      </c>
      <c r="H187" s="6">
        <v>12</v>
      </c>
      <c r="I187" s="6" t="s">
        <v>34</v>
      </c>
      <c r="J187" s="6" t="s">
        <v>253</v>
      </c>
      <c r="K187" s="6">
        <v>1977</v>
      </c>
      <c r="L187" s="14">
        <v>12</v>
      </c>
      <c r="M187" s="6">
        <v>1</v>
      </c>
      <c r="N187" s="6" t="s">
        <v>255</v>
      </c>
      <c r="O187" s="6" t="s">
        <v>288</v>
      </c>
      <c r="P187" s="6" t="s">
        <v>283</v>
      </c>
      <c r="Q187" s="6">
        <v>3000</v>
      </c>
      <c r="R187" s="6" t="s">
        <v>254</v>
      </c>
      <c r="S187" s="6" t="s">
        <v>258</v>
      </c>
      <c r="T187" s="6" t="s">
        <v>259</v>
      </c>
      <c r="U187" s="6" t="s">
        <v>263</v>
      </c>
      <c r="V187" s="6">
        <v>1000</v>
      </c>
      <c r="W187" s="6" t="s">
        <v>260</v>
      </c>
      <c r="X187" s="6">
        <v>5000</v>
      </c>
      <c r="Y187" s="6" t="s">
        <v>261</v>
      </c>
      <c r="Z187" s="6">
        <v>80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286</v>
      </c>
      <c r="AN187" s="44" t="s">
        <v>253</v>
      </c>
      <c r="AO187" s="44" t="s">
        <v>266</v>
      </c>
      <c r="AP187" s="44" t="s">
        <v>289</v>
      </c>
      <c r="AQ187" s="44">
        <v>12</v>
      </c>
      <c r="AR187" s="44" t="s">
        <v>34</v>
      </c>
      <c r="AS187" s="44" t="s">
        <v>253</v>
      </c>
      <c r="AT187" s="44" t="s">
        <v>279</v>
      </c>
      <c r="AU187" s="44">
        <v>12</v>
      </c>
      <c r="AV187" s="44">
        <v>1</v>
      </c>
      <c r="AW187" s="44" t="s">
        <v>269</v>
      </c>
      <c r="AX187" s="44" t="s">
        <v>288</v>
      </c>
      <c r="AY187" s="44" t="s">
        <v>283</v>
      </c>
      <c r="AZ187" s="44">
        <v>1</v>
      </c>
      <c r="BA187" s="44" t="s">
        <v>270</v>
      </c>
      <c r="BB187" s="44" t="s">
        <v>271</v>
      </c>
      <c r="BC187" s="44" t="s">
        <v>259</v>
      </c>
      <c r="BD187" s="44" t="s">
        <v>290</v>
      </c>
      <c r="BE187" s="44" t="s">
        <v>272</v>
      </c>
      <c r="BF187" s="44" t="s">
        <v>260</v>
      </c>
      <c r="BG187" s="44" t="s">
        <v>291</v>
      </c>
      <c r="BH187" s="44" t="s">
        <v>274</v>
      </c>
      <c r="BI187" s="44" t="s">
        <v>292</v>
      </c>
      <c r="BJ187" s="44" t="s">
        <v>263</v>
      </c>
      <c r="BK187" s="44" t="s">
        <v>253</v>
      </c>
      <c r="BL187" s="44" t="s">
        <v>253</v>
      </c>
      <c r="BM187" s="44" t="s">
        <v>253</v>
      </c>
      <c r="BN187" s="44" t="s">
        <v>263</v>
      </c>
      <c r="BO187" s="44" t="s">
        <v>253</v>
      </c>
      <c r="BP187" s="44" t="s">
        <v>253</v>
      </c>
      <c r="BQ187" s="44" t="s">
        <v>253</v>
      </c>
      <c r="BR187" s="44" t="s">
        <v>253</v>
      </c>
      <c r="BS187" s="44" t="s">
        <v>287</v>
      </c>
      <c r="BT187" s="44">
        <v>0</v>
      </c>
    </row>
    <row r="188" spans="1:72">
      <c r="A188" s="44">
        <v>2022</v>
      </c>
      <c r="B188" s="6">
        <v>12</v>
      </c>
      <c r="C188" s="6">
        <v>1</v>
      </c>
      <c r="D188" s="6" t="s">
        <v>286</v>
      </c>
      <c r="E188" s="6" t="s">
        <v>253</v>
      </c>
      <c r="F188" s="6" t="s">
        <v>254</v>
      </c>
      <c r="G188" s="6">
        <v>2016</v>
      </c>
      <c r="H188" s="6">
        <v>12</v>
      </c>
      <c r="I188" s="6" t="s">
        <v>34</v>
      </c>
      <c r="J188" s="6" t="s">
        <v>253</v>
      </c>
      <c r="K188" s="6">
        <v>1972</v>
      </c>
      <c r="L188" s="14">
        <v>12</v>
      </c>
      <c r="M188" s="6">
        <v>1</v>
      </c>
      <c r="N188" s="6" t="s">
        <v>255</v>
      </c>
      <c r="O188" s="6" t="s">
        <v>288</v>
      </c>
      <c r="P188" s="6" t="s">
        <v>283</v>
      </c>
      <c r="Q188" s="6">
        <v>3000</v>
      </c>
      <c r="R188" s="6" t="s">
        <v>254</v>
      </c>
      <c r="S188" s="6" t="s">
        <v>258</v>
      </c>
      <c r="T188" s="6" t="s">
        <v>259</v>
      </c>
      <c r="U188" s="6" t="s">
        <v>263</v>
      </c>
      <c r="V188" s="6">
        <v>1000</v>
      </c>
      <c r="W188" s="6" t="s">
        <v>260</v>
      </c>
      <c r="X188" s="6">
        <v>5000</v>
      </c>
      <c r="Y188" s="6" t="s">
        <v>261</v>
      </c>
      <c r="Z188" s="6">
        <v>80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286</v>
      </c>
      <c r="AN188" s="44" t="s">
        <v>253</v>
      </c>
      <c r="AO188" s="44" t="s">
        <v>266</v>
      </c>
      <c r="AP188" s="44" t="s">
        <v>289</v>
      </c>
      <c r="AQ188" s="44">
        <v>12</v>
      </c>
      <c r="AR188" s="44" t="s">
        <v>34</v>
      </c>
      <c r="AS188" s="44" t="s">
        <v>253</v>
      </c>
      <c r="AT188" s="44" t="s">
        <v>280</v>
      </c>
      <c r="AU188" s="44">
        <v>12</v>
      </c>
      <c r="AV188" s="44">
        <v>1</v>
      </c>
      <c r="AW188" s="44" t="s">
        <v>269</v>
      </c>
      <c r="AX188" s="44" t="s">
        <v>288</v>
      </c>
      <c r="AY188" s="44" t="s">
        <v>283</v>
      </c>
      <c r="AZ188" s="44">
        <v>1</v>
      </c>
      <c r="BA188" s="44" t="s">
        <v>270</v>
      </c>
      <c r="BB188" s="44" t="s">
        <v>271</v>
      </c>
      <c r="BC188" s="44" t="s">
        <v>259</v>
      </c>
      <c r="BD188" s="44" t="s">
        <v>290</v>
      </c>
      <c r="BE188" s="44" t="s">
        <v>272</v>
      </c>
      <c r="BF188" s="44" t="s">
        <v>260</v>
      </c>
      <c r="BG188" s="44" t="s">
        <v>291</v>
      </c>
      <c r="BH188" s="44" t="s">
        <v>274</v>
      </c>
      <c r="BI188" s="44" t="s">
        <v>292</v>
      </c>
      <c r="BJ188" s="44" t="s">
        <v>263</v>
      </c>
      <c r="BK188" s="44" t="s">
        <v>253</v>
      </c>
      <c r="BL188" s="44" t="s">
        <v>253</v>
      </c>
      <c r="BM188" s="44" t="s">
        <v>253</v>
      </c>
      <c r="BN188" s="44" t="s">
        <v>263</v>
      </c>
      <c r="BO188" s="44" t="s">
        <v>253</v>
      </c>
      <c r="BP188" s="44" t="s">
        <v>253</v>
      </c>
      <c r="BQ188" s="44" t="s">
        <v>253</v>
      </c>
      <c r="BR188" s="44" t="s">
        <v>253</v>
      </c>
      <c r="BS188" s="44" t="s">
        <v>287</v>
      </c>
      <c r="BT188" s="44">
        <v>0</v>
      </c>
    </row>
    <row r="189" spans="1:72">
      <c r="A189" s="44">
        <v>2022</v>
      </c>
      <c r="B189" s="6">
        <v>12</v>
      </c>
      <c r="C189" s="6">
        <v>1</v>
      </c>
      <c r="D189" s="6" t="s">
        <v>286</v>
      </c>
      <c r="E189" s="6" t="s">
        <v>253</v>
      </c>
      <c r="F189" s="6" t="s">
        <v>254</v>
      </c>
      <c r="G189" s="6">
        <v>2016</v>
      </c>
      <c r="H189" s="6">
        <v>12</v>
      </c>
      <c r="I189" s="6" t="s">
        <v>34</v>
      </c>
      <c r="J189" s="6" t="s">
        <v>253</v>
      </c>
      <c r="K189" s="6">
        <v>1962</v>
      </c>
      <c r="L189" s="14">
        <v>12</v>
      </c>
      <c r="M189" s="6">
        <v>1</v>
      </c>
      <c r="N189" s="6" t="s">
        <v>255</v>
      </c>
      <c r="O189" s="6" t="s">
        <v>288</v>
      </c>
      <c r="P189" s="6" t="s">
        <v>283</v>
      </c>
      <c r="Q189" s="6">
        <v>3000</v>
      </c>
      <c r="R189" s="6" t="s">
        <v>254</v>
      </c>
      <c r="S189" s="6" t="s">
        <v>258</v>
      </c>
      <c r="T189" s="6" t="s">
        <v>259</v>
      </c>
      <c r="U189" s="6" t="s">
        <v>263</v>
      </c>
      <c r="V189" s="6">
        <v>1000</v>
      </c>
      <c r="W189" s="6" t="s">
        <v>260</v>
      </c>
      <c r="X189" s="6">
        <v>5000</v>
      </c>
      <c r="Y189" s="6" t="s">
        <v>261</v>
      </c>
      <c r="Z189" s="6">
        <v>80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286</v>
      </c>
      <c r="AN189" s="44" t="s">
        <v>253</v>
      </c>
      <c r="AO189" s="44" t="s">
        <v>266</v>
      </c>
      <c r="AP189" s="44" t="s">
        <v>289</v>
      </c>
      <c r="AQ189" s="44">
        <v>12</v>
      </c>
      <c r="AR189" s="44" t="s">
        <v>34</v>
      </c>
      <c r="AS189" s="44" t="s">
        <v>253</v>
      </c>
      <c r="AT189" s="44" t="s">
        <v>281</v>
      </c>
      <c r="AU189" s="44">
        <v>12</v>
      </c>
      <c r="AV189" s="44">
        <v>1</v>
      </c>
      <c r="AW189" s="44" t="s">
        <v>269</v>
      </c>
      <c r="AX189" s="44" t="s">
        <v>288</v>
      </c>
      <c r="AY189" s="44" t="s">
        <v>283</v>
      </c>
      <c r="AZ189" s="44">
        <v>1</v>
      </c>
      <c r="BA189" s="44" t="s">
        <v>270</v>
      </c>
      <c r="BB189" s="44" t="s">
        <v>271</v>
      </c>
      <c r="BC189" s="44" t="s">
        <v>259</v>
      </c>
      <c r="BD189" s="44" t="s">
        <v>290</v>
      </c>
      <c r="BE189" s="44" t="s">
        <v>272</v>
      </c>
      <c r="BF189" s="44" t="s">
        <v>260</v>
      </c>
      <c r="BG189" s="44" t="s">
        <v>291</v>
      </c>
      <c r="BH189" s="44" t="s">
        <v>274</v>
      </c>
      <c r="BI189" s="44" t="s">
        <v>292</v>
      </c>
      <c r="BJ189" s="44" t="s">
        <v>263</v>
      </c>
      <c r="BK189" s="44" t="s">
        <v>253</v>
      </c>
      <c r="BL189" s="44" t="s">
        <v>253</v>
      </c>
      <c r="BM189" s="44" t="s">
        <v>253</v>
      </c>
      <c r="BN189" s="44" t="s">
        <v>263</v>
      </c>
      <c r="BO189" s="44" t="s">
        <v>253</v>
      </c>
      <c r="BP189" s="44" t="s">
        <v>253</v>
      </c>
      <c r="BQ189" s="44" t="s">
        <v>253</v>
      </c>
      <c r="BR189" s="44" t="s">
        <v>253</v>
      </c>
      <c r="BS189" s="44" t="s">
        <v>287</v>
      </c>
      <c r="BT189" s="44">
        <v>0</v>
      </c>
    </row>
    <row r="190" spans="1:72">
      <c r="A190" s="44">
        <v>2022</v>
      </c>
      <c r="B190" s="6">
        <v>12</v>
      </c>
      <c r="C190" s="6">
        <v>1</v>
      </c>
      <c r="D190" s="6" t="s">
        <v>286</v>
      </c>
      <c r="E190" s="6" t="s">
        <v>253</v>
      </c>
      <c r="F190" s="6" t="s">
        <v>254</v>
      </c>
      <c r="G190" s="6">
        <v>2016</v>
      </c>
      <c r="H190" s="6">
        <v>12</v>
      </c>
      <c r="I190" s="6" t="s">
        <v>34</v>
      </c>
      <c r="J190" s="6" t="s">
        <v>253</v>
      </c>
      <c r="K190" s="6">
        <v>1952</v>
      </c>
      <c r="L190" s="14">
        <v>12</v>
      </c>
      <c r="M190" s="6">
        <v>1</v>
      </c>
      <c r="N190" s="6" t="s">
        <v>255</v>
      </c>
      <c r="O190" s="6" t="s">
        <v>288</v>
      </c>
      <c r="P190" s="6" t="s">
        <v>283</v>
      </c>
      <c r="Q190" s="6">
        <v>3000</v>
      </c>
      <c r="R190" s="6" t="s">
        <v>254</v>
      </c>
      <c r="S190" s="6" t="s">
        <v>258</v>
      </c>
      <c r="T190" s="6" t="s">
        <v>259</v>
      </c>
      <c r="U190" s="6" t="s">
        <v>263</v>
      </c>
      <c r="V190" s="6">
        <v>1000</v>
      </c>
      <c r="W190" s="6" t="s">
        <v>260</v>
      </c>
      <c r="X190" s="6">
        <v>5000</v>
      </c>
      <c r="Y190" s="6" t="s">
        <v>261</v>
      </c>
      <c r="Z190" s="6">
        <v>80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286</v>
      </c>
      <c r="AN190" s="44" t="s">
        <v>253</v>
      </c>
      <c r="AO190" s="44" t="s">
        <v>266</v>
      </c>
      <c r="AP190" s="44" t="s">
        <v>289</v>
      </c>
      <c r="AQ190" s="44">
        <v>12</v>
      </c>
      <c r="AR190" s="44" t="s">
        <v>34</v>
      </c>
      <c r="AS190" s="44" t="s">
        <v>253</v>
      </c>
      <c r="AT190" s="44" t="s">
        <v>282</v>
      </c>
      <c r="AU190" s="44">
        <v>12</v>
      </c>
      <c r="AV190" s="44">
        <v>1</v>
      </c>
      <c r="AW190" s="44" t="s">
        <v>269</v>
      </c>
      <c r="AX190" s="44" t="s">
        <v>288</v>
      </c>
      <c r="AY190" s="44" t="s">
        <v>283</v>
      </c>
      <c r="AZ190" s="44">
        <v>1</v>
      </c>
      <c r="BA190" s="44" t="s">
        <v>270</v>
      </c>
      <c r="BB190" s="44" t="s">
        <v>271</v>
      </c>
      <c r="BC190" s="44" t="s">
        <v>259</v>
      </c>
      <c r="BD190" s="44" t="s">
        <v>290</v>
      </c>
      <c r="BE190" s="44" t="s">
        <v>272</v>
      </c>
      <c r="BF190" s="44" t="s">
        <v>260</v>
      </c>
      <c r="BG190" s="44" t="s">
        <v>291</v>
      </c>
      <c r="BH190" s="44" t="s">
        <v>274</v>
      </c>
      <c r="BI190" s="44" t="s">
        <v>292</v>
      </c>
      <c r="BJ190" s="44" t="s">
        <v>263</v>
      </c>
      <c r="BK190" s="44" t="s">
        <v>253</v>
      </c>
      <c r="BL190" s="44" t="s">
        <v>253</v>
      </c>
      <c r="BM190" s="44" t="s">
        <v>253</v>
      </c>
      <c r="BN190" s="44" t="s">
        <v>263</v>
      </c>
      <c r="BO190" s="44" t="s">
        <v>253</v>
      </c>
      <c r="BP190" s="44" t="s">
        <v>253</v>
      </c>
      <c r="BQ190" s="44" t="s">
        <v>253</v>
      </c>
      <c r="BR190" s="44" t="s">
        <v>253</v>
      </c>
      <c r="BS190" s="44" t="s">
        <v>287</v>
      </c>
      <c r="BT190" s="44">
        <v>0</v>
      </c>
    </row>
    <row r="191" spans="1:72">
      <c r="A191" s="44">
        <v>2022</v>
      </c>
      <c r="B191" s="6">
        <v>12</v>
      </c>
      <c r="C191" s="6">
        <v>1</v>
      </c>
      <c r="D191" s="6" t="s">
        <v>286</v>
      </c>
      <c r="E191" s="6" t="s">
        <v>253</v>
      </c>
      <c r="F191" s="6" t="s">
        <v>254</v>
      </c>
      <c r="G191" s="6">
        <v>2016</v>
      </c>
      <c r="H191" s="6">
        <v>12</v>
      </c>
      <c r="I191" s="6" t="s">
        <v>34</v>
      </c>
      <c r="J191" s="6" t="s">
        <v>253</v>
      </c>
      <c r="K191" s="6">
        <v>1992</v>
      </c>
      <c r="L191" s="14">
        <v>12</v>
      </c>
      <c r="M191" s="6">
        <v>1</v>
      </c>
      <c r="N191" s="6" t="s">
        <v>255</v>
      </c>
      <c r="O191" s="6" t="s">
        <v>288</v>
      </c>
      <c r="P191" s="6" t="s">
        <v>283</v>
      </c>
      <c r="Q191" s="6">
        <v>7000</v>
      </c>
      <c r="R191" s="6" t="s">
        <v>254</v>
      </c>
      <c r="S191" s="6" t="s">
        <v>258</v>
      </c>
      <c r="T191" s="6" t="s">
        <v>259</v>
      </c>
      <c r="U191" s="6" t="s">
        <v>263</v>
      </c>
      <c r="V191" s="6">
        <v>1000</v>
      </c>
      <c r="W191" s="6" t="s">
        <v>260</v>
      </c>
      <c r="X191" s="6">
        <v>5000</v>
      </c>
      <c r="Y191" s="6" t="s">
        <v>261</v>
      </c>
      <c r="Z191" s="6">
        <v>80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286</v>
      </c>
      <c r="AN191" s="44" t="s">
        <v>253</v>
      </c>
      <c r="AO191" s="44" t="s">
        <v>266</v>
      </c>
      <c r="AP191" s="44" t="s">
        <v>289</v>
      </c>
      <c r="AQ191" s="44">
        <v>12</v>
      </c>
      <c r="AR191" s="44" t="s">
        <v>34</v>
      </c>
      <c r="AS191" s="44" t="s">
        <v>253</v>
      </c>
      <c r="AT191" s="44" t="s">
        <v>268</v>
      </c>
      <c r="AU191" s="44">
        <v>12</v>
      </c>
      <c r="AV191" s="44">
        <v>1</v>
      </c>
      <c r="AW191" s="44" t="s">
        <v>269</v>
      </c>
      <c r="AX191" s="44" t="s">
        <v>288</v>
      </c>
      <c r="AY191" s="44" t="s">
        <v>283</v>
      </c>
      <c r="AZ191" s="44">
        <v>3</v>
      </c>
      <c r="BA191" s="44" t="s">
        <v>270</v>
      </c>
      <c r="BB191" s="44" t="s">
        <v>271</v>
      </c>
      <c r="BC191" s="44" t="s">
        <v>259</v>
      </c>
      <c r="BD191" s="44" t="s">
        <v>290</v>
      </c>
      <c r="BE191" s="44" t="s">
        <v>272</v>
      </c>
      <c r="BF191" s="44" t="s">
        <v>260</v>
      </c>
      <c r="BG191" s="44" t="s">
        <v>291</v>
      </c>
      <c r="BH191" s="44" t="s">
        <v>274</v>
      </c>
      <c r="BI191" s="44" t="s">
        <v>292</v>
      </c>
      <c r="BJ191" s="44" t="s">
        <v>263</v>
      </c>
      <c r="BK191" s="44" t="s">
        <v>253</v>
      </c>
      <c r="BL191" s="44" t="s">
        <v>253</v>
      </c>
      <c r="BM191" s="44" t="s">
        <v>253</v>
      </c>
      <c r="BN191" s="44" t="s">
        <v>263</v>
      </c>
      <c r="BO191" s="44" t="s">
        <v>253</v>
      </c>
      <c r="BP191" s="44" t="s">
        <v>253</v>
      </c>
      <c r="BQ191" s="44" t="s">
        <v>253</v>
      </c>
      <c r="BR191" s="44" t="s">
        <v>253</v>
      </c>
      <c r="BS191" s="44" t="s">
        <v>287</v>
      </c>
      <c r="BT191" s="44">
        <v>0</v>
      </c>
    </row>
    <row r="192" spans="1:72">
      <c r="A192" s="44">
        <v>2022</v>
      </c>
      <c r="B192" s="6">
        <v>12</v>
      </c>
      <c r="C192" s="6">
        <v>1</v>
      </c>
      <c r="D192" s="6" t="s">
        <v>286</v>
      </c>
      <c r="E192" s="6" t="s">
        <v>253</v>
      </c>
      <c r="F192" s="6" t="s">
        <v>254</v>
      </c>
      <c r="G192" s="6">
        <v>2016</v>
      </c>
      <c r="H192" s="6">
        <v>12</v>
      </c>
      <c r="I192" s="6" t="s">
        <v>34</v>
      </c>
      <c r="J192" s="6" t="s">
        <v>253</v>
      </c>
      <c r="K192" s="6">
        <v>1987</v>
      </c>
      <c r="L192" s="14">
        <v>12</v>
      </c>
      <c r="M192" s="6">
        <v>1</v>
      </c>
      <c r="N192" s="6" t="s">
        <v>255</v>
      </c>
      <c r="O192" s="6" t="s">
        <v>288</v>
      </c>
      <c r="P192" s="6" t="s">
        <v>283</v>
      </c>
      <c r="Q192" s="6">
        <v>7000</v>
      </c>
      <c r="R192" s="6" t="s">
        <v>254</v>
      </c>
      <c r="S192" s="6" t="s">
        <v>258</v>
      </c>
      <c r="T192" s="6" t="s">
        <v>259</v>
      </c>
      <c r="U192" s="6" t="s">
        <v>263</v>
      </c>
      <c r="V192" s="6">
        <v>1000</v>
      </c>
      <c r="W192" s="6" t="s">
        <v>260</v>
      </c>
      <c r="X192" s="6">
        <v>5000</v>
      </c>
      <c r="Y192" s="6" t="s">
        <v>261</v>
      </c>
      <c r="Z192" s="6">
        <v>80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286</v>
      </c>
      <c r="AN192" s="44" t="s">
        <v>253</v>
      </c>
      <c r="AO192" s="44" t="s">
        <v>266</v>
      </c>
      <c r="AP192" s="44" t="s">
        <v>289</v>
      </c>
      <c r="AQ192" s="44">
        <v>12</v>
      </c>
      <c r="AR192" s="44" t="s">
        <v>34</v>
      </c>
      <c r="AS192" s="44" t="s">
        <v>253</v>
      </c>
      <c r="AT192" s="44" t="s">
        <v>277</v>
      </c>
      <c r="AU192" s="44">
        <v>12</v>
      </c>
      <c r="AV192" s="44">
        <v>1</v>
      </c>
      <c r="AW192" s="44" t="s">
        <v>269</v>
      </c>
      <c r="AX192" s="44" t="s">
        <v>288</v>
      </c>
      <c r="AY192" s="44" t="s">
        <v>283</v>
      </c>
      <c r="AZ192" s="44">
        <v>3</v>
      </c>
      <c r="BA192" s="44" t="s">
        <v>270</v>
      </c>
      <c r="BB192" s="44" t="s">
        <v>271</v>
      </c>
      <c r="BC192" s="44" t="s">
        <v>259</v>
      </c>
      <c r="BD192" s="44" t="s">
        <v>290</v>
      </c>
      <c r="BE192" s="44" t="s">
        <v>272</v>
      </c>
      <c r="BF192" s="44" t="s">
        <v>260</v>
      </c>
      <c r="BG192" s="44" t="s">
        <v>291</v>
      </c>
      <c r="BH192" s="44" t="s">
        <v>274</v>
      </c>
      <c r="BI192" s="44" t="s">
        <v>292</v>
      </c>
      <c r="BJ192" s="44" t="s">
        <v>263</v>
      </c>
      <c r="BK192" s="44" t="s">
        <v>253</v>
      </c>
      <c r="BL192" s="44" t="s">
        <v>253</v>
      </c>
      <c r="BM192" s="44" t="s">
        <v>253</v>
      </c>
      <c r="BN192" s="44" t="s">
        <v>263</v>
      </c>
      <c r="BO192" s="44" t="s">
        <v>253</v>
      </c>
      <c r="BP192" s="44" t="s">
        <v>253</v>
      </c>
      <c r="BQ192" s="44" t="s">
        <v>253</v>
      </c>
      <c r="BR192" s="44" t="s">
        <v>253</v>
      </c>
      <c r="BS192" s="44" t="s">
        <v>287</v>
      </c>
      <c r="BT192" s="44">
        <v>0</v>
      </c>
    </row>
    <row r="193" spans="1:72">
      <c r="A193" s="44">
        <v>2022</v>
      </c>
      <c r="B193" s="6">
        <v>12</v>
      </c>
      <c r="C193" s="6">
        <v>1</v>
      </c>
      <c r="D193" s="6" t="s">
        <v>286</v>
      </c>
      <c r="E193" s="6" t="s">
        <v>253</v>
      </c>
      <c r="F193" s="6" t="s">
        <v>254</v>
      </c>
      <c r="G193" s="6">
        <v>2016</v>
      </c>
      <c r="H193" s="6">
        <v>12</v>
      </c>
      <c r="I193" s="6" t="s">
        <v>34</v>
      </c>
      <c r="J193" s="6" t="s">
        <v>253</v>
      </c>
      <c r="K193" s="6">
        <v>1982</v>
      </c>
      <c r="L193" s="14">
        <v>12</v>
      </c>
      <c r="M193" s="6">
        <v>1</v>
      </c>
      <c r="N193" s="6" t="s">
        <v>255</v>
      </c>
      <c r="O193" s="6" t="s">
        <v>288</v>
      </c>
      <c r="P193" s="6" t="s">
        <v>283</v>
      </c>
      <c r="Q193" s="6">
        <v>7000</v>
      </c>
      <c r="R193" s="6" t="s">
        <v>254</v>
      </c>
      <c r="S193" s="6" t="s">
        <v>258</v>
      </c>
      <c r="T193" s="6" t="s">
        <v>259</v>
      </c>
      <c r="U193" s="6" t="s">
        <v>263</v>
      </c>
      <c r="V193" s="6">
        <v>1000</v>
      </c>
      <c r="W193" s="6" t="s">
        <v>260</v>
      </c>
      <c r="X193" s="6">
        <v>5000</v>
      </c>
      <c r="Y193" s="6" t="s">
        <v>261</v>
      </c>
      <c r="Z193" s="6">
        <v>80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286</v>
      </c>
      <c r="AN193" s="44" t="s">
        <v>253</v>
      </c>
      <c r="AO193" s="44" t="s">
        <v>266</v>
      </c>
      <c r="AP193" s="44" t="s">
        <v>289</v>
      </c>
      <c r="AQ193" s="44">
        <v>12</v>
      </c>
      <c r="AR193" s="44" t="s">
        <v>34</v>
      </c>
      <c r="AS193" s="44" t="s">
        <v>253</v>
      </c>
      <c r="AT193" s="44" t="s">
        <v>278</v>
      </c>
      <c r="AU193" s="44">
        <v>12</v>
      </c>
      <c r="AV193" s="44">
        <v>1</v>
      </c>
      <c r="AW193" s="44" t="s">
        <v>269</v>
      </c>
      <c r="AX193" s="44" t="s">
        <v>288</v>
      </c>
      <c r="AY193" s="44" t="s">
        <v>283</v>
      </c>
      <c r="AZ193" s="44">
        <v>3</v>
      </c>
      <c r="BA193" s="44" t="s">
        <v>270</v>
      </c>
      <c r="BB193" s="44" t="s">
        <v>271</v>
      </c>
      <c r="BC193" s="44" t="s">
        <v>259</v>
      </c>
      <c r="BD193" s="44" t="s">
        <v>290</v>
      </c>
      <c r="BE193" s="44" t="s">
        <v>272</v>
      </c>
      <c r="BF193" s="44" t="s">
        <v>260</v>
      </c>
      <c r="BG193" s="44" t="s">
        <v>291</v>
      </c>
      <c r="BH193" s="44" t="s">
        <v>274</v>
      </c>
      <c r="BI193" s="44" t="s">
        <v>292</v>
      </c>
      <c r="BJ193" s="44" t="s">
        <v>263</v>
      </c>
      <c r="BK193" s="44" t="s">
        <v>253</v>
      </c>
      <c r="BL193" s="44" t="s">
        <v>253</v>
      </c>
      <c r="BM193" s="44" t="s">
        <v>253</v>
      </c>
      <c r="BN193" s="44" t="s">
        <v>263</v>
      </c>
      <c r="BO193" s="44" t="s">
        <v>253</v>
      </c>
      <c r="BP193" s="44" t="s">
        <v>253</v>
      </c>
      <c r="BQ193" s="44" t="s">
        <v>253</v>
      </c>
      <c r="BR193" s="44" t="s">
        <v>253</v>
      </c>
      <c r="BS193" s="44" t="s">
        <v>287</v>
      </c>
      <c r="BT193" s="44">
        <v>0</v>
      </c>
    </row>
    <row r="194" spans="1:72">
      <c r="A194" s="44">
        <v>2022</v>
      </c>
      <c r="B194" s="6">
        <v>12</v>
      </c>
      <c r="C194" s="6">
        <v>1</v>
      </c>
      <c r="D194" s="6" t="s">
        <v>286</v>
      </c>
      <c r="E194" s="6" t="s">
        <v>253</v>
      </c>
      <c r="F194" s="6" t="s">
        <v>254</v>
      </c>
      <c r="G194" s="6">
        <v>2016</v>
      </c>
      <c r="H194" s="6">
        <v>12</v>
      </c>
      <c r="I194" s="6" t="s">
        <v>34</v>
      </c>
      <c r="J194" s="6" t="s">
        <v>253</v>
      </c>
      <c r="K194" s="6">
        <v>1977</v>
      </c>
      <c r="L194" s="14">
        <v>12</v>
      </c>
      <c r="M194" s="6">
        <v>1</v>
      </c>
      <c r="N194" s="6" t="s">
        <v>255</v>
      </c>
      <c r="O194" s="6" t="s">
        <v>288</v>
      </c>
      <c r="P194" s="6" t="s">
        <v>283</v>
      </c>
      <c r="Q194" s="6">
        <v>7000</v>
      </c>
      <c r="R194" s="6" t="s">
        <v>254</v>
      </c>
      <c r="S194" s="6" t="s">
        <v>258</v>
      </c>
      <c r="T194" s="6" t="s">
        <v>259</v>
      </c>
      <c r="U194" s="6" t="s">
        <v>263</v>
      </c>
      <c r="V194" s="6">
        <v>1000</v>
      </c>
      <c r="W194" s="6" t="s">
        <v>260</v>
      </c>
      <c r="X194" s="6">
        <v>5000</v>
      </c>
      <c r="Y194" s="6" t="s">
        <v>261</v>
      </c>
      <c r="Z194" s="6">
        <v>80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286</v>
      </c>
      <c r="AN194" s="44" t="s">
        <v>253</v>
      </c>
      <c r="AO194" s="44" t="s">
        <v>266</v>
      </c>
      <c r="AP194" s="44" t="s">
        <v>289</v>
      </c>
      <c r="AQ194" s="44">
        <v>12</v>
      </c>
      <c r="AR194" s="44" t="s">
        <v>34</v>
      </c>
      <c r="AS194" s="44" t="s">
        <v>253</v>
      </c>
      <c r="AT194" s="44" t="s">
        <v>279</v>
      </c>
      <c r="AU194" s="44">
        <v>12</v>
      </c>
      <c r="AV194" s="44">
        <v>1</v>
      </c>
      <c r="AW194" s="44" t="s">
        <v>269</v>
      </c>
      <c r="AX194" s="44" t="s">
        <v>288</v>
      </c>
      <c r="AY194" s="44" t="s">
        <v>283</v>
      </c>
      <c r="AZ194" s="44">
        <v>3</v>
      </c>
      <c r="BA194" s="44" t="s">
        <v>270</v>
      </c>
      <c r="BB194" s="44" t="s">
        <v>271</v>
      </c>
      <c r="BC194" s="44" t="s">
        <v>259</v>
      </c>
      <c r="BD194" s="44" t="s">
        <v>290</v>
      </c>
      <c r="BE194" s="44" t="s">
        <v>272</v>
      </c>
      <c r="BF194" s="44" t="s">
        <v>260</v>
      </c>
      <c r="BG194" s="44" t="s">
        <v>291</v>
      </c>
      <c r="BH194" s="44" t="s">
        <v>274</v>
      </c>
      <c r="BI194" s="44" t="s">
        <v>292</v>
      </c>
      <c r="BJ194" s="44" t="s">
        <v>263</v>
      </c>
      <c r="BK194" s="44" t="s">
        <v>253</v>
      </c>
      <c r="BL194" s="44" t="s">
        <v>253</v>
      </c>
      <c r="BM194" s="44" t="s">
        <v>253</v>
      </c>
      <c r="BN194" s="44" t="s">
        <v>263</v>
      </c>
      <c r="BO194" s="44" t="s">
        <v>253</v>
      </c>
      <c r="BP194" s="44" t="s">
        <v>253</v>
      </c>
      <c r="BQ194" s="44" t="s">
        <v>253</v>
      </c>
      <c r="BR194" s="44" t="s">
        <v>253</v>
      </c>
      <c r="BS194" s="44" t="s">
        <v>287</v>
      </c>
      <c r="BT194" s="44">
        <v>0</v>
      </c>
    </row>
    <row r="195" spans="1:72">
      <c r="A195" s="44">
        <v>2022</v>
      </c>
      <c r="B195" s="6">
        <v>12</v>
      </c>
      <c r="C195" s="6">
        <v>1</v>
      </c>
      <c r="D195" s="6" t="s">
        <v>286</v>
      </c>
      <c r="E195" s="6" t="s">
        <v>253</v>
      </c>
      <c r="F195" s="6" t="s">
        <v>254</v>
      </c>
      <c r="G195" s="6">
        <v>2016</v>
      </c>
      <c r="H195" s="6">
        <v>12</v>
      </c>
      <c r="I195" s="6" t="s">
        <v>34</v>
      </c>
      <c r="J195" s="6" t="s">
        <v>253</v>
      </c>
      <c r="K195" s="6">
        <v>1972</v>
      </c>
      <c r="L195" s="14">
        <v>12</v>
      </c>
      <c r="M195" s="6">
        <v>1</v>
      </c>
      <c r="N195" s="6" t="s">
        <v>255</v>
      </c>
      <c r="O195" s="6" t="s">
        <v>288</v>
      </c>
      <c r="P195" s="6" t="s">
        <v>283</v>
      </c>
      <c r="Q195" s="6">
        <v>7000</v>
      </c>
      <c r="R195" s="6" t="s">
        <v>254</v>
      </c>
      <c r="S195" s="6" t="s">
        <v>258</v>
      </c>
      <c r="T195" s="6" t="s">
        <v>259</v>
      </c>
      <c r="U195" s="6" t="s">
        <v>263</v>
      </c>
      <c r="V195" s="6">
        <v>1000</v>
      </c>
      <c r="W195" s="6" t="s">
        <v>260</v>
      </c>
      <c r="X195" s="6">
        <v>5000</v>
      </c>
      <c r="Y195" s="6" t="s">
        <v>261</v>
      </c>
      <c r="Z195" s="6">
        <v>80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286</v>
      </c>
      <c r="AN195" s="44" t="s">
        <v>253</v>
      </c>
      <c r="AO195" s="44" t="s">
        <v>266</v>
      </c>
      <c r="AP195" s="44" t="s">
        <v>289</v>
      </c>
      <c r="AQ195" s="44">
        <v>12</v>
      </c>
      <c r="AR195" s="44" t="s">
        <v>34</v>
      </c>
      <c r="AS195" s="44" t="s">
        <v>253</v>
      </c>
      <c r="AT195" s="44" t="s">
        <v>280</v>
      </c>
      <c r="AU195" s="44">
        <v>12</v>
      </c>
      <c r="AV195" s="44">
        <v>1</v>
      </c>
      <c r="AW195" s="44" t="s">
        <v>269</v>
      </c>
      <c r="AX195" s="44" t="s">
        <v>288</v>
      </c>
      <c r="AY195" s="44" t="s">
        <v>283</v>
      </c>
      <c r="AZ195" s="44">
        <v>3</v>
      </c>
      <c r="BA195" s="44" t="s">
        <v>270</v>
      </c>
      <c r="BB195" s="44" t="s">
        <v>271</v>
      </c>
      <c r="BC195" s="44" t="s">
        <v>259</v>
      </c>
      <c r="BD195" s="44" t="s">
        <v>290</v>
      </c>
      <c r="BE195" s="44" t="s">
        <v>272</v>
      </c>
      <c r="BF195" s="44" t="s">
        <v>260</v>
      </c>
      <c r="BG195" s="44" t="s">
        <v>291</v>
      </c>
      <c r="BH195" s="44" t="s">
        <v>274</v>
      </c>
      <c r="BI195" s="44" t="s">
        <v>292</v>
      </c>
      <c r="BJ195" s="44" t="s">
        <v>263</v>
      </c>
      <c r="BK195" s="44" t="s">
        <v>253</v>
      </c>
      <c r="BL195" s="44" t="s">
        <v>253</v>
      </c>
      <c r="BM195" s="44" t="s">
        <v>253</v>
      </c>
      <c r="BN195" s="44" t="s">
        <v>263</v>
      </c>
      <c r="BO195" s="44" t="s">
        <v>253</v>
      </c>
      <c r="BP195" s="44" t="s">
        <v>253</v>
      </c>
      <c r="BQ195" s="44" t="s">
        <v>253</v>
      </c>
      <c r="BR195" s="44" t="s">
        <v>253</v>
      </c>
      <c r="BS195" s="44" t="s">
        <v>287</v>
      </c>
      <c r="BT195" s="44">
        <v>0</v>
      </c>
    </row>
    <row r="196" spans="1:72">
      <c r="A196" s="44">
        <v>2022</v>
      </c>
      <c r="B196" s="6">
        <v>12</v>
      </c>
      <c r="C196" s="6">
        <v>1</v>
      </c>
      <c r="D196" s="6" t="s">
        <v>286</v>
      </c>
      <c r="E196" s="6" t="s">
        <v>253</v>
      </c>
      <c r="F196" s="6" t="s">
        <v>254</v>
      </c>
      <c r="G196" s="6">
        <v>2016</v>
      </c>
      <c r="H196" s="6">
        <v>12</v>
      </c>
      <c r="I196" s="6" t="s">
        <v>34</v>
      </c>
      <c r="J196" s="6" t="s">
        <v>253</v>
      </c>
      <c r="K196" s="6">
        <v>1962</v>
      </c>
      <c r="L196" s="14">
        <v>12</v>
      </c>
      <c r="M196" s="6">
        <v>1</v>
      </c>
      <c r="N196" s="6" t="s">
        <v>255</v>
      </c>
      <c r="O196" s="6" t="s">
        <v>288</v>
      </c>
      <c r="P196" s="6" t="s">
        <v>283</v>
      </c>
      <c r="Q196" s="6">
        <v>7000</v>
      </c>
      <c r="R196" s="6" t="s">
        <v>254</v>
      </c>
      <c r="S196" s="6" t="s">
        <v>258</v>
      </c>
      <c r="T196" s="6" t="s">
        <v>259</v>
      </c>
      <c r="U196" s="6" t="s">
        <v>263</v>
      </c>
      <c r="V196" s="6">
        <v>1000</v>
      </c>
      <c r="W196" s="6" t="s">
        <v>260</v>
      </c>
      <c r="X196" s="6">
        <v>5000</v>
      </c>
      <c r="Y196" s="6" t="s">
        <v>261</v>
      </c>
      <c r="Z196" s="6">
        <v>80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286</v>
      </c>
      <c r="AN196" s="44" t="s">
        <v>253</v>
      </c>
      <c r="AO196" s="44" t="s">
        <v>266</v>
      </c>
      <c r="AP196" s="44" t="s">
        <v>289</v>
      </c>
      <c r="AQ196" s="44">
        <v>12</v>
      </c>
      <c r="AR196" s="44" t="s">
        <v>34</v>
      </c>
      <c r="AS196" s="44" t="s">
        <v>253</v>
      </c>
      <c r="AT196" s="44" t="s">
        <v>281</v>
      </c>
      <c r="AU196" s="44">
        <v>12</v>
      </c>
      <c r="AV196" s="44">
        <v>1</v>
      </c>
      <c r="AW196" s="44" t="s">
        <v>269</v>
      </c>
      <c r="AX196" s="44" t="s">
        <v>288</v>
      </c>
      <c r="AY196" s="44" t="s">
        <v>283</v>
      </c>
      <c r="AZ196" s="44">
        <v>3</v>
      </c>
      <c r="BA196" s="44" t="s">
        <v>270</v>
      </c>
      <c r="BB196" s="44" t="s">
        <v>271</v>
      </c>
      <c r="BC196" s="44" t="s">
        <v>259</v>
      </c>
      <c r="BD196" s="44" t="s">
        <v>290</v>
      </c>
      <c r="BE196" s="44" t="s">
        <v>272</v>
      </c>
      <c r="BF196" s="44" t="s">
        <v>260</v>
      </c>
      <c r="BG196" s="44" t="s">
        <v>291</v>
      </c>
      <c r="BH196" s="44" t="s">
        <v>274</v>
      </c>
      <c r="BI196" s="44" t="s">
        <v>292</v>
      </c>
      <c r="BJ196" s="44" t="s">
        <v>263</v>
      </c>
      <c r="BK196" s="44" t="s">
        <v>253</v>
      </c>
      <c r="BL196" s="44" t="s">
        <v>253</v>
      </c>
      <c r="BM196" s="44" t="s">
        <v>253</v>
      </c>
      <c r="BN196" s="44" t="s">
        <v>263</v>
      </c>
      <c r="BO196" s="44" t="s">
        <v>253</v>
      </c>
      <c r="BP196" s="44" t="s">
        <v>253</v>
      </c>
      <c r="BQ196" s="44" t="s">
        <v>253</v>
      </c>
      <c r="BR196" s="44" t="s">
        <v>253</v>
      </c>
      <c r="BS196" s="44" t="s">
        <v>287</v>
      </c>
      <c r="BT196" s="44">
        <v>0</v>
      </c>
    </row>
    <row r="197" spans="1:72">
      <c r="A197" s="44">
        <v>2022</v>
      </c>
      <c r="B197" s="6">
        <v>12</v>
      </c>
      <c r="C197" s="6">
        <v>1</v>
      </c>
      <c r="D197" s="6" t="s">
        <v>286</v>
      </c>
      <c r="E197" s="6" t="s">
        <v>253</v>
      </c>
      <c r="F197" s="6" t="s">
        <v>254</v>
      </c>
      <c r="G197" s="6">
        <v>2016</v>
      </c>
      <c r="H197" s="6">
        <v>12</v>
      </c>
      <c r="I197" s="6" t="s">
        <v>34</v>
      </c>
      <c r="J197" s="6" t="s">
        <v>253</v>
      </c>
      <c r="K197" s="6">
        <v>1952</v>
      </c>
      <c r="L197" s="14">
        <v>12</v>
      </c>
      <c r="M197" s="6">
        <v>1</v>
      </c>
      <c r="N197" s="6" t="s">
        <v>255</v>
      </c>
      <c r="O197" s="6" t="s">
        <v>288</v>
      </c>
      <c r="P197" s="6" t="s">
        <v>283</v>
      </c>
      <c r="Q197" s="6">
        <v>7000</v>
      </c>
      <c r="R197" s="6" t="s">
        <v>254</v>
      </c>
      <c r="S197" s="6" t="s">
        <v>258</v>
      </c>
      <c r="T197" s="6" t="s">
        <v>259</v>
      </c>
      <c r="U197" s="6" t="s">
        <v>263</v>
      </c>
      <c r="V197" s="6">
        <v>1000</v>
      </c>
      <c r="W197" s="6" t="s">
        <v>260</v>
      </c>
      <c r="X197" s="6">
        <v>5000</v>
      </c>
      <c r="Y197" s="6" t="s">
        <v>261</v>
      </c>
      <c r="Z197" s="6">
        <v>80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286</v>
      </c>
      <c r="AN197" s="44" t="s">
        <v>253</v>
      </c>
      <c r="AO197" s="44" t="s">
        <v>266</v>
      </c>
      <c r="AP197" s="44" t="s">
        <v>289</v>
      </c>
      <c r="AQ197" s="44">
        <v>12</v>
      </c>
      <c r="AR197" s="44" t="s">
        <v>34</v>
      </c>
      <c r="AS197" s="44" t="s">
        <v>253</v>
      </c>
      <c r="AT197" s="44" t="s">
        <v>282</v>
      </c>
      <c r="AU197" s="44">
        <v>12</v>
      </c>
      <c r="AV197" s="44">
        <v>1</v>
      </c>
      <c r="AW197" s="44" t="s">
        <v>269</v>
      </c>
      <c r="AX197" s="44" t="s">
        <v>288</v>
      </c>
      <c r="AY197" s="44" t="s">
        <v>283</v>
      </c>
      <c r="AZ197" s="44">
        <v>3</v>
      </c>
      <c r="BA197" s="44" t="s">
        <v>270</v>
      </c>
      <c r="BB197" s="44" t="s">
        <v>271</v>
      </c>
      <c r="BC197" s="44" t="s">
        <v>259</v>
      </c>
      <c r="BD197" s="44" t="s">
        <v>290</v>
      </c>
      <c r="BE197" s="44" t="s">
        <v>272</v>
      </c>
      <c r="BF197" s="44" t="s">
        <v>260</v>
      </c>
      <c r="BG197" s="44" t="s">
        <v>291</v>
      </c>
      <c r="BH197" s="44" t="s">
        <v>274</v>
      </c>
      <c r="BI197" s="44" t="s">
        <v>292</v>
      </c>
      <c r="BJ197" s="44" t="s">
        <v>263</v>
      </c>
      <c r="BK197" s="44" t="s">
        <v>253</v>
      </c>
      <c r="BL197" s="44" t="s">
        <v>253</v>
      </c>
      <c r="BM197" s="44" t="s">
        <v>253</v>
      </c>
      <c r="BN197" s="44" t="s">
        <v>263</v>
      </c>
      <c r="BO197" s="44" t="s">
        <v>253</v>
      </c>
      <c r="BP197" s="44" t="s">
        <v>253</v>
      </c>
      <c r="BQ197" s="44" t="s">
        <v>253</v>
      </c>
      <c r="BR197" s="44" t="s">
        <v>253</v>
      </c>
      <c r="BS197" s="44" t="s">
        <v>287</v>
      </c>
      <c r="BT197" s="44">
        <v>0</v>
      </c>
    </row>
    <row r="198" spans="1:72">
      <c r="A198" s="44">
        <v>2022</v>
      </c>
      <c r="B198" s="6">
        <v>12</v>
      </c>
      <c r="C198" s="6">
        <v>1</v>
      </c>
      <c r="D198" s="6">
        <v>17</v>
      </c>
      <c r="E198" s="6" t="s">
        <v>263</v>
      </c>
      <c r="F198" s="6" t="s">
        <v>254</v>
      </c>
      <c r="G198" s="6">
        <v>2017</v>
      </c>
      <c r="H198" s="6">
        <v>12</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284</v>
      </c>
      <c r="AN198" s="44" t="s">
        <v>263</v>
      </c>
      <c r="AO198" s="44" t="s">
        <v>266</v>
      </c>
      <c r="AP198" s="44" t="s">
        <v>267</v>
      </c>
      <c r="AQ198" s="44">
        <v>12</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row>
    <row r="199" spans="1:72">
      <c r="A199" s="44">
        <v>2022</v>
      </c>
      <c r="B199" s="6">
        <v>12</v>
      </c>
      <c r="C199" s="6">
        <v>1</v>
      </c>
      <c r="D199" s="6">
        <v>17</v>
      </c>
      <c r="E199" s="6" t="s">
        <v>263</v>
      </c>
      <c r="F199" s="6" t="s">
        <v>254</v>
      </c>
      <c r="G199" s="6">
        <v>2017</v>
      </c>
      <c r="H199" s="6">
        <v>12</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284</v>
      </c>
      <c r="AN199" s="44" t="s">
        <v>263</v>
      </c>
      <c r="AO199" s="44" t="s">
        <v>266</v>
      </c>
      <c r="AP199" s="44" t="s">
        <v>267</v>
      </c>
      <c r="AQ199" s="44">
        <v>12</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row>
    <row r="200" spans="1:72">
      <c r="A200" s="44">
        <v>2022</v>
      </c>
      <c r="B200" s="6">
        <v>12</v>
      </c>
      <c r="C200" s="6">
        <v>1</v>
      </c>
      <c r="D200" s="6">
        <v>17</v>
      </c>
      <c r="E200" s="6" t="s">
        <v>263</v>
      </c>
      <c r="F200" s="6" t="s">
        <v>254</v>
      </c>
      <c r="G200" s="6">
        <v>2017</v>
      </c>
      <c r="H200" s="6">
        <v>12</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284</v>
      </c>
      <c r="AN200" s="44" t="s">
        <v>263</v>
      </c>
      <c r="AO200" s="44" t="s">
        <v>266</v>
      </c>
      <c r="AP200" s="44" t="s">
        <v>267</v>
      </c>
      <c r="AQ200" s="44">
        <v>12</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row>
    <row r="201" spans="1:72">
      <c r="A201" s="44">
        <v>2022</v>
      </c>
      <c r="B201" s="6">
        <v>12</v>
      </c>
      <c r="C201" s="6">
        <v>1</v>
      </c>
      <c r="D201" s="6">
        <v>17</v>
      </c>
      <c r="E201" s="6" t="s">
        <v>263</v>
      </c>
      <c r="F201" s="6" t="s">
        <v>254</v>
      </c>
      <c r="G201" s="6">
        <v>2017</v>
      </c>
      <c r="H201" s="6">
        <v>12</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284</v>
      </c>
      <c r="AN201" s="44" t="s">
        <v>263</v>
      </c>
      <c r="AO201" s="44" t="s">
        <v>266</v>
      </c>
      <c r="AP201" s="44" t="s">
        <v>267</v>
      </c>
      <c r="AQ201" s="44">
        <v>12</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row>
    <row r="202" spans="1:72">
      <c r="A202" s="44">
        <v>2022</v>
      </c>
      <c r="B202" s="6">
        <v>12</v>
      </c>
      <c r="C202" s="6">
        <v>1</v>
      </c>
      <c r="D202" s="6">
        <v>17</v>
      </c>
      <c r="E202" s="6" t="s">
        <v>263</v>
      </c>
      <c r="F202" s="6" t="s">
        <v>254</v>
      </c>
      <c r="G202" s="6">
        <v>2017</v>
      </c>
      <c r="H202" s="6">
        <v>12</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284</v>
      </c>
      <c r="AN202" s="44" t="s">
        <v>263</v>
      </c>
      <c r="AO202" s="44" t="s">
        <v>266</v>
      </c>
      <c r="AP202" s="44" t="s">
        <v>267</v>
      </c>
      <c r="AQ202" s="44">
        <v>12</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row>
    <row r="203" spans="1:72">
      <c r="A203" s="44">
        <v>2022</v>
      </c>
      <c r="B203" s="6">
        <v>12</v>
      </c>
      <c r="C203" s="6">
        <v>1</v>
      </c>
      <c r="D203" s="6">
        <v>17</v>
      </c>
      <c r="E203" s="6" t="s">
        <v>263</v>
      </c>
      <c r="F203" s="6" t="s">
        <v>254</v>
      </c>
      <c r="G203" s="6">
        <v>2017</v>
      </c>
      <c r="H203" s="6">
        <v>12</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284</v>
      </c>
      <c r="AN203" s="44" t="s">
        <v>263</v>
      </c>
      <c r="AO203" s="44" t="s">
        <v>266</v>
      </c>
      <c r="AP203" s="44" t="s">
        <v>267</v>
      </c>
      <c r="AQ203" s="44">
        <v>12</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row>
    <row r="204" spans="1:72">
      <c r="A204" s="44">
        <v>2022</v>
      </c>
      <c r="B204" s="6">
        <v>12</v>
      </c>
      <c r="C204" s="6">
        <v>1</v>
      </c>
      <c r="D204" s="6">
        <v>17</v>
      </c>
      <c r="E204" s="6" t="s">
        <v>263</v>
      </c>
      <c r="F204" s="6" t="s">
        <v>254</v>
      </c>
      <c r="G204" s="6">
        <v>2017</v>
      </c>
      <c r="H204" s="6">
        <v>12</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284</v>
      </c>
      <c r="AN204" s="44" t="s">
        <v>263</v>
      </c>
      <c r="AO204" s="44" t="s">
        <v>266</v>
      </c>
      <c r="AP204" s="44" t="s">
        <v>267</v>
      </c>
      <c r="AQ204" s="44">
        <v>12</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row>
    <row r="205" spans="1:72">
      <c r="A205" s="44">
        <v>2022</v>
      </c>
      <c r="B205" s="6">
        <v>12</v>
      </c>
      <c r="C205" s="6">
        <v>1</v>
      </c>
      <c r="D205" s="6">
        <v>17</v>
      </c>
      <c r="E205" s="6" t="s">
        <v>263</v>
      </c>
      <c r="F205" s="6" t="s">
        <v>254</v>
      </c>
      <c r="G205" s="6">
        <v>2017</v>
      </c>
      <c r="H205" s="6">
        <v>12</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284</v>
      </c>
      <c r="AN205" s="44" t="s">
        <v>263</v>
      </c>
      <c r="AO205" s="44" t="s">
        <v>266</v>
      </c>
      <c r="AP205" s="44" t="s">
        <v>267</v>
      </c>
      <c r="AQ205" s="44">
        <v>12</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row>
    <row r="206" spans="1:72">
      <c r="A206" s="44">
        <v>2022</v>
      </c>
      <c r="B206" s="6">
        <v>12</v>
      </c>
      <c r="C206" s="6">
        <v>1</v>
      </c>
      <c r="D206" s="6">
        <v>17</v>
      </c>
      <c r="E206" s="6" t="s">
        <v>263</v>
      </c>
      <c r="F206" s="6" t="s">
        <v>254</v>
      </c>
      <c r="G206" s="6">
        <v>2017</v>
      </c>
      <c r="H206" s="6">
        <v>12</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284</v>
      </c>
      <c r="AN206" s="44" t="s">
        <v>263</v>
      </c>
      <c r="AO206" s="44" t="s">
        <v>266</v>
      </c>
      <c r="AP206" s="44" t="s">
        <v>267</v>
      </c>
      <c r="AQ206" s="44">
        <v>12</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row>
    <row r="207" spans="1:72">
      <c r="A207" s="44">
        <v>2022</v>
      </c>
      <c r="B207" s="6">
        <v>12</v>
      </c>
      <c r="C207" s="6">
        <v>1</v>
      </c>
      <c r="D207" s="6">
        <v>17</v>
      </c>
      <c r="E207" s="6" t="s">
        <v>263</v>
      </c>
      <c r="F207" s="6" t="s">
        <v>254</v>
      </c>
      <c r="G207" s="6">
        <v>2017</v>
      </c>
      <c r="H207" s="6">
        <v>12</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284</v>
      </c>
      <c r="AN207" s="44" t="s">
        <v>263</v>
      </c>
      <c r="AO207" s="44" t="s">
        <v>266</v>
      </c>
      <c r="AP207" s="44" t="s">
        <v>267</v>
      </c>
      <c r="AQ207" s="44">
        <v>12</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row>
    <row r="208" spans="1:72">
      <c r="A208" s="44">
        <v>2022</v>
      </c>
      <c r="B208" s="6">
        <v>12</v>
      </c>
      <c r="C208" s="6">
        <v>1</v>
      </c>
      <c r="D208" s="6">
        <v>17</v>
      </c>
      <c r="E208" s="6" t="s">
        <v>263</v>
      </c>
      <c r="F208" s="6" t="s">
        <v>254</v>
      </c>
      <c r="G208" s="6">
        <v>2017</v>
      </c>
      <c r="H208" s="6">
        <v>12</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284</v>
      </c>
      <c r="AN208" s="44" t="s">
        <v>263</v>
      </c>
      <c r="AO208" s="44" t="s">
        <v>266</v>
      </c>
      <c r="AP208" s="44" t="s">
        <v>267</v>
      </c>
      <c r="AQ208" s="44">
        <v>12</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row>
    <row r="209" spans="1:72">
      <c r="A209" s="44">
        <v>2022</v>
      </c>
      <c r="B209" s="6">
        <v>12</v>
      </c>
      <c r="C209" s="6">
        <v>1</v>
      </c>
      <c r="D209" s="6">
        <v>17</v>
      </c>
      <c r="E209" s="6" t="s">
        <v>263</v>
      </c>
      <c r="F209" s="6" t="s">
        <v>254</v>
      </c>
      <c r="G209" s="6">
        <v>2017</v>
      </c>
      <c r="H209" s="6">
        <v>12</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284</v>
      </c>
      <c r="AN209" s="44" t="s">
        <v>263</v>
      </c>
      <c r="AO209" s="44" t="s">
        <v>266</v>
      </c>
      <c r="AP209" s="44" t="s">
        <v>267</v>
      </c>
      <c r="AQ209" s="44">
        <v>12</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row>
    <row r="210" spans="1:72">
      <c r="A210" s="44">
        <v>2022</v>
      </c>
      <c r="B210" s="6">
        <v>12</v>
      </c>
      <c r="C210" s="6">
        <v>1</v>
      </c>
      <c r="D210" s="6">
        <v>17</v>
      </c>
      <c r="E210" s="6" t="s">
        <v>263</v>
      </c>
      <c r="F210" s="6" t="s">
        <v>254</v>
      </c>
      <c r="G210" s="6">
        <v>2017</v>
      </c>
      <c r="H210" s="6">
        <v>12</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284</v>
      </c>
      <c r="AN210" s="44" t="s">
        <v>263</v>
      </c>
      <c r="AO210" s="44" t="s">
        <v>266</v>
      </c>
      <c r="AP210" s="44" t="s">
        <v>267</v>
      </c>
      <c r="AQ210" s="44">
        <v>12</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row>
    <row r="211" spans="1:72">
      <c r="A211" s="44">
        <v>2022</v>
      </c>
      <c r="B211" s="6">
        <v>12</v>
      </c>
      <c r="C211" s="6">
        <v>1</v>
      </c>
      <c r="D211" s="6">
        <v>17</v>
      </c>
      <c r="E211" s="6" t="s">
        <v>263</v>
      </c>
      <c r="F211" s="6" t="s">
        <v>254</v>
      </c>
      <c r="G211" s="6">
        <v>2017</v>
      </c>
      <c r="H211" s="6">
        <v>12</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284</v>
      </c>
      <c r="AN211" s="44" t="s">
        <v>263</v>
      </c>
      <c r="AO211" s="44" t="s">
        <v>266</v>
      </c>
      <c r="AP211" s="44" t="s">
        <v>267</v>
      </c>
      <c r="AQ211" s="44">
        <v>12</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row>
    <row r="212" spans="1:72">
      <c r="A212" s="44">
        <v>2022</v>
      </c>
      <c r="B212" s="6">
        <v>12</v>
      </c>
      <c r="C212" s="6">
        <v>1</v>
      </c>
      <c r="D212" s="6">
        <v>17</v>
      </c>
      <c r="E212" s="6" t="s">
        <v>263</v>
      </c>
      <c r="F212" s="6" t="s">
        <v>254</v>
      </c>
      <c r="G212" s="6">
        <v>2017</v>
      </c>
      <c r="H212" s="6">
        <v>12</v>
      </c>
      <c r="I212" s="6" t="s">
        <v>33</v>
      </c>
      <c r="J212" s="6" t="s">
        <v>253</v>
      </c>
      <c r="K212" s="6">
        <v>1992</v>
      </c>
      <c r="L212" s="14">
        <v>12</v>
      </c>
      <c r="M212" s="6">
        <v>1</v>
      </c>
      <c r="N212" s="6" t="s">
        <v>255</v>
      </c>
      <c r="O212" s="6" t="s">
        <v>256</v>
      </c>
      <c r="P212" s="6" t="s">
        <v>283</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284</v>
      </c>
      <c r="AN212" s="44" t="s">
        <v>263</v>
      </c>
      <c r="AO212" s="44" t="s">
        <v>266</v>
      </c>
      <c r="AP212" s="44" t="s">
        <v>267</v>
      </c>
      <c r="AQ212" s="44">
        <v>12</v>
      </c>
      <c r="AR212" s="44" t="s">
        <v>33</v>
      </c>
      <c r="AS212" s="44" t="s">
        <v>253</v>
      </c>
      <c r="AT212" s="44" t="s">
        <v>268</v>
      </c>
      <c r="AU212" s="44">
        <v>12</v>
      </c>
      <c r="AV212" s="44">
        <v>1</v>
      </c>
      <c r="AW212" s="44" t="s">
        <v>269</v>
      </c>
      <c r="AX212" s="44" t="s">
        <v>256</v>
      </c>
      <c r="AY212" s="44" t="s">
        <v>283</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row>
    <row r="213" spans="1:72">
      <c r="A213" s="44">
        <v>2022</v>
      </c>
      <c r="B213" s="6">
        <v>12</v>
      </c>
      <c r="C213" s="6">
        <v>1</v>
      </c>
      <c r="D213" s="6">
        <v>17</v>
      </c>
      <c r="E213" s="6" t="s">
        <v>263</v>
      </c>
      <c r="F213" s="6" t="s">
        <v>254</v>
      </c>
      <c r="G213" s="6">
        <v>2017</v>
      </c>
      <c r="H213" s="6">
        <v>12</v>
      </c>
      <c r="I213" s="6" t="s">
        <v>33</v>
      </c>
      <c r="J213" s="6" t="s">
        <v>253</v>
      </c>
      <c r="K213" s="6">
        <v>1987</v>
      </c>
      <c r="L213" s="14">
        <v>12</v>
      </c>
      <c r="M213" s="6">
        <v>1</v>
      </c>
      <c r="N213" s="6" t="s">
        <v>255</v>
      </c>
      <c r="O213" s="6" t="s">
        <v>256</v>
      </c>
      <c r="P213" s="6" t="s">
        <v>283</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284</v>
      </c>
      <c r="AN213" s="44" t="s">
        <v>263</v>
      </c>
      <c r="AO213" s="44" t="s">
        <v>266</v>
      </c>
      <c r="AP213" s="44" t="s">
        <v>267</v>
      </c>
      <c r="AQ213" s="44">
        <v>12</v>
      </c>
      <c r="AR213" s="44" t="s">
        <v>33</v>
      </c>
      <c r="AS213" s="44" t="s">
        <v>253</v>
      </c>
      <c r="AT213" s="44" t="s">
        <v>277</v>
      </c>
      <c r="AU213" s="44">
        <v>12</v>
      </c>
      <c r="AV213" s="44">
        <v>1</v>
      </c>
      <c r="AW213" s="44" t="s">
        <v>269</v>
      </c>
      <c r="AX213" s="44" t="s">
        <v>256</v>
      </c>
      <c r="AY213" s="44" t="s">
        <v>283</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row>
    <row r="214" spans="1:72">
      <c r="A214" s="44">
        <v>2022</v>
      </c>
      <c r="B214" s="6">
        <v>12</v>
      </c>
      <c r="C214" s="6">
        <v>1</v>
      </c>
      <c r="D214" s="6">
        <v>17</v>
      </c>
      <c r="E214" s="6" t="s">
        <v>263</v>
      </c>
      <c r="F214" s="6" t="s">
        <v>254</v>
      </c>
      <c r="G214" s="6">
        <v>2017</v>
      </c>
      <c r="H214" s="6">
        <v>12</v>
      </c>
      <c r="I214" s="6" t="s">
        <v>33</v>
      </c>
      <c r="J214" s="6" t="s">
        <v>253</v>
      </c>
      <c r="K214" s="6">
        <v>1982</v>
      </c>
      <c r="L214" s="14">
        <v>12</v>
      </c>
      <c r="M214" s="6">
        <v>1</v>
      </c>
      <c r="N214" s="6" t="s">
        <v>255</v>
      </c>
      <c r="O214" s="6" t="s">
        <v>256</v>
      </c>
      <c r="P214" s="6" t="s">
        <v>283</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284</v>
      </c>
      <c r="AN214" s="44" t="s">
        <v>263</v>
      </c>
      <c r="AO214" s="44" t="s">
        <v>266</v>
      </c>
      <c r="AP214" s="44" t="s">
        <v>267</v>
      </c>
      <c r="AQ214" s="44">
        <v>12</v>
      </c>
      <c r="AR214" s="44" t="s">
        <v>33</v>
      </c>
      <c r="AS214" s="44" t="s">
        <v>253</v>
      </c>
      <c r="AT214" s="44" t="s">
        <v>278</v>
      </c>
      <c r="AU214" s="44">
        <v>12</v>
      </c>
      <c r="AV214" s="44">
        <v>1</v>
      </c>
      <c r="AW214" s="44" t="s">
        <v>269</v>
      </c>
      <c r="AX214" s="44" t="s">
        <v>256</v>
      </c>
      <c r="AY214" s="44" t="s">
        <v>283</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row>
    <row r="215" spans="1:72">
      <c r="A215" s="44">
        <v>2022</v>
      </c>
      <c r="B215" s="6">
        <v>12</v>
      </c>
      <c r="C215" s="6">
        <v>1</v>
      </c>
      <c r="D215" s="6">
        <v>17</v>
      </c>
      <c r="E215" s="6" t="s">
        <v>263</v>
      </c>
      <c r="F215" s="6" t="s">
        <v>254</v>
      </c>
      <c r="G215" s="6">
        <v>2017</v>
      </c>
      <c r="H215" s="6">
        <v>12</v>
      </c>
      <c r="I215" s="6" t="s">
        <v>33</v>
      </c>
      <c r="J215" s="6" t="s">
        <v>253</v>
      </c>
      <c r="K215" s="6">
        <v>1977</v>
      </c>
      <c r="L215" s="14">
        <v>12</v>
      </c>
      <c r="M215" s="6">
        <v>1</v>
      </c>
      <c r="N215" s="6" t="s">
        <v>255</v>
      </c>
      <c r="O215" s="6" t="s">
        <v>256</v>
      </c>
      <c r="P215" s="6" t="s">
        <v>283</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284</v>
      </c>
      <c r="AN215" s="44" t="s">
        <v>263</v>
      </c>
      <c r="AO215" s="44" t="s">
        <v>266</v>
      </c>
      <c r="AP215" s="44" t="s">
        <v>267</v>
      </c>
      <c r="AQ215" s="44">
        <v>12</v>
      </c>
      <c r="AR215" s="44" t="s">
        <v>33</v>
      </c>
      <c r="AS215" s="44" t="s">
        <v>253</v>
      </c>
      <c r="AT215" s="44" t="s">
        <v>279</v>
      </c>
      <c r="AU215" s="44">
        <v>12</v>
      </c>
      <c r="AV215" s="44">
        <v>1</v>
      </c>
      <c r="AW215" s="44" t="s">
        <v>269</v>
      </c>
      <c r="AX215" s="44" t="s">
        <v>256</v>
      </c>
      <c r="AY215" s="44" t="s">
        <v>283</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row>
    <row r="216" spans="1:72">
      <c r="A216" s="44">
        <v>2022</v>
      </c>
      <c r="B216" s="6">
        <v>12</v>
      </c>
      <c r="C216" s="6">
        <v>1</v>
      </c>
      <c r="D216" s="6">
        <v>17</v>
      </c>
      <c r="E216" s="6" t="s">
        <v>263</v>
      </c>
      <c r="F216" s="6" t="s">
        <v>254</v>
      </c>
      <c r="G216" s="6">
        <v>2017</v>
      </c>
      <c r="H216" s="6">
        <v>12</v>
      </c>
      <c r="I216" s="6" t="s">
        <v>33</v>
      </c>
      <c r="J216" s="6" t="s">
        <v>253</v>
      </c>
      <c r="K216" s="6">
        <v>1972</v>
      </c>
      <c r="L216" s="14">
        <v>12</v>
      </c>
      <c r="M216" s="6">
        <v>1</v>
      </c>
      <c r="N216" s="6" t="s">
        <v>255</v>
      </c>
      <c r="O216" s="6" t="s">
        <v>256</v>
      </c>
      <c r="P216" s="6" t="s">
        <v>283</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284</v>
      </c>
      <c r="AN216" s="44" t="s">
        <v>263</v>
      </c>
      <c r="AO216" s="44" t="s">
        <v>266</v>
      </c>
      <c r="AP216" s="44" t="s">
        <v>267</v>
      </c>
      <c r="AQ216" s="44">
        <v>12</v>
      </c>
      <c r="AR216" s="44" t="s">
        <v>33</v>
      </c>
      <c r="AS216" s="44" t="s">
        <v>253</v>
      </c>
      <c r="AT216" s="44" t="s">
        <v>280</v>
      </c>
      <c r="AU216" s="44">
        <v>12</v>
      </c>
      <c r="AV216" s="44">
        <v>1</v>
      </c>
      <c r="AW216" s="44" t="s">
        <v>269</v>
      </c>
      <c r="AX216" s="44" t="s">
        <v>256</v>
      </c>
      <c r="AY216" s="44" t="s">
        <v>283</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row>
    <row r="217" spans="1:72">
      <c r="A217" s="44">
        <v>2022</v>
      </c>
      <c r="B217" s="6">
        <v>12</v>
      </c>
      <c r="C217" s="6">
        <v>1</v>
      </c>
      <c r="D217" s="6">
        <v>17</v>
      </c>
      <c r="E217" s="6" t="s">
        <v>263</v>
      </c>
      <c r="F217" s="6" t="s">
        <v>254</v>
      </c>
      <c r="G217" s="6">
        <v>2017</v>
      </c>
      <c r="H217" s="6">
        <v>12</v>
      </c>
      <c r="I217" s="6" t="s">
        <v>33</v>
      </c>
      <c r="J217" s="6" t="s">
        <v>253</v>
      </c>
      <c r="K217" s="6">
        <v>1962</v>
      </c>
      <c r="L217" s="14">
        <v>12</v>
      </c>
      <c r="M217" s="6">
        <v>1</v>
      </c>
      <c r="N217" s="6" t="s">
        <v>255</v>
      </c>
      <c r="O217" s="6" t="s">
        <v>256</v>
      </c>
      <c r="P217" s="6" t="s">
        <v>283</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284</v>
      </c>
      <c r="AN217" s="44" t="s">
        <v>263</v>
      </c>
      <c r="AO217" s="44" t="s">
        <v>266</v>
      </c>
      <c r="AP217" s="44" t="s">
        <v>267</v>
      </c>
      <c r="AQ217" s="44">
        <v>12</v>
      </c>
      <c r="AR217" s="44" t="s">
        <v>33</v>
      </c>
      <c r="AS217" s="44" t="s">
        <v>253</v>
      </c>
      <c r="AT217" s="44" t="s">
        <v>281</v>
      </c>
      <c r="AU217" s="44">
        <v>12</v>
      </c>
      <c r="AV217" s="44">
        <v>1</v>
      </c>
      <c r="AW217" s="44" t="s">
        <v>269</v>
      </c>
      <c r="AX217" s="44" t="s">
        <v>256</v>
      </c>
      <c r="AY217" s="44" t="s">
        <v>283</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row>
    <row r="218" spans="1:72">
      <c r="A218" s="44">
        <v>2022</v>
      </c>
      <c r="B218" s="6">
        <v>12</v>
      </c>
      <c r="C218" s="6">
        <v>1</v>
      </c>
      <c r="D218" s="6">
        <v>17</v>
      </c>
      <c r="E218" s="6" t="s">
        <v>263</v>
      </c>
      <c r="F218" s="6" t="s">
        <v>254</v>
      </c>
      <c r="G218" s="6">
        <v>2017</v>
      </c>
      <c r="H218" s="6">
        <v>12</v>
      </c>
      <c r="I218" s="6" t="s">
        <v>33</v>
      </c>
      <c r="J218" s="6" t="s">
        <v>253</v>
      </c>
      <c r="K218" s="6">
        <v>1952</v>
      </c>
      <c r="L218" s="14">
        <v>12</v>
      </c>
      <c r="M218" s="6">
        <v>1</v>
      </c>
      <c r="N218" s="6" t="s">
        <v>255</v>
      </c>
      <c r="O218" s="6" t="s">
        <v>256</v>
      </c>
      <c r="P218" s="6" t="s">
        <v>283</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284</v>
      </c>
      <c r="AN218" s="44" t="s">
        <v>263</v>
      </c>
      <c r="AO218" s="44" t="s">
        <v>266</v>
      </c>
      <c r="AP218" s="44" t="s">
        <v>267</v>
      </c>
      <c r="AQ218" s="44">
        <v>12</v>
      </c>
      <c r="AR218" s="44" t="s">
        <v>33</v>
      </c>
      <c r="AS218" s="44" t="s">
        <v>253</v>
      </c>
      <c r="AT218" s="44" t="s">
        <v>282</v>
      </c>
      <c r="AU218" s="44">
        <v>12</v>
      </c>
      <c r="AV218" s="44">
        <v>1</v>
      </c>
      <c r="AW218" s="44" t="s">
        <v>269</v>
      </c>
      <c r="AX218" s="44" t="s">
        <v>256</v>
      </c>
      <c r="AY218" s="44" t="s">
        <v>283</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row>
    <row r="219" spans="1:72">
      <c r="A219" s="44">
        <v>2022</v>
      </c>
      <c r="B219" s="6">
        <v>12</v>
      </c>
      <c r="C219" s="6">
        <v>1</v>
      </c>
      <c r="D219" s="6">
        <v>17</v>
      </c>
      <c r="E219" s="6" t="s">
        <v>263</v>
      </c>
      <c r="F219" s="6" t="s">
        <v>254</v>
      </c>
      <c r="G219" s="6">
        <v>2017</v>
      </c>
      <c r="H219" s="6">
        <v>12</v>
      </c>
      <c r="I219" s="6" t="s">
        <v>33</v>
      </c>
      <c r="J219" s="6" t="s">
        <v>253</v>
      </c>
      <c r="K219" s="6">
        <v>1992</v>
      </c>
      <c r="L219" s="14">
        <v>12</v>
      </c>
      <c r="M219" s="6">
        <v>1</v>
      </c>
      <c r="N219" s="6" t="s">
        <v>255</v>
      </c>
      <c r="O219" s="6" t="s">
        <v>256</v>
      </c>
      <c r="P219" s="6" t="s">
        <v>283</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284</v>
      </c>
      <c r="AN219" s="44" t="s">
        <v>263</v>
      </c>
      <c r="AO219" s="44" t="s">
        <v>266</v>
      </c>
      <c r="AP219" s="44" t="s">
        <v>267</v>
      </c>
      <c r="AQ219" s="44">
        <v>12</v>
      </c>
      <c r="AR219" s="44" t="s">
        <v>33</v>
      </c>
      <c r="AS219" s="44" t="s">
        <v>253</v>
      </c>
      <c r="AT219" s="44" t="s">
        <v>268</v>
      </c>
      <c r="AU219" s="44">
        <v>12</v>
      </c>
      <c r="AV219" s="44">
        <v>1</v>
      </c>
      <c r="AW219" s="44" t="s">
        <v>269</v>
      </c>
      <c r="AX219" s="44" t="s">
        <v>256</v>
      </c>
      <c r="AY219" s="44" t="s">
        <v>283</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row>
    <row r="220" spans="1:72">
      <c r="A220" s="44">
        <v>2022</v>
      </c>
      <c r="B220" s="6">
        <v>12</v>
      </c>
      <c r="C220" s="6">
        <v>1</v>
      </c>
      <c r="D220" s="6">
        <v>17</v>
      </c>
      <c r="E220" s="6" t="s">
        <v>263</v>
      </c>
      <c r="F220" s="6" t="s">
        <v>254</v>
      </c>
      <c r="G220" s="6">
        <v>2017</v>
      </c>
      <c r="H220" s="6">
        <v>12</v>
      </c>
      <c r="I220" s="6" t="s">
        <v>33</v>
      </c>
      <c r="J220" s="6" t="s">
        <v>253</v>
      </c>
      <c r="K220" s="6">
        <v>1987</v>
      </c>
      <c r="L220" s="14">
        <v>12</v>
      </c>
      <c r="M220" s="6">
        <v>1</v>
      </c>
      <c r="N220" s="6" t="s">
        <v>255</v>
      </c>
      <c r="O220" s="6" t="s">
        <v>256</v>
      </c>
      <c r="P220" s="6" t="s">
        <v>283</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284</v>
      </c>
      <c r="AN220" s="44" t="s">
        <v>263</v>
      </c>
      <c r="AO220" s="44" t="s">
        <v>266</v>
      </c>
      <c r="AP220" s="44" t="s">
        <v>267</v>
      </c>
      <c r="AQ220" s="44">
        <v>12</v>
      </c>
      <c r="AR220" s="44" t="s">
        <v>33</v>
      </c>
      <c r="AS220" s="44" t="s">
        <v>253</v>
      </c>
      <c r="AT220" s="44" t="s">
        <v>277</v>
      </c>
      <c r="AU220" s="44">
        <v>12</v>
      </c>
      <c r="AV220" s="44">
        <v>1</v>
      </c>
      <c r="AW220" s="44" t="s">
        <v>269</v>
      </c>
      <c r="AX220" s="44" t="s">
        <v>256</v>
      </c>
      <c r="AY220" s="44" t="s">
        <v>283</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row>
    <row r="221" spans="1:72">
      <c r="A221" s="44">
        <v>2022</v>
      </c>
      <c r="B221" s="6">
        <v>12</v>
      </c>
      <c r="C221" s="6">
        <v>1</v>
      </c>
      <c r="D221" s="6">
        <v>17</v>
      </c>
      <c r="E221" s="6" t="s">
        <v>263</v>
      </c>
      <c r="F221" s="6" t="s">
        <v>254</v>
      </c>
      <c r="G221" s="6">
        <v>2017</v>
      </c>
      <c r="H221" s="6">
        <v>12</v>
      </c>
      <c r="I221" s="6" t="s">
        <v>33</v>
      </c>
      <c r="J221" s="6" t="s">
        <v>253</v>
      </c>
      <c r="K221" s="6">
        <v>1982</v>
      </c>
      <c r="L221" s="14">
        <v>12</v>
      </c>
      <c r="M221" s="6">
        <v>1</v>
      </c>
      <c r="N221" s="6" t="s">
        <v>255</v>
      </c>
      <c r="O221" s="6" t="s">
        <v>256</v>
      </c>
      <c r="P221" s="6" t="s">
        <v>283</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284</v>
      </c>
      <c r="AN221" s="44" t="s">
        <v>263</v>
      </c>
      <c r="AO221" s="44" t="s">
        <v>266</v>
      </c>
      <c r="AP221" s="44" t="s">
        <v>267</v>
      </c>
      <c r="AQ221" s="44">
        <v>12</v>
      </c>
      <c r="AR221" s="44" t="s">
        <v>33</v>
      </c>
      <c r="AS221" s="44" t="s">
        <v>253</v>
      </c>
      <c r="AT221" s="44" t="s">
        <v>278</v>
      </c>
      <c r="AU221" s="44">
        <v>12</v>
      </c>
      <c r="AV221" s="44">
        <v>1</v>
      </c>
      <c r="AW221" s="44" t="s">
        <v>269</v>
      </c>
      <c r="AX221" s="44" t="s">
        <v>256</v>
      </c>
      <c r="AY221" s="44" t="s">
        <v>283</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row>
    <row r="222" spans="1:72">
      <c r="A222" s="44">
        <v>2022</v>
      </c>
      <c r="B222" s="6">
        <v>12</v>
      </c>
      <c r="C222" s="6">
        <v>1</v>
      </c>
      <c r="D222" s="6">
        <v>17</v>
      </c>
      <c r="E222" s="6" t="s">
        <v>263</v>
      </c>
      <c r="F222" s="6" t="s">
        <v>254</v>
      </c>
      <c r="G222" s="6">
        <v>2017</v>
      </c>
      <c r="H222" s="6">
        <v>12</v>
      </c>
      <c r="I222" s="6" t="s">
        <v>33</v>
      </c>
      <c r="J222" s="6" t="s">
        <v>253</v>
      </c>
      <c r="K222" s="6">
        <v>1977</v>
      </c>
      <c r="L222" s="14">
        <v>12</v>
      </c>
      <c r="M222" s="6">
        <v>1</v>
      </c>
      <c r="N222" s="6" t="s">
        <v>255</v>
      </c>
      <c r="O222" s="6" t="s">
        <v>256</v>
      </c>
      <c r="P222" s="6" t="s">
        <v>283</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284</v>
      </c>
      <c r="AN222" s="44" t="s">
        <v>263</v>
      </c>
      <c r="AO222" s="44" t="s">
        <v>266</v>
      </c>
      <c r="AP222" s="44" t="s">
        <v>267</v>
      </c>
      <c r="AQ222" s="44">
        <v>12</v>
      </c>
      <c r="AR222" s="44" t="s">
        <v>33</v>
      </c>
      <c r="AS222" s="44" t="s">
        <v>253</v>
      </c>
      <c r="AT222" s="44" t="s">
        <v>279</v>
      </c>
      <c r="AU222" s="44">
        <v>12</v>
      </c>
      <c r="AV222" s="44">
        <v>1</v>
      </c>
      <c r="AW222" s="44" t="s">
        <v>269</v>
      </c>
      <c r="AX222" s="44" t="s">
        <v>256</v>
      </c>
      <c r="AY222" s="44" t="s">
        <v>283</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row>
    <row r="223" spans="1:72">
      <c r="A223" s="44">
        <v>2022</v>
      </c>
      <c r="B223" s="6">
        <v>12</v>
      </c>
      <c r="C223" s="6">
        <v>1</v>
      </c>
      <c r="D223" s="6">
        <v>17</v>
      </c>
      <c r="E223" s="6" t="s">
        <v>263</v>
      </c>
      <c r="F223" s="6" t="s">
        <v>254</v>
      </c>
      <c r="G223" s="6">
        <v>2017</v>
      </c>
      <c r="H223" s="6">
        <v>12</v>
      </c>
      <c r="I223" s="6" t="s">
        <v>33</v>
      </c>
      <c r="J223" s="6" t="s">
        <v>253</v>
      </c>
      <c r="K223" s="6">
        <v>1972</v>
      </c>
      <c r="L223" s="14">
        <v>12</v>
      </c>
      <c r="M223" s="6">
        <v>1</v>
      </c>
      <c r="N223" s="6" t="s">
        <v>255</v>
      </c>
      <c r="O223" s="6" t="s">
        <v>256</v>
      </c>
      <c r="P223" s="6" t="s">
        <v>283</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284</v>
      </c>
      <c r="AN223" s="44" t="s">
        <v>263</v>
      </c>
      <c r="AO223" s="44" t="s">
        <v>266</v>
      </c>
      <c r="AP223" s="44" t="s">
        <v>267</v>
      </c>
      <c r="AQ223" s="44">
        <v>12</v>
      </c>
      <c r="AR223" s="44" t="s">
        <v>33</v>
      </c>
      <c r="AS223" s="44" t="s">
        <v>253</v>
      </c>
      <c r="AT223" s="44" t="s">
        <v>280</v>
      </c>
      <c r="AU223" s="44">
        <v>12</v>
      </c>
      <c r="AV223" s="44">
        <v>1</v>
      </c>
      <c r="AW223" s="44" t="s">
        <v>269</v>
      </c>
      <c r="AX223" s="44" t="s">
        <v>256</v>
      </c>
      <c r="AY223" s="44" t="s">
        <v>283</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row>
    <row r="224" spans="1:72">
      <c r="A224" s="44">
        <v>2022</v>
      </c>
      <c r="B224" s="6">
        <v>12</v>
      </c>
      <c r="C224" s="6">
        <v>1</v>
      </c>
      <c r="D224" s="6">
        <v>17</v>
      </c>
      <c r="E224" s="6" t="s">
        <v>263</v>
      </c>
      <c r="F224" s="6" t="s">
        <v>254</v>
      </c>
      <c r="G224" s="6">
        <v>2017</v>
      </c>
      <c r="H224" s="6">
        <v>12</v>
      </c>
      <c r="I224" s="6" t="s">
        <v>33</v>
      </c>
      <c r="J224" s="6" t="s">
        <v>253</v>
      </c>
      <c r="K224" s="6">
        <v>1962</v>
      </c>
      <c r="L224" s="14">
        <v>12</v>
      </c>
      <c r="M224" s="6">
        <v>1</v>
      </c>
      <c r="N224" s="6" t="s">
        <v>255</v>
      </c>
      <c r="O224" s="6" t="s">
        <v>256</v>
      </c>
      <c r="P224" s="6" t="s">
        <v>283</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284</v>
      </c>
      <c r="AN224" s="44" t="s">
        <v>263</v>
      </c>
      <c r="AO224" s="44" t="s">
        <v>266</v>
      </c>
      <c r="AP224" s="44" t="s">
        <v>267</v>
      </c>
      <c r="AQ224" s="44">
        <v>12</v>
      </c>
      <c r="AR224" s="44" t="s">
        <v>33</v>
      </c>
      <c r="AS224" s="44" t="s">
        <v>253</v>
      </c>
      <c r="AT224" s="44" t="s">
        <v>281</v>
      </c>
      <c r="AU224" s="44">
        <v>12</v>
      </c>
      <c r="AV224" s="44">
        <v>1</v>
      </c>
      <c r="AW224" s="44" t="s">
        <v>269</v>
      </c>
      <c r="AX224" s="44" t="s">
        <v>256</v>
      </c>
      <c r="AY224" s="44" t="s">
        <v>283</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row>
    <row r="225" spans="1:72">
      <c r="A225" s="44">
        <v>2022</v>
      </c>
      <c r="B225" s="6">
        <v>12</v>
      </c>
      <c r="C225" s="6">
        <v>1</v>
      </c>
      <c r="D225" s="6">
        <v>17</v>
      </c>
      <c r="E225" s="6" t="s">
        <v>263</v>
      </c>
      <c r="F225" s="6" t="s">
        <v>254</v>
      </c>
      <c r="G225" s="6">
        <v>2017</v>
      </c>
      <c r="H225" s="6">
        <v>12</v>
      </c>
      <c r="I225" s="6" t="s">
        <v>33</v>
      </c>
      <c r="J225" s="6" t="s">
        <v>253</v>
      </c>
      <c r="K225" s="6">
        <v>1952</v>
      </c>
      <c r="L225" s="14">
        <v>12</v>
      </c>
      <c r="M225" s="6">
        <v>1</v>
      </c>
      <c r="N225" s="6" t="s">
        <v>255</v>
      </c>
      <c r="O225" s="6" t="s">
        <v>256</v>
      </c>
      <c r="P225" s="6" t="s">
        <v>283</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284</v>
      </c>
      <c r="AN225" s="44" t="s">
        <v>263</v>
      </c>
      <c r="AO225" s="44" t="s">
        <v>266</v>
      </c>
      <c r="AP225" s="44" t="s">
        <v>267</v>
      </c>
      <c r="AQ225" s="44">
        <v>12</v>
      </c>
      <c r="AR225" s="44" t="s">
        <v>33</v>
      </c>
      <c r="AS225" s="44" t="s">
        <v>253</v>
      </c>
      <c r="AT225" s="44" t="s">
        <v>282</v>
      </c>
      <c r="AU225" s="44">
        <v>12</v>
      </c>
      <c r="AV225" s="44">
        <v>1</v>
      </c>
      <c r="AW225" s="44" t="s">
        <v>269</v>
      </c>
      <c r="AX225" s="44" t="s">
        <v>256</v>
      </c>
      <c r="AY225" s="44" t="s">
        <v>283</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row>
    <row r="226" spans="1:72">
      <c r="A226" s="44">
        <v>2022</v>
      </c>
      <c r="B226" s="6">
        <v>12</v>
      </c>
      <c r="C226" s="6">
        <v>1</v>
      </c>
      <c r="D226" s="6">
        <v>17</v>
      </c>
      <c r="E226" s="6" t="s">
        <v>263</v>
      </c>
      <c r="F226" s="6" t="s">
        <v>254</v>
      </c>
      <c r="G226" s="6">
        <v>2016</v>
      </c>
      <c r="H226" s="6">
        <v>12</v>
      </c>
      <c r="I226" s="6" t="s">
        <v>34</v>
      </c>
      <c r="J226" s="6" t="s">
        <v>253</v>
      </c>
      <c r="K226" s="6">
        <v>1992</v>
      </c>
      <c r="L226" s="14">
        <v>12</v>
      </c>
      <c r="M226" s="6">
        <v>1</v>
      </c>
      <c r="N226" s="6" t="s">
        <v>255</v>
      </c>
      <c r="O226" s="6" t="s">
        <v>288</v>
      </c>
      <c r="P226" s="6" t="s">
        <v>257</v>
      </c>
      <c r="Q226" s="6">
        <v>3000</v>
      </c>
      <c r="R226" s="6" t="s">
        <v>254</v>
      </c>
      <c r="S226" s="6" t="s">
        <v>258</v>
      </c>
      <c r="T226" s="6" t="s">
        <v>259</v>
      </c>
      <c r="U226" s="6" t="s">
        <v>263</v>
      </c>
      <c r="V226" s="6">
        <v>1000</v>
      </c>
      <c r="W226" s="6" t="s">
        <v>260</v>
      </c>
      <c r="X226" s="6">
        <v>5000</v>
      </c>
      <c r="Y226" s="6" t="s">
        <v>261</v>
      </c>
      <c r="Z226" s="6">
        <v>80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284</v>
      </c>
      <c r="AN226" s="44" t="s">
        <v>263</v>
      </c>
      <c r="AO226" s="44" t="s">
        <v>266</v>
      </c>
      <c r="AP226" s="44" t="s">
        <v>289</v>
      </c>
      <c r="AQ226" s="44">
        <v>12</v>
      </c>
      <c r="AR226" s="44" t="s">
        <v>34</v>
      </c>
      <c r="AS226" s="44" t="s">
        <v>253</v>
      </c>
      <c r="AT226" s="44" t="s">
        <v>268</v>
      </c>
      <c r="AU226" s="44">
        <v>12</v>
      </c>
      <c r="AV226" s="44">
        <v>1</v>
      </c>
      <c r="AW226" s="44" t="s">
        <v>269</v>
      </c>
      <c r="AX226" s="44" t="s">
        <v>288</v>
      </c>
      <c r="AY226" s="44" t="s">
        <v>257</v>
      </c>
      <c r="AZ226" s="44">
        <v>1</v>
      </c>
      <c r="BA226" s="44" t="s">
        <v>270</v>
      </c>
      <c r="BB226" s="44" t="s">
        <v>271</v>
      </c>
      <c r="BC226" s="44" t="s">
        <v>259</v>
      </c>
      <c r="BD226" s="44" t="s">
        <v>290</v>
      </c>
      <c r="BE226" s="44" t="s">
        <v>272</v>
      </c>
      <c r="BF226" s="44" t="s">
        <v>260</v>
      </c>
      <c r="BG226" s="44" t="s">
        <v>291</v>
      </c>
      <c r="BH226" s="44" t="s">
        <v>274</v>
      </c>
      <c r="BI226" s="44" t="s">
        <v>292</v>
      </c>
      <c r="BJ226" s="44" t="s">
        <v>263</v>
      </c>
      <c r="BK226" s="44" t="s">
        <v>253</v>
      </c>
      <c r="BL226" s="44" t="s">
        <v>253</v>
      </c>
      <c r="BM226" s="44" t="s">
        <v>253</v>
      </c>
      <c r="BN226" s="44" t="s">
        <v>263</v>
      </c>
      <c r="BO226" s="44" t="s">
        <v>253</v>
      </c>
      <c r="BP226" s="44" t="s">
        <v>253</v>
      </c>
      <c r="BQ226" s="44" t="s">
        <v>253</v>
      </c>
      <c r="BR226" s="44" t="s">
        <v>253</v>
      </c>
      <c r="BS226" s="44" t="s">
        <v>276</v>
      </c>
      <c r="BT226" s="44">
        <v>0</v>
      </c>
    </row>
    <row r="227" spans="1:72">
      <c r="A227" s="44">
        <v>2022</v>
      </c>
      <c r="B227" s="6">
        <v>12</v>
      </c>
      <c r="C227" s="6">
        <v>1</v>
      </c>
      <c r="D227" s="6">
        <v>17</v>
      </c>
      <c r="E227" s="6" t="s">
        <v>263</v>
      </c>
      <c r="F227" s="6" t="s">
        <v>254</v>
      </c>
      <c r="G227" s="6">
        <v>2016</v>
      </c>
      <c r="H227" s="6">
        <v>12</v>
      </c>
      <c r="I227" s="6" t="s">
        <v>34</v>
      </c>
      <c r="J227" s="6" t="s">
        <v>253</v>
      </c>
      <c r="K227" s="6">
        <v>1987</v>
      </c>
      <c r="L227" s="14">
        <v>12</v>
      </c>
      <c r="M227" s="6">
        <v>1</v>
      </c>
      <c r="N227" s="6" t="s">
        <v>255</v>
      </c>
      <c r="O227" s="6" t="s">
        <v>288</v>
      </c>
      <c r="P227" s="6" t="s">
        <v>257</v>
      </c>
      <c r="Q227" s="6">
        <v>3000</v>
      </c>
      <c r="R227" s="6" t="s">
        <v>254</v>
      </c>
      <c r="S227" s="6" t="s">
        <v>258</v>
      </c>
      <c r="T227" s="6" t="s">
        <v>259</v>
      </c>
      <c r="U227" s="6" t="s">
        <v>263</v>
      </c>
      <c r="V227" s="6">
        <v>1000</v>
      </c>
      <c r="W227" s="6" t="s">
        <v>260</v>
      </c>
      <c r="X227" s="6">
        <v>5000</v>
      </c>
      <c r="Y227" s="6" t="s">
        <v>261</v>
      </c>
      <c r="Z227" s="6">
        <v>80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284</v>
      </c>
      <c r="AN227" s="44" t="s">
        <v>263</v>
      </c>
      <c r="AO227" s="44" t="s">
        <v>266</v>
      </c>
      <c r="AP227" s="44" t="s">
        <v>289</v>
      </c>
      <c r="AQ227" s="44">
        <v>12</v>
      </c>
      <c r="AR227" s="44" t="s">
        <v>34</v>
      </c>
      <c r="AS227" s="44" t="s">
        <v>253</v>
      </c>
      <c r="AT227" s="44" t="s">
        <v>277</v>
      </c>
      <c r="AU227" s="44">
        <v>12</v>
      </c>
      <c r="AV227" s="44">
        <v>1</v>
      </c>
      <c r="AW227" s="44" t="s">
        <v>269</v>
      </c>
      <c r="AX227" s="44" t="s">
        <v>288</v>
      </c>
      <c r="AY227" s="44" t="s">
        <v>257</v>
      </c>
      <c r="AZ227" s="44">
        <v>1</v>
      </c>
      <c r="BA227" s="44" t="s">
        <v>270</v>
      </c>
      <c r="BB227" s="44" t="s">
        <v>271</v>
      </c>
      <c r="BC227" s="44" t="s">
        <v>259</v>
      </c>
      <c r="BD227" s="44" t="s">
        <v>290</v>
      </c>
      <c r="BE227" s="44" t="s">
        <v>272</v>
      </c>
      <c r="BF227" s="44" t="s">
        <v>260</v>
      </c>
      <c r="BG227" s="44" t="s">
        <v>291</v>
      </c>
      <c r="BH227" s="44" t="s">
        <v>274</v>
      </c>
      <c r="BI227" s="44" t="s">
        <v>292</v>
      </c>
      <c r="BJ227" s="44" t="s">
        <v>263</v>
      </c>
      <c r="BK227" s="44" t="s">
        <v>253</v>
      </c>
      <c r="BL227" s="44" t="s">
        <v>253</v>
      </c>
      <c r="BM227" s="44" t="s">
        <v>253</v>
      </c>
      <c r="BN227" s="44" t="s">
        <v>263</v>
      </c>
      <c r="BO227" s="44" t="s">
        <v>253</v>
      </c>
      <c r="BP227" s="44" t="s">
        <v>253</v>
      </c>
      <c r="BQ227" s="44" t="s">
        <v>253</v>
      </c>
      <c r="BR227" s="44" t="s">
        <v>253</v>
      </c>
      <c r="BS227" s="44" t="s">
        <v>276</v>
      </c>
      <c r="BT227" s="44">
        <v>0</v>
      </c>
    </row>
    <row r="228" spans="1:72">
      <c r="A228" s="44">
        <v>2022</v>
      </c>
      <c r="B228" s="6">
        <v>12</v>
      </c>
      <c r="C228" s="6">
        <v>1</v>
      </c>
      <c r="D228" s="6">
        <v>17</v>
      </c>
      <c r="E228" s="6" t="s">
        <v>263</v>
      </c>
      <c r="F228" s="6" t="s">
        <v>254</v>
      </c>
      <c r="G228" s="6">
        <v>2016</v>
      </c>
      <c r="H228" s="6">
        <v>12</v>
      </c>
      <c r="I228" s="6" t="s">
        <v>34</v>
      </c>
      <c r="J228" s="6" t="s">
        <v>253</v>
      </c>
      <c r="K228" s="6">
        <v>1982</v>
      </c>
      <c r="L228" s="14">
        <v>12</v>
      </c>
      <c r="M228" s="6">
        <v>1</v>
      </c>
      <c r="N228" s="6" t="s">
        <v>255</v>
      </c>
      <c r="O228" s="6" t="s">
        <v>288</v>
      </c>
      <c r="P228" s="6" t="s">
        <v>257</v>
      </c>
      <c r="Q228" s="6">
        <v>3000</v>
      </c>
      <c r="R228" s="6" t="s">
        <v>254</v>
      </c>
      <c r="S228" s="6" t="s">
        <v>258</v>
      </c>
      <c r="T228" s="6" t="s">
        <v>259</v>
      </c>
      <c r="U228" s="6" t="s">
        <v>263</v>
      </c>
      <c r="V228" s="6">
        <v>1000</v>
      </c>
      <c r="W228" s="6" t="s">
        <v>260</v>
      </c>
      <c r="X228" s="6">
        <v>5000</v>
      </c>
      <c r="Y228" s="6" t="s">
        <v>261</v>
      </c>
      <c r="Z228" s="6">
        <v>80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284</v>
      </c>
      <c r="AN228" s="44" t="s">
        <v>263</v>
      </c>
      <c r="AO228" s="44" t="s">
        <v>266</v>
      </c>
      <c r="AP228" s="44" t="s">
        <v>289</v>
      </c>
      <c r="AQ228" s="44">
        <v>12</v>
      </c>
      <c r="AR228" s="44" t="s">
        <v>34</v>
      </c>
      <c r="AS228" s="44" t="s">
        <v>253</v>
      </c>
      <c r="AT228" s="44" t="s">
        <v>278</v>
      </c>
      <c r="AU228" s="44">
        <v>12</v>
      </c>
      <c r="AV228" s="44">
        <v>1</v>
      </c>
      <c r="AW228" s="44" t="s">
        <v>269</v>
      </c>
      <c r="AX228" s="44" t="s">
        <v>288</v>
      </c>
      <c r="AY228" s="44" t="s">
        <v>257</v>
      </c>
      <c r="AZ228" s="44">
        <v>1</v>
      </c>
      <c r="BA228" s="44" t="s">
        <v>270</v>
      </c>
      <c r="BB228" s="44" t="s">
        <v>271</v>
      </c>
      <c r="BC228" s="44" t="s">
        <v>259</v>
      </c>
      <c r="BD228" s="44" t="s">
        <v>290</v>
      </c>
      <c r="BE228" s="44" t="s">
        <v>272</v>
      </c>
      <c r="BF228" s="44" t="s">
        <v>260</v>
      </c>
      <c r="BG228" s="44" t="s">
        <v>291</v>
      </c>
      <c r="BH228" s="44" t="s">
        <v>274</v>
      </c>
      <c r="BI228" s="44" t="s">
        <v>292</v>
      </c>
      <c r="BJ228" s="44" t="s">
        <v>263</v>
      </c>
      <c r="BK228" s="44" t="s">
        <v>253</v>
      </c>
      <c r="BL228" s="44" t="s">
        <v>253</v>
      </c>
      <c r="BM228" s="44" t="s">
        <v>253</v>
      </c>
      <c r="BN228" s="44" t="s">
        <v>263</v>
      </c>
      <c r="BO228" s="44" t="s">
        <v>253</v>
      </c>
      <c r="BP228" s="44" t="s">
        <v>253</v>
      </c>
      <c r="BQ228" s="44" t="s">
        <v>253</v>
      </c>
      <c r="BR228" s="44" t="s">
        <v>253</v>
      </c>
      <c r="BS228" s="44" t="s">
        <v>276</v>
      </c>
      <c r="BT228" s="44">
        <v>0</v>
      </c>
    </row>
    <row r="229" spans="1:72">
      <c r="A229" s="44">
        <v>2022</v>
      </c>
      <c r="B229" s="6">
        <v>12</v>
      </c>
      <c r="C229" s="6">
        <v>1</v>
      </c>
      <c r="D229" s="6">
        <v>17</v>
      </c>
      <c r="E229" s="6" t="s">
        <v>263</v>
      </c>
      <c r="F229" s="6" t="s">
        <v>254</v>
      </c>
      <c r="G229" s="6">
        <v>2016</v>
      </c>
      <c r="H229" s="6">
        <v>12</v>
      </c>
      <c r="I229" s="6" t="s">
        <v>34</v>
      </c>
      <c r="J229" s="6" t="s">
        <v>253</v>
      </c>
      <c r="K229" s="6">
        <v>1977</v>
      </c>
      <c r="L229" s="14">
        <v>12</v>
      </c>
      <c r="M229" s="6">
        <v>1</v>
      </c>
      <c r="N229" s="6" t="s">
        <v>255</v>
      </c>
      <c r="O229" s="6" t="s">
        <v>288</v>
      </c>
      <c r="P229" s="6" t="s">
        <v>257</v>
      </c>
      <c r="Q229" s="6">
        <v>3000</v>
      </c>
      <c r="R229" s="6" t="s">
        <v>254</v>
      </c>
      <c r="S229" s="6" t="s">
        <v>258</v>
      </c>
      <c r="T229" s="6" t="s">
        <v>259</v>
      </c>
      <c r="U229" s="6" t="s">
        <v>263</v>
      </c>
      <c r="V229" s="6">
        <v>1000</v>
      </c>
      <c r="W229" s="6" t="s">
        <v>260</v>
      </c>
      <c r="X229" s="6">
        <v>5000</v>
      </c>
      <c r="Y229" s="6" t="s">
        <v>261</v>
      </c>
      <c r="Z229" s="6">
        <v>80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284</v>
      </c>
      <c r="AN229" s="44" t="s">
        <v>263</v>
      </c>
      <c r="AO229" s="44" t="s">
        <v>266</v>
      </c>
      <c r="AP229" s="44" t="s">
        <v>289</v>
      </c>
      <c r="AQ229" s="44">
        <v>12</v>
      </c>
      <c r="AR229" s="44" t="s">
        <v>34</v>
      </c>
      <c r="AS229" s="44" t="s">
        <v>253</v>
      </c>
      <c r="AT229" s="44" t="s">
        <v>279</v>
      </c>
      <c r="AU229" s="44">
        <v>12</v>
      </c>
      <c r="AV229" s="44">
        <v>1</v>
      </c>
      <c r="AW229" s="44" t="s">
        <v>269</v>
      </c>
      <c r="AX229" s="44" t="s">
        <v>288</v>
      </c>
      <c r="AY229" s="44" t="s">
        <v>257</v>
      </c>
      <c r="AZ229" s="44">
        <v>1</v>
      </c>
      <c r="BA229" s="44" t="s">
        <v>270</v>
      </c>
      <c r="BB229" s="44" t="s">
        <v>271</v>
      </c>
      <c r="BC229" s="44" t="s">
        <v>259</v>
      </c>
      <c r="BD229" s="44" t="s">
        <v>290</v>
      </c>
      <c r="BE229" s="44" t="s">
        <v>272</v>
      </c>
      <c r="BF229" s="44" t="s">
        <v>260</v>
      </c>
      <c r="BG229" s="44" t="s">
        <v>291</v>
      </c>
      <c r="BH229" s="44" t="s">
        <v>274</v>
      </c>
      <c r="BI229" s="44" t="s">
        <v>292</v>
      </c>
      <c r="BJ229" s="44" t="s">
        <v>263</v>
      </c>
      <c r="BK229" s="44" t="s">
        <v>253</v>
      </c>
      <c r="BL229" s="44" t="s">
        <v>253</v>
      </c>
      <c r="BM229" s="44" t="s">
        <v>253</v>
      </c>
      <c r="BN229" s="44" t="s">
        <v>263</v>
      </c>
      <c r="BO229" s="44" t="s">
        <v>253</v>
      </c>
      <c r="BP229" s="44" t="s">
        <v>253</v>
      </c>
      <c r="BQ229" s="44" t="s">
        <v>253</v>
      </c>
      <c r="BR229" s="44" t="s">
        <v>253</v>
      </c>
      <c r="BS229" s="44" t="s">
        <v>276</v>
      </c>
      <c r="BT229" s="44">
        <v>0</v>
      </c>
    </row>
    <row r="230" spans="1:72">
      <c r="A230" s="44">
        <v>2022</v>
      </c>
      <c r="B230" s="6">
        <v>12</v>
      </c>
      <c r="C230" s="6">
        <v>1</v>
      </c>
      <c r="D230" s="6">
        <v>17</v>
      </c>
      <c r="E230" s="6" t="s">
        <v>263</v>
      </c>
      <c r="F230" s="6" t="s">
        <v>254</v>
      </c>
      <c r="G230" s="6">
        <v>2016</v>
      </c>
      <c r="H230" s="6">
        <v>12</v>
      </c>
      <c r="I230" s="6" t="s">
        <v>34</v>
      </c>
      <c r="J230" s="6" t="s">
        <v>253</v>
      </c>
      <c r="K230" s="6">
        <v>1972</v>
      </c>
      <c r="L230" s="14">
        <v>12</v>
      </c>
      <c r="M230" s="6">
        <v>1</v>
      </c>
      <c r="N230" s="6" t="s">
        <v>255</v>
      </c>
      <c r="O230" s="6" t="s">
        <v>288</v>
      </c>
      <c r="P230" s="6" t="s">
        <v>257</v>
      </c>
      <c r="Q230" s="6">
        <v>3000</v>
      </c>
      <c r="R230" s="6" t="s">
        <v>254</v>
      </c>
      <c r="S230" s="6" t="s">
        <v>258</v>
      </c>
      <c r="T230" s="6" t="s">
        <v>259</v>
      </c>
      <c r="U230" s="6" t="s">
        <v>263</v>
      </c>
      <c r="V230" s="6">
        <v>1000</v>
      </c>
      <c r="W230" s="6" t="s">
        <v>260</v>
      </c>
      <c r="X230" s="6">
        <v>5000</v>
      </c>
      <c r="Y230" s="6" t="s">
        <v>261</v>
      </c>
      <c r="Z230" s="6">
        <v>80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284</v>
      </c>
      <c r="AN230" s="44" t="s">
        <v>263</v>
      </c>
      <c r="AO230" s="44" t="s">
        <v>266</v>
      </c>
      <c r="AP230" s="44" t="s">
        <v>289</v>
      </c>
      <c r="AQ230" s="44">
        <v>12</v>
      </c>
      <c r="AR230" s="44" t="s">
        <v>34</v>
      </c>
      <c r="AS230" s="44" t="s">
        <v>253</v>
      </c>
      <c r="AT230" s="44" t="s">
        <v>280</v>
      </c>
      <c r="AU230" s="44">
        <v>12</v>
      </c>
      <c r="AV230" s="44">
        <v>1</v>
      </c>
      <c r="AW230" s="44" t="s">
        <v>269</v>
      </c>
      <c r="AX230" s="44" t="s">
        <v>288</v>
      </c>
      <c r="AY230" s="44" t="s">
        <v>257</v>
      </c>
      <c r="AZ230" s="44">
        <v>1</v>
      </c>
      <c r="BA230" s="44" t="s">
        <v>270</v>
      </c>
      <c r="BB230" s="44" t="s">
        <v>271</v>
      </c>
      <c r="BC230" s="44" t="s">
        <v>259</v>
      </c>
      <c r="BD230" s="44" t="s">
        <v>290</v>
      </c>
      <c r="BE230" s="44" t="s">
        <v>272</v>
      </c>
      <c r="BF230" s="44" t="s">
        <v>260</v>
      </c>
      <c r="BG230" s="44" t="s">
        <v>291</v>
      </c>
      <c r="BH230" s="44" t="s">
        <v>274</v>
      </c>
      <c r="BI230" s="44" t="s">
        <v>292</v>
      </c>
      <c r="BJ230" s="44" t="s">
        <v>263</v>
      </c>
      <c r="BK230" s="44" t="s">
        <v>253</v>
      </c>
      <c r="BL230" s="44" t="s">
        <v>253</v>
      </c>
      <c r="BM230" s="44" t="s">
        <v>253</v>
      </c>
      <c r="BN230" s="44" t="s">
        <v>263</v>
      </c>
      <c r="BO230" s="44" t="s">
        <v>253</v>
      </c>
      <c r="BP230" s="44" t="s">
        <v>253</v>
      </c>
      <c r="BQ230" s="44" t="s">
        <v>253</v>
      </c>
      <c r="BR230" s="44" t="s">
        <v>253</v>
      </c>
      <c r="BS230" s="44" t="s">
        <v>276</v>
      </c>
      <c r="BT230" s="44">
        <v>0</v>
      </c>
    </row>
    <row r="231" spans="1:72">
      <c r="A231" s="44">
        <v>2022</v>
      </c>
      <c r="B231" s="6">
        <v>12</v>
      </c>
      <c r="C231" s="6">
        <v>1</v>
      </c>
      <c r="D231" s="6">
        <v>17</v>
      </c>
      <c r="E231" s="6" t="s">
        <v>263</v>
      </c>
      <c r="F231" s="6" t="s">
        <v>254</v>
      </c>
      <c r="G231" s="6">
        <v>2016</v>
      </c>
      <c r="H231" s="6">
        <v>12</v>
      </c>
      <c r="I231" s="6" t="s">
        <v>34</v>
      </c>
      <c r="J231" s="6" t="s">
        <v>253</v>
      </c>
      <c r="K231" s="6">
        <v>1962</v>
      </c>
      <c r="L231" s="14">
        <v>12</v>
      </c>
      <c r="M231" s="6">
        <v>1</v>
      </c>
      <c r="N231" s="6" t="s">
        <v>255</v>
      </c>
      <c r="O231" s="6" t="s">
        <v>288</v>
      </c>
      <c r="P231" s="6" t="s">
        <v>257</v>
      </c>
      <c r="Q231" s="6">
        <v>3000</v>
      </c>
      <c r="R231" s="6" t="s">
        <v>254</v>
      </c>
      <c r="S231" s="6" t="s">
        <v>258</v>
      </c>
      <c r="T231" s="6" t="s">
        <v>259</v>
      </c>
      <c r="U231" s="6" t="s">
        <v>263</v>
      </c>
      <c r="V231" s="6">
        <v>1000</v>
      </c>
      <c r="W231" s="6" t="s">
        <v>260</v>
      </c>
      <c r="X231" s="6">
        <v>5000</v>
      </c>
      <c r="Y231" s="6" t="s">
        <v>261</v>
      </c>
      <c r="Z231" s="6">
        <v>80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284</v>
      </c>
      <c r="AN231" s="44" t="s">
        <v>263</v>
      </c>
      <c r="AO231" s="44" t="s">
        <v>266</v>
      </c>
      <c r="AP231" s="44" t="s">
        <v>289</v>
      </c>
      <c r="AQ231" s="44">
        <v>12</v>
      </c>
      <c r="AR231" s="44" t="s">
        <v>34</v>
      </c>
      <c r="AS231" s="44" t="s">
        <v>253</v>
      </c>
      <c r="AT231" s="44" t="s">
        <v>281</v>
      </c>
      <c r="AU231" s="44">
        <v>12</v>
      </c>
      <c r="AV231" s="44">
        <v>1</v>
      </c>
      <c r="AW231" s="44" t="s">
        <v>269</v>
      </c>
      <c r="AX231" s="44" t="s">
        <v>288</v>
      </c>
      <c r="AY231" s="44" t="s">
        <v>257</v>
      </c>
      <c r="AZ231" s="44">
        <v>1</v>
      </c>
      <c r="BA231" s="44" t="s">
        <v>270</v>
      </c>
      <c r="BB231" s="44" t="s">
        <v>271</v>
      </c>
      <c r="BC231" s="44" t="s">
        <v>259</v>
      </c>
      <c r="BD231" s="44" t="s">
        <v>290</v>
      </c>
      <c r="BE231" s="44" t="s">
        <v>272</v>
      </c>
      <c r="BF231" s="44" t="s">
        <v>260</v>
      </c>
      <c r="BG231" s="44" t="s">
        <v>291</v>
      </c>
      <c r="BH231" s="44" t="s">
        <v>274</v>
      </c>
      <c r="BI231" s="44" t="s">
        <v>292</v>
      </c>
      <c r="BJ231" s="44" t="s">
        <v>263</v>
      </c>
      <c r="BK231" s="44" t="s">
        <v>253</v>
      </c>
      <c r="BL231" s="44" t="s">
        <v>253</v>
      </c>
      <c r="BM231" s="44" t="s">
        <v>253</v>
      </c>
      <c r="BN231" s="44" t="s">
        <v>263</v>
      </c>
      <c r="BO231" s="44" t="s">
        <v>253</v>
      </c>
      <c r="BP231" s="44" t="s">
        <v>253</v>
      </c>
      <c r="BQ231" s="44" t="s">
        <v>253</v>
      </c>
      <c r="BR231" s="44" t="s">
        <v>253</v>
      </c>
      <c r="BS231" s="44" t="s">
        <v>276</v>
      </c>
      <c r="BT231" s="44">
        <v>0</v>
      </c>
    </row>
    <row r="232" spans="1:72">
      <c r="A232" s="44">
        <v>2022</v>
      </c>
      <c r="B232" s="6">
        <v>12</v>
      </c>
      <c r="C232" s="6">
        <v>1</v>
      </c>
      <c r="D232" s="6">
        <v>17</v>
      </c>
      <c r="E232" s="6" t="s">
        <v>263</v>
      </c>
      <c r="F232" s="6" t="s">
        <v>254</v>
      </c>
      <c r="G232" s="6">
        <v>2016</v>
      </c>
      <c r="H232" s="6">
        <v>12</v>
      </c>
      <c r="I232" s="6" t="s">
        <v>34</v>
      </c>
      <c r="J232" s="6" t="s">
        <v>253</v>
      </c>
      <c r="K232" s="6">
        <v>1952</v>
      </c>
      <c r="L232" s="14">
        <v>12</v>
      </c>
      <c r="M232" s="6">
        <v>1</v>
      </c>
      <c r="N232" s="6" t="s">
        <v>255</v>
      </c>
      <c r="O232" s="6" t="s">
        <v>288</v>
      </c>
      <c r="P232" s="6" t="s">
        <v>257</v>
      </c>
      <c r="Q232" s="6">
        <v>3000</v>
      </c>
      <c r="R232" s="6" t="s">
        <v>254</v>
      </c>
      <c r="S232" s="6" t="s">
        <v>258</v>
      </c>
      <c r="T232" s="6" t="s">
        <v>259</v>
      </c>
      <c r="U232" s="6" t="s">
        <v>263</v>
      </c>
      <c r="V232" s="6">
        <v>1000</v>
      </c>
      <c r="W232" s="6" t="s">
        <v>260</v>
      </c>
      <c r="X232" s="6">
        <v>5000</v>
      </c>
      <c r="Y232" s="6" t="s">
        <v>261</v>
      </c>
      <c r="Z232" s="6">
        <v>80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284</v>
      </c>
      <c r="AN232" s="44" t="s">
        <v>263</v>
      </c>
      <c r="AO232" s="44" t="s">
        <v>266</v>
      </c>
      <c r="AP232" s="44" t="s">
        <v>289</v>
      </c>
      <c r="AQ232" s="44">
        <v>12</v>
      </c>
      <c r="AR232" s="44" t="s">
        <v>34</v>
      </c>
      <c r="AS232" s="44" t="s">
        <v>253</v>
      </c>
      <c r="AT232" s="44" t="s">
        <v>282</v>
      </c>
      <c r="AU232" s="44">
        <v>12</v>
      </c>
      <c r="AV232" s="44">
        <v>1</v>
      </c>
      <c r="AW232" s="44" t="s">
        <v>269</v>
      </c>
      <c r="AX232" s="44" t="s">
        <v>288</v>
      </c>
      <c r="AY232" s="44" t="s">
        <v>257</v>
      </c>
      <c r="AZ232" s="44">
        <v>1</v>
      </c>
      <c r="BA232" s="44" t="s">
        <v>270</v>
      </c>
      <c r="BB232" s="44" t="s">
        <v>271</v>
      </c>
      <c r="BC232" s="44" t="s">
        <v>259</v>
      </c>
      <c r="BD232" s="44" t="s">
        <v>290</v>
      </c>
      <c r="BE232" s="44" t="s">
        <v>272</v>
      </c>
      <c r="BF232" s="44" t="s">
        <v>260</v>
      </c>
      <c r="BG232" s="44" t="s">
        <v>291</v>
      </c>
      <c r="BH232" s="44" t="s">
        <v>274</v>
      </c>
      <c r="BI232" s="44" t="s">
        <v>292</v>
      </c>
      <c r="BJ232" s="44" t="s">
        <v>263</v>
      </c>
      <c r="BK232" s="44" t="s">
        <v>253</v>
      </c>
      <c r="BL232" s="44" t="s">
        <v>253</v>
      </c>
      <c r="BM232" s="44" t="s">
        <v>253</v>
      </c>
      <c r="BN232" s="44" t="s">
        <v>263</v>
      </c>
      <c r="BO232" s="44" t="s">
        <v>253</v>
      </c>
      <c r="BP232" s="44" t="s">
        <v>253</v>
      </c>
      <c r="BQ232" s="44" t="s">
        <v>253</v>
      </c>
      <c r="BR232" s="44" t="s">
        <v>253</v>
      </c>
      <c r="BS232" s="44" t="s">
        <v>276</v>
      </c>
      <c r="BT232" s="44">
        <v>0</v>
      </c>
    </row>
    <row r="233" spans="1:72">
      <c r="A233" s="44">
        <v>2022</v>
      </c>
      <c r="B233" s="6">
        <v>12</v>
      </c>
      <c r="C233" s="6">
        <v>1</v>
      </c>
      <c r="D233" s="6">
        <v>17</v>
      </c>
      <c r="E233" s="6" t="s">
        <v>263</v>
      </c>
      <c r="F233" s="6" t="s">
        <v>254</v>
      </c>
      <c r="G233" s="6">
        <v>2016</v>
      </c>
      <c r="H233" s="6">
        <v>12</v>
      </c>
      <c r="I233" s="6" t="s">
        <v>34</v>
      </c>
      <c r="J233" s="6" t="s">
        <v>253</v>
      </c>
      <c r="K233" s="6">
        <v>1992</v>
      </c>
      <c r="L233" s="14">
        <v>12</v>
      </c>
      <c r="M233" s="6">
        <v>1</v>
      </c>
      <c r="N233" s="6" t="s">
        <v>255</v>
      </c>
      <c r="O233" s="6" t="s">
        <v>288</v>
      </c>
      <c r="P233" s="6" t="s">
        <v>257</v>
      </c>
      <c r="Q233" s="6">
        <v>7000</v>
      </c>
      <c r="R233" s="6" t="s">
        <v>254</v>
      </c>
      <c r="S233" s="6" t="s">
        <v>258</v>
      </c>
      <c r="T233" s="6" t="s">
        <v>259</v>
      </c>
      <c r="U233" s="6" t="s">
        <v>263</v>
      </c>
      <c r="V233" s="6">
        <v>1000</v>
      </c>
      <c r="W233" s="6" t="s">
        <v>260</v>
      </c>
      <c r="X233" s="6">
        <v>5000</v>
      </c>
      <c r="Y233" s="6" t="s">
        <v>261</v>
      </c>
      <c r="Z233" s="6">
        <v>80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284</v>
      </c>
      <c r="AN233" s="44" t="s">
        <v>263</v>
      </c>
      <c r="AO233" s="44" t="s">
        <v>266</v>
      </c>
      <c r="AP233" s="44" t="s">
        <v>289</v>
      </c>
      <c r="AQ233" s="44">
        <v>12</v>
      </c>
      <c r="AR233" s="44" t="s">
        <v>34</v>
      </c>
      <c r="AS233" s="44" t="s">
        <v>253</v>
      </c>
      <c r="AT233" s="44" t="s">
        <v>268</v>
      </c>
      <c r="AU233" s="44">
        <v>12</v>
      </c>
      <c r="AV233" s="44">
        <v>1</v>
      </c>
      <c r="AW233" s="44" t="s">
        <v>269</v>
      </c>
      <c r="AX233" s="44" t="s">
        <v>288</v>
      </c>
      <c r="AY233" s="44" t="s">
        <v>257</v>
      </c>
      <c r="AZ233" s="44">
        <v>3</v>
      </c>
      <c r="BA233" s="44" t="s">
        <v>270</v>
      </c>
      <c r="BB233" s="44" t="s">
        <v>271</v>
      </c>
      <c r="BC233" s="44" t="s">
        <v>259</v>
      </c>
      <c r="BD233" s="44" t="s">
        <v>290</v>
      </c>
      <c r="BE233" s="44" t="s">
        <v>272</v>
      </c>
      <c r="BF233" s="44" t="s">
        <v>260</v>
      </c>
      <c r="BG233" s="44" t="s">
        <v>291</v>
      </c>
      <c r="BH233" s="44" t="s">
        <v>274</v>
      </c>
      <c r="BI233" s="44" t="s">
        <v>292</v>
      </c>
      <c r="BJ233" s="44" t="s">
        <v>263</v>
      </c>
      <c r="BK233" s="44" t="s">
        <v>253</v>
      </c>
      <c r="BL233" s="44" t="s">
        <v>253</v>
      </c>
      <c r="BM233" s="44" t="s">
        <v>253</v>
      </c>
      <c r="BN233" s="44" t="s">
        <v>263</v>
      </c>
      <c r="BO233" s="44" t="s">
        <v>253</v>
      </c>
      <c r="BP233" s="44" t="s">
        <v>253</v>
      </c>
      <c r="BQ233" s="44" t="s">
        <v>253</v>
      </c>
      <c r="BR233" s="44" t="s">
        <v>253</v>
      </c>
      <c r="BS233" s="44" t="s">
        <v>276</v>
      </c>
      <c r="BT233" s="44">
        <v>0</v>
      </c>
    </row>
    <row r="234" spans="1:72">
      <c r="A234" s="44">
        <v>2022</v>
      </c>
      <c r="B234" s="6">
        <v>12</v>
      </c>
      <c r="C234" s="6">
        <v>1</v>
      </c>
      <c r="D234" s="6">
        <v>17</v>
      </c>
      <c r="E234" s="6" t="s">
        <v>263</v>
      </c>
      <c r="F234" s="6" t="s">
        <v>254</v>
      </c>
      <c r="G234" s="6">
        <v>2016</v>
      </c>
      <c r="H234" s="6">
        <v>12</v>
      </c>
      <c r="I234" s="6" t="s">
        <v>34</v>
      </c>
      <c r="J234" s="6" t="s">
        <v>253</v>
      </c>
      <c r="K234" s="6">
        <v>1987</v>
      </c>
      <c r="L234" s="14">
        <v>12</v>
      </c>
      <c r="M234" s="6">
        <v>1</v>
      </c>
      <c r="N234" s="6" t="s">
        <v>255</v>
      </c>
      <c r="O234" s="6" t="s">
        <v>288</v>
      </c>
      <c r="P234" s="6" t="s">
        <v>257</v>
      </c>
      <c r="Q234" s="6">
        <v>7000</v>
      </c>
      <c r="R234" s="6" t="s">
        <v>254</v>
      </c>
      <c r="S234" s="6" t="s">
        <v>258</v>
      </c>
      <c r="T234" s="6" t="s">
        <v>259</v>
      </c>
      <c r="U234" s="6" t="s">
        <v>263</v>
      </c>
      <c r="V234" s="6">
        <v>1000</v>
      </c>
      <c r="W234" s="6" t="s">
        <v>260</v>
      </c>
      <c r="X234" s="6">
        <v>5000</v>
      </c>
      <c r="Y234" s="6" t="s">
        <v>261</v>
      </c>
      <c r="Z234" s="6">
        <v>80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284</v>
      </c>
      <c r="AN234" s="44" t="s">
        <v>263</v>
      </c>
      <c r="AO234" s="44" t="s">
        <v>266</v>
      </c>
      <c r="AP234" s="44" t="s">
        <v>289</v>
      </c>
      <c r="AQ234" s="44">
        <v>12</v>
      </c>
      <c r="AR234" s="44" t="s">
        <v>34</v>
      </c>
      <c r="AS234" s="44" t="s">
        <v>253</v>
      </c>
      <c r="AT234" s="44" t="s">
        <v>277</v>
      </c>
      <c r="AU234" s="44">
        <v>12</v>
      </c>
      <c r="AV234" s="44">
        <v>1</v>
      </c>
      <c r="AW234" s="44" t="s">
        <v>269</v>
      </c>
      <c r="AX234" s="44" t="s">
        <v>288</v>
      </c>
      <c r="AY234" s="44" t="s">
        <v>257</v>
      </c>
      <c r="AZ234" s="44">
        <v>3</v>
      </c>
      <c r="BA234" s="44" t="s">
        <v>270</v>
      </c>
      <c r="BB234" s="44" t="s">
        <v>271</v>
      </c>
      <c r="BC234" s="44" t="s">
        <v>259</v>
      </c>
      <c r="BD234" s="44" t="s">
        <v>290</v>
      </c>
      <c r="BE234" s="44" t="s">
        <v>272</v>
      </c>
      <c r="BF234" s="44" t="s">
        <v>260</v>
      </c>
      <c r="BG234" s="44" t="s">
        <v>291</v>
      </c>
      <c r="BH234" s="44" t="s">
        <v>274</v>
      </c>
      <c r="BI234" s="44" t="s">
        <v>292</v>
      </c>
      <c r="BJ234" s="44" t="s">
        <v>263</v>
      </c>
      <c r="BK234" s="44" t="s">
        <v>253</v>
      </c>
      <c r="BL234" s="44" t="s">
        <v>253</v>
      </c>
      <c r="BM234" s="44" t="s">
        <v>253</v>
      </c>
      <c r="BN234" s="44" t="s">
        <v>263</v>
      </c>
      <c r="BO234" s="44" t="s">
        <v>253</v>
      </c>
      <c r="BP234" s="44" t="s">
        <v>253</v>
      </c>
      <c r="BQ234" s="44" t="s">
        <v>253</v>
      </c>
      <c r="BR234" s="44" t="s">
        <v>253</v>
      </c>
      <c r="BS234" s="44" t="s">
        <v>276</v>
      </c>
      <c r="BT234" s="44">
        <v>0</v>
      </c>
    </row>
    <row r="235" spans="1:72">
      <c r="A235" s="44">
        <v>2022</v>
      </c>
      <c r="B235" s="6">
        <v>12</v>
      </c>
      <c r="C235" s="6">
        <v>1</v>
      </c>
      <c r="D235" s="6">
        <v>17</v>
      </c>
      <c r="E235" s="6" t="s">
        <v>263</v>
      </c>
      <c r="F235" s="6" t="s">
        <v>254</v>
      </c>
      <c r="G235" s="6">
        <v>2016</v>
      </c>
      <c r="H235" s="6">
        <v>12</v>
      </c>
      <c r="I235" s="6" t="s">
        <v>34</v>
      </c>
      <c r="J235" s="6" t="s">
        <v>253</v>
      </c>
      <c r="K235" s="6">
        <v>1982</v>
      </c>
      <c r="L235" s="14">
        <v>12</v>
      </c>
      <c r="M235" s="6">
        <v>1</v>
      </c>
      <c r="N235" s="6" t="s">
        <v>255</v>
      </c>
      <c r="O235" s="6" t="s">
        <v>288</v>
      </c>
      <c r="P235" s="6" t="s">
        <v>257</v>
      </c>
      <c r="Q235" s="6">
        <v>7000</v>
      </c>
      <c r="R235" s="6" t="s">
        <v>254</v>
      </c>
      <c r="S235" s="6" t="s">
        <v>258</v>
      </c>
      <c r="T235" s="6" t="s">
        <v>259</v>
      </c>
      <c r="U235" s="6" t="s">
        <v>263</v>
      </c>
      <c r="V235" s="6">
        <v>1000</v>
      </c>
      <c r="W235" s="6" t="s">
        <v>260</v>
      </c>
      <c r="X235" s="6">
        <v>5000</v>
      </c>
      <c r="Y235" s="6" t="s">
        <v>261</v>
      </c>
      <c r="Z235" s="6">
        <v>80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284</v>
      </c>
      <c r="AN235" s="44" t="s">
        <v>263</v>
      </c>
      <c r="AO235" s="44" t="s">
        <v>266</v>
      </c>
      <c r="AP235" s="44" t="s">
        <v>289</v>
      </c>
      <c r="AQ235" s="44">
        <v>12</v>
      </c>
      <c r="AR235" s="44" t="s">
        <v>34</v>
      </c>
      <c r="AS235" s="44" t="s">
        <v>253</v>
      </c>
      <c r="AT235" s="44" t="s">
        <v>278</v>
      </c>
      <c r="AU235" s="44">
        <v>12</v>
      </c>
      <c r="AV235" s="44">
        <v>1</v>
      </c>
      <c r="AW235" s="44" t="s">
        <v>269</v>
      </c>
      <c r="AX235" s="44" t="s">
        <v>288</v>
      </c>
      <c r="AY235" s="44" t="s">
        <v>257</v>
      </c>
      <c r="AZ235" s="44">
        <v>3</v>
      </c>
      <c r="BA235" s="44" t="s">
        <v>270</v>
      </c>
      <c r="BB235" s="44" t="s">
        <v>271</v>
      </c>
      <c r="BC235" s="44" t="s">
        <v>259</v>
      </c>
      <c r="BD235" s="44" t="s">
        <v>290</v>
      </c>
      <c r="BE235" s="44" t="s">
        <v>272</v>
      </c>
      <c r="BF235" s="44" t="s">
        <v>260</v>
      </c>
      <c r="BG235" s="44" t="s">
        <v>291</v>
      </c>
      <c r="BH235" s="44" t="s">
        <v>274</v>
      </c>
      <c r="BI235" s="44" t="s">
        <v>292</v>
      </c>
      <c r="BJ235" s="44" t="s">
        <v>263</v>
      </c>
      <c r="BK235" s="44" t="s">
        <v>253</v>
      </c>
      <c r="BL235" s="44" t="s">
        <v>253</v>
      </c>
      <c r="BM235" s="44" t="s">
        <v>253</v>
      </c>
      <c r="BN235" s="44" t="s">
        <v>263</v>
      </c>
      <c r="BO235" s="44" t="s">
        <v>253</v>
      </c>
      <c r="BP235" s="44" t="s">
        <v>253</v>
      </c>
      <c r="BQ235" s="44" t="s">
        <v>253</v>
      </c>
      <c r="BR235" s="44" t="s">
        <v>253</v>
      </c>
      <c r="BS235" s="44" t="s">
        <v>276</v>
      </c>
      <c r="BT235" s="44">
        <v>0</v>
      </c>
    </row>
    <row r="236" spans="1:72">
      <c r="A236" s="44">
        <v>2022</v>
      </c>
      <c r="B236" s="6">
        <v>12</v>
      </c>
      <c r="C236" s="6">
        <v>1</v>
      </c>
      <c r="D236" s="6">
        <v>17</v>
      </c>
      <c r="E236" s="6" t="s">
        <v>263</v>
      </c>
      <c r="F236" s="6" t="s">
        <v>254</v>
      </c>
      <c r="G236" s="6">
        <v>2016</v>
      </c>
      <c r="H236" s="6">
        <v>12</v>
      </c>
      <c r="I236" s="6" t="s">
        <v>34</v>
      </c>
      <c r="J236" s="6" t="s">
        <v>253</v>
      </c>
      <c r="K236" s="6">
        <v>1977</v>
      </c>
      <c r="L236" s="14">
        <v>12</v>
      </c>
      <c r="M236" s="6">
        <v>1</v>
      </c>
      <c r="N236" s="6" t="s">
        <v>255</v>
      </c>
      <c r="O236" s="6" t="s">
        <v>288</v>
      </c>
      <c r="P236" s="6" t="s">
        <v>257</v>
      </c>
      <c r="Q236" s="6">
        <v>7000</v>
      </c>
      <c r="R236" s="6" t="s">
        <v>254</v>
      </c>
      <c r="S236" s="6" t="s">
        <v>258</v>
      </c>
      <c r="T236" s="6" t="s">
        <v>259</v>
      </c>
      <c r="U236" s="6" t="s">
        <v>263</v>
      </c>
      <c r="V236" s="6">
        <v>1000</v>
      </c>
      <c r="W236" s="6" t="s">
        <v>260</v>
      </c>
      <c r="X236" s="6">
        <v>5000</v>
      </c>
      <c r="Y236" s="6" t="s">
        <v>261</v>
      </c>
      <c r="Z236" s="6">
        <v>80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284</v>
      </c>
      <c r="AN236" s="44" t="s">
        <v>263</v>
      </c>
      <c r="AO236" s="44" t="s">
        <v>266</v>
      </c>
      <c r="AP236" s="44" t="s">
        <v>289</v>
      </c>
      <c r="AQ236" s="44">
        <v>12</v>
      </c>
      <c r="AR236" s="44" t="s">
        <v>34</v>
      </c>
      <c r="AS236" s="44" t="s">
        <v>253</v>
      </c>
      <c r="AT236" s="44" t="s">
        <v>279</v>
      </c>
      <c r="AU236" s="44">
        <v>12</v>
      </c>
      <c r="AV236" s="44">
        <v>1</v>
      </c>
      <c r="AW236" s="44" t="s">
        <v>269</v>
      </c>
      <c r="AX236" s="44" t="s">
        <v>288</v>
      </c>
      <c r="AY236" s="44" t="s">
        <v>257</v>
      </c>
      <c r="AZ236" s="44">
        <v>3</v>
      </c>
      <c r="BA236" s="44" t="s">
        <v>270</v>
      </c>
      <c r="BB236" s="44" t="s">
        <v>271</v>
      </c>
      <c r="BC236" s="44" t="s">
        <v>259</v>
      </c>
      <c r="BD236" s="44" t="s">
        <v>290</v>
      </c>
      <c r="BE236" s="44" t="s">
        <v>272</v>
      </c>
      <c r="BF236" s="44" t="s">
        <v>260</v>
      </c>
      <c r="BG236" s="44" t="s">
        <v>291</v>
      </c>
      <c r="BH236" s="44" t="s">
        <v>274</v>
      </c>
      <c r="BI236" s="44" t="s">
        <v>292</v>
      </c>
      <c r="BJ236" s="44" t="s">
        <v>263</v>
      </c>
      <c r="BK236" s="44" t="s">
        <v>253</v>
      </c>
      <c r="BL236" s="44" t="s">
        <v>253</v>
      </c>
      <c r="BM236" s="44" t="s">
        <v>253</v>
      </c>
      <c r="BN236" s="44" t="s">
        <v>263</v>
      </c>
      <c r="BO236" s="44" t="s">
        <v>253</v>
      </c>
      <c r="BP236" s="44" t="s">
        <v>253</v>
      </c>
      <c r="BQ236" s="44" t="s">
        <v>253</v>
      </c>
      <c r="BR236" s="44" t="s">
        <v>253</v>
      </c>
      <c r="BS236" s="44" t="s">
        <v>276</v>
      </c>
      <c r="BT236" s="44">
        <v>0</v>
      </c>
    </row>
    <row r="237" spans="1:72">
      <c r="A237" s="44">
        <v>2022</v>
      </c>
      <c r="B237" s="6">
        <v>12</v>
      </c>
      <c r="C237" s="6">
        <v>1</v>
      </c>
      <c r="D237" s="6">
        <v>17</v>
      </c>
      <c r="E237" s="6" t="s">
        <v>263</v>
      </c>
      <c r="F237" s="6" t="s">
        <v>254</v>
      </c>
      <c r="G237" s="6">
        <v>2016</v>
      </c>
      <c r="H237" s="6">
        <v>12</v>
      </c>
      <c r="I237" s="6" t="s">
        <v>34</v>
      </c>
      <c r="J237" s="6" t="s">
        <v>253</v>
      </c>
      <c r="K237" s="6">
        <v>1972</v>
      </c>
      <c r="L237" s="14">
        <v>12</v>
      </c>
      <c r="M237" s="6">
        <v>1</v>
      </c>
      <c r="N237" s="6" t="s">
        <v>255</v>
      </c>
      <c r="O237" s="6" t="s">
        <v>288</v>
      </c>
      <c r="P237" s="6" t="s">
        <v>257</v>
      </c>
      <c r="Q237" s="6">
        <v>7000</v>
      </c>
      <c r="R237" s="6" t="s">
        <v>254</v>
      </c>
      <c r="S237" s="6" t="s">
        <v>258</v>
      </c>
      <c r="T237" s="6" t="s">
        <v>259</v>
      </c>
      <c r="U237" s="6" t="s">
        <v>263</v>
      </c>
      <c r="V237" s="6">
        <v>1000</v>
      </c>
      <c r="W237" s="6" t="s">
        <v>260</v>
      </c>
      <c r="X237" s="6">
        <v>5000</v>
      </c>
      <c r="Y237" s="6" t="s">
        <v>261</v>
      </c>
      <c r="Z237" s="6">
        <v>80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284</v>
      </c>
      <c r="AN237" s="44" t="s">
        <v>263</v>
      </c>
      <c r="AO237" s="44" t="s">
        <v>266</v>
      </c>
      <c r="AP237" s="44" t="s">
        <v>289</v>
      </c>
      <c r="AQ237" s="44">
        <v>12</v>
      </c>
      <c r="AR237" s="44" t="s">
        <v>34</v>
      </c>
      <c r="AS237" s="44" t="s">
        <v>253</v>
      </c>
      <c r="AT237" s="44" t="s">
        <v>280</v>
      </c>
      <c r="AU237" s="44">
        <v>12</v>
      </c>
      <c r="AV237" s="44">
        <v>1</v>
      </c>
      <c r="AW237" s="44" t="s">
        <v>269</v>
      </c>
      <c r="AX237" s="44" t="s">
        <v>288</v>
      </c>
      <c r="AY237" s="44" t="s">
        <v>257</v>
      </c>
      <c r="AZ237" s="44">
        <v>3</v>
      </c>
      <c r="BA237" s="44" t="s">
        <v>270</v>
      </c>
      <c r="BB237" s="44" t="s">
        <v>271</v>
      </c>
      <c r="BC237" s="44" t="s">
        <v>259</v>
      </c>
      <c r="BD237" s="44" t="s">
        <v>290</v>
      </c>
      <c r="BE237" s="44" t="s">
        <v>272</v>
      </c>
      <c r="BF237" s="44" t="s">
        <v>260</v>
      </c>
      <c r="BG237" s="44" t="s">
        <v>291</v>
      </c>
      <c r="BH237" s="44" t="s">
        <v>274</v>
      </c>
      <c r="BI237" s="44" t="s">
        <v>292</v>
      </c>
      <c r="BJ237" s="44" t="s">
        <v>263</v>
      </c>
      <c r="BK237" s="44" t="s">
        <v>253</v>
      </c>
      <c r="BL237" s="44" t="s">
        <v>253</v>
      </c>
      <c r="BM237" s="44" t="s">
        <v>253</v>
      </c>
      <c r="BN237" s="44" t="s">
        <v>263</v>
      </c>
      <c r="BO237" s="44" t="s">
        <v>253</v>
      </c>
      <c r="BP237" s="44" t="s">
        <v>253</v>
      </c>
      <c r="BQ237" s="44" t="s">
        <v>253</v>
      </c>
      <c r="BR237" s="44" t="s">
        <v>253</v>
      </c>
      <c r="BS237" s="44" t="s">
        <v>276</v>
      </c>
      <c r="BT237" s="44">
        <v>0</v>
      </c>
    </row>
    <row r="238" spans="1:72">
      <c r="A238" s="44">
        <v>2022</v>
      </c>
      <c r="B238" s="6">
        <v>12</v>
      </c>
      <c r="C238" s="6">
        <v>1</v>
      </c>
      <c r="D238" s="6">
        <v>17</v>
      </c>
      <c r="E238" s="6" t="s">
        <v>263</v>
      </c>
      <c r="F238" s="6" t="s">
        <v>254</v>
      </c>
      <c r="G238" s="6">
        <v>2016</v>
      </c>
      <c r="H238" s="6">
        <v>12</v>
      </c>
      <c r="I238" s="6" t="s">
        <v>34</v>
      </c>
      <c r="J238" s="6" t="s">
        <v>253</v>
      </c>
      <c r="K238" s="6">
        <v>1962</v>
      </c>
      <c r="L238" s="14">
        <v>12</v>
      </c>
      <c r="M238" s="6">
        <v>1</v>
      </c>
      <c r="N238" s="6" t="s">
        <v>255</v>
      </c>
      <c r="O238" s="6" t="s">
        <v>288</v>
      </c>
      <c r="P238" s="6" t="s">
        <v>257</v>
      </c>
      <c r="Q238" s="6">
        <v>7000</v>
      </c>
      <c r="R238" s="6" t="s">
        <v>254</v>
      </c>
      <c r="S238" s="6" t="s">
        <v>258</v>
      </c>
      <c r="T238" s="6" t="s">
        <v>259</v>
      </c>
      <c r="U238" s="6" t="s">
        <v>263</v>
      </c>
      <c r="V238" s="6">
        <v>1000</v>
      </c>
      <c r="W238" s="6" t="s">
        <v>260</v>
      </c>
      <c r="X238" s="6">
        <v>5000</v>
      </c>
      <c r="Y238" s="6" t="s">
        <v>261</v>
      </c>
      <c r="Z238" s="6">
        <v>80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284</v>
      </c>
      <c r="AN238" s="44" t="s">
        <v>263</v>
      </c>
      <c r="AO238" s="44" t="s">
        <v>266</v>
      </c>
      <c r="AP238" s="44" t="s">
        <v>289</v>
      </c>
      <c r="AQ238" s="44">
        <v>12</v>
      </c>
      <c r="AR238" s="44" t="s">
        <v>34</v>
      </c>
      <c r="AS238" s="44" t="s">
        <v>253</v>
      </c>
      <c r="AT238" s="44" t="s">
        <v>281</v>
      </c>
      <c r="AU238" s="44">
        <v>12</v>
      </c>
      <c r="AV238" s="44">
        <v>1</v>
      </c>
      <c r="AW238" s="44" t="s">
        <v>269</v>
      </c>
      <c r="AX238" s="44" t="s">
        <v>288</v>
      </c>
      <c r="AY238" s="44" t="s">
        <v>257</v>
      </c>
      <c r="AZ238" s="44">
        <v>3</v>
      </c>
      <c r="BA238" s="44" t="s">
        <v>270</v>
      </c>
      <c r="BB238" s="44" t="s">
        <v>271</v>
      </c>
      <c r="BC238" s="44" t="s">
        <v>259</v>
      </c>
      <c r="BD238" s="44" t="s">
        <v>290</v>
      </c>
      <c r="BE238" s="44" t="s">
        <v>272</v>
      </c>
      <c r="BF238" s="44" t="s">
        <v>260</v>
      </c>
      <c r="BG238" s="44" t="s">
        <v>291</v>
      </c>
      <c r="BH238" s="44" t="s">
        <v>274</v>
      </c>
      <c r="BI238" s="44" t="s">
        <v>292</v>
      </c>
      <c r="BJ238" s="44" t="s">
        <v>263</v>
      </c>
      <c r="BK238" s="44" t="s">
        <v>253</v>
      </c>
      <c r="BL238" s="44" t="s">
        <v>253</v>
      </c>
      <c r="BM238" s="44" t="s">
        <v>253</v>
      </c>
      <c r="BN238" s="44" t="s">
        <v>263</v>
      </c>
      <c r="BO238" s="44" t="s">
        <v>253</v>
      </c>
      <c r="BP238" s="44" t="s">
        <v>253</v>
      </c>
      <c r="BQ238" s="44" t="s">
        <v>253</v>
      </c>
      <c r="BR238" s="44" t="s">
        <v>253</v>
      </c>
      <c r="BS238" s="44" t="s">
        <v>276</v>
      </c>
      <c r="BT238" s="44">
        <v>0</v>
      </c>
    </row>
    <row r="239" spans="1:72">
      <c r="A239" s="44">
        <v>2022</v>
      </c>
      <c r="B239" s="6">
        <v>12</v>
      </c>
      <c r="C239" s="6">
        <v>1</v>
      </c>
      <c r="D239" s="6">
        <v>17</v>
      </c>
      <c r="E239" s="6" t="s">
        <v>263</v>
      </c>
      <c r="F239" s="6" t="s">
        <v>254</v>
      </c>
      <c r="G239" s="6">
        <v>2016</v>
      </c>
      <c r="H239" s="6">
        <v>12</v>
      </c>
      <c r="I239" s="6" t="s">
        <v>34</v>
      </c>
      <c r="J239" s="6" t="s">
        <v>253</v>
      </c>
      <c r="K239" s="6">
        <v>1952</v>
      </c>
      <c r="L239" s="14">
        <v>12</v>
      </c>
      <c r="M239" s="6">
        <v>1</v>
      </c>
      <c r="N239" s="6" t="s">
        <v>255</v>
      </c>
      <c r="O239" s="6" t="s">
        <v>288</v>
      </c>
      <c r="P239" s="6" t="s">
        <v>257</v>
      </c>
      <c r="Q239" s="6">
        <v>7000</v>
      </c>
      <c r="R239" s="6" t="s">
        <v>254</v>
      </c>
      <c r="S239" s="6" t="s">
        <v>258</v>
      </c>
      <c r="T239" s="6" t="s">
        <v>259</v>
      </c>
      <c r="U239" s="6" t="s">
        <v>263</v>
      </c>
      <c r="V239" s="6">
        <v>1000</v>
      </c>
      <c r="W239" s="6" t="s">
        <v>260</v>
      </c>
      <c r="X239" s="6">
        <v>5000</v>
      </c>
      <c r="Y239" s="6" t="s">
        <v>261</v>
      </c>
      <c r="Z239" s="6">
        <v>80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284</v>
      </c>
      <c r="AN239" s="44" t="s">
        <v>263</v>
      </c>
      <c r="AO239" s="44" t="s">
        <v>266</v>
      </c>
      <c r="AP239" s="44" t="s">
        <v>289</v>
      </c>
      <c r="AQ239" s="44">
        <v>12</v>
      </c>
      <c r="AR239" s="44" t="s">
        <v>34</v>
      </c>
      <c r="AS239" s="44" t="s">
        <v>253</v>
      </c>
      <c r="AT239" s="44" t="s">
        <v>282</v>
      </c>
      <c r="AU239" s="44">
        <v>12</v>
      </c>
      <c r="AV239" s="44">
        <v>1</v>
      </c>
      <c r="AW239" s="44" t="s">
        <v>269</v>
      </c>
      <c r="AX239" s="44" t="s">
        <v>288</v>
      </c>
      <c r="AY239" s="44" t="s">
        <v>257</v>
      </c>
      <c r="AZ239" s="44">
        <v>3</v>
      </c>
      <c r="BA239" s="44" t="s">
        <v>270</v>
      </c>
      <c r="BB239" s="44" t="s">
        <v>271</v>
      </c>
      <c r="BC239" s="44" t="s">
        <v>259</v>
      </c>
      <c r="BD239" s="44" t="s">
        <v>290</v>
      </c>
      <c r="BE239" s="44" t="s">
        <v>272</v>
      </c>
      <c r="BF239" s="44" t="s">
        <v>260</v>
      </c>
      <c r="BG239" s="44" t="s">
        <v>291</v>
      </c>
      <c r="BH239" s="44" t="s">
        <v>274</v>
      </c>
      <c r="BI239" s="44" t="s">
        <v>292</v>
      </c>
      <c r="BJ239" s="44" t="s">
        <v>263</v>
      </c>
      <c r="BK239" s="44" t="s">
        <v>253</v>
      </c>
      <c r="BL239" s="44" t="s">
        <v>253</v>
      </c>
      <c r="BM239" s="44" t="s">
        <v>253</v>
      </c>
      <c r="BN239" s="44" t="s">
        <v>263</v>
      </c>
      <c r="BO239" s="44" t="s">
        <v>253</v>
      </c>
      <c r="BP239" s="44" t="s">
        <v>253</v>
      </c>
      <c r="BQ239" s="44" t="s">
        <v>253</v>
      </c>
      <c r="BR239" s="44" t="s">
        <v>253</v>
      </c>
      <c r="BS239" s="44" t="s">
        <v>276</v>
      </c>
      <c r="BT239" s="44">
        <v>0</v>
      </c>
    </row>
    <row r="240" spans="1:72">
      <c r="A240" s="44">
        <v>2022</v>
      </c>
      <c r="B240" s="6">
        <v>12</v>
      </c>
      <c r="C240" s="6">
        <v>1</v>
      </c>
      <c r="D240" s="6">
        <v>17</v>
      </c>
      <c r="E240" s="6" t="s">
        <v>263</v>
      </c>
      <c r="F240" s="6" t="s">
        <v>254</v>
      </c>
      <c r="G240" s="6">
        <v>2016</v>
      </c>
      <c r="H240" s="6">
        <v>12</v>
      </c>
      <c r="I240" s="6" t="s">
        <v>34</v>
      </c>
      <c r="J240" s="6" t="s">
        <v>253</v>
      </c>
      <c r="K240" s="6">
        <v>1992</v>
      </c>
      <c r="L240" s="14">
        <v>12</v>
      </c>
      <c r="M240" s="6">
        <v>1</v>
      </c>
      <c r="N240" s="6" t="s">
        <v>255</v>
      </c>
      <c r="O240" s="6" t="s">
        <v>288</v>
      </c>
      <c r="P240" s="6" t="s">
        <v>283</v>
      </c>
      <c r="Q240" s="6">
        <v>3000</v>
      </c>
      <c r="R240" s="6" t="s">
        <v>254</v>
      </c>
      <c r="S240" s="6" t="s">
        <v>258</v>
      </c>
      <c r="T240" s="6" t="s">
        <v>259</v>
      </c>
      <c r="U240" s="6" t="s">
        <v>263</v>
      </c>
      <c r="V240" s="6">
        <v>1000</v>
      </c>
      <c r="W240" s="6" t="s">
        <v>260</v>
      </c>
      <c r="X240" s="6">
        <v>5000</v>
      </c>
      <c r="Y240" s="6" t="s">
        <v>261</v>
      </c>
      <c r="Z240" s="6">
        <v>80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284</v>
      </c>
      <c r="AN240" s="44" t="s">
        <v>263</v>
      </c>
      <c r="AO240" s="44" t="s">
        <v>266</v>
      </c>
      <c r="AP240" s="44" t="s">
        <v>289</v>
      </c>
      <c r="AQ240" s="44">
        <v>12</v>
      </c>
      <c r="AR240" s="44" t="s">
        <v>34</v>
      </c>
      <c r="AS240" s="44" t="s">
        <v>253</v>
      </c>
      <c r="AT240" s="44" t="s">
        <v>268</v>
      </c>
      <c r="AU240" s="44">
        <v>12</v>
      </c>
      <c r="AV240" s="44">
        <v>1</v>
      </c>
      <c r="AW240" s="44" t="s">
        <v>269</v>
      </c>
      <c r="AX240" s="44" t="s">
        <v>288</v>
      </c>
      <c r="AY240" s="44" t="s">
        <v>283</v>
      </c>
      <c r="AZ240" s="44">
        <v>1</v>
      </c>
      <c r="BA240" s="44" t="s">
        <v>270</v>
      </c>
      <c r="BB240" s="44" t="s">
        <v>271</v>
      </c>
      <c r="BC240" s="44" t="s">
        <v>259</v>
      </c>
      <c r="BD240" s="44" t="s">
        <v>290</v>
      </c>
      <c r="BE240" s="44" t="s">
        <v>272</v>
      </c>
      <c r="BF240" s="44" t="s">
        <v>260</v>
      </c>
      <c r="BG240" s="44" t="s">
        <v>291</v>
      </c>
      <c r="BH240" s="44" t="s">
        <v>274</v>
      </c>
      <c r="BI240" s="44" t="s">
        <v>292</v>
      </c>
      <c r="BJ240" s="44" t="s">
        <v>263</v>
      </c>
      <c r="BK240" s="44" t="s">
        <v>253</v>
      </c>
      <c r="BL240" s="44" t="s">
        <v>253</v>
      </c>
      <c r="BM240" s="44" t="s">
        <v>253</v>
      </c>
      <c r="BN240" s="44" t="s">
        <v>263</v>
      </c>
      <c r="BO240" s="44" t="s">
        <v>253</v>
      </c>
      <c r="BP240" s="44" t="s">
        <v>253</v>
      </c>
      <c r="BQ240" s="44" t="s">
        <v>253</v>
      </c>
      <c r="BR240" s="44" t="s">
        <v>253</v>
      </c>
      <c r="BS240" s="44" t="s">
        <v>276</v>
      </c>
      <c r="BT240" s="44">
        <v>0</v>
      </c>
    </row>
    <row r="241" spans="1:72">
      <c r="A241" s="44">
        <v>2022</v>
      </c>
      <c r="B241" s="6">
        <v>12</v>
      </c>
      <c r="C241" s="6">
        <v>1</v>
      </c>
      <c r="D241" s="6">
        <v>17</v>
      </c>
      <c r="E241" s="6" t="s">
        <v>263</v>
      </c>
      <c r="F241" s="6" t="s">
        <v>254</v>
      </c>
      <c r="G241" s="6">
        <v>2016</v>
      </c>
      <c r="H241" s="6">
        <v>12</v>
      </c>
      <c r="I241" s="6" t="s">
        <v>34</v>
      </c>
      <c r="J241" s="6" t="s">
        <v>253</v>
      </c>
      <c r="K241" s="6">
        <v>1987</v>
      </c>
      <c r="L241" s="14">
        <v>12</v>
      </c>
      <c r="M241" s="6">
        <v>1</v>
      </c>
      <c r="N241" s="6" t="s">
        <v>255</v>
      </c>
      <c r="O241" s="6" t="s">
        <v>288</v>
      </c>
      <c r="P241" s="6" t="s">
        <v>283</v>
      </c>
      <c r="Q241" s="6">
        <v>3000</v>
      </c>
      <c r="R241" s="6" t="s">
        <v>254</v>
      </c>
      <c r="S241" s="6" t="s">
        <v>258</v>
      </c>
      <c r="T241" s="6" t="s">
        <v>259</v>
      </c>
      <c r="U241" s="6" t="s">
        <v>263</v>
      </c>
      <c r="V241" s="6">
        <v>1000</v>
      </c>
      <c r="W241" s="6" t="s">
        <v>260</v>
      </c>
      <c r="X241" s="6">
        <v>5000</v>
      </c>
      <c r="Y241" s="6" t="s">
        <v>261</v>
      </c>
      <c r="Z241" s="6">
        <v>80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284</v>
      </c>
      <c r="AN241" s="44" t="s">
        <v>263</v>
      </c>
      <c r="AO241" s="44" t="s">
        <v>266</v>
      </c>
      <c r="AP241" s="44" t="s">
        <v>289</v>
      </c>
      <c r="AQ241" s="44">
        <v>12</v>
      </c>
      <c r="AR241" s="44" t="s">
        <v>34</v>
      </c>
      <c r="AS241" s="44" t="s">
        <v>253</v>
      </c>
      <c r="AT241" s="44" t="s">
        <v>277</v>
      </c>
      <c r="AU241" s="44">
        <v>12</v>
      </c>
      <c r="AV241" s="44">
        <v>1</v>
      </c>
      <c r="AW241" s="44" t="s">
        <v>269</v>
      </c>
      <c r="AX241" s="44" t="s">
        <v>288</v>
      </c>
      <c r="AY241" s="44" t="s">
        <v>283</v>
      </c>
      <c r="AZ241" s="44">
        <v>1</v>
      </c>
      <c r="BA241" s="44" t="s">
        <v>270</v>
      </c>
      <c r="BB241" s="44" t="s">
        <v>271</v>
      </c>
      <c r="BC241" s="44" t="s">
        <v>259</v>
      </c>
      <c r="BD241" s="44" t="s">
        <v>290</v>
      </c>
      <c r="BE241" s="44" t="s">
        <v>272</v>
      </c>
      <c r="BF241" s="44" t="s">
        <v>260</v>
      </c>
      <c r="BG241" s="44" t="s">
        <v>291</v>
      </c>
      <c r="BH241" s="44" t="s">
        <v>274</v>
      </c>
      <c r="BI241" s="44" t="s">
        <v>292</v>
      </c>
      <c r="BJ241" s="44" t="s">
        <v>263</v>
      </c>
      <c r="BK241" s="44" t="s">
        <v>253</v>
      </c>
      <c r="BL241" s="44" t="s">
        <v>253</v>
      </c>
      <c r="BM241" s="44" t="s">
        <v>253</v>
      </c>
      <c r="BN241" s="44" t="s">
        <v>263</v>
      </c>
      <c r="BO241" s="44" t="s">
        <v>253</v>
      </c>
      <c r="BP241" s="44" t="s">
        <v>253</v>
      </c>
      <c r="BQ241" s="44" t="s">
        <v>253</v>
      </c>
      <c r="BR241" s="44" t="s">
        <v>253</v>
      </c>
      <c r="BS241" s="44" t="s">
        <v>276</v>
      </c>
      <c r="BT241" s="44">
        <v>0</v>
      </c>
    </row>
    <row r="242" spans="1:72">
      <c r="A242" s="44">
        <v>2022</v>
      </c>
      <c r="B242" s="6">
        <v>12</v>
      </c>
      <c r="C242" s="6">
        <v>1</v>
      </c>
      <c r="D242" s="6">
        <v>17</v>
      </c>
      <c r="E242" s="6" t="s">
        <v>263</v>
      </c>
      <c r="F242" s="6" t="s">
        <v>254</v>
      </c>
      <c r="G242" s="6">
        <v>2016</v>
      </c>
      <c r="H242" s="6">
        <v>12</v>
      </c>
      <c r="I242" s="6" t="s">
        <v>34</v>
      </c>
      <c r="J242" s="6" t="s">
        <v>253</v>
      </c>
      <c r="K242" s="6">
        <v>1982</v>
      </c>
      <c r="L242" s="14">
        <v>12</v>
      </c>
      <c r="M242" s="6">
        <v>1</v>
      </c>
      <c r="N242" s="6" t="s">
        <v>255</v>
      </c>
      <c r="O242" s="6" t="s">
        <v>288</v>
      </c>
      <c r="P242" s="6" t="s">
        <v>283</v>
      </c>
      <c r="Q242" s="6">
        <v>3000</v>
      </c>
      <c r="R242" s="6" t="s">
        <v>254</v>
      </c>
      <c r="S242" s="6" t="s">
        <v>258</v>
      </c>
      <c r="T242" s="6" t="s">
        <v>259</v>
      </c>
      <c r="U242" s="6" t="s">
        <v>263</v>
      </c>
      <c r="V242" s="6">
        <v>1000</v>
      </c>
      <c r="W242" s="6" t="s">
        <v>260</v>
      </c>
      <c r="X242" s="6">
        <v>5000</v>
      </c>
      <c r="Y242" s="6" t="s">
        <v>261</v>
      </c>
      <c r="Z242" s="6">
        <v>80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284</v>
      </c>
      <c r="AN242" s="44" t="s">
        <v>263</v>
      </c>
      <c r="AO242" s="44" t="s">
        <v>266</v>
      </c>
      <c r="AP242" s="44" t="s">
        <v>289</v>
      </c>
      <c r="AQ242" s="44">
        <v>12</v>
      </c>
      <c r="AR242" s="44" t="s">
        <v>34</v>
      </c>
      <c r="AS242" s="44" t="s">
        <v>253</v>
      </c>
      <c r="AT242" s="44" t="s">
        <v>278</v>
      </c>
      <c r="AU242" s="44">
        <v>12</v>
      </c>
      <c r="AV242" s="44">
        <v>1</v>
      </c>
      <c r="AW242" s="44" t="s">
        <v>269</v>
      </c>
      <c r="AX242" s="44" t="s">
        <v>288</v>
      </c>
      <c r="AY242" s="44" t="s">
        <v>283</v>
      </c>
      <c r="AZ242" s="44">
        <v>1</v>
      </c>
      <c r="BA242" s="44" t="s">
        <v>270</v>
      </c>
      <c r="BB242" s="44" t="s">
        <v>271</v>
      </c>
      <c r="BC242" s="44" t="s">
        <v>259</v>
      </c>
      <c r="BD242" s="44" t="s">
        <v>290</v>
      </c>
      <c r="BE242" s="44" t="s">
        <v>272</v>
      </c>
      <c r="BF242" s="44" t="s">
        <v>260</v>
      </c>
      <c r="BG242" s="44" t="s">
        <v>291</v>
      </c>
      <c r="BH242" s="44" t="s">
        <v>274</v>
      </c>
      <c r="BI242" s="44" t="s">
        <v>292</v>
      </c>
      <c r="BJ242" s="44" t="s">
        <v>263</v>
      </c>
      <c r="BK242" s="44" t="s">
        <v>253</v>
      </c>
      <c r="BL242" s="44" t="s">
        <v>253</v>
      </c>
      <c r="BM242" s="44" t="s">
        <v>253</v>
      </c>
      <c r="BN242" s="44" t="s">
        <v>263</v>
      </c>
      <c r="BO242" s="44" t="s">
        <v>253</v>
      </c>
      <c r="BP242" s="44" t="s">
        <v>253</v>
      </c>
      <c r="BQ242" s="44" t="s">
        <v>253</v>
      </c>
      <c r="BR242" s="44" t="s">
        <v>253</v>
      </c>
      <c r="BS242" s="44" t="s">
        <v>276</v>
      </c>
      <c r="BT242" s="44">
        <v>0</v>
      </c>
    </row>
    <row r="243" spans="1:72">
      <c r="A243" s="44">
        <v>2022</v>
      </c>
      <c r="B243" s="6">
        <v>12</v>
      </c>
      <c r="C243" s="6">
        <v>1</v>
      </c>
      <c r="D243" s="6">
        <v>17</v>
      </c>
      <c r="E243" s="6" t="s">
        <v>263</v>
      </c>
      <c r="F243" s="6" t="s">
        <v>254</v>
      </c>
      <c r="G243" s="6">
        <v>2016</v>
      </c>
      <c r="H243" s="6">
        <v>12</v>
      </c>
      <c r="I243" s="6" t="s">
        <v>34</v>
      </c>
      <c r="J243" s="6" t="s">
        <v>253</v>
      </c>
      <c r="K243" s="6">
        <v>1977</v>
      </c>
      <c r="L243" s="14">
        <v>12</v>
      </c>
      <c r="M243" s="6">
        <v>1</v>
      </c>
      <c r="N243" s="6" t="s">
        <v>255</v>
      </c>
      <c r="O243" s="6" t="s">
        <v>288</v>
      </c>
      <c r="P243" s="6" t="s">
        <v>283</v>
      </c>
      <c r="Q243" s="6">
        <v>3000</v>
      </c>
      <c r="R243" s="6" t="s">
        <v>254</v>
      </c>
      <c r="S243" s="6" t="s">
        <v>258</v>
      </c>
      <c r="T243" s="6" t="s">
        <v>259</v>
      </c>
      <c r="U243" s="6" t="s">
        <v>263</v>
      </c>
      <c r="V243" s="6">
        <v>1000</v>
      </c>
      <c r="W243" s="6" t="s">
        <v>260</v>
      </c>
      <c r="X243" s="6">
        <v>5000</v>
      </c>
      <c r="Y243" s="6" t="s">
        <v>261</v>
      </c>
      <c r="Z243" s="6">
        <v>80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284</v>
      </c>
      <c r="AN243" s="44" t="s">
        <v>263</v>
      </c>
      <c r="AO243" s="44" t="s">
        <v>266</v>
      </c>
      <c r="AP243" s="44" t="s">
        <v>289</v>
      </c>
      <c r="AQ243" s="44">
        <v>12</v>
      </c>
      <c r="AR243" s="44" t="s">
        <v>34</v>
      </c>
      <c r="AS243" s="44" t="s">
        <v>253</v>
      </c>
      <c r="AT243" s="44" t="s">
        <v>279</v>
      </c>
      <c r="AU243" s="44">
        <v>12</v>
      </c>
      <c r="AV243" s="44">
        <v>1</v>
      </c>
      <c r="AW243" s="44" t="s">
        <v>269</v>
      </c>
      <c r="AX243" s="44" t="s">
        <v>288</v>
      </c>
      <c r="AY243" s="44" t="s">
        <v>283</v>
      </c>
      <c r="AZ243" s="44">
        <v>1</v>
      </c>
      <c r="BA243" s="44" t="s">
        <v>270</v>
      </c>
      <c r="BB243" s="44" t="s">
        <v>271</v>
      </c>
      <c r="BC243" s="44" t="s">
        <v>259</v>
      </c>
      <c r="BD243" s="44" t="s">
        <v>290</v>
      </c>
      <c r="BE243" s="44" t="s">
        <v>272</v>
      </c>
      <c r="BF243" s="44" t="s">
        <v>260</v>
      </c>
      <c r="BG243" s="44" t="s">
        <v>291</v>
      </c>
      <c r="BH243" s="44" t="s">
        <v>274</v>
      </c>
      <c r="BI243" s="44" t="s">
        <v>292</v>
      </c>
      <c r="BJ243" s="44" t="s">
        <v>263</v>
      </c>
      <c r="BK243" s="44" t="s">
        <v>253</v>
      </c>
      <c r="BL243" s="44" t="s">
        <v>253</v>
      </c>
      <c r="BM243" s="44" t="s">
        <v>253</v>
      </c>
      <c r="BN243" s="44" t="s">
        <v>263</v>
      </c>
      <c r="BO243" s="44" t="s">
        <v>253</v>
      </c>
      <c r="BP243" s="44" t="s">
        <v>253</v>
      </c>
      <c r="BQ243" s="44" t="s">
        <v>253</v>
      </c>
      <c r="BR243" s="44" t="s">
        <v>253</v>
      </c>
      <c r="BS243" s="44" t="s">
        <v>276</v>
      </c>
      <c r="BT243" s="44">
        <v>0</v>
      </c>
    </row>
    <row r="244" spans="1:72">
      <c r="A244" s="44">
        <v>2022</v>
      </c>
      <c r="B244" s="6">
        <v>12</v>
      </c>
      <c r="C244" s="6">
        <v>1</v>
      </c>
      <c r="D244" s="6">
        <v>17</v>
      </c>
      <c r="E244" s="6" t="s">
        <v>263</v>
      </c>
      <c r="F244" s="6" t="s">
        <v>254</v>
      </c>
      <c r="G244" s="6">
        <v>2016</v>
      </c>
      <c r="H244" s="6">
        <v>12</v>
      </c>
      <c r="I244" s="6" t="s">
        <v>34</v>
      </c>
      <c r="J244" s="6" t="s">
        <v>253</v>
      </c>
      <c r="K244" s="6">
        <v>1972</v>
      </c>
      <c r="L244" s="14">
        <v>12</v>
      </c>
      <c r="M244" s="6">
        <v>1</v>
      </c>
      <c r="N244" s="6" t="s">
        <v>255</v>
      </c>
      <c r="O244" s="6" t="s">
        <v>288</v>
      </c>
      <c r="P244" s="6" t="s">
        <v>283</v>
      </c>
      <c r="Q244" s="6">
        <v>3000</v>
      </c>
      <c r="R244" s="6" t="s">
        <v>254</v>
      </c>
      <c r="S244" s="6" t="s">
        <v>258</v>
      </c>
      <c r="T244" s="6" t="s">
        <v>259</v>
      </c>
      <c r="U244" s="6" t="s">
        <v>263</v>
      </c>
      <c r="V244" s="6">
        <v>1000</v>
      </c>
      <c r="W244" s="6" t="s">
        <v>260</v>
      </c>
      <c r="X244" s="6">
        <v>5000</v>
      </c>
      <c r="Y244" s="6" t="s">
        <v>261</v>
      </c>
      <c r="Z244" s="6">
        <v>80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284</v>
      </c>
      <c r="AN244" s="44" t="s">
        <v>263</v>
      </c>
      <c r="AO244" s="44" t="s">
        <v>266</v>
      </c>
      <c r="AP244" s="44" t="s">
        <v>289</v>
      </c>
      <c r="AQ244" s="44">
        <v>12</v>
      </c>
      <c r="AR244" s="44" t="s">
        <v>34</v>
      </c>
      <c r="AS244" s="44" t="s">
        <v>253</v>
      </c>
      <c r="AT244" s="44" t="s">
        <v>280</v>
      </c>
      <c r="AU244" s="44">
        <v>12</v>
      </c>
      <c r="AV244" s="44">
        <v>1</v>
      </c>
      <c r="AW244" s="44" t="s">
        <v>269</v>
      </c>
      <c r="AX244" s="44" t="s">
        <v>288</v>
      </c>
      <c r="AY244" s="44" t="s">
        <v>283</v>
      </c>
      <c r="AZ244" s="44">
        <v>1</v>
      </c>
      <c r="BA244" s="44" t="s">
        <v>270</v>
      </c>
      <c r="BB244" s="44" t="s">
        <v>271</v>
      </c>
      <c r="BC244" s="44" t="s">
        <v>259</v>
      </c>
      <c r="BD244" s="44" t="s">
        <v>290</v>
      </c>
      <c r="BE244" s="44" t="s">
        <v>272</v>
      </c>
      <c r="BF244" s="44" t="s">
        <v>260</v>
      </c>
      <c r="BG244" s="44" t="s">
        <v>291</v>
      </c>
      <c r="BH244" s="44" t="s">
        <v>274</v>
      </c>
      <c r="BI244" s="44" t="s">
        <v>292</v>
      </c>
      <c r="BJ244" s="44" t="s">
        <v>263</v>
      </c>
      <c r="BK244" s="44" t="s">
        <v>253</v>
      </c>
      <c r="BL244" s="44" t="s">
        <v>253</v>
      </c>
      <c r="BM244" s="44" t="s">
        <v>253</v>
      </c>
      <c r="BN244" s="44" t="s">
        <v>263</v>
      </c>
      <c r="BO244" s="44" t="s">
        <v>253</v>
      </c>
      <c r="BP244" s="44" t="s">
        <v>253</v>
      </c>
      <c r="BQ244" s="44" t="s">
        <v>253</v>
      </c>
      <c r="BR244" s="44" t="s">
        <v>253</v>
      </c>
      <c r="BS244" s="44" t="s">
        <v>276</v>
      </c>
      <c r="BT244" s="44">
        <v>0</v>
      </c>
    </row>
    <row r="245" spans="1:72">
      <c r="A245" s="44">
        <v>2022</v>
      </c>
      <c r="B245" s="6">
        <v>12</v>
      </c>
      <c r="C245" s="6">
        <v>1</v>
      </c>
      <c r="D245" s="6">
        <v>17</v>
      </c>
      <c r="E245" s="6" t="s">
        <v>263</v>
      </c>
      <c r="F245" s="6" t="s">
        <v>254</v>
      </c>
      <c r="G245" s="6">
        <v>2016</v>
      </c>
      <c r="H245" s="6">
        <v>12</v>
      </c>
      <c r="I245" s="6" t="s">
        <v>34</v>
      </c>
      <c r="J245" s="6" t="s">
        <v>253</v>
      </c>
      <c r="K245" s="6">
        <v>1962</v>
      </c>
      <c r="L245" s="14">
        <v>12</v>
      </c>
      <c r="M245" s="6">
        <v>1</v>
      </c>
      <c r="N245" s="6" t="s">
        <v>255</v>
      </c>
      <c r="O245" s="6" t="s">
        <v>288</v>
      </c>
      <c r="P245" s="6" t="s">
        <v>283</v>
      </c>
      <c r="Q245" s="6">
        <v>3000</v>
      </c>
      <c r="R245" s="6" t="s">
        <v>254</v>
      </c>
      <c r="S245" s="6" t="s">
        <v>258</v>
      </c>
      <c r="T245" s="6" t="s">
        <v>259</v>
      </c>
      <c r="U245" s="6" t="s">
        <v>263</v>
      </c>
      <c r="V245" s="6">
        <v>1000</v>
      </c>
      <c r="W245" s="6" t="s">
        <v>260</v>
      </c>
      <c r="X245" s="6">
        <v>5000</v>
      </c>
      <c r="Y245" s="6" t="s">
        <v>261</v>
      </c>
      <c r="Z245" s="6">
        <v>80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284</v>
      </c>
      <c r="AN245" s="44" t="s">
        <v>263</v>
      </c>
      <c r="AO245" s="44" t="s">
        <v>266</v>
      </c>
      <c r="AP245" s="44" t="s">
        <v>289</v>
      </c>
      <c r="AQ245" s="44">
        <v>12</v>
      </c>
      <c r="AR245" s="44" t="s">
        <v>34</v>
      </c>
      <c r="AS245" s="44" t="s">
        <v>253</v>
      </c>
      <c r="AT245" s="44" t="s">
        <v>281</v>
      </c>
      <c r="AU245" s="44">
        <v>12</v>
      </c>
      <c r="AV245" s="44">
        <v>1</v>
      </c>
      <c r="AW245" s="44" t="s">
        <v>269</v>
      </c>
      <c r="AX245" s="44" t="s">
        <v>288</v>
      </c>
      <c r="AY245" s="44" t="s">
        <v>283</v>
      </c>
      <c r="AZ245" s="44">
        <v>1</v>
      </c>
      <c r="BA245" s="44" t="s">
        <v>270</v>
      </c>
      <c r="BB245" s="44" t="s">
        <v>271</v>
      </c>
      <c r="BC245" s="44" t="s">
        <v>259</v>
      </c>
      <c r="BD245" s="44" t="s">
        <v>290</v>
      </c>
      <c r="BE245" s="44" t="s">
        <v>272</v>
      </c>
      <c r="BF245" s="44" t="s">
        <v>260</v>
      </c>
      <c r="BG245" s="44" t="s">
        <v>291</v>
      </c>
      <c r="BH245" s="44" t="s">
        <v>274</v>
      </c>
      <c r="BI245" s="44" t="s">
        <v>292</v>
      </c>
      <c r="BJ245" s="44" t="s">
        <v>263</v>
      </c>
      <c r="BK245" s="44" t="s">
        <v>253</v>
      </c>
      <c r="BL245" s="44" t="s">
        <v>253</v>
      </c>
      <c r="BM245" s="44" t="s">
        <v>253</v>
      </c>
      <c r="BN245" s="44" t="s">
        <v>263</v>
      </c>
      <c r="BO245" s="44" t="s">
        <v>253</v>
      </c>
      <c r="BP245" s="44" t="s">
        <v>253</v>
      </c>
      <c r="BQ245" s="44" t="s">
        <v>253</v>
      </c>
      <c r="BR245" s="44" t="s">
        <v>253</v>
      </c>
      <c r="BS245" s="44" t="s">
        <v>276</v>
      </c>
      <c r="BT245" s="44">
        <v>0</v>
      </c>
    </row>
    <row r="246" spans="1:72">
      <c r="A246" s="44">
        <v>2022</v>
      </c>
      <c r="B246" s="6">
        <v>12</v>
      </c>
      <c r="C246" s="6">
        <v>1</v>
      </c>
      <c r="D246" s="6">
        <v>17</v>
      </c>
      <c r="E246" s="6" t="s">
        <v>263</v>
      </c>
      <c r="F246" s="6" t="s">
        <v>254</v>
      </c>
      <c r="G246" s="6">
        <v>2016</v>
      </c>
      <c r="H246" s="6">
        <v>12</v>
      </c>
      <c r="I246" s="6" t="s">
        <v>34</v>
      </c>
      <c r="J246" s="6" t="s">
        <v>253</v>
      </c>
      <c r="K246" s="6">
        <v>1952</v>
      </c>
      <c r="L246" s="14">
        <v>12</v>
      </c>
      <c r="M246" s="6">
        <v>1</v>
      </c>
      <c r="N246" s="6" t="s">
        <v>255</v>
      </c>
      <c r="O246" s="6" t="s">
        <v>288</v>
      </c>
      <c r="P246" s="6" t="s">
        <v>283</v>
      </c>
      <c r="Q246" s="6">
        <v>3000</v>
      </c>
      <c r="R246" s="6" t="s">
        <v>254</v>
      </c>
      <c r="S246" s="6" t="s">
        <v>258</v>
      </c>
      <c r="T246" s="6" t="s">
        <v>259</v>
      </c>
      <c r="U246" s="6" t="s">
        <v>263</v>
      </c>
      <c r="V246" s="6">
        <v>1000</v>
      </c>
      <c r="W246" s="6" t="s">
        <v>260</v>
      </c>
      <c r="X246" s="6">
        <v>5000</v>
      </c>
      <c r="Y246" s="6" t="s">
        <v>261</v>
      </c>
      <c r="Z246" s="6">
        <v>80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284</v>
      </c>
      <c r="AN246" s="44" t="s">
        <v>263</v>
      </c>
      <c r="AO246" s="44" t="s">
        <v>266</v>
      </c>
      <c r="AP246" s="44" t="s">
        <v>289</v>
      </c>
      <c r="AQ246" s="44">
        <v>12</v>
      </c>
      <c r="AR246" s="44" t="s">
        <v>34</v>
      </c>
      <c r="AS246" s="44" t="s">
        <v>253</v>
      </c>
      <c r="AT246" s="44" t="s">
        <v>282</v>
      </c>
      <c r="AU246" s="44">
        <v>12</v>
      </c>
      <c r="AV246" s="44">
        <v>1</v>
      </c>
      <c r="AW246" s="44" t="s">
        <v>269</v>
      </c>
      <c r="AX246" s="44" t="s">
        <v>288</v>
      </c>
      <c r="AY246" s="44" t="s">
        <v>283</v>
      </c>
      <c r="AZ246" s="44">
        <v>1</v>
      </c>
      <c r="BA246" s="44" t="s">
        <v>270</v>
      </c>
      <c r="BB246" s="44" t="s">
        <v>271</v>
      </c>
      <c r="BC246" s="44" t="s">
        <v>259</v>
      </c>
      <c r="BD246" s="44" t="s">
        <v>290</v>
      </c>
      <c r="BE246" s="44" t="s">
        <v>272</v>
      </c>
      <c r="BF246" s="44" t="s">
        <v>260</v>
      </c>
      <c r="BG246" s="44" t="s">
        <v>291</v>
      </c>
      <c r="BH246" s="44" t="s">
        <v>274</v>
      </c>
      <c r="BI246" s="44" t="s">
        <v>292</v>
      </c>
      <c r="BJ246" s="44" t="s">
        <v>263</v>
      </c>
      <c r="BK246" s="44" t="s">
        <v>253</v>
      </c>
      <c r="BL246" s="44" t="s">
        <v>253</v>
      </c>
      <c r="BM246" s="44" t="s">
        <v>253</v>
      </c>
      <c r="BN246" s="44" t="s">
        <v>263</v>
      </c>
      <c r="BO246" s="44" t="s">
        <v>253</v>
      </c>
      <c r="BP246" s="44" t="s">
        <v>253</v>
      </c>
      <c r="BQ246" s="44" t="s">
        <v>253</v>
      </c>
      <c r="BR246" s="44" t="s">
        <v>253</v>
      </c>
      <c r="BS246" s="44" t="s">
        <v>276</v>
      </c>
      <c r="BT246" s="44">
        <v>0</v>
      </c>
    </row>
    <row r="247" spans="1:72">
      <c r="A247" s="44">
        <v>2022</v>
      </c>
      <c r="B247" s="6">
        <v>12</v>
      </c>
      <c r="C247" s="6">
        <v>1</v>
      </c>
      <c r="D247" s="6">
        <v>17</v>
      </c>
      <c r="E247" s="6" t="s">
        <v>263</v>
      </c>
      <c r="F247" s="6" t="s">
        <v>254</v>
      </c>
      <c r="G247" s="6">
        <v>2016</v>
      </c>
      <c r="H247" s="6">
        <v>12</v>
      </c>
      <c r="I247" s="6" t="s">
        <v>34</v>
      </c>
      <c r="J247" s="6" t="s">
        <v>253</v>
      </c>
      <c r="K247" s="6">
        <v>1992</v>
      </c>
      <c r="L247" s="14">
        <v>12</v>
      </c>
      <c r="M247" s="6">
        <v>1</v>
      </c>
      <c r="N247" s="6" t="s">
        <v>255</v>
      </c>
      <c r="O247" s="6" t="s">
        <v>288</v>
      </c>
      <c r="P247" s="6" t="s">
        <v>283</v>
      </c>
      <c r="Q247" s="6">
        <v>7000</v>
      </c>
      <c r="R247" s="6" t="s">
        <v>254</v>
      </c>
      <c r="S247" s="6" t="s">
        <v>258</v>
      </c>
      <c r="T247" s="6" t="s">
        <v>259</v>
      </c>
      <c r="U247" s="6" t="s">
        <v>263</v>
      </c>
      <c r="V247" s="6">
        <v>1000</v>
      </c>
      <c r="W247" s="6" t="s">
        <v>260</v>
      </c>
      <c r="X247" s="6">
        <v>5000</v>
      </c>
      <c r="Y247" s="6" t="s">
        <v>261</v>
      </c>
      <c r="Z247" s="6">
        <v>80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284</v>
      </c>
      <c r="AN247" s="44" t="s">
        <v>263</v>
      </c>
      <c r="AO247" s="44" t="s">
        <v>266</v>
      </c>
      <c r="AP247" s="44" t="s">
        <v>289</v>
      </c>
      <c r="AQ247" s="44">
        <v>12</v>
      </c>
      <c r="AR247" s="44" t="s">
        <v>34</v>
      </c>
      <c r="AS247" s="44" t="s">
        <v>253</v>
      </c>
      <c r="AT247" s="44" t="s">
        <v>268</v>
      </c>
      <c r="AU247" s="44">
        <v>12</v>
      </c>
      <c r="AV247" s="44">
        <v>1</v>
      </c>
      <c r="AW247" s="44" t="s">
        <v>269</v>
      </c>
      <c r="AX247" s="44" t="s">
        <v>288</v>
      </c>
      <c r="AY247" s="44" t="s">
        <v>283</v>
      </c>
      <c r="AZ247" s="44">
        <v>3</v>
      </c>
      <c r="BA247" s="44" t="s">
        <v>270</v>
      </c>
      <c r="BB247" s="44" t="s">
        <v>271</v>
      </c>
      <c r="BC247" s="44" t="s">
        <v>259</v>
      </c>
      <c r="BD247" s="44" t="s">
        <v>290</v>
      </c>
      <c r="BE247" s="44" t="s">
        <v>272</v>
      </c>
      <c r="BF247" s="44" t="s">
        <v>260</v>
      </c>
      <c r="BG247" s="44" t="s">
        <v>291</v>
      </c>
      <c r="BH247" s="44" t="s">
        <v>274</v>
      </c>
      <c r="BI247" s="44" t="s">
        <v>292</v>
      </c>
      <c r="BJ247" s="44" t="s">
        <v>263</v>
      </c>
      <c r="BK247" s="44" t="s">
        <v>253</v>
      </c>
      <c r="BL247" s="44" t="s">
        <v>253</v>
      </c>
      <c r="BM247" s="44" t="s">
        <v>253</v>
      </c>
      <c r="BN247" s="44" t="s">
        <v>263</v>
      </c>
      <c r="BO247" s="44" t="s">
        <v>253</v>
      </c>
      <c r="BP247" s="44" t="s">
        <v>253</v>
      </c>
      <c r="BQ247" s="44" t="s">
        <v>253</v>
      </c>
      <c r="BR247" s="44" t="s">
        <v>253</v>
      </c>
      <c r="BS247" s="44" t="s">
        <v>276</v>
      </c>
      <c r="BT247" s="44">
        <v>0</v>
      </c>
    </row>
    <row r="248" spans="1:72">
      <c r="A248" s="44">
        <v>2022</v>
      </c>
      <c r="B248" s="6">
        <v>12</v>
      </c>
      <c r="C248" s="6">
        <v>1</v>
      </c>
      <c r="D248" s="6">
        <v>17</v>
      </c>
      <c r="E248" s="6" t="s">
        <v>263</v>
      </c>
      <c r="F248" s="6" t="s">
        <v>254</v>
      </c>
      <c r="G248" s="6">
        <v>2016</v>
      </c>
      <c r="H248" s="6">
        <v>12</v>
      </c>
      <c r="I248" s="6" t="s">
        <v>34</v>
      </c>
      <c r="J248" s="6" t="s">
        <v>253</v>
      </c>
      <c r="K248" s="6">
        <v>1987</v>
      </c>
      <c r="L248" s="14">
        <v>12</v>
      </c>
      <c r="M248" s="6">
        <v>1</v>
      </c>
      <c r="N248" s="6" t="s">
        <v>255</v>
      </c>
      <c r="O248" s="6" t="s">
        <v>288</v>
      </c>
      <c r="P248" s="6" t="s">
        <v>283</v>
      </c>
      <c r="Q248" s="6">
        <v>7000</v>
      </c>
      <c r="R248" s="6" t="s">
        <v>254</v>
      </c>
      <c r="S248" s="6" t="s">
        <v>258</v>
      </c>
      <c r="T248" s="6" t="s">
        <v>259</v>
      </c>
      <c r="U248" s="6" t="s">
        <v>263</v>
      </c>
      <c r="V248" s="6">
        <v>1000</v>
      </c>
      <c r="W248" s="6" t="s">
        <v>260</v>
      </c>
      <c r="X248" s="6">
        <v>5000</v>
      </c>
      <c r="Y248" s="6" t="s">
        <v>261</v>
      </c>
      <c r="Z248" s="6">
        <v>80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284</v>
      </c>
      <c r="AN248" s="44" t="s">
        <v>263</v>
      </c>
      <c r="AO248" s="44" t="s">
        <v>266</v>
      </c>
      <c r="AP248" s="44" t="s">
        <v>289</v>
      </c>
      <c r="AQ248" s="44">
        <v>12</v>
      </c>
      <c r="AR248" s="44" t="s">
        <v>34</v>
      </c>
      <c r="AS248" s="44" t="s">
        <v>253</v>
      </c>
      <c r="AT248" s="44" t="s">
        <v>277</v>
      </c>
      <c r="AU248" s="44">
        <v>12</v>
      </c>
      <c r="AV248" s="44">
        <v>1</v>
      </c>
      <c r="AW248" s="44" t="s">
        <v>269</v>
      </c>
      <c r="AX248" s="44" t="s">
        <v>288</v>
      </c>
      <c r="AY248" s="44" t="s">
        <v>283</v>
      </c>
      <c r="AZ248" s="44">
        <v>3</v>
      </c>
      <c r="BA248" s="44" t="s">
        <v>270</v>
      </c>
      <c r="BB248" s="44" t="s">
        <v>271</v>
      </c>
      <c r="BC248" s="44" t="s">
        <v>259</v>
      </c>
      <c r="BD248" s="44" t="s">
        <v>290</v>
      </c>
      <c r="BE248" s="44" t="s">
        <v>272</v>
      </c>
      <c r="BF248" s="44" t="s">
        <v>260</v>
      </c>
      <c r="BG248" s="44" t="s">
        <v>291</v>
      </c>
      <c r="BH248" s="44" t="s">
        <v>274</v>
      </c>
      <c r="BI248" s="44" t="s">
        <v>292</v>
      </c>
      <c r="BJ248" s="44" t="s">
        <v>263</v>
      </c>
      <c r="BK248" s="44" t="s">
        <v>253</v>
      </c>
      <c r="BL248" s="44" t="s">
        <v>253</v>
      </c>
      <c r="BM248" s="44" t="s">
        <v>253</v>
      </c>
      <c r="BN248" s="44" t="s">
        <v>263</v>
      </c>
      <c r="BO248" s="44" t="s">
        <v>253</v>
      </c>
      <c r="BP248" s="44" t="s">
        <v>253</v>
      </c>
      <c r="BQ248" s="44" t="s">
        <v>253</v>
      </c>
      <c r="BR248" s="44" t="s">
        <v>253</v>
      </c>
      <c r="BS248" s="44" t="s">
        <v>276</v>
      </c>
      <c r="BT248" s="44">
        <v>0</v>
      </c>
    </row>
    <row r="249" spans="1:72">
      <c r="A249" s="44">
        <v>2022</v>
      </c>
      <c r="B249" s="6">
        <v>12</v>
      </c>
      <c r="C249" s="6">
        <v>1</v>
      </c>
      <c r="D249" s="6">
        <v>17</v>
      </c>
      <c r="E249" s="6" t="s">
        <v>263</v>
      </c>
      <c r="F249" s="6" t="s">
        <v>254</v>
      </c>
      <c r="G249" s="6">
        <v>2016</v>
      </c>
      <c r="H249" s="6">
        <v>12</v>
      </c>
      <c r="I249" s="6" t="s">
        <v>34</v>
      </c>
      <c r="J249" s="6" t="s">
        <v>253</v>
      </c>
      <c r="K249" s="6">
        <v>1982</v>
      </c>
      <c r="L249" s="14">
        <v>12</v>
      </c>
      <c r="M249" s="6">
        <v>1</v>
      </c>
      <c r="N249" s="6" t="s">
        <v>255</v>
      </c>
      <c r="O249" s="6" t="s">
        <v>288</v>
      </c>
      <c r="P249" s="6" t="s">
        <v>283</v>
      </c>
      <c r="Q249" s="6">
        <v>7000</v>
      </c>
      <c r="R249" s="6" t="s">
        <v>254</v>
      </c>
      <c r="S249" s="6" t="s">
        <v>258</v>
      </c>
      <c r="T249" s="6" t="s">
        <v>259</v>
      </c>
      <c r="U249" s="6" t="s">
        <v>263</v>
      </c>
      <c r="V249" s="6">
        <v>1000</v>
      </c>
      <c r="W249" s="6" t="s">
        <v>260</v>
      </c>
      <c r="X249" s="6">
        <v>5000</v>
      </c>
      <c r="Y249" s="6" t="s">
        <v>261</v>
      </c>
      <c r="Z249" s="6">
        <v>80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284</v>
      </c>
      <c r="AN249" s="44" t="s">
        <v>263</v>
      </c>
      <c r="AO249" s="44" t="s">
        <v>266</v>
      </c>
      <c r="AP249" s="44" t="s">
        <v>289</v>
      </c>
      <c r="AQ249" s="44">
        <v>12</v>
      </c>
      <c r="AR249" s="44" t="s">
        <v>34</v>
      </c>
      <c r="AS249" s="44" t="s">
        <v>253</v>
      </c>
      <c r="AT249" s="44" t="s">
        <v>278</v>
      </c>
      <c r="AU249" s="44">
        <v>12</v>
      </c>
      <c r="AV249" s="44">
        <v>1</v>
      </c>
      <c r="AW249" s="44" t="s">
        <v>269</v>
      </c>
      <c r="AX249" s="44" t="s">
        <v>288</v>
      </c>
      <c r="AY249" s="44" t="s">
        <v>283</v>
      </c>
      <c r="AZ249" s="44">
        <v>3</v>
      </c>
      <c r="BA249" s="44" t="s">
        <v>270</v>
      </c>
      <c r="BB249" s="44" t="s">
        <v>271</v>
      </c>
      <c r="BC249" s="44" t="s">
        <v>259</v>
      </c>
      <c r="BD249" s="44" t="s">
        <v>290</v>
      </c>
      <c r="BE249" s="44" t="s">
        <v>272</v>
      </c>
      <c r="BF249" s="44" t="s">
        <v>260</v>
      </c>
      <c r="BG249" s="44" t="s">
        <v>291</v>
      </c>
      <c r="BH249" s="44" t="s">
        <v>274</v>
      </c>
      <c r="BI249" s="44" t="s">
        <v>292</v>
      </c>
      <c r="BJ249" s="44" t="s">
        <v>263</v>
      </c>
      <c r="BK249" s="44" t="s">
        <v>253</v>
      </c>
      <c r="BL249" s="44" t="s">
        <v>253</v>
      </c>
      <c r="BM249" s="44" t="s">
        <v>253</v>
      </c>
      <c r="BN249" s="44" t="s">
        <v>263</v>
      </c>
      <c r="BO249" s="44" t="s">
        <v>253</v>
      </c>
      <c r="BP249" s="44" t="s">
        <v>253</v>
      </c>
      <c r="BQ249" s="44" t="s">
        <v>253</v>
      </c>
      <c r="BR249" s="44" t="s">
        <v>253</v>
      </c>
      <c r="BS249" s="44" t="s">
        <v>276</v>
      </c>
      <c r="BT249" s="44">
        <v>0</v>
      </c>
    </row>
    <row r="250" spans="1:72">
      <c r="A250" s="44">
        <v>2022</v>
      </c>
      <c r="B250" s="6">
        <v>12</v>
      </c>
      <c r="C250" s="6">
        <v>1</v>
      </c>
      <c r="D250" s="6">
        <v>17</v>
      </c>
      <c r="E250" s="6" t="s">
        <v>263</v>
      </c>
      <c r="F250" s="6" t="s">
        <v>254</v>
      </c>
      <c r="G250" s="6">
        <v>2016</v>
      </c>
      <c r="H250" s="6">
        <v>12</v>
      </c>
      <c r="I250" s="6" t="s">
        <v>34</v>
      </c>
      <c r="J250" s="6" t="s">
        <v>253</v>
      </c>
      <c r="K250" s="6">
        <v>1977</v>
      </c>
      <c r="L250" s="14">
        <v>12</v>
      </c>
      <c r="M250" s="6">
        <v>1</v>
      </c>
      <c r="N250" s="6" t="s">
        <v>255</v>
      </c>
      <c r="O250" s="6" t="s">
        <v>288</v>
      </c>
      <c r="P250" s="6" t="s">
        <v>283</v>
      </c>
      <c r="Q250" s="6">
        <v>7000</v>
      </c>
      <c r="R250" s="6" t="s">
        <v>254</v>
      </c>
      <c r="S250" s="6" t="s">
        <v>258</v>
      </c>
      <c r="T250" s="6" t="s">
        <v>259</v>
      </c>
      <c r="U250" s="6" t="s">
        <v>263</v>
      </c>
      <c r="V250" s="6">
        <v>1000</v>
      </c>
      <c r="W250" s="6" t="s">
        <v>260</v>
      </c>
      <c r="X250" s="6">
        <v>5000</v>
      </c>
      <c r="Y250" s="6" t="s">
        <v>261</v>
      </c>
      <c r="Z250" s="6">
        <v>80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284</v>
      </c>
      <c r="AN250" s="44" t="s">
        <v>263</v>
      </c>
      <c r="AO250" s="44" t="s">
        <v>266</v>
      </c>
      <c r="AP250" s="44" t="s">
        <v>289</v>
      </c>
      <c r="AQ250" s="44">
        <v>12</v>
      </c>
      <c r="AR250" s="44" t="s">
        <v>34</v>
      </c>
      <c r="AS250" s="44" t="s">
        <v>253</v>
      </c>
      <c r="AT250" s="44" t="s">
        <v>279</v>
      </c>
      <c r="AU250" s="44">
        <v>12</v>
      </c>
      <c r="AV250" s="44">
        <v>1</v>
      </c>
      <c r="AW250" s="44" t="s">
        <v>269</v>
      </c>
      <c r="AX250" s="44" t="s">
        <v>288</v>
      </c>
      <c r="AY250" s="44" t="s">
        <v>283</v>
      </c>
      <c r="AZ250" s="44">
        <v>3</v>
      </c>
      <c r="BA250" s="44" t="s">
        <v>270</v>
      </c>
      <c r="BB250" s="44" t="s">
        <v>271</v>
      </c>
      <c r="BC250" s="44" t="s">
        <v>259</v>
      </c>
      <c r="BD250" s="44" t="s">
        <v>290</v>
      </c>
      <c r="BE250" s="44" t="s">
        <v>272</v>
      </c>
      <c r="BF250" s="44" t="s">
        <v>260</v>
      </c>
      <c r="BG250" s="44" t="s">
        <v>291</v>
      </c>
      <c r="BH250" s="44" t="s">
        <v>274</v>
      </c>
      <c r="BI250" s="44" t="s">
        <v>292</v>
      </c>
      <c r="BJ250" s="44" t="s">
        <v>263</v>
      </c>
      <c r="BK250" s="44" t="s">
        <v>253</v>
      </c>
      <c r="BL250" s="44" t="s">
        <v>253</v>
      </c>
      <c r="BM250" s="44" t="s">
        <v>253</v>
      </c>
      <c r="BN250" s="44" t="s">
        <v>263</v>
      </c>
      <c r="BO250" s="44" t="s">
        <v>253</v>
      </c>
      <c r="BP250" s="44" t="s">
        <v>253</v>
      </c>
      <c r="BQ250" s="44" t="s">
        <v>253</v>
      </c>
      <c r="BR250" s="44" t="s">
        <v>253</v>
      </c>
      <c r="BS250" s="44" t="s">
        <v>276</v>
      </c>
      <c r="BT250" s="44">
        <v>0</v>
      </c>
    </row>
    <row r="251" spans="1:72">
      <c r="A251" s="44">
        <v>2022</v>
      </c>
      <c r="B251" s="6">
        <v>12</v>
      </c>
      <c r="C251" s="6">
        <v>1</v>
      </c>
      <c r="D251" s="6">
        <v>17</v>
      </c>
      <c r="E251" s="6" t="s">
        <v>263</v>
      </c>
      <c r="F251" s="6" t="s">
        <v>254</v>
      </c>
      <c r="G251" s="6">
        <v>2016</v>
      </c>
      <c r="H251" s="6">
        <v>12</v>
      </c>
      <c r="I251" s="6" t="s">
        <v>34</v>
      </c>
      <c r="J251" s="6" t="s">
        <v>253</v>
      </c>
      <c r="K251" s="6">
        <v>1972</v>
      </c>
      <c r="L251" s="14">
        <v>12</v>
      </c>
      <c r="M251" s="6">
        <v>1</v>
      </c>
      <c r="N251" s="6" t="s">
        <v>255</v>
      </c>
      <c r="O251" s="6" t="s">
        <v>288</v>
      </c>
      <c r="P251" s="6" t="s">
        <v>283</v>
      </c>
      <c r="Q251" s="6">
        <v>7000</v>
      </c>
      <c r="R251" s="6" t="s">
        <v>254</v>
      </c>
      <c r="S251" s="6" t="s">
        <v>258</v>
      </c>
      <c r="T251" s="6" t="s">
        <v>259</v>
      </c>
      <c r="U251" s="6" t="s">
        <v>263</v>
      </c>
      <c r="V251" s="6">
        <v>1000</v>
      </c>
      <c r="W251" s="6" t="s">
        <v>260</v>
      </c>
      <c r="X251" s="6">
        <v>5000</v>
      </c>
      <c r="Y251" s="6" t="s">
        <v>261</v>
      </c>
      <c r="Z251" s="6">
        <v>80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284</v>
      </c>
      <c r="AN251" s="44" t="s">
        <v>263</v>
      </c>
      <c r="AO251" s="44" t="s">
        <v>266</v>
      </c>
      <c r="AP251" s="44" t="s">
        <v>289</v>
      </c>
      <c r="AQ251" s="44">
        <v>12</v>
      </c>
      <c r="AR251" s="44" t="s">
        <v>34</v>
      </c>
      <c r="AS251" s="44" t="s">
        <v>253</v>
      </c>
      <c r="AT251" s="44" t="s">
        <v>280</v>
      </c>
      <c r="AU251" s="44">
        <v>12</v>
      </c>
      <c r="AV251" s="44">
        <v>1</v>
      </c>
      <c r="AW251" s="44" t="s">
        <v>269</v>
      </c>
      <c r="AX251" s="44" t="s">
        <v>288</v>
      </c>
      <c r="AY251" s="44" t="s">
        <v>283</v>
      </c>
      <c r="AZ251" s="44">
        <v>3</v>
      </c>
      <c r="BA251" s="44" t="s">
        <v>270</v>
      </c>
      <c r="BB251" s="44" t="s">
        <v>271</v>
      </c>
      <c r="BC251" s="44" t="s">
        <v>259</v>
      </c>
      <c r="BD251" s="44" t="s">
        <v>290</v>
      </c>
      <c r="BE251" s="44" t="s">
        <v>272</v>
      </c>
      <c r="BF251" s="44" t="s">
        <v>260</v>
      </c>
      <c r="BG251" s="44" t="s">
        <v>291</v>
      </c>
      <c r="BH251" s="44" t="s">
        <v>274</v>
      </c>
      <c r="BI251" s="44" t="s">
        <v>292</v>
      </c>
      <c r="BJ251" s="44" t="s">
        <v>263</v>
      </c>
      <c r="BK251" s="44" t="s">
        <v>253</v>
      </c>
      <c r="BL251" s="44" t="s">
        <v>253</v>
      </c>
      <c r="BM251" s="44" t="s">
        <v>253</v>
      </c>
      <c r="BN251" s="44" t="s">
        <v>263</v>
      </c>
      <c r="BO251" s="44" t="s">
        <v>253</v>
      </c>
      <c r="BP251" s="44" t="s">
        <v>253</v>
      </c>
      <c r="BQ251" s="44" t="s">
        <v>253</v>
      </c>
      <c r="BR251" s="44" t="s">
        <v>253</v>
      </c>
      <c r="BS251" s="44" t="s">
        <v>276</v>
      </c>
      <c r="BT251" s="44">
        <v>0</v>
      </c>
    </row>
    <row r="252" spans="1:72">
      <c r="A252" s="44">
        <v>2022</v>
      </c>
      <c r="B252" s="6">
        <v>12</v>
      </c>
      <c r="C252" s="6">
        <v>1</v>
      </c>
      <c r="D252" s="6">
        <v>17</v>
      </c>
      <c r="E252" s="6" t="s">
        <v>263</v>
      </c>
      <c r="F252" s="6" t="s">
        <v>254</v>
      </c>
      <c r="G252" s="6">
        <v>2016</v>
      </c>
      <c r="H252" s="6">
        <v>12</v>
      </c>
      <c r="I252" s="6" t="s">
        <v>34</v>
      </c>
      <c r="J252" s="6" t="s">
        <v>253</v>
      </c>
      <c r="K252" s="6">
        <v>1962</v>
      </c>
      <c r="L252" s="14">
        <v>12</v>
      </c>
      <c r="M252" s="6">
        <v>1</v>
      </c>
      <c r="N252" s="6" t="s">
        <v>255</v>
      </c>
      <c r="O252" s="6" t="s">
        <v>288</v>
      </c>
      <c r="P252" s="6" t="s">
        <v>283</v>
      </c>
      <c r="Q252" s="6">
        <v>7000</v>
      </c>
      <c r="R252" s="6" t="s">
        <v>254</v>
      </c>
      <c r="S252" s="6" t="s">
        <v>258</v>
      </c>
      <c r="T252" s="6" t="s">
        <v>259</v>
      </c>
      <c r="U252" s="6" t="s">
        <v>263</v>
      </c>
      <c r="V252" s="6">
        <v>1000</v>
      </c>
      <c r="W252" s="6" t="s">
        <v>260</v>
      </c>
      <c r="X252" s="6">
        <v>5000</v>
      </c>
      <c r="Y252" s="6" t="s">
        <v>261</v>
      </c>
      <c r="Z252" s="6">
        <v>80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284</v>
      </c>
      <c r="AN252" s="44" t="s">
        <v>263</v>
      </c>
      <c r="AO252" s="44" t="s">
        <v>266</v>
      </c>
      <c r="AP252" s="44" t="s">
        <v>289</v>
      </c>
      <c r="AQ252" s="44">
        <v>12</v>
      </c>
      <c r="AR252" s="44" t="s">
        <v>34</v>
      </c>
      <c r="AS252" s="44" t="s">
        <v>253</v>
      </c>
      <c r="AT252" s="44" t="s">
        <v>281</v>
      </c>
      <c r="AU252" s="44">
        <v>12</v>
      </c>
      <c r="AV252" s="44">
        <v>1</v>
      </c>
      <c r="AW252" s="44" t="s">
        <v>269</v>
      </c>
      <c r="AX252" s="44" t="s">
        <v>288</v>
      </c>
      <c r="AY252" s="44" t="s">
        <v>283</v>
      </c>
      <c r="AZ252" s="44">
        <v>3</v>
      </c>
      <c r="BA252" s="44" t="s">
        <v>270</v>
      </c>
      <c r="BB252" s="44" t="s">
        <v>271</v>
      </c>
      <c r="BC252" s="44" t="s">
        <v>259</v>
      </c>
      <c r="BD252" s="44" t="s">
        <v>290</v>
      </c>
      <c r="BE252" s="44" t="s">
        <v>272</v>
      </c>
      <c r="BF252" s="44" t="s">
        <v>260</v>
      </c>
      <c r="BG252" s="44" t="s">
        <v>291</v>
      </c>
      <c r="BH252" s="44" t="s">
        <v>274</v>
      </c>
      <c r="BI252" s="44" t="s">
        <v>292</v>
      </c>
      <c r="BJ252" s="44" t="s">
        <v>263</v>
      </c>
      <c r="BK252" s="44" t="s">
        <v>253</v>
      </c>
      <c r="BL252" s="44" t="s">
        <v>253</v>
      </c>
      <c r="BM252" s="44" t="s">
        <v>253</v>
      </c>
      <c r="BN252" s="44" t="s">
        <v>263</v>
      </c>
      <c r="BO252" s="44" t="s">
        <v>253</v>
      </c>
      <c r="BP252" s="44" t="s">
        <v>253</v>
      </c>
      <c r="BQ252" s="44" t="s">
        <v>253</v>
      </c>
      <c r="BR252" s="44" t="s">
        <v>253</v>
      </c>
      <c r="BS252" s="44" t="s">
        <v>276</v>
      </c>
      <c r="BT252" s="44">
        <v>0</v>
      </c>
    </row>
    <row r="253" spans="1:72">
      <c r="A253" s="44">
        <v>2022</v>
      </c>
      <c r="B253" s="6">
        <v>12</v>
      </c>
      <c r="C253" s="6">
        <v>1</v>
      </c>
      <c r="D253" s="6">
        <v>17</v>
      </c>
      <c r="E253" s="6" t="s">
        <v>263</v>
      </c>
      <c r="F253" s="6" t="s">
        <v>254</v>
      </c>
      <c r="G253" s="6">
        <v>2016</v>
      </c>
      <c r="H253" s="6">
        <v>12</v>
      </c>
      <c r="I253" s="6" t="s">
        <v>34</v>
      </c>
      <c r="J253" s="6" t="s">
        <v>253</v>
      </c>
      <c r="K253" s="6">
        <v>1952</v>
      </c>
      <c r="L253" s="14">
        <v>12</v>
      </c>
      <c r="M253" s="6">
        <v>1</v>
      </c>
      <c r="N253" s="6" t="s">
        <v>255</v>
      </c>
      <c r="O253" s="6" t="s">
        <v>288</v>
      </c>
      <c r="P253" s="6" t="s">
        <v>283</v>
      </c>
      <c r="Q253" s="6">
        <v>7000</v>
      </c>
      <c r="R253" s="6" t="s">
        <v>254</v>
      </c>
      <c r="S253" s="6" t="s">
        <v>258</v>
      </c>
      <c r="T253" s="6" t="s">
        <v>259</v>
      </c>
      <c r="U253" s="6" t="s">
        <v>263</v>
      </c>
      <c r="V253" s="6">
        <v>1000</v>
      </c>
      <c r="W253" s="6" t="s">
        <v>260</v>
      </c>
      <c r="X253" s="6">
        <v>5000</v>
      </c>
      <c r="Y253" s="6" t="s">
        <v>261</v>
      </c>
      <c r="Z253" s="6">
        <v>80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284</v>
      </c>
      <c r="AN253" s="44" t="s">
        <v>263</v>
      </c>
      <c r="AO253" s="44" t="s">
        <v>266</v>
      </c>
      <c r="AP253" s="44" t="s">
        <v>289</v>
      </c>
      <c r="AQ253" s="44">
        <v>12</v>
      </c>
      <c r="AR253" s="44" t="s">
        <v>34</v>
      </c>
      <c r="AS253" s="44" t="s">
        <v>253</v>
      </c>
      <c r="AT253" s="44" t="s">
        <v>282</v>
      </c>
      <c r="AU253" s="44">
        <v>12</v>
      </c>
      <c r="AV253" s="44">
        <v>1</v>
      </c>
      <c r="AW253" s="44" t="s">
        <v>269</v>
      </c>
      <c r="AX253" s="44" t="s">
        <v>288</v>
      </c>
      <c r="AY253" s="44" t="s">
        <v>283</v>
      </c>
      <c r="AZ253" s="44">
        <v>3</v>
      </c>
      <c r="BA253" s="44" t="s">
        <v>270</v>
      </c>
      <c r="BB253" s="44" t="s">
        <v>271</v>
      </c>
      <c r="BC253" s="44" t="s">
        <v>259</v>
      </c>
      <c r="BD253" s="44" t="s">
        <v>290</v>
      </c>
      <c r="BE253" s="44" t="s">
        <v>272</v>
      </c>
      <c r="BF253" s="44" t="s">
        <v>260</v>
      </c>
      <c r="BG253" s="44" t="s">
        <v>291</v>
      </c>
      <c r="BH253" s="44" t="s">
        <v>274</v>
      </c>
      <c r="BI253" s="44" t="s">
        <v>292</v>
      </c>
      <c r="BJ253" s="44" t="s">
        <v>263</v>
      </c>
      <c r="BK253" s="44" t="s">
        <v>253</v>
      </c>
      <c r="BL253" s="44" t="s">
        <v>253</v>
      </c>
      <c r="BM253" s="44" t="s">
        <v>253</v>
      </c>
      <c r="BN253" s="44" t="s">
        <v>263</v>
      </c>
      <c r="BO253" s="44" t="s">
        <v>253</v>
      </c>
      <c r="BP253" s="44" t="s">
        <v>253</v>
      </c>
      <c r="BQ253" s="44" t="s">
        <v>253</v>
      </c>
      <c r="BR253" s="44" t="s">
        <v>253</v>
      </c>
      <c r="BS253" s="44" t="s">
        <v>276</v>
      </c>
      <c r="BT253" s="44">
        <v>0</v>
      </c>
    </row>
    <row r="254" spans="1:72">
      <c r="A254" s="44">
        <v>2022</v>
      </c>
      <c r="B254" s="6">
        <v>12</v>
      </c>
      <c r="C254" s="6">
        <v>1</v>
      </c>
      <c r="D254" s="6" t="s">
        <v>286</v>
      </c>
      <c r="E254" s="6" t="s">
        <v>253</v>
      </c>
      <c r="F254" s="6" t="s">
        <v>254</v>
      </c>
      <c r="G254" s="6">
        <v>2022</v>
      </c>
      <c r="H254" s="6">
        <v>11</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470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286</v>
      </c>
      <c r="AN254" s="44" t="s">
        <v>253</v>
      </c>
      <c r="AO254" s="44" t="s">
        <v>266</v>
      </c>
      <c r="AP254" s="44" t="s">
        <v>264</v>
      </c>
      <c r="AQ254" s="44">
        <v>11</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293</v>
      </c>
      <c r="BJ254" s="44" t="s">
        <v>263</v>
      </c>
      <c r="BK254" s="44" t="s">
        <v>253</v>
      </c>
      <c r="BL254" s="44" t="s">
        <v>253</v>
      </c>
      <c r="BM254" s="44" t="s">
        <v>253</v>
      </c>
      <c r="BN254" s="44" t="s">
        <v>263</v>
      </c>
      <c r="BO254" s="44" t="s">
        <v>253</v>
      </c>
      <c r="BP254" s="44" t="s">
        <v>253</v>
      </c>
      <c r="BQ254" s="44" t="s">
        <v>253</v>
      </c>
      <c r="BR254" s="44" t="s">
        <v>253</v>
      </c>
      <c r="BS254" s="44" t="s">
        <v>287</v>
      </c>
      <c r="BT254" s="44">
        <v>0</v>
      </c>
    </row>
    <row r="255" spans="1:72">
      <c r="A255" s="44">
        <v>2022</v>
      </c>
      <c r="B255" s="6">
        <v>12</v>
      </c>
      <c r="C255" s="6">
        <v>1</v>
      </c>
      <c r="D255" s="6" t="s">
        <v>286</v>
      </c>
      <c r="E255" s="6" t="s">
        <v>253</v>
      </c>
      <c r="F255" s="6" t="s">
        <v>254</v>
      </c>
      <c r="G255" s="6">
        <v>2022</v>
      </c>
      <c r="H255" s="6">
        <v>11</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470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286</v>
      </c>
      <c r="AN255" s="44" t="s">
        <v>253</v>
      </c>
      <c r="AO255" s="44" t="s">
        <v>266</v>
      </c>
      <c r="AP255" s="44" t="s">
        <v>264</v>
      </c>
      <c r="AQ255" s="44">
        <v>11</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293</v>
      </c>
      <c r="BJ255" s="44" t="s">
        <v>263</v>
      </c>
      <c r="BK255" s="44" t="s">
        <v>253</v>
      </c>
      <c r="BL255" s="44" t="s">
        <v>253</v>
      </c>
      <c r="BM255" s="44" t="s">
        <v>253</v>
      </c>
      <c r="BN255" s="44" t="s">
        <v>263</v>
      </c>
      <c r="BO255" s="44" t="s">
        <v>253</v>
      </c>
      <c r="BP255" s="44" t="s">
        <v>253</v>
      </c>
      <c r="BQ255" s="44" t="s">
        <v>253</v>
      </c>
      <c r="BR255" s="44" t="s">
        <v>253</v>
      </c>
      <c r="BS255" s="44" t="s">
        <v>287</v>
      </c>
      <c r="BT255" s="44">
        <v>0</v>
      </c>
    </row>
    <row r="256" spans="1:72">
      <c r="A256" s="44">
        <v>2022</v>
      </c>
      <c r="B256" s="6">
        <v>12</v>
      </c>
      <c r="C256" s="6">
        <v>1</v>
      </c>
      <c r="D256" s="6" t="s">
        <v>286</v>
      </c>
      <c r="E256" s="6" t="s">
        <v>253</v>
      </c>
      <c r="F256" s="6" t="s">
        <v>254</v>
      </c>
      <c r="G256" s="6">
        <v>2022</v>
      </c>
      <c r="H256" s="6">
        <v>11</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470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286</v>
      </c>
      <c r="AN256" s="44" t="s">
        <v>253</v>
      </c>
      <c r="AO256" s="44" t="s">
        <v>266</v>
      </c>
      <c r="AP256" s="44" t="s">
        <v>264</v>
      </c>
      <c r="AQ256" s="44">
        <v>11</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293</v>
      </c>
      <c r="BJ256" s="44" t="s">
        <v>263</v>
      </c>
      <c r="BK256" s="44" t="s">
        <v>253</v>
      </c>
      <c r="BL256" s="44" t="s">
        <v>253</v>
      </c>
      <c r="BM256" s="44" t="s">
        <v>253</v>
      </c>
      <c r="BN256" s="44" t="s">
        <v>263</v>
      </c>
      <c r="BO256" s="44" t="s">
        <v>253</v>
      </c>
      <c r="BP256" s="44" t="s">
        <v>253</v>
      </c>
      <c r="BQ256" s="44" t="s">
        <v>253</v>
      </c>
      <c r="BR256" s="44" t="s">
        <v>253</v>
      </c>
      <c r="BS256" s="44" t="s">
        <v>287</v>
      </c>
      <c r="BT256" s="44">
        <v>0</v>
      </c>
    </row>
    <row r="257" spans="1:72">
      <c r="A257" s="44">
        <v>2022</v>
      </c>
      <c r="B257" s="6">
        <v>12</v>
      </c>
      <c r="C257" s="6">
        <v>1</v>
      </c>
      <c r="D257" s="6" t="s">
        <v>286</v>
      </c>
      <c r="E257" s="6" t="s">
        <v>253</v>
      </c>
      <c r="F257" s="6" t="s">
        <v>254</v>
      </c>
      <c r="G257" s="6">
        <v>2022</v>
      </c>
      <c r="H257" s="6">
        <v>11</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470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286</v>
      </c>
      <c r="AN257" s="44" t="s">
        <v>253</v>
      </c>
      <c r="AO257" s="44" t="s">
        <v>266</v>
      </c>
      <c r="AP257" s="44" t="s">
        <v>264</v>
      </c>
      <c r="AQ257" s="44">
        <v>11</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293</v>
      </c>
      <c r="BJ257" s="44" t="s">
        <v>263</v>
      </c>
      <c r="BK257" s="44" t="s">
        <v>253</v>
      </c>
      <c r="BL257" s="44" t="s">
        <v>253</v>
      </c>
      <c r="BM257" s="44" t="s">
        <v>253</v>
      </c>
      <c r="BN257" s="44" t="s">
        <v>263</v>
      </c>
      <c r="BO257" s="44" t="s">
        <v>253</v>
      </c>
      <c r="BP257" s="44" t="s">
        <v>253</v>
      </c>
      <c r="BQ257" s="44" t="s">
        <v>253</v>
      </c>
      <c r="BR257" s="44" t="s">
        <v>253</v>
      </c>
      <c r="BS257" s="44" t="s">
        <v>287</v>
      </c>
      <c r="BT257" s="44">
        <v>0</v>
      </c>
    </row>
    <row r="258" spans="1:72">
      <c r="A258" s="44">
        <v>2022</v>
      </c>
      <c r="B258" s="6">
        <v>12</v>
      </c>
      <c r="C258" s="6">
        <v>1</v>
      </c>
      <c r="D258" s="6" t="s">
        <v>286</v>
      </c>
      <c r="E258" s="6" t="s">
        <v>253</v>
      </c>
      <c r="F258" s="6" t="s">
        <v>254</v>
      </c>
      <c r="G258" s="6">
        <v>2022</v>
      </c>
      <c r="H258" s="6">
        <v>11</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470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286</v>
      </c>
      <c r="AN258" s="44" t="s">
        <v>253</v>
      </c>
      <c r="AO258" s="44" t="s">
        <v>266</v>
      </c>
      <c r="AP258" s="44" t="s">
        <v>264</v>
      </c>
      <c r="AQ258" s="44">
        <v>11</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293</v>
      </c>
      <c r="BJ258" s="44" t="s">
        <v>263</v>
      </c>
      <c r="BK258" s="44" t="s">
        <v>253</v>
      </c>
      <c r="BL258" s="44" t="s">
        <v>253</v>
      </c>
      <c r="BM258" s="44" t="s">
        <v>253</v>
      </c>
      <c r="BN258" s="44" t="s">
        <v>263</v>
      </c>
      <c r="BO258" s="44" t="s">
        <v>253</v>
      </c>
      <c r="BP258" s="44" t="s">
        <v>253</v>
      </c>
      <c r="BQ258" s="44" t="s">
        <v>253</v>
      </c>
      <c r="BR258" s="44" t="s">
        <v>253</v>
      </c>
      <c r="BS258" s="44" t="s">
        <v>287</v>
      </c>
      <c r="BT258" s="44">
        <v>0</v>
      </c>
    </row>
    <row r="259" spans="1:72">
      <c r="A259" s="44">
        <v>2022</v>
      </c>
      <c r="B259" s="6">
        <v>12</v>
      </c>
      <c r="C259" s="6">
        <v>1</v>
      </c>
      <c r="D259" s="6" t="s">
        <v>286</v>
      </c>
      <c r="E259" s="6" t="s">
        <v>253</v>
      </c>
      <c r="F259" s="6" t="s">
        <v>254</v>
      </c>
      <c r="G259" s="6">
        <v>2022</v>
      </c>
      <c r="H259" s="6">
        <v>11</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470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286</v>
      </c>
      <c r="AN259" s="44" t="s">
        <v>253</v>
      </c>
      <c r="AO259" s="44" t="s">
        <v>266</v>
      </c>
      <c r="AP259" s="44" t="s">
        <v>264</v>
      </c>
      <c r="AQ259" s="44">
        <v>11</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293</v>
      </c>
      <c r="BJ259" s="44" t="s">
        <v>263</v>
      </c>
      <c r="BK259" s="44" t="s">
        <v>253</v>
      </c>
      <c r="BL259" s="44" t="s">
        <v>253</v>
      </c>
      <c r="BM259" s="44" t="s">
        <v>253</v>
      </c>
      <c r="BN259" s="44" t="s">
        <v>263</v>
      </c>
      <c r="BO259" s="44" t="s">
        <v>253</v>
      </c>
      <c r="BP259" s="44" t="s">
        <v>253</v>
      </c>
      <c r="BQ259" s="44" t="s">
        <v>253</v>
      </c>
      <c r="BR259" s="44" t="s">
        <v>253</v>
      </c>
      <c r="BS259" s="44" t="s">
        <v>287</v>
      </c>
      <c r="BT259" s="44">
        <v>0</v>
      </c>
    </row>
    <row r="260" spans="1:72">
      <c r="A260" s="44">
        <v>2022</v>
      </c>
      <c r="B260" s="6">
        <v>12</v>
      </c>
      <c r="C260" s="6">
        <v>1</v>
      </c>
      <c r="D260" s="6" t="s">
        <v>286</v>
      </c>
      <c r="E260" s="6" t="s">
        <v>253</v>
      </c>
      <c r="F260" s="6" t="s">
        <v>254</v>
      </c>
      <c r="G260" s="6">
        <v>2022</v>
      </c>
      <c r="H260" s="6">
        <v>11</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470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286</v>
      </c>
      <c r="AN260" s="44" t="s">
        <v>253</v>
      </c>
      <c r="AO260" s="44" t="s">
        <v>266</v>
      </c>
      <c r="AP260" s="44" t="s">
        <v>264</v>
      </c>
      <c r="AQ260" s="44">
        <v>11</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293</v>
      </c>
      <c r="BJ260" s="44" t="s">
        <v>263</v>
      </c>
      <c r="BK260" s="44" t="s">
        <v>253</v>
      </c>
      <c r="BL260" s="44" t="s">
        <v>253</v>
      </c>
      <c r="BM260" s="44" t="s">
        <v>253</v>
      </c>
      <c r="BN260" s="44" t="s">
        <v>263</v>
      </c>
      <c r="BO260" s="44" t="s">
        <v>253</v>
      </c>
      <c r="BP260" s="44" t="s">
        <v>253</v>
      </c>
      <c r="BQ260" s="44" t="s">
        <v>253</v>
      </c>
      <c r="BR260" s="44" t="s">
        <v>253</v>
      </c>
      <c r="BS260" s="44" t="s">
        <v>287</v>
      </c>
      <c r="BT260" s="44">
        <v>0</v>
      </c>
    </row>
    <row r="261" spans="1:72">
      <c r="A261" s="44">
        <v>2022</v>
      </c>
      <c r="B261" s="6">
        <v>12</v>
      </c>
      <c r="C261" s="6">
        <v>1</v>
      </c>
      <c r="D261" s="6" t="s">
        <v>286</v>
      </c>
      <c r="E261" s="6" t="s">
        <v>253</v>
      </c>
      <c r="F261" s="6" t="s">
        <v>254</v>
      </c>
      <c r="G261" s="6">
        <v>2022</v>
      </c>
      <c r="H261" s="6">
        <v>11</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470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286</v>
      </c>
      <c r="AN261" s="44" t="s">
        <v>253</v>
      </c>
      <c r="AO261" s="44" t="s">
        <v>266</v>
      </c>
      <c r="AP261" s="44" t="s">
        <v>264</v>
      </c>
      <c r="AQ261" s="44">
        <v>11</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293</v>
      </c>
      <c r="BJ261" s="44" t="s">
        <v>263</v>
      </c>
      <c r="BK261" s="44" t="s">
        <v>253</v>
      </c>
      <c r="BL261" s="44" t="s">
        <v>253</v>
      </c>
      <c r="BM261" s="44" t="s">
        <v>253</v>
      </c>
      <c r="BN261" s="44" t="s">
        <v>263</v>
      </c>
      <c r="BO261" s="44" t="s">
        <v>253</v>
      </c>
      <c r="BP261" s="44" t="s">
        <v>253</v>
      </c>
      <c r="BQ261" s="44" t="s">
        <v>253</v>
      </c>
      <c r="BR261" s="44" t="s">
        <v>253</v>
      </c>
      <c r="BS261" s="44" t="s">
        <v>287</v>
      </c>
      <c r="BT261" s="44">
        <v>0</v>
      </c>
    </row>
    <row r="262" spans="1:72">
      <c r="A262" s="44">
        <v>2022</v>
      </c>
      <c r="B262" s="6">
        <v>12</v>
      </c>
      <c r="C262" s="6">
        <v>1</v>
      </c>
      <c r="D262" s="6" t="s">
        <v>286</v>
      </c>
      <c r="E262" s="6" t="s">
        <v>253</v>
      </c>
      <c r="F262" s="6" t="s">
        <v>254</v>
      </c>
      <c r="G262" s="6">
        <v>2022</v>
      </c>
      <c r="H262" s="6">
        <v>11</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470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286</v>
      </c>
      <c r="AN262" s="44" t="s">
        <v>253</v>
      </c>
      <c r="AO262" s="44" t="s">
        <v>266</v>
      </c>
      <c r="AP262" s="44" t="s">
        <v>264</v>
      </c>
      <c r="AQ262" s="44">
        <v>11</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293</v>
      </c>
      <c r="BJ262" s="44" t="s">
        <v>263</v>
      </c>
      <c r="BK262" s="44" t="s">
        <v>253</v>
      </c>
      <c r="BL262" s="44" t="s">
        <v>253</v>
      </c>
      <c r="BM262" s="44" t="s">
        <v>253</v>
      </c>
      <c r="BN262" s="44" t="s">
        <v>263</v>
      </c>
      <c r="BO262" s="44" t="s">
        <v>253</v>
      </c>
      <c r="BP262" s="44" t="s">
        <v>253</v>
      </c>
      <c r="BQ262" s="44" t="s">
        <v>253</v>
      </c>
      <c r="BR262" s="44" t="s">
        <v>253</v>
      </c>
      <c r="BS262" s="44" t="s">
        <v>287</v>
      </c>
      <c r="BT262" s="44">
        <v>0</v>
      </c>
    </row>
    <row r="263" spans="1:72">
      <c r="A263" s="44">
        <v>2022</v>
      </c>
      <c r="B263" s="6">
        <v>12</v>
      </c>
      <c r="C263" s="6">
        <v>1</v>
      </c>
      <c r="D263" s="6" t="s">
        <v>286</v>
      </c>
      <c r="E263" s="6" t="s">
        <v>253</v>
      </c>
      <c r="F263" s="6" t="s">
        <v>254</v>
      </c>
      <c r="G263" s="6">
        <v>2022</v>
      </c>
      <c r="H263" s="6">
        <v>11</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470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286</v>
      </c>
      <c r="AN263" s="44" t="s">
        <v>253</v>
      </c>
      <c r="AO263" s="44" t="s">
        <v>266</v>
      </c>
      <c r="AP263" s="44" t="s">
        <v>264</v>
      </c>
      <c r="AQ263" s="44">
        <v>11</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293</v>
      </c>
      <c r="BJ263" s="44" t="s">
        <v>263</v>
      </c>
      <c r="BK263" s="44" t="s">
        <v>253</v>
      </c>
      <c r="BL263" s="44" t="s">
        <v>253</v>
      </c>
      <c r="BM263" s="44" t="s">
        <v>253</v>
      </c>
      <c r="BN263" s="44" t="s">
        <v>263</v>
      </c>
      <c r="BO263" s="44" t="s">
        <v>253</v>
      </c>
      <c r="BP263" s="44" t="s">
        <v>253</v>
      </c>
      <c r="BQ263" s="44" t="s">
        <v>253</v>
      </c>
      <c r="BR263" s="44" t="s">
        <v>253</v>
      </c>
      <c r="BS263" s="44" t="s">
        <v>287</v>
      </c>
      <c r="BT263" s="44">
        <v>0</v>
      </c>
    </row>
    <row r="264" spans="1:72">
      <c r="A264" s="44">
        <v>2022</v>
      </c>
      <c r="B264" s="6">
        <v>12</v>
      </c>
      <c r="C264" s="6">
        <v>1</v>
      </c>
      <c r="D264" s="6" t="s">
        <v>286</v>
      </c>
      <c r="E264" s="6" t="s">
        <v>253</v>
      </c>
      <c r="F264" s="6" t="s">
        <v>254</v>
      </c>
      <c r="G264" s="6">
        <v>2022</v>
      </c>
      <c r="H264" s="6">
        <v>11</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470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286</v>
      </c>
      <c r="AN264" s="44" t="s">
        <v>253</v>
      </c>
      <c r="AO264" s="44" t="s">
        <v>266</v>
      </c>
      <c r="AP264" s="44" t="s">
        <v>264</v>
      </c>
      <c r="AQ264" s="44">
        <v>11</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293</v>
      </c>
      <c r="BJ264" s="44" t="s">
        <v>263</v>
      </c>
      <c r="BK264" s="44" t="s">
        <v>253</v>
      </c>
      <c r="BL264" s="44" t="s">
        <v>253</v>
      </c>
      <c r="BM264" s="44" t="s">
        <v>253</v>
      </c>
      <c r="BN264" s="44" t="s">
        <v>263</v>
      </c>
      <c r="BO264" s="44" t="s">
        <v>253</v>
      </c>
      <c r="BP264" s="44" t="s">
        <v>253</v>
      </c>
      <c r="BQ264" s="44" t="s">
        <v>253</v>
      </c>
      <c r="BR264" s="44" t="s">
        <v>253</v>
      </c>
      <c r="BS264" s="44" t="s">
        <v>287</v>
      </c>
      <c r="BT264" s="44">
        <v>0</v>
      </c>
    </row>
    <row r="265" spans="1:72">
      <c r="A265" s="44">
        <v>2022</v>
      </c>
      <c r="B265" s="6">
        <v>12</v>
      </c>
      <c r="C265" s="6">
        <v>1</v>
      </c>
      <c r="D265" s="6" t="s">
        <v>286</v>
      </c>
      <c r="E265" s="6" t="s">
        <v>253</v>
      </c>
      <c r="F265" s="6" t="s">
        <v>254</v>
      </c>
      <c r="G265" s="6">
        <v>2022</v>
      </c>
      <c r="H265" s="6">
        <v>11</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470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286</v>
      </c>
      <c r="AN265" s="44" t="s">
        <v>253</v>
      </c>
      <c r="AO265" s="44" t="s">
        <v>266</v>
      </c>
      <c r="AP265" s="44" t="s">
        <v>264</v>
      </c>
      <c r="AQ265" s="44">
        <v>11</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293</v>
      </c>
      <c r="BJ265" s="44" t="s">
        <v>263</v>
      </c>
      <c r="BK265" s="44" t="s">
        <v>253</v>
      </c>
      <c r="BL265" s="44" t="s">
        <v>253</v>
      </c>
      <c r="BM265" s="44" t="s">
        <v>253</v>
      </c>
      <c r="BN265" s="44" t="s">
        <v>263</v>
      </c>
      <c r="BO265" s="44" t="s">
        <v>253</v>
      </c>
      <c r="BP265" s="44" t="s">
        <v>253</v>
      </c>
      <c r="BQ265" s="44" t="s">
        <v>253</v>
      </c>
      <c r="BR265" s="44" t="s">
        <v>253</v>
      </c>
      <c r="BS265" s="44" t="s">
        <v>287</v>
      </c>
      <c r="BT265" s="44">
        <v>0</v>
      </c>
    </row>
    <row r="266" spans="1:72">
      <c r="A266" s="44">
        <v>2022</v>
      </c>
      <c r="B266" s="6">
        <v>12</v>
      </c>
      <c r="C266" s="6">
        <v>1</v>
      </c>
      <c r="D266" s="6" t="s">
        <v>286</v>
      </c>
      <c r="E266" s="6" t="s">
        <v>253</v>
      </c>
      <c r="F266" s="6" t="s">
        <v>254</v>
      </c>
      <c r="G266" s="6">
        <v>2022</v>
      </c>
      <c r="H266" s="6">
        <v>11</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470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286</v>
      </c>
      <c r="AN266" s="44" t="s">
        <v>253</v>
      </c>
      <c r="AO266" s="44" t="s">
        <v>266</v>
      </c>
      <c r="AP266" s="44" t="s">
        <v>264</v>
      </c>
      <c r="AQ266" s="44">
        <v>11</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293</v>
      </c>
      <c r="BJ266" s="44" t="s">
        <v>263</v>
      </c>
      <c r="BK266" s="44" t="s">
        <v>253</v>
      </c>
      <c r="BL266" s="44" t="s">
        <v>253</v>
      </c>
      <c r="BM266" s="44" t="s">
        <v>253</v>
      </c>
      <c r="BN266" s="44" t="s">
        <v>263</v>
      </c>
      <c r="BO266" s="44" t="s">
        <v>253</v>
      </c>
      <c r="BP266" s="44" t="s">
        <v>253</v>
      </c>
      <c r="BQ266" s="44" t="s">
        <v>253</v>
      </c>
      <c r="BR266" s="44" t="s">
        <v>253</v>
      </c>
      <c r="BS266" s="44" t="s">
        <v>287</v>
      </c>
      <c r="BT266" s="44">
        <v>0</v>
      </c>
    </row>
    <row r="267" spans="1:72">
      <c r="A267" s="44">
        <v>2022</v>
      </c>
      <c r="B267" s="6">
        <v>12</v>
      </c>
      <c r="C267" s="6">
        <v>1</v>
      </c>
      <c r="D267" s="6" t="s">
        <v>286</v>
      </c>
      <c r="E267" s="6" t="s">
        <v>253</v>
      </c>
      <c r="F267" s="6" t="s">
        <v>254</v>
      </c>
      <c r="G267" s="6">
        <v>2022</v>
      </c>
      <c r="H267" s="6">
        <v>11</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470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286</v>
      </c>
      <c r="AN267" s="44" t="s">
        <v>253</v>
      </c>
      <c r="AO267" s="44" t="s">
        <v>266</v>
      </c>
      <c r="AP267" s="44" t="s">
        <v>264</v>
      </c>
      <c r="AQ267" s="44">
        <v>11</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293</v>
      </c>
      <c r="BJ267" s="44" t="s">
        <v>263</v>
      </c>
      <c r="BK267" s="44" t="s">
        <v>253</v>
      </c>
      <c r="BL267" s="44" t="s">
        <v>253</v>
      </c>
      <c r="BM267" s="44" t="s">
        <v>253</v>
      </c>
      <c r="BN267" s="44" t="s">
        <v>263</v>
      </c>
      <c r="BO267" s="44" t="s">
        <v>253</v>
      </c>
      <c r="BP267" s="44" t="s">
        <v>253</v>
      </c>
      <c r="BQ267" s="44" t="s">
        <v>253</v>
      </c>
      <c r="BR267" s="44" t="s">
        <v>253</v>
      </c>
      <c r="BS267" s="44" t="s">
        <v>287</v>
      </c>
      <c r="BT267" s="44">
        <v>0</v>
      </c>
    </row>
    <row r="268" spans="1:72">
      <c r="A268" s="44">
        <v>2022</v>
      </c>
      <c r="B268" s="6">
        <v>12</v>
      </c>
      <c r="C268" s="6">
        <v>1</v>
      </c>
      <c r="D268" s="6" t="s">
        <v>286</v>
      </c>
      <c r="E268" s="6" t="s">
        <v>253</v>
      </c>
      <c r="F268" s="6" t="s">
        <v>254</v>
      </c>
      <c r="G268" s="6">
        <v>2022</v>
      </c>
      <c r="H268" s="6">
        <v>11</v>
      </c>
      <c r="I268" s="6" t="s">
        <v>36</v>
      </c>
      <c r="J268" s="6" t="s">
        <v>253</v>
      </c>
      <c r="K268" s="6">
        <v>1992</v>
      </c>
      <c r="L268" s="14">
        <v>12</v>
      </c>
      <c r="M268" s="6">
        <v>1</v>
      </c>
      <c r="N268" s="6" t="s">
        <v>255</v>
      </c>
      <c r="O268" s="6" t="s">
        <v>256</v>
      </c>
      <c r="P268" s="6" t="s">
        <v>283</v>
      </c>
      <c r="Q268" s="6">
        <v>3000</v>
      </c>
      <c r="R268" s="6" t="s">
        <v>254</v>
      </c>
      <c r="S268" s="6" t="s">
        <v>258</v>
      </c>
      <c r="T268" s="6" t="s">
        <v>259</v>
      </c>
      <c r="U268" s="6" t="s">
        <v>253</v>
      </c>
      <c r="V268" s="6">
        <v>1000</v>
      </c>
      <c r="W268" s="6" t="s">
        <v>260</v>
      </c>
      <c r="X268" s="6">
        <v>3000</v>
      </c>
      <c r="Y268" s="6" t="s">
        <v>261</v>
      </c>
      <c r="Z268" s="6">
        <v>470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286</v>
      </c>
      <c r="AN268" s="44" t="s">
        <v>253</v>
      </c>
      <c r="AO268" s="44" t="s">
        <v>266</v>
      </c>
      <c r="AP268" s="44" t="s">
        <v>264</v>
      </c>
      <c r="AQ268" s="44">
        <v>11</v>
      </c>
      <c r="AR268" s="44" t="s">
        <v>36</v>
      </c>
      <c r="AS268" s="44" t="s">
        <v>253</v>
      </c>
      <c r="AT268" s="44" t="s">
        <v>268</v>
      </c>
      <c r="AU268" s="44">
        <v>12</v>
      </c>
      <c r="AV268" s="44">
        <v>1</v>
      </c>
      <c r="AW268" s="44" t="s">
        <v>269</v>
      </c>
      <c r="AX268" s="44" t="s">
        <v>256</v>
      </c>
      <c r="AY268" s="44" t="s">
        <v>283</v>
      </c>
      <c r="AZ268" s="44">
        <v>1</v>
      </c>
      <c r="BA268" s="44" t="s">
        <v>270</v>
      </c>
      <c r="BB268" s="44" t="s">
        <v>271</v>
      </c>
      <c r="BC268" s="44" t="s">
        <v>259</v>
      </c>
      <c r="BD268" s="44" t="s">
        <v>253</v>
      </c>
      <c r="BE268" s="44" t="s">
        <v>272</v>
      </c>
      <c r="BF268" s="44" t="s">
        <v>260</v>
      </c>
      <c r="BG268" s="44" t="s">
        <v>273</v>
      </c>
      <c r="BH268" s="44" t="s">
        <v>274</v>
      </c>
      <c r="BI268" s="44" t="s">
        <v>293</v>
      </c>
      <c r="BJ268" s="44" t="s">
        <v>263</v>
      </c>
      <c r="BK268" s="44" t="s">
        <v>253</v>
      </c>
      <c r="BL268" s="44" t="s">
        <v>253</v>
      </c>
      <c r="BM268" s="44" t="s">
        <v>253</v>
      </c>
      <c r="BN268" s="44" t="s">
        <v>263</v>
      </c>
      <c r="BO268" s="44" t="s">
        <v>253</v>
      </c>
      <c r="BP268" s="44" t="s">
        <v>253</v>
      </c>
      <c r="BQ268" s="44" t="s">
        <v>253</v>
      </c>
      <c r="BR268" s="44" t="s">
        <v>253</v>
      </c>
      <c r="BS268" s="44" t="s">
        <v>287</v>
      </c>
      <c r="BT268" s="44">
        <v>0</v>
      </c>
    </row>
    <row r="269" spans="1:72">
      <c r="A269" s="44">
        <v>2022</v>
      </c>
      <c r="B269" s="6">
        <v>12</v>
      </c>
      <c r="C269" s="6">
        <v>1</v>
      </c>
      <c r="D269" s="6" t="s">
        <v>286</v>
      </c>
      <c r="E269" s="6" t="s">
        <v>253</v>
      </c>
      <c r="F269" s="6" t="s">
        <v>254</v>
      </c>
      <c r="G269" s="6">
        <v>2022</v>
      </c>
      <c r="H269" s="6">
        <v>11</v>
      </c>
      <c r="I269" s="6" t="s">
        <v>36</v>
      </c>
      <c r="J269" s="6" t="s">
        <v>253</v>
      </c>
      <c r="K269" s="6">
        <v>1987</v>
      </c>
      <c r="L269" s="14">
        <v>12</v>
      </c>
      <c r="M269" s="6">
        <v>1</v>
      </c>
      <c r="N269" s="6" t="s">
        <v>255</v>
      </c>
      <c r="O269" s="6" t="s">
        <v>256</v>
      </c>
      <c r="P269" s="6" t="s">
        <v>283</v>
      </c>
      <c r="Q269" s="6">
        <v>3000</v>
      </c>
      <c r="R269" s="6" t="s">
        <v>254</v>
      </c>
      <c r="S269" s="6" t="s">
        <v>258</v>
      </c>
      <c r="T269" s="6" t="s">
        <v>259</v>
      </c>
      <c r="U269" s="6" t="s">
        <v>253</v>
      </c>
      <c r="V269" s="6">
        <v>1000</v>
      </c>
      <c r="W269" s="6" t="s">
        <v>260</v>
      </c>
      <c r="X269" s="6">
        <v>3000</v>
      </c>
      <c r="Y269" s="6" t="s">
        <v>261</v>
      </c>
      <c r="Z269" s="6">
        <v>470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286</v>
      </c>
      <c r="AN269" s="44" t="s">
        <v>253</v>
      </c>
      <c r="AO269" s="44" t="s">
        <v>266</v>
      </c>
      <c r="AP269" s="44" t="s">
        <v>264</v>
      </c>
      <c r="AQ269" s="44">
        <v>11</v>
      </c>
      <c r="AR269" s="44" t="s">
        <v>36</v>
      </c>
      <c r="AS269" s="44" t="s">
        <v>253</v>
      </c>
      <c r="AT269" s="44" t="s">
        <v>277</v>
      </c>
      <c r="AU269" s="44">
        <v>12</v>
      </c>
      <c r="AV269" s="44">
        <v>1</v>
      </c>
      <c r="AW269" s="44" t="s">
        <v>269</v>
      </c>
      <c r="AX269" s="44" t="s">
        <v>256</v>
      </c>
      <c r="AY269" s="44" t="s">
        <v>283</v>
      </c>
      <c r="AZ269" s="44">
        <v>1</v>
      </c>
      <c r="BA269" s="44" t="s">
        <v>270</v>
      </c>
      <c r="BB269" s="44" t="s">
        <v>271</v>
      </c>
      <c r="BC269" s="44" t="s">
        <v>259</v>
      </c>
      <c r="BD269" s="44" t="s">
        <v>253</v>
      </c>
      <c r="BE269" s="44" t="s">
        <v>272</v>
      </c>
      <c r="BF269" s="44" t="s">
        <v>260</v>
      </c>
      <c r="BG269" s="44" t="s">
        <v>273</v>
      </c>
      <c r="BH269" s="44" t="s">
        <v>274</v>
      </c>
      <c r="BI269" s="44" t="s">
        <v>293</v>
      </c>
      <c r="BJ269" s="44" t="s">
        <v>263</v>
      </c>
      <c r="BK269" s="44" t="s">
        <v>253</v>
      </c>
      <c r="BL269" s="44" t="s">
        <v>253</v>
      </c>
      <c r="BM269" s="44" t="s">
        <v>253</v>
      </c>
      <c r="BN269" s="44" t="s">
        <v>263</v>
      </c>
      <c r="BO269" s="44" t="s">
        <v>253</v>
      </c>
      <c r="BP269" s="44" t="s">
        <v>253</v>
      </c>
      <c r="BQ269" s="44" t="s">
        <v>253</v>
      </c>
      <c r="BR269" s="44" t="s">
        <v>253</v>
      </c>
      <c r="BS269" s="44" t="s">
        <v>287</v>
      </c>
      <c r="BT269" s="44">
        <v>0</v>
      </c>
    </row>
    <row r="270" spans="1:72">
      <c r="A270" s="44">
        <v>2022</v>
      </c>
      <c r="B270" s="6">
        <v>12</v>
      </c>
      <c r="C270" s="6">
        <v>1</v>
      </c>
      <c r="D270" s="6" t="s">
        <v>286</v>
      </c>
      <c r="E270" s="6" t="s">
        <v>253</v>
      </c>
      <c r="F270" s="6" t="s">
        <v>254</v>
      </c>
      <c r="G270" s="6">
        <v>2022</v>
      </c>
      <c r="H270" s="6">
        <v>11</v>
      </c>
      <c r="I270" s="6" t="s">
        <v>36</v>
      </c>
      <c r="J270" s="6" t="s">
        <v>253</v>
      </c>
      <c r="K270" s="6">
        <v>1982</v>
      </c>
      <c r="L270" s="14">
        <v>12</v>
      </c>
      <c r="M270" s="6">
        <v>1</v>
      </c>
      <c r="N270" s="6" t="s">
        <v>255</v>
      </c>
      <c r="O270" s="6" t="s">
        <v>256</v>
      </c>
      <c r="P270" s="6" t="s">
        <v>283</v>
      </c>
      <c r="Q270" s="6">
        <v>3000</v>
      </c>
      <c r="R270" s="6" t="s">
        <v>254</v>
      </c>
      <c r="S270" s="6" t="s">
        <v>258</v>
      </c>
      <c r="T270" s="6" t="s">
        <v>259</v>
      </c>
      <c r="U270" s="6" t="s">
        <v>253</v>
      </c>
      <c r="V270" s="6">
        <v>1000</v>
      </c>
      <c r="W270" s="6" t="s">
        <v>260</v>
      </c>
      <c r="X270" s="6">
        <v>3000</v>
      </c>
      <c r="Y270" s="6" t="s">
        <v>261</v>
      </c>
      <c r="Z270" s="6">
        <v>470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286</v>
      </c>
      <c r="AN270" s="44" t="s">
        <v>253</v>
      </c>
      <c r="AO270" s="44" t="s">
        <v>266</v>
      </c>
      <c r="AP270" s="44" t="s">
        <v>264</v>
      </c>
      <c r="AQ270" s="44">
        <v>11</v>
      </c>
      <c r="AR270" s="44" t="s">
        <v>36</v>
      </c>
      <c r="AS270" s="44" t="s">
        <v>253</v>
      </c>
      <c r="AT270" s="44" t="s">
        <v>278</v>
      </c>
      <c r="AU270" s="44">
        <v>12</v>
      </c>
      <c r="AV270" s="44">
        <v>1</v>
      </c>
      <c r="AW270" s="44" t="s">
        <v>269</v>
      </c>
      <c r="AX270" s="44" t="s">
        <v>256</v>
      </c>
      <c r="AY270" s="44" t="s">
        <v>283</v>
      </c>
      <c r="AZ270" s="44">
        <v>1</v>
      </c>
      <c r="BA270" s="44" t="s">
        <v>270</v>
      </c>
      <c r="BB270" s="44" t="s">
        <v>271</v>
      </c>
      <c r="BC270" s="44" t="s">
        <v>259</v>
      </c>
      <c r="BD270" s="44" t="s">
        <v>253</v>
      </c>
      <c r="BE270" s="44" t="s">
        <v>272</v>
      </c>
      <c r="BF270" s="44" t="s">
        <v>260</v>
      </c>
      <c r="BG270" s="44" t="s">
        <v>273</v>
      </c>
      <c r="BH270" s="44" t="s">
        <v>274</v>
      </c>
      <c r="BI270" s="44" t="s">
        <v>293</v>
      </c>
      <c r="BJ270" s="44" t="s">
        <v>263</v>
      </c>
      <c r="BK270" s="44" t="s">
        <v>253</v>
      </c>
      <c r="BL270" s="44" t="s">
        <v>253</v>
      </c>
      <c r="BM270" s="44" t="s">
        <v>253</v>
      </c>
      <c r="BN270" s="44" t="s">
        <v>263</v>
      </c>
      <c r="BO270" s="44" t="s">
        <v>253</v>
      </c>
      <c r="BP270" s="44" t="s">
        <v>253</v>
      </c>
      <c r="BQ270" s="44" t="s">
        <v>253</v>
      </c>
      <c r="BR270" s="44" t="s">
        <v>253</v>
      </c>
      <c r="BS270" s="44" t="s">
        <v>287</v>
      </c>
      <c r="BT270" s="44">
        <v>0</v>
      </c>
    </row>
    <row r="271" spans="1:72">
      <c r="A271" s="44">
        <v>2022</v>
      </c>
      <c r="B271" s="6">
        <v>12</v>
      </c>
      <c r="C271" s="6">
        <v>1</v>
      </c>
      <c r="D271" s="6" t="s">
        <v>286</v>
      </c>
      <c r="E271" s="6" t="s">
        <v>253</v>
      </c>
      <c r="F271" s="6" t="s">
        <v>254</v>
      </c>
      <c r="G271" s="6">
        <v>2022</v>
      </c>
      <c r="H271" s="6">
        <v>11</v>
      </c>
      <c r="I271" s="6" t="s">
        <v>36</v>
      </c>
      <c r="J271" s="6" t="s">
        <v>253</v>
      </c>
      <c r="K271" s="6">
        <v>1977</v>
      </c>
      <c r="L271" s="14">
        <v>12</v>
      </c>
      <c r="M271" s="6">
        <v>1</v>
      </c>
      <c r="N271" s="6" t="s">
        <v>255</v>
      </c>
      <c r="O271" s="6" t="s">
        <v>256</v>
      </c>
      <c r="P271" s="6" t="s">
        <v>283</v>
      </c>
      <c r="Q271" s="6">
        <v>3000</v>
      </c>
      <c r="R271" s="6" t="s">
        <v>254</v>
      </c>
      <c r="S271" s="6" t="s">
        <v>258</v>
      </c>
      <c r="T271" s="6" t="s">
        <v>259</v>
      </c>
      <c r="U271" s="6" t="s">
        <v>253</v>
      </c>
      <c r="V271" s="6">
        <v>1000</v>
      </c>
      <c r="W271" s="6" t="s">
        <v>260</v>
      </c>
      <c r="X271" s="6">
        <v>3000</v>
      </c>
      <c r="Y271" s="6" t="s">
        <v>261</v>
      </c>
      <c r="Z271" s="6">
        <v>470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286</v>
      </c>
      <c r="AN271" s="44" t="s">
        <v>253</v>
      </c>
      <c r="AO271" s="44" t="s">
        <v>266</v>
      </c>
      <c r="AP271" s="44" t="s">
        <v>264</v>
      </c>
      <c r="AQ271" s="44">
        <v>11</v>
      </c>
      <c r="AR271" s="44" t="s">
        <v>36</v>
      </c>
      <c r="AS271" s="44" t="s">
        <v>253</v>
      </c>
      <c r="AT271" s="44" t="s">
        <v>279</v>
      </c>
      <c r="AU271" s="44">
        <v>12</v>
      </c>
      <c r="AV271" s="44">
        <v>1</v>
      </c>
      <c r="AW271" s="44" t="s">
        <v>269</v>
      </c>
      <c r="AX271" s="44" t="s">
        <v>256</v>
      </c>
      <c r="AY271" s="44" t="s">
        <v>283</v>
      </c>
      <c r="AZ271" s="44">
        <v>1</v>
      </c>
      <c r="BA271" s="44" t="s">
        <v>270</v>
      </c>
      <c r="BB271" s="44" t="s">
        <v>271</v>
      </c>
      <c r="BC271" s="44" t="s">
        <v>259</v>
      </c>
      <c r="BD271" s="44" t="s">
        <v>253</v>
      </c>
      <c r="BE271" s="44" t="s">
        <v>272</v>
      </c>
      <c r="BF271" s="44" t="s">
        <v>260</v>
      </c>
      <c r="BG271" s="44" t="s">
        <v>273</v>
      </c>
      <c r="BH271" s="44" t="s">
        <v>274</v>
      </c>
      <c r="BI271" s="44" t="s">
        <v>293</v>
      </c>
      <c r="BJ271" s="44" t="s">
        <v>263</v>
      </c>
      <c r="BK271" s="44" t="s">
        <v>253</v>
      </c>
      <c r="BL271" s="44" t="s">
        <v>253</v>
      </c>
      <c r="BM271" s="44" t="s">
        <v>253</v>
      </c>
      <c r="BN271" s="44" t="s">
        <v>263</v>
      </c>
      <c r="BO271" s="44" t="s">
        <v>253</v>
      </c>
      <c r="BP271" s="44" t="s">
        <v>253</v>
      </c>
      <c r="BQ271" s="44" t="s">
        <v>253</v>
      </c>
      <c r="BR271" s="44" t="s">
        <v>253</v>
      </c>
      <c r="BS271" s="44" t="s">
        <v>287</v>
      </c>
      <c r="BT271" s="44">
        <v>0</v>
      </c>
    </row>
    <row r="272" spans="1:72">
      <c r="A272" s="44">
        <v>2022</v>
      </c>
      <c r="B272" s="6">
        <v>12</v>
      </c>
      <c r="C272" s="6">
        <v>1</v>
      </c>
      <c r="D272" s="6" t="s">
        <v>286</v>
      </c>
      <c r="E272" s="6" t="s">
        <v>253</v>
      </c>
      <c r="F272" s="6" t="s">
        <v>254</v>
      </c>
      <c r="G272" s="6">
        <v>2022</v>
      </c>
      <c r="H272" s="6">
        <v>11</v>
      </c>
      <c r="I272" s="6" t="s">
        <v>36</v>
      </c>
      <c r="J272" s="6" t="s">
        <v>253</v>
      </c>
      <c r="K272" s="6">
        <v>1972</v>
      </c>
      <c r="L272" s="14">
        <v>12</v>
      </c>
      <c r="M272" s="6">
        <v>1</v>
      </c>
      <c r="N272" s="6" t="s">
        <v>255</v>
      </c>
      <c r="O272" s="6" t="s">
        <v>256</v>
      </c>
      <c r="P272" s="6" t="s">
        <v>283</v>
      </c>
      <c r="Q272" s="6">
        <v>3000</v>
      </c>
      <c r="R272" s="6" t="s">
        <v>254</v>
      </c>
      <c r="S272" s="6" t="s">
        <v>258</v>
      </c>
      <c r="T272" s="6" t="s">
        <v>259</v>
      </c>
      <c r="U272" s="6" t="s">
        <v>253</v>
      </c>
      <c r="V272" s="6">
        <v>1000</v>
      </c>
      <c r="W272" s="6" t="s">
        <v>260</v>
      </c>
      <c r="X272" s="6">
        <v>3000</v>
      </c>
      <c r="Y272" s="6" t="s">
        <v>261</v>
      </c>
      <c r="Z272" s="6">
        <v>470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286</v>
      </c>
      <c r="AN272" s="44" t="s">
        <v>253</v>
      </c>
      <c r="AO272" s="44" t="s">
        <v>266</v>
      </c>
      <c r="AP272" s="44" t="s">
        <v>264</v>
      </c>
      <c r="AQ272" s="44">
        <v>11</v>
      </c>
      <c r="AR272" s="44" t="s">
        <v>36</v>
      </c>
      <c r="AS272" s="44" t="s">
        <v>253</v>
      </c>
      <c r="AT272" s="44" t="s">
        <v>280</v>
      </c>
      <c r="AU272" s="44">
        <v>12</v>
      </c>
      <c r="AV272" s="44">
        <v>1</v>
      </c>
      <c r="AW272" s="44" t="s">
        <v>269</v>
      </c>
      <c r="AX272" s="44" t="s">
        <v>256</v>
      </c>
      <c r="AY272" s="44" t="s">
        <v>283</v>
      </c>
      <c r="AZ272" s="44">
        <v>1</v>
      </c>
      <c r="BA272" s="44" t="s">
        <v>270</v>
      </c>
      <c r="BB272" s="44" t="s">
        <v>271</v>
      </c>
      <c r="BC272" s="44" t="s">
        <v>259</v>
      </c>
      <c r="BD272" s="44" t="s">
        <v>253</v>
      </c>
      <c r="BE272" s="44" t="s">
        <v>272</v>
      </c>
      <c r="BF272" s="44" t="s">
        <v>260</v>
      </c>
      <c r="BG272" s="44" t="s">
        <v>273</v>
      </c>
      <c r="BH272" s="44" t="s">
        <v>274</v>
      </c>
      <c r="BI272" s="44" t="s">
        <v>293</v>
      </c>
      <c r="BJ272" s="44" t="s">
        <v>263</v>
      </c>
      <c r="BK272" s="44" t="s">
        <v>253</v>
      </c>
      <c r="BL272" s="44" t="s">
        <v>253</v>
      </c>
      <c r="BM272" s="44" t="s">
        <v>253</v>
      </c>
      <c r="BN272" s="44" t="s">
        <v>263</v>
      </c>
      <c r="BO272" s="44" t="s">
        <v>253</v>
      </c>
      <c r="BP272" s="44" t="s">
        <v>253</v>
      </c>
      <c r="BQ272" s="44" t="s">
        <v>253</v>
      </c>
      <c r="BR272" s="44" t="s">
        <v>253</v>
      </c>
      <c r="BS272" s="44" t="s">
        <v>287</v>
      </c>
      <c r="BT272" s="44">
        <v>0</v>
      </c>
    </row>
    <row r="273" spans="1:72">
      <c r="A273" s="44">
        <v>2022</v>
      </c>
      <c r="B273" s="6">
        <v>12</v>
      </c>
      <c r="C273" s="6">
        <v>1</v>
      </c>
      <c r="D273" s="6" t="s">
        <v>286</v>
      </c>
      <c r="E273" s="6" t="s">
        <v>253</v>
      </c>
      <c r="F273" s="6" t="s">
        <v>254</v>
      </c>
      <c r="G273" s="6">
        <v>2022</v>
      </c>
      <c r="H273" s="6">
        <v>11</v>
      </c>
      <c r="I273" s="6" t="s">
        <v>36</v>
      </c>
      <c r="J273" s="6" t="s">
        <v>253</v>
      </c>
      <c r="K273" s="6">
        <v>1962</v>
      </c>
      <c r="L273" s="14">
        <v>12</v>
      </c>
      <c r="M273" s="6">
        <v>1</v>
      </c>
      <c r="N273" s="6" t="s">
        <v>255</v>
      </c>
      <c r="O273" s="6" t="s">
        <v>256</v>
      </c>
      <c r="P273" s="6" t="s">
        <v>283</v>
      </c>
      <c r="Q273" s="6">
        <v>3000</v>
      </c>
      <c r="R273" s="6" t="s">
        <v>254</v>
      </c>
      <c r="S273" s="6" t="s">
        <v>258</v>
      </c>
      <c r="T273" s="6" t="s">
        <v>259</v>
      </c>
      <c r="U273" s="6" t="s">
        <v>253</v>
      </c>
      <c r="V273" s="6">
        <v>1000</v>
      </c>
      <c r="W273" s="6" t="s">
        <v>260</v>
      </c>
      <c r="X273" s="6">
        <v>3000</v>
      </c>
      <c r="Y273" s="6" t="s">
        <v>261</v>
      </c>
      <c r="Z273" s="6">
        <v>470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286</v>
      </c>
      <c r="AN273" s="44" t="s">
        <v>253</v>
      </c>
      <c r="AO273" s="44" t="s">
        <v>266</v>
      </c>
      <c r="AP273" s="44" t="s">
        <v>264</v>
      </c>
      <c r="AQ273" s="44">
        <v>11</v>
      </c>
      <c r="AR273" s="44" t="s">
        <v>36</v>
      </c>
      <c r="AS273" s="44" t="s">
        <v>253</v>
      </c>
      <c r="AT273" s="44" t="s">
        <v>281</v>
      </c>
      <c r="AU273" s="44">
        <v>12</v>
      </c>
      <c r="AV273" s="44">
        <v>1</v>
      </c>
      <c r="AW273" s="44" t="s">
        <v>269</v>
      </c>
      <c r="AX273" s="44" t="s">
        <v>256</v>
      </c>
      <c r="AY273" s="44" t="s">
        <v>283</v>
      </c>
      <c r="AZ273" s="44">
        <v>1</v>
      </c>
      <c r="BA273" s="44" t="s">
        <v>270</v>
      </c>
      <c r="BB273" s="44" t="s">
        <v>271</v>
      </c>
      <c r="BC273" s="44" t="s">
        <v>259</v>
      </c>
      <c r="BD273" s="44" t="s">
        <v>253</v>
      </c>
      <c r="BE273" s="44" t="s">
        <v>272</v>
      </c>
      <c r="BF273" s="44" t="s">
        <v>260</v>
      </c>
      <c r="BG273" s="44" t="s">
        <v>273</v>
      </c>
      <c r="BH273" s="44" t="s">
        <v>274</v>
      </c>
      <c r="BI273" s="44" t="s">
        <v>293</v>
      </c>
      <c r="BJ273" s="44" t="s">
        <v>263</v>
      </c>
      <c r="BK273" s="44" t="s">
        <v>253</v>
      </c>
      <c r="BL273" s="44" t="s">
        <v>253</v>
      </c>
      <c r="BM273" s="44" t="s">
        <v>253</v>
      </c>
      <c r="BN273" s="44" t="s">
        <v>263</v>
      </c>
      <c r="BO273" s="44" t="s">
        <v>253</v>
      </c>
      <c r="BP273" s="44" t="s">
        <v>253</v>
      </c>
      <c r="BQ273" s="44" t="s">
        <v>253</v>
      </c>
      <c r="BR273" s="44" t="s">
        <v>253</v>
      </c>
      <c r="BS273" s="44" t="s">
        <v>287</v>
      </c>
      <c r="BT273" s="44">
        <v>0</v>
      </c>
    </row>
    <row r="274" spans="1:72">
      <c r="A274" s="44">
        <v>2022</v>
      </c>
      <c r="B274" s="6">
        <v>12</v>
      </c>
      <c r="C274" s="6">
        <v>1</v>
      </c>
      <c r="D274" s="6" t="s">
        <v>286</v>
      </c>
      <c r="E274" s="6" t="s">
        <v>253</v>
      </c>
      <c r="F274" s="6" t="s">
        <v>254</v>
      </c>
      <c r="G274" s="6">
        <v>2022</v>
      </c>
      <c r="H274" s="6">
        <v>11</v>
      </c>
      <c r="I274" s="6" t="s">
        <v>36</v>
      </c>
      <c r="J274" s="6" t="s">
        <v>253</v>
      </c>
      <c r="K274" s="6">
        <v>1952</v>
      </c>
      <c r="L274" s="14">
        <v>12</v>
      </c>
      <c r="M274" s="6">
        <v>1</v>
      </c>
      <c r="N274" s="6" t="s">
        <v>255</v>
      </c>
      <c r="O274" s="6" t="s">
        <v>256</v>
      </c>
      <c r="P274" s="6" t="s">
        <v>283</v>
      </c>
      <c r="Q274" s="6">
        <v>3000</v>
      </c>
      <c r="R274" s="6" t="s">
        <v>254</v>
      </c>
      <c r="S274" s="6" t="s">
        <v>258</v>
      </c>
      <c r="T274" s="6" t="s">
        <v>259</v>
      </c>
      <c r="U274" s="6" t="s">
        <v>253</v>
      </c>
      <c r="V274" s="6">
        <v>1000</v>
      </c>
      <c r="W274" s="6" t="s">
        <v>260</v>
      </c>
      <c r="X274" s="6">
        <v>3000</v>
      </c>
      <c r="Y274" s="6" t="s">
        <v>261</v>
      </c>
      <c r="Z274" s="6">
        <v>470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286</v>
      </c>
      <c r="AN274" s="44" t="s">
        <v>253</v>
      </c>
      <c r="AO274" s="44" t="s">
        <v>266</v>
      </c>
      <c r="AP274" s="44" t="s">
        <v>264</v>
      </c>
      <c r="AQ274" s="44">
        <v>11</v>
      </c>
      <c r="AR274" s="44" t="s">
        <v>36</v>
      </c>
      <c r="AS274" s="44" t="s">
        <v>253</v>
      </c>
      <c r="AT274" s="44" t="s">
        <v>282</v>
      </c>
      <c r="AU274" s="44">
        <v>12</v>
      </c>
      <c r="AV274" s="44">
        <v>1</v>
      </c>
      <c r="AW274" s="44" t="s">
        <v>269</v>
      </c>
      <c r="AX274" s="44" t="s">
        <v>256</v>
      </c>
      <c r="AY274" s="44" t="s">
        <v>283</v>
      </c>
      <c r="AZ274" s="44">
        <v>1</v>
      </c>
      <c r="BA274" s="44" t="s">
        <v>270</v>
      </c>
      <c r="BB274" s="44" t="s">
        <v>271</v>
      </c>
      <c r="BC274" s="44" t="s">
        <v>259</v>
      </c>
      <c r="BD274" s="44" t="s">
        <v>253</v>
      </c>
      <c r="BE274" s="44" t="s">
        <v>272</v>
      </c>
      <c r="BF274" s="44" t="s">
        <v>260</v>
      </c>
      <c r="BG274" s="44" t="s">
        <v>273</v>
      </c>
      <c r="BH274" s="44" t="s">
        <v>274</v>
      </c>
      <c r="BI274" s="44" t="s">
        <v>293</v>
      </c>
      <c r="BJ274" s="44" t="s">
        <v>263</v>
      </c>
      <c r="BK274" s="44" t="s">
        <v>253</v>
      </c>
      <c r="BL274" s="44" t="s">
        <v>253</v>
      </c>
      <c r="BM274" s="44" t="s">
        <v>253</v>
      </c>
      <c r="BN274" s="44" t="s">
        <v>263</v>
      </c>
      <c r="BO274" s="44" t="s">
        <v>253</v>
      </c>
      <c r="BP274" s="44" t="s">
        <v>253</v>
      </c>
      <c r="BQ274" s="44" t="s">
        <v>253</v>
      </c>
      <c r="BR274" s="44" t="s">
        <v>253</v>
      </c>
      <c r="BS274" s="44" t="s">
        <v>287</v>
      </c>
      <c r="BT274" s="44">
        <v>0</v>
      </c>
    </row>
    <row r="275" spans="1:72">
      <c r="A275" s="44">
        <v>2022</v>
      </c>
      <c r="B275" s="6">
        <v>12</v>
      </c>
      <c r="C275" s="6">
        <v>1</v>
      </c>
      <c r="D275" s="6" t="s">
        <v>286</v>
      </c>
      <c r="E275" s="6" t="s">
        <v>253</v>
      </c>
      <c r="F275" s="6" t="s">
        <v>254</v>
      </c>
      <c r="G275" s="6">
        <v>2022</v>
      </c>
      <c r="H275" s="6">
        <v>11</v>
      </c>
      <c r="I275" s="6" t="s">
        <v>36</v>
      </c>
      <c r="J275" s="6" t="s">
        <v>253</v>
      </c>
      <c r="K275" s="6">
        <v>1992</v>
      </c>
      <c r="L275" s="14">
        <v>12</v>
      </c>
      <c r="M275" s="6">
        <v>1</v>
      </c>
      <c r="N275" s="6" t="s">
        <v>255</v>
      </c>
      <c r="O275" s="6" t="s">
        <v>256</v>
      </c>
      <c r="P275" s="6" t="s">
        <v>283</v>
      </c>
      <c r="Q275" s="6">
        <v>7000</v>
      </c>
      <c r="R275" s="6" t="s">
        <v>254</v>
      </c>
      <c r="S275" s="6" t="s">
        <v>258</v>
      </c>
      <c r="T275" s="6" t="s">
        <v>259</v>
      </c>
      <c r="U275" s="6" t="s">
        <v>253</v>
      </c>
      <c r="V275" s="6">
        <v>1000</v>
      </c>
      <c r="W275" s="6" t="s">
        <v>260</v>
      </c>
      <c r="X275" s="6">
        <v>3000</v>
      </c>
      <c r="Y275" s="6" t="s">
        <v>261</v>
      </c>
      <c r="Z275" s="6">
        <v>470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286</v>
      </c>
      <c r="AN275" s="44" t="s">
        <v>253</v>
      </c>
      <c r="AO275" s="44" t="s">
        <v>266</v>
      </c>
      <c r="AP275" s="44" t="s">
        <v>264</v>
      </c>
      <c r="AQ275" s="44">
        <v>11</v>
      </c>
      <c r="AR275" s="44" t="s">
        <v>36</v>
      </c>
      <c r="AS275" s="44" t="s">
        <v>253</v>
      </c>
      <c r="AT275" s="44" t="s">
        <v>268</v>
      </c>
      <c r="AU275" s="44">
        <v>12</v>
      </c>
      <c r="AV275" s="44">
        <v>1</v>
      </c>
      <c r="AW275" s="44" t="s">
        <v>269</v>
      </c>
      <c r="AX275" s="44" t="s">
        <v>256</v>
      </c>
      <c r="AY275" s="44" t="s">
        <v>283</v>
      </c>
      <c r="AZ275" s="44">
        <v>3</v>
      </c>
      <c r="BA275" s="44" t="s">
        <v>270</v>
      </c>
      <c r="BB275" s="44" t="s">
        <v>271</v>
      </c>
      <c r="BC275" s="44" t="s">
        <v>259</v>
      </c>
      <c r="BD275" s="44" t="s">
        <v>253</v>
      </c>
      <c r="BE275" s="44" t="s">
        <v>272</v>
      </c>
      <c r="BF275" s="44" t="s">
        <v>260</v>
      </c>
      <c r="BG275" s="44" t="s">
        <v>273</v>
      </c>
      <c r="BH275" s="44" t="s">
        <v>274</v>
      </c>
      <c r="BI275" s="44" t="s">
        <v>293</v>
      </c>
      <c r="BJ275" s="44" t="s">
        <v>263</v>
      </c>
      <c r="BK275" s="44" t="s">
        <v>253</v>
      </c>
      <c r="BL275" s="44" t="s">
        <v>253</v>
      </c>
      <c r="BM275" s="44" t="s">
        <v>253</v>
      </c>
      <c r="BN275" s="44" t="s">
        <v>263</v>
      </c>
      <c r="BO275" s="44" t="s">
        <v>253</v>
      </c>
      <c r="BP275" s="44" t="s">
        <v>253</v>
      </c>
      <c r="BQ275" s="44" t="s">
        <v>253</v>
      </c>
      <c r="BR275" s="44" t="s">
        <v>253</v>
      </c>
      <c r="BS275" s="44" t="s">
        <v>287</v>
      </c>
      <c r="BT275" s="44">
        <v>0</v>
      </c>
    </row>
    <row r="276" spans="1:72">
      <c r="A276" s="44">
        <v>2022</v>
      </c>
      <c r="B276" s="6">
        <v>12</v>
      </c>
      <c r="C276" s="6">
        <v>1</v>
      </c>
      <c r="D276" s="6" t="s">
        <v>286</v>
      </c>
      <c r="E276" s="6" t="s">
        <v>253</v>
      </c>
      <c r="F276" s="6" t="s">
        <v>254</v>
      </c>
      <c r="G276" s="6">
        <v>2022</v>
      </c>
      <c r="H276" s="6">
        <v>11</v>
      </c>
      <c r="I276" s="6" t="s">
        <v>36</v>
      </c>
      <c r="J276" s="6" t="s">
        <v>253</v>
      </c>
      <c r="K276" s="6">
        <v>1987</v>
      </c>
      <c r="L276" s="14">
        <v>12</v>
      </c>
      <c r="M276" s="6">
        <v>1</v>
      </c>
      <c r="N276" s="6" t="s">
        <v>255</v>
      </c>
      <c r="O276" s="6" t="s">
        <v>256</v>
      </c>
      <c r="P276" s="6" t="s">
        <v>283</v>
      </c>
      <c r="Q276" s="6">
        <v>7000</v>
      </c>
      <c r="R276" s="6" t="s">
        <v>254</v>
      </c>
      <c r="S276" s="6" t="s">
        <v>258</v>
      </c>
      <c r="T276" s="6" t="s">
        <v>259</v>
      </c>
      <c r="U276" s="6" t="s">
        <v>253</v>
      </c>
      <c r="V276" s="6">
        <v>1000</v>
      </c>
      <c r="W276" s="6" t="s">
        <v>260</v>
      </c>
      <c r="X276" s="6">
        <v>3000</v>
      </c>
      <c r="Y276" s="6" t="s">
        <v>261</v>
      </c>
      <c r="Z276" s="6">
        <v>470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286</v>
      </c>
      <c r="AN276" s="44" t="s">
        <v>253</v>
      </c>
      <c r="AO276" s="44" t="s">
        <v>266</v>
      </c>
      <c r="AP276" s="44" t="s">
        <v>264</v>
      </c>
      <c r="AQ276" s="44">
        <v>11</v>
      </c>
      <c r="AR276" s="44" t="s">
        <v>36</v>
      </c>
      <c r="AS276" s="44" t="s">
        <v>253</v>
      </c>
      <c r="AT276" s="44" t="s">
        <v>277</v>
      </c>
      <c r="AU276" s="44">
        <v>12</v>
      </c>
      <c r="AV276" s="44">
        <v>1</v>
      </c>
      <c r="AW276" s="44" t="s">
        <v>269</v>
      </c>
      <c r="AX276" s="44" t="s">
        <v>256</v>
      </c>
      <c r="AY276" s="44" t="s">
        <v>283</v>
      </c>
      <c r="AZ276" s="44">
        <v>3</v>
      </c>
      <c r="BA276" s="44" t="s">
        <v>270</v>
      </c>
      <c r="BB276" s="44" t="s">
        <v>271</v>
      </c>
      <c r="BC276" s="44" t="s">
        <v>259</v>
      </c>
      <c r="BD276" s="44" t="s">
        <v>253</v>
      </c>
      <c r="BE276" s="44" t="s">
        <v>272</v>
      </c>
      <c r="BF276" s="44" t="s">
        <v>260</v>
      </c>
      <c r="BG276" s="44" t="s">
        <v>273</v>
      </c>
      <c r="BH276" s="44" t="s">
        <v>274</v>
      </c>
      <c r="BI276" s="44" t="s">
        <v>293</v>
      </c>
      <c r="BJ276" s="44" t="s">
        <v>263</v>
      </c>
      <c r="BK276" s="44" t="s">
        <v>253</v>
      </c>
      <c r="BL276" s="44" t="s">
        <v>253</v>
      </c>
      <c r="BM276" s="44" t="s">
        <v>253</v>
      </c>
      <c r="BN276" s="44" t="s">
        <v>263</v>
      </c>
      <c r="BO276" s="44" t="s">
        <v>253</v>
      </c>
      <c r="BP276" s="44" t="s">
        <v>253</v>
      </c>
      <c r="BQ276" s="44" t="s">
        <v>253</v>
      </c>
      <c r="BR276" s="44" t="s">
        <v>253</v>
      </c>
      <c r="BS276" s="44" t="s">
        <v>287</v>
      </c>
      <c r="BT276" s="44">
        <v>0</v>
      </c>
    </row>
    <row r="277" spans="1:72">
      <c r="A277" s="44">
        <v>2022</v>
      </c>
      <c r="B277" s="6">
        <v>12</v>
      </c>
      <c r="C277" s="6">
        <v>1</v>
      </c>
      <c r="D277" s="6" t="s">
        <v>286</v>
      </c>
      <c r="E277" s="6" t="s">
        <v>253</v>
      </c>
      <c r="F277" s="6" t="s">
        <v>254</v>
      </c>
      <c r="G277" s="6">
        <v>2022</v>
      </c>
      <c r="H277" s="6">
        <v>11</v>
      </c>
      <c r="I277" s="6" t="s">
        <v>36</v>
      </c>
      <c r="J277" s="6" t="s">
        <v>253</v>
      </c>
      <c r="K277" s="6">
        <v>1982</v>
      </c>
      <c r="L277" s="14">
        <v>12</v>
      </c>
      <c r="M277" s="6">
        <v>1</v>
      </c>
      <c r="N277" s="6" t="s">
        <v>255</v>
      </c>
      <c r="O277" s="6" t="s">
        <v>256</v>
      </c>
      <c r="P277" s="6" t="s">
        <v>283</v>
      </c>
      <c r="Q277" s="6">
        <v>7000</v>
      </c>
      <c r="R277" s="6" t="s">
        <v>254</v>
      </c>
      <c r="S277" s="6" t="s">
        <v>258</v>
      </c>
      <c r="T277" s="6" t="s">
        <v>259</v>
      </c>
      <c r="U277" s="6" t="s">
        <v>253</v>
      </c>
      <c r="V277" s="6">
        <v>1000</v>
      </c>
      <c r="W277" s="6" t="s">
        <v>260</v>
      </c>
      <c r="X277" s="6">
        <v>3000</v>
      </c>
      <c r="Y277" s="6" t="s">
        <v>261</v>
      </c>
      <c r="Z277" s="6">
        <v>470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286</v>
      </c>
      <c r="AN277" s="44" t="s">
        <v>253</v>
      </c>
      <c r="AO277" s="44" t="s">
        <v>266</v>
      </c>
      <c r="AP277" s="44" t="s">
        <v>264</v>
      </c>
      <c r="AQ277" s="44">
        <v>11</v>
      </c>
      <c r="AR277" s="44" t="s">
        <v>36</v>
      </c>
      <c r="AS277" s="44" t="s">
        <v>253</v>
      </c>
      <c r="AT277" s="44" t="s">
        <v>278</v>
      </c>
      <c r="AU277" s="44">
        <v>12</v>
      </c>
      <c r="AV277" s="44">
        <v>1</v>
      </c>
      <c r="AW277" s="44" t="s">
        <v>269</v>
      </c>
      <c r="AX277" s="44" t="s">
        <v>256</v>
      </c>
      <c r="AY277" s="44" t="s">
        <v>283</v>
      </c>
      <c r="AZ277" s="44">
        <v>3</v>
      </c>
      <c r="BA277" s="44" t="s">
        <v>270</v>
      </c>
      <c r="BB277" s="44" t="s">
        <v>271</v>
      </c>
      <c r="BC277" s="44" t="s">
        <v>259</v>
      </c>
      <c r="BD277" s="44" t="s">
        <v>253</v>
      </c>
      <c r="BE277" s="44" t="s">
        <v>272</v>
      </c>
      <c r="BF277" s="44" t="s">
        <v>260</v>
      </c>
      <c r="BG277" s="44" t="s">
        <v>273</v>
      </c>
      <c r="BH277" s="44" t="s">
        <v>274</v>
      </c>
      <c r="BI277" s="44" t="s">
        <v>293</v>
      </c>
      <c r="BJ277" s="44" t="s">
        <v>263</v>
      </c>
      <c r="BK277" s="44" t="s">
        <v>253</v>
      </c>
      <c r="BL277" s="44" t="s">
        <v>253</v>
      </c>
      <c r="BM277" s="44" t="s">
        <v>253</v>
      </c>
      <c r="BN277" s="44" t="s">
        <v>263</v>
      </c>
      <c r="BO277" s="44" t="s">
        <v>253</v>
      </c>
      <c r="BP277" s="44" t="s">
        <v>253</v>
      </c>
      <c r="BQ277" s="44" t="s">
        <v>253</v>
      </c>
      <c r="BR277" s="44" t="s">
        <v>253</v>
      </c>
      <c r="BS277" s="44" t="s">
        <v>287</v>
      </c>
      <c r="BT277" s="44">
        <v>0</v>
      </c>
    </row>
    <row r="278" spans="1:72">
      <c r="A278" s="44">
        <v>2022</v>
      </c>
      <c r="B278" s="6">
        <v>12</v>
      </c>
      <c r="C278" s="6">
        <v>1</v>
      </c>
      <c r="D278" s="6" t="s">
        <v>286</v>
      </c>
      <c r="E278" s="6" t="s">
        <v>253</v>
      </c>
      <c r="F278" s="6" t="s">
        <v>254</v>
      </c>
      <c r="G278" s="6">
        <v>2022</v>
      </c>
      <c r="H278" s="6">
        <v>11</v>
      </c>
      <c r="I278" s="6" t="s">
        <v>36</v>
      </c>
      <c r="J278" s="6" t="s">
        <v>253</v>
      </c>
      <c r="K278" s="6">
        <v>1977</v>
      </c>
      <c r="L278" s="14">
        <v>12</v>
      </c>
      <c r="M278" s="6">
        <v>1</v>
      </c>
      <c r="N278" s="6" t="s">
        <v>255</v>
      </c>
      <c r="O278" s="6" t="s">
        <v>256</v>
      </c>
      <c r="P278" s="6" t="s">
        <v>283</v>
      </c>
      <c r="Q278" s="6">
        <v>7000</v>
      </c>
      <c r="R278" s="6" t="s">
        <v>254</v>
      </c>
      <c r="S278" s="6" t="s">
        <v>258</v>
      </c>
      <c r="T278" s="6" t="s">
        <v>259</v>
      </c>
      <c r="U278" s="6" t="s">
        <v>253</v>
      </c>
      <c r="V278" s="6">
        <v>1000</v>
      </c>
      <c r="W278" s="6" t="s">
        <v>260</v>
      </c>
      <c r="X278" s="6">
        <v>3000</v>
      </c>
      <c r="Y278" s="6" t="s">
        <v>261</v>
      </c>
      <c r="Z278" s="6">
        <v>470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286</v>
      </c>
      <c r="AN278" s="44" t="s">
        <v>253</v>
      </c>
      <c r="AO278" s="44" t="s">
        <v>266</v>
      </c>
      <c r="AP278" s="44" t="s">
        <v>264</v>
      </c>
      <c r="AQ278" s="44">
        <v>11</v>
      </c>
      <c r="AR278" s="44" t="s">
        <v>36</v>
      </c>
      <c r="AS278" s="44" t="s">
        <v>253</v>
      </c>
      <c r="AT278" s="44" t="s">
        <v>279</v>
      </c>
      <c r="AU278" s="44">
        <v>12</v>
      </c>
      <c r="AV278" s="44">
        <v>1</v>
      </c>
      <c r="AW278" s="44" t="s">
        <v>269</v>
      </c>
      <c r="AX278" s="44" t="s">
        <v>256</v>
      </c>
      <c r="AY278" s="44" t="s">
        <v>283</v>
      </c>
      <c r="AZ278" s="44">
        <v>3</v>
      </c>
      <c r="BA278" s="44" t="s">
        <v>270</v>
      </c>
      <c r="BB278" s="44" t="s">
        <v>271</v>
      </c>
      <c r="BC278" s="44" t="s">
        <v>259</v>
      </c>
      <c r="BD278" s="44" t="s">
        <v>253</v>
      </c>
      <c r="BE278" s="44" t="s">
        <v>272</v>
      </c>
      <c r="BF278" s="44" t="s">
        <v>260</v>
      </c>
      <c r="BG278" s="44" t="s">
        <v>273</v>
      </c>
      <c r="BH278" s="44" t="s">
        <v>274</v>
      </c>
      <c r="BI278" s="44" t="s">
        <v>293</v>
      </c>
      <c r="BJ278" s="44" t="s">
        <v>263</v>
      </c>
      <c r="BK278" s="44" t="s">
        <v>253</v>
      </c>
      <c r="BL278" s="44" t="s">
        <v>253</v>
      </c>
      <c r="BM278" s="44" t="s">
        <v>253</v>
      </c>
      <c r="BN278" s="44" t="s">
        <v>263</v>
      </c>
      <c r="BO278" s="44" t="s">
        <v>253</v>
      </c>
      <c r="BP278" s="44" t="s">
        <v>253</v>
      </c>
      <c r="BQ278" s="44" t="s">
        <v>253</v>
      </c>
      <c r="BR278" s="44" t="s">
        <v>253</v>
      </c>
      <c r="BS278" s="44" t="s">
        <v>287</v>
      </c>
      <c r="BT278" s="44">
        <v>0</v>
      </c>
    </row>
    <row r="279" spans="1:72">
      <c r="A279" s="44">
        <v>2022</v>
      </c>
      <c r="B279" s="6">
        <v>12</v>
      </c>
      <c r="C279" s="6">
        <v>1</v>
      </c>
      <c r="D279" s="6" t="s">
        <v>286</v>
      </c>
      <c r="E279" s="6" t="s">
        <v>253</v>
      </c>
      <c r="F279" s="6" t="s">
        <v>254</v>
      </c>
      <c r="G279" s="6">
        <v>2022</v>
      </c>
      <c r="H279" s="6">
        <v>11</v>
      </c>
      <c r="I279" s="6" t="s">
        <v>36</v>
      </c>
      <c r="J279" s="6" t="s">
        <v>253</v>
      </c>
      <c r="K279" s="6">
        <v>1972</v>
      </c>
      <c r="L279" s="14">
        <v>12</v>
      </c>
      <c r="M279" s="6">
        <v>1</v>
      </c>
      <c r="N279" s="6" t="s">
        <v>255</v>
      </c>
      <c r="O279" s="6" t="s">
        <v>256</v>
      </c>
      <c r="P279" s="6" t="s">
        <v>283</v>
      </c>
      <c r="Q279" s="6">
        <v>7000</v>
      </c>
      <c r="R279" s="6" t="s">
        <v>254</v>
      </c>
      <c r="S279" s="6" t="s">
        <v>258</v>
      </c>
      <c r="T279" s="6" t="s">
        <v>259</v>
      </c>
      <c r="U279" s="6" t="s">
        <v>253</v>
      </c>
      <c r="V279" s="6">
        <v>1000</v>
      </c>
      <c r="W279" s="6" t="s">
        <v>260</v>
      </c>
      <c r="X279" s="6">
        <v>3000</v>
      </c>
      <c r="Y279" s="6" t="s">
        <v>261</v>
      </c>
      <c r="Z279" s="6">
        <v>470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286</v>
      </c>
      <c r="AN279" s="44" t="s">
        <v>253</v>
      </c>
      <c r="AO279" s="44" t="s">
        <v>266</v>
      </c>
      <c r="AP279" s="44" t="s">
        <v>264</v>
      </c>
      <c r="AQ279" s="44">
        <v>11</v>
      </c>
      <c r="AR279" s="44" t="s">
        <v>36</v>
      </c>
      <c r="AS279" s="44" t="s">
        <v>253</v>
      </c>
      <c r="AT279" s="44" t="s">
        <v>280</v>
      </c>
      <c r="AU279" s="44">
        <v>12</v>
      </c>
      <c r="AV279" s="44">
        <v>1</v>
      </c>
      <c r="AW279" s="44" t="s">
        <v>269</v>
      </c>
      <c r="AX279" s="44" t="s">
        <v>256</v>
      </c>
      <c r="AY279" s="44" t="s">
        <v>283</v>
      </c>
      <c r="AZ279" s="44">
        <v>3</v>
      </c>
      <c r="BA279" s="44" t="s">
        <v>270</v>
      </c>
      <c r="BB279" s="44" t="s">
        <v>271</v>
      </c>
      <c r="BC279" s="44" t="s">
        <v>259</v>
      </c>
      <c r="BD279" s="44" t="s">
        <v>253</v>
      </c>
      <c r="BE279" s="44" t="s">
        <v>272</v>
      </c>
      <c r="BF279" s="44" t="s">
        <v>260</v>
      </c>
      <c r="BG279" s="44" t="s">
        <v>273</v>
      </c>
      <c r="BH279" s="44" t="s">
        <v>274</v>
      </c>
      <c r="BI279" s="44" t="s">
        <v>293</v>
      </c>
      <c r="BJ279" s="44" t="s">
        <v>263</v>
      </c>
      <c r="BK279" s="44" t="s">
        <v>253</v>
      </c>
      <c r="BL279" s="44" t="s">
        <v>253</v>
      </c>
      <c r="BM279" s="44" t="s">
        <v>253</v>
      </c>
      <c r="BN279" s="44" t="s">
        <v>263</v>
      </c>
      <c r="BO279" s="44" t="s">
        <v>253</v>
      </c>
      <c r="BP279" s="44" t="s">
        <v>253</v>
      </c>
      <c r="BQ279" s="44" t="s">
        <v>253</v>
      </c>
      <c r="BR279" s="44" t="s">
        <v>253</v>
      </c>
      <c r="BS279" s="44" t="s">
        <v>287</v>
      </c>
      <c r="BT279" s="44">
        <v>0</v>
      </c>
    </row>
    <row r="280" spans="1:72">
      <c r="A280" s="44">
        <v>2022</v>
      </c>
      <c r="B280" s="6">
        <v>12</v>
      </c>
      <c r="C280" s="6">
        <v>1</v>
      </c>
      <c r="D280" s="6" t="s">
        <v>286</v>
      </c>
      <c r="E280" s="6" t="s">
        <v>253</v>
      </c>
      <c r="F280" s="6" t="s">
        <v>254</v>
      </c>
      <c r="G280" s="6">
        <v>2022</v>
      </c>
      <c r="H280" s="6">
        <v>11</v>
      </c>
      <c r="I280" s="6" t="s">
        <v>36</v>
      </c>
      <c r="J280" s="6" t="s">
        <v>253</v>
      </c>
      <c r="K280" s="6">
        <v>1962</v>
      </c>
      <c r="L280" s="14">
        <v>12</v>
      </c>
      <c r="M280" s="6">
        <v>1</v>
      </c>
      <c r="N280" s="6" t="s">
        <v>255</v>
      </c>
      <c r="O280" s="6" t="s">
        <v>256</v>
      </c>
      <c r="P280" s="6" t="s">
        <v>283</v>
      </c>
      <c r="Q280" s="6">
        <v>7000</v>
      </c>
      <c r="R280" s="6" t="s">
        <v>254</v>
      </c>
      <c r="S280" s="6" t="s">
        <v>258</v>
      </c>
      <c r="T280" s="6" t="s">
        <v>259</v>
      </c>
      <c r="U280" s="6" t="s">
        <v>253</v>
      </c>
      <c r="V280" s="6">
        <v>1000</v>
      </c>
      <c r="W280" s="6" t="s">
        <v>260</v>
      </c>
      <c r="X280" s="6">
        <v>3000</v>
      </c>
      <c r="Y280" s="6" t="s">
        <v>261</v>
      </c>
      <c r="Z280" s="6">
        <v>470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286</v>
      </c>
      <c r="AN280" s="44" t="s">
        <v>253</v>
      </c>
      <c r="AO280" s="44" t="s">
        <v>266</v>
      </c>
      <c r="AP280" s="44" t="s">
        <v>264</v>
      </c>
      <c r="AQ280" s="44">
        <v>11</v>
      </c>
      <c r="AR280" s="44" t="s">
        <v>36</v>
      </c>
      <c r="AS280" s="44" t="s">
        <v>253</v>
      </c>
      <c r="AT280" s="44" t="s">
        <v>281</v>
      </c>
      <c r="AU280" s="44">
        <v>12</v>
      </c>
      <c r="AV280" s="44">
        <v>1</v>
      </c>
      <c r="AW280" s="44" t="s">
        <v>269</v>
      </c>
      <c r="AX280" s="44" t="s">
        <v>256</v>
      </c>
      <c r="AY280" s="44" t="s">
        <v>283</v>
      </c>
      <c r="AZ280" s="44">
        <v>3</v>
      </c>
      <c r="BA280" s="44" t="s">
        <v>270</v>
      </c>
      <c r="BB280" s="44" t="s">
        <v>271</v>
      </c>
      <c r="BC280" s="44" t="s">
        <v>259</v>
      </c>
      <c r="BD280" s="44" t="s">
        <v>253</v>
      </c>
      <c r="BE280" s="44" t="s">
        <v>272</v>
      </c>
      <c r="BF280" s="44" t="s">
        <v>260</v>
      </c>
      <c r="BG280" s="44" t="s">
        <v>273</v>
      </c>
      <c r="BH280" s="44" t="s">
        <v>274</v>
      </c>
      <c r="BI280" s="44" t="s">
        <v>293</v>
      </c>
      <c r="BJ280" s="44" t="s">
        <v>263</v>
      </c>
      <c r="BK280" s="44" t="s">
        <v>253</v>
      </c>
      <c r="BL280" s="44" t="s">
        <v>253</v>
      </c>
      <c r="BM280" s="44" t="s">
        <v>253</v>
      </c>
      <c r="BN280" s="44" t="s">
        <v>263</v>
      </c>
      <c r="BO280" s="44" t="s">
        <v>253</v>
      </c>
      <c r="BP280" s="44" t="s">
        <v>253</v>
      </c>
      <c r="BQ280" s="44" t="s">
        <v>253</v>
      </c>
      <c r="BR280" s="44" t="s">
        <v>253</v>
      </c>
      <c r="BS280" s="44" t="s">
        <v>287</v>
      </c>
      <c r="BT280" s="44">
        <v>0</v>
      </c>
    </row>
    <row r="281" spans="1:72">
      <c r="A281" s="44">
        <v>2022</v>
      </c>
      <c r="B281" s="6">
        <v>12</v>
      </c>
      <c r="C281" s="6">
        <v>1</v>
      </c>
      <c r="D281" s="6" t="s">
        <v>286</v>
      </c>
      <c r="E281" s="6" t="s">
        <v>253</v>
      </c>
      <c r="F281" s="6" t="s">
        <v>254</v>
      </c>
      <c r="G281" s="6">
        <v>2022</v>
      </c>
      <c r="H281" s="6">
        <v>11</v>
      </c>
      <c r="I281" s="6" t="s">
        <v>36</v>
      </c>
      <c r="J281" s="6" t="s">
        <v>253</v>
      </c>
      <c r="K281" s="6">
        <v>1952</v>
      </c>
      <c r="L281" s="14">
        <v>12</v>
      </c>
      <c r="M281" s="6">
        <v>1</v>
      </c>
      <c r="N281" s="6" t="s">
        <v>255</v>
      </c>
      <c r="O281" s="6" t="s">
        <v>256</v>
      </c>
      <c r="P281" s="6" t="s">
        <v>283</v>
      </c>
      <c r="Q281" s="6">
        <v>7000</v>
      </c>
      <c r="R281" s="6" t="s">
        <v>254</v>
      </c>
      <c r="S281" s="6" t="s">
        <v>258</v>
      </c>
      <c r="T281" s="6" t="s">
        <v>259</v>
      </c>
      <c r="U281" s="6" t="s">
        <v>253</v>
      </c>
      <c r="V281" s="6">
        <v>1000</v>
      </c>
      <c r="W281" s="6" t="s">
        <v>260</v>
      </c>
      <c r="X281" s="6">
        <v>3000</v>
      </c>
      <c r="Y281" s="6" t="s">
        <v>261</v>
      </c>
      <c r="Z281" s="6">
        <v>470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286</v>
      </c>
      <c r="AN281" s="44" t="s">
        <v>253</v>
      </c>
      <c r="AO281" s="44" t="s">
        <v>266</v>
      </c>
      <c r="AP281" s="44" t="s">
        <v>264</v>
      </c>
      <c r="AQ281" s="44">
        <v>11</v>
      </c>
      <c r="AR281" s="44" t="s">
        <v>36</v>
      </c>
      <c r="AS281" s="44" t="s">
        <v>253</v>
      </c>
      <c r="AT281" s="44" t="s">
        <v>282</v>
      </c>
      <c r="AU281" s="44">
        <v>12</v>
      </c>
      <c r="AV281" s="44">
        <v>1</v>
      </c>
      <c r="AW281" s="44" t="s">
        <v>269</v>
      </c>
      <c r="AX281" s="44" t="s">
        <v>256</v>
      </c>
      <c r="AY281" s="44" t="s">
        <v>283</v>
      </c>
      <c r="AZ281" s="44">
        <v>3</v>
      </c>
      <c r="BA281" s="44" t="s">
        <v>270</v>
      </c>
      <c r="BB281" s="44" t="s">
        <v>271</v>
      </c>
      <c r="BC281" s="44" t="s">
        <v>259</v>
      </c>
      <c r="BD281" s="44" t="s">
        <v>253</v>
      </c>
      <c r="BE281" s="44" t="s">
        <v>272</v>
      </c>
      <c r="BF281" s="44" t="s">
        <v>260</v>
      </c>
      <c r="BG281" s="44" t="s">
        <v>273</v>
      </c>
      <c r="BH281" s="44" t="s">
        <v>274</v>
      </c>
      <c r="BI281" s="44" t="s">
        <v>293</v>
      </c>
      <c r="BJ281" s="44" t="s">
        <v>263</v>
      </c>
      <c r="BK281" s="44" t="s">
        <v>253</v>
      </c>
      <c r="BL281" s="44" t="s">
        <v>253</v>
      </c>
      <c r="BM281" s="44" t="s">
        <v>253</v>
      </c>
      <c r="BN281" s="44" t="s">
        <v>263</v>
      </c>
      <c r="BO281" s="44" t="s">
        <v>253</v>
      </c>
      <c r="BP281" s="44" t="s">
        <v>253</v>
      </c>
      <c r="BQ281" s="44" t="s">
        <v>253</v>
      </c>
      <c r="BR281" s="44" t="s">
        <v>253</v>
      </c>
      <c r="BS281" s="44" t="s">
        <v>287</v>
      </c>
      <c r="BT281" s="44">
        <v>0</v>
      </c>
    </row>
    <row r="282" spans="1:72">
      <c r="A282" s="44">
        <v>2022</v>
      </c>
      <c r="B282" s="6">
        <v>12</v>
      </c>
      <c r="C282" s="6">
        <v>1</v>
      </c>
      <c r="D282" s="6" t="s">
        <v>286</v>
      </c>
      <c r="E282" s="6" t="s">
        <v>253</v>
      </c>
      <c r="F282" s="6" t="s">
        <v>254</v>
      </c>
      <c r="G282" s="6">
        <v>2022</v>
      </c>
      <c r="H282" s="6">
        <v>11</v>
      </c>
      <c r="I282" s="6" t="s">
        <v>36</v>
      </c>
      <c r="J282" s="6" t="s">
        <v>253</v>
      </c>
      <c r="K282" s="6">
        <v>1992</v>
      </c>
      <c r="L282" s="14">
        <v>12</v>
      </c>
      <c r="M282" s="6">
        <v>1</v>
      </c>
      <c r="N282" s="6" t="s">
        <v>255</v>
      </c>
      <c r="O282" s="6" t="s">
        <v>288</v>
      </c>
      <c r="P282" s="6" t="s">
        <v>257</v>
      </c>
      <c r="Q282" s="6">
        <v>3000</v>
      </c>
      <c r="R282" s="6" t="s">
        <v>254</v>
      </c>
      <c r="S282" s="6" t="s">
        <v>258</v>
      </c>
      <c r="T282" s="6" t="s">
        <v>259</v>
      </c>
      <c r="U282" s="6" t="s">
        <v>253</v>
      </c>
      <c r="V282" s="6">
        <v>1000</v>
      </c>
      <c r="W282" s="6" t="s">
        <v>260</v>
      </c>
      <c r="X282" s="6">
        <v>3000</v>
      </c>
      <c r="Y282" s="6" t="s">
        <v>261</v>
      </c>
      <c r="Z282" s="6">
        <v>470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286</v>
      </c>
      <c r="AN282" s="44" t="s">
        <v>253</v>
      </c>
      <c r="AO282" s="44" t="s">
        <v>266</v>
      </c>
      <c r="AP282" s="44" t="s">
        <v>264</v>
      </c>
      <c r="AQ282" s="44">
        <v>11</v>
      </c>
      <c r="AR282" s="44" t="s">
        <v>36</v>
      </c>
      <c r="AS282" s="44" t="s">
        <v>253</v>
      </c>
      <c r="AT282" s="44" t="s">
        <v>268</v>
      </c>
      <c r="AU282" s="44">
        <v>12</v>
      </c>
      <c r="AV282" s="44">
        <v>1</v>
      </c>
      <c r="AW282" s="44" t="s">
        <v>269</v>
      </c>
      <c r="AX282" s="44" t="s">
        <v>288</v>
      </c>
      <c r="AY282" s="44" t="s">
        <v>257</v>
      </c>
      <c r="AZ282" s="44">
        <v>1</v>
      </c>
      <c r="BA282" s="44" t="s">
        <v>270</v>
      </c>
      <c r="BB282" s="44" t="s">
        <v>271</v>
      </c>
      <c r="BC282" s="44" t="s">
        <v>259</v>
      </c>
      <c r="BD282" s="44" t="s">
        <v>253</v>
      </c>
      <c r="BE282" s="44" t="s">
        <v>272</v>
      </c>
      <c r="BF282" s="44" t="s">
        <v>260</v>
      </c>
      <c r="BG282" s="44" t="s">
        <v>273</v>
      </c>
      <c r="BH282" s="44" t="s">
        <v>274</v>
      </c>
      <c r="BI282" s="44" t="s">
        <v>293</v>
      </c>
      <c r="BJ282" s="44" t="s">
        <v>263</v>
      </c>
      <c r="BK282" s="44" t="s">
        <v>253</v>
      </c>
      <c r="BL282" s="44" t="s">
        <v>253</v>
      </c>
      <c r="BM282" s="44" t="s">
        <v>253</v>
      </c>
      <c r="BN282" s="44" t="s">
        <v>263</v>
      </c>
      <c r="BO282" s="44" t="s">
        <v>253</v>
      </c>
      <c r="BP282" s="44" t="s">
        <v>253</v>
      </c>
      <c r="BQ282" s="44" t="s">
        <v>253</v>
      </c>
      <c r="BR282" s="44" t="s">
        <v>253</v>
      </c>
      <c r="BS282" s="44" t="s">
        <v>287</v>
      </c>
      <c r="BT282" s="44">
        <v>0</v>
      </c>
    </row>
    <row r="283" spans="1:72">
      <c r="A283" s="44">
        <v>2022</v>
      </c>
      <c r="B283" s="6">
        <v>12</v>
      </c>
      <c r="C283" s="6">
        <v>1</v>
      </c>
      <c r="D283" s="6" t="s">
        <v>286</v>
      </c>
      <c r="E283" s="6" t="s">
        <v>253</v>
      </c>
      <c r="F283" s="6" t="s">
        <v>254</v>
      </c>
      <c r="G283" s="6">
        <v>2022</v>
      </c>
      <c r="H283" s="6">
        <v>11</v>
      </c>
      <c r="I283" s="6" t="s">
        <v>36</v>
      </c>
      <c r="J283" s="6" t="s">
        <v>253</v>
      </c>
      <c r="K283" s="6">
        <v>1987</v>
      </c>
      <c r="L283" s="14">
        <v>12</v>
      </c>
      <c r="M283" s="6">
        <v>1</v>
      </c>
      <c r="N283" s="6" t="s">
        <v>255</v>
      </c>
      <c r="O283" s="6" t="s">
        <v>288</v>
      </c>
      <c r="P283" s="6" t="s">
        <v>257</v>
      </c>
      <c r="Q283" s="6">
        <v>3000</v>
      </c>
      <c r="R283" s="6" t="s">
        <v>254</v>
      </c>
      <c r="S283" s="6" t="s">
        <v>258</v>
      </c>
      <c r="T283" s="6" t="s">
        <v>259</v>
      </c>
      <c r="U283" s="6" t="s">
        <v>253</v>
      </c>
      <c r="V283" s="6">
        <v>1000</v>
      </c>
      <c r="W283" s="6" t="s">
        <v>260</v>
      </c>
      <c r="X283" s="6">
        <v>3000</v>
      </c>
      <c r="Y283" s="6" t="s">
        <v>261</v>
      </c>
      <c r="Z283" s="6">
        <v>470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286</v>
      </c>
      <c r="AN283" s="44" t="s">
        <v>253</v>
      </c>
      <c r="AO283" s="44" t="s">
        <v>266</v>
      </c>
      <c r="AP283" s="44" t="s">
        <v>264</v>
      </c>
      <c r="AQ283" s="44">
        <v>11</v>
      </c>
      <c r="AR283" s="44" t="s">
        <v>36</v>
      </c>
      <c r="AS283" s="44" t="s">
        <v>253</v>
      </c>
      <c r="AT283" s="44" t="s">
        <v>277</v>
      </c>
      <c r="AU283" s="44">
        <v>12</v>
      </c>
      <c r="AV283" s="44">
        <v>1</v>
      </c>
      <c r="AW283" s="44" t="s">
        <v>269</v>
      </c>
      <c r="AX283" s="44" t="s">
        <v>288</v>
      </c>
      <c r="AY283" s="44" t="s">
        <v>257</v>
      </c>
      <c r="AZ283" s="44">
        <v>1</v>
      </c>
      <c r="BA283" s="44" t="s">
        <v>270</v>
      </c>
      <c r="BB283" s="44" t="s">
        <v>271</v>
      </c>
      <c r="BC283" s="44" t="s">
        <v>259</v>
      </c>
      <c r="BD283" s="44" t="s">
        <v>253</v>
      </c>
      <c r="BE283" s="44" t="s">
        <v>272</v>
      </c>
      <c r="BF283" s="44" t="s">
        <v>260</v>
      </c>
      <c r="BG283" s="44" t="s">
        <v>273</v>
      </c>
      <c r="BH283" s="44" t="s">
        <v>274</v>
      </c>
      <c r="BI283" s="44" t="s">
        <v>293</v>
      </c>
      <c r="BJ283" s="44" t="s">
        <v>263</v>
      </c>
      <c r="BK283" s="44" t="s">
        <v>253</v>
      </c>
      <c r="BL283" s="44" t="s">
        <v>253</v>
      </c>
      <c r="BM283" s="44" t="s">
        <v>253</v>
      </c>
      <c r="BN283" s="44" t="s">
        <v>263</v>
      </c>
      <c r="BO283" s="44" t="s">
        <v>253</v>
      </c>
      <c r="BP283" s="44" t="s">
        <v>253</v>
      </c>
      <c r="BQ283" s="44" t="s">
        <v>253</v>
      </c>
      <c r="BR283" s="44" t="s">
        <v>253</v>
      </c>
      <c r="BS283" s="44" t="s">
        <v>287</v>
      </c>
      <c r="BT283" s="44">
        <v>0</v>
      </c>
    </row>
    <row r="284" spans="1:72">
      <c r="A284" s="44">
        <v>2022</v>
      </c>
      <c r="B284" s="6">
        <v>12</v>
      </c>
      <c r="C284" s="6">
        <v>1</v>
      </c>
      <c r="D284" s="6" t="s">
        <v>286</v>
      </c>
      <c r="E284" s="6" t="s">
        <v>253</v>
      </c>
      <c r="F284" s="6" t="s">
        <v>254</v>
      </c>
      <c r="G284" s="6">
        <v>2022</v>
      </c>
      <c r="H284" s="6">
        <v>11</v>
      </c>
      <c r="I284" s="6" t="s">
        <v>36</v>
      </c>
      <c r="J284" s="6" t="s">
        <v>253</v>
      </c>
      <c r="K284" s="6">
        <v>1982</v>
      </c>
      <c r="L284" s="14">
        <v>12</v>
      </c>
      <c r="M284" s="6">
        <v>1</v>
      </c>
      <c r="N284" s="6" t="s">
        <v>255</v>
      </c>
      <c r="O284" s="6" t="s">
        <v>288</v>
      </c>
      <c r="P284" s="6" t="s">
        <v>257</v>
      </c>
      <c r="Q284" s="6">
        <v>3000</v>
      </c>
      <c r="R284" s="6" t="s">
        <v>254</v>
      </c>
      <c r="S284" s="6" t="s">
        <v>258</v>
      </c>
      <c r="T284" s="6" t="s">
        <v>259</v>
      </c>
      <c r="U284" s="6" t="s">
        <v>253</v>
      </c>
      <c r="V284" s="6">
        <v>1000</v>
      </c>
      <c r="W284" s="6" t="s">
        <v>260</v>
      </c>
      <c r="X284" s="6">
        <v>3000</v>
      </c>
      <c r="Y284" s="6" t="s">
        <v>261</v>
      </c>
      <c r="Z284" s="6">
        <v>470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286</v>
      </c>
      <c r="AN284" s="44" t="s">
        <v>253</v>
      </c>
      <c r="AO284" s="44" t="s">
        <v>266</v>
      </c>
      <c r="AP284" s="44" t="s">
        <v>264</v>
      </c>
      <c r="AQ284" s="44">
        <v>11</v>
      </c>
      <c r="AR284" s="44" t="s">
        <v>36</v>
      </c>
      <c r="AS284" s="44" t="s">
        <v>253</v>
      </c>
      <c r="AT284" s="44" t="s">
        <v>278</v>
      </c>
      <c r="AU284" s="44">
        <v>12</v>
      </c>
      <c r="AV284" s="44">
        <v>1</v>
      </c>
      <c r="AW284" s="44" t="s">
        <v>269</v>
      </c>
      <c r="AX284" s="44" t="s">
        <v>288</v>
      </c>
      <c r="AY284" s="44" t="s">
        <v>257</v>
      </c>
      <c r="AZ284" s="44">
        <v>1</v>
      </c>
      <c r="BA284" s="44" t="s">
        <v>270</v>
      </c>
      <c r="BB284" s="44" t="s">
        <v>271</v>
      </c>
      <c r="BC284" s="44" t="s">
        <v>259</v>
      </c>
      <c r="BD284" s="44" t="s">
        <v>253</v>
      </c>
      <c r="BE284" s="44" t="s">
        <v>272</v>
      </c>
      <c r="BF284" s="44" t="s">
        <v>260</v>
      </c>
      <c r="BG284" s="44" t="s">
        <v>273</v>
      </c>
      <c r="BH284" s="44" t="s">
        <v>274</v>
      </c>
      <c r="BI284" s="44" t="s">
        <v>293</v>
      </c>
      <c r="BJ284" s="44" t="s">
        <v>263</v>
      </c>
      <c r="BK284" s="44" t="s">
        <v>253</v>
      </c>
      <c r="BL284" s="44" t="s">
        <v>253</v>
      </c>
      <c r="BM284" s="44" t="s">
        <v>253</v>
      </c>
      <c r="BN284" s="44" t="s">
        <v>263</v>
      </c>
      <c r="BO284" s="44" t="s">
        <v>253</v>
      </c>
      <c r="BP284" s="44" t="s">
        <v>253</v>
      </c>
      <c r="BQ284" s="44" t="s">
        <v>253</v>
      </c>
      <c r="BR284" s="44" t="s">
        <v>253</v>
      </c>
      <c r="BS284" s="44" t="s">
        <v>287</v>
      </c>
      <c r="BT284" s="44">
        <v>0</v>
      </c>
    </row>
    <row r="285" spans="1:72">
      <c r="A285" s="44">
        <v>2022</v>
      </c>
      <c r="B285" s="6">
        <v>12</v>
      </c>
      <c r="C285" s="6">
        <v>1</v>
      </c>
      <c r="D285" s="6" t="s">
        <v>286</v>
      </c>
      <c r="E285" s="6" t="s">
        <v>253</v>
      </c>
      <c r="F285" s="6" t="s">
        <v>254</v>
      </c>
      <c r="G285" s="6">
        <v>2022</v>
      </c>
      <c r="H285" s="6">
        <v>11</v>
      </c>
      <c r="I285" s="6" t="s">
        <v>36</v>
      </c>
      <c r="J285" s="6" t="s">
        <v>253</v>
      </c>
      <c r="K285" s="6">
        <v>1977</v>
      </c>
      <c r="L285" s="14">
        <v>12</v>
      </c>
      <c r="M285" s="6">
        <v>1</v>
      </c>
      <c r="N285" s="6" t="s">
        <v>255</v>
      </c>
      <c r="O285" s="6" t="s">
        <v>288</v>
      </c>
      <c r="P285" s="6" t="s">
        <v>257</v>
      </c>
      <c r="Q285" s="6">
        <v>3000</v>
      </c>
      <c r="R285" s="6" t="s">
        <v>254</v>
      </c>
      <c r="S285" s="6" t="s">
        <v>258</v>
      </c>
      <c r="T285" s="6" t="s">
        <v>259</v>
      </c>
      <c r="U285" s="6" t="s">
        <v>253</v>
      </c>
      <c r="V285" s="6">
        <v>1000</v>
      </c>
      <c r="W285" s="6" t="s">
        <v>260</v>
      </c>
      <c r="X285" s="6">
        <v>3000</v>
      </c>
      <c r="Y285" s="6" t="s">
        <v>261</v>
      </c>
      <c r="Z285" s="6">
        <v>470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286</v>
      </c>
      <c r="AN285" s="44" t="s">
        <v>253</v>
      </c>
      <c r="AO285" s="44" t="s">
        <v>266</v>
      </c>
      <c r="AP285" s="44" t="s">
        <v>264</v>
      </c>
      <c r="AQ285" s="44">
        <v>11</v>
      </c>
      <c r="AR285" s="44" t="s">
        <v>36</v>
      </c>
      <c r="AS285" s="44" t="s">
        <v>253</v>
      </c>
      <c r="AT285" s="44" t="s">
        <v>279</v>
      </c>
      <c r="AU285" s="44">
        <v>12</v>
      </c>
      <c r="AV285" s="44">
        <v>1</v>
      </c>
      <c r="AW285" s="44" t="s">
        <v>269</v>
      </c>
      <c r="AX285" s="44" t="s">
        <v>288</v>
      </c>
      <c r="AY285" s="44" t="s">
        <v>257</v>
      </c>
      <c r="AZ285" s="44">
        <v>1</v>
      </c>
      <c r="BA285" s="44" t="s">
        <v>270</v>
      </c>
      <c r="BB285" s="44" t="s">
        <v>271</v>
      </c>
      <c r="BC285" s="44" t="s">
        <v>259</v>
      </c>
      <c r="BD285" s="44" t="s">
        <v>253</v>
      </c>
      <c r="BE285" s="44" t="s">
        <v>272</v>
      </c>
      <c r="BF285" s="44" t="s">
        <v>260</v>
      </c>
      <c r="BG285" s="44" t="s">
        <v>273</v>
      </c>
      <c r="BH285" s="44" t="s">
        <v>274</v>
      </c>
      <c r="BI285" s="44" t="s">
        <v>293</v>
      </c>
      <c r="BJ285" s="44" t="s">
        <v>263</v>
      </c>
      <c r="BK285" s="44" t="s">
        <v>253</v>
      </c>
      <c r="BL285" s="44" t="s">
        <v>253</v>
      </c>
      <c r="BM285" s="44" t="s">
        <v>253</v>
      </c>
      <c r="BN285" s="44" t="s">
        <v>263</v>
      </c>
      <c r="BO285" s="44" t="s">
        <v>253</v>
      </c>
      <c r="BP285" s="44" t="s">
        <v>253</v>
      </c>
      <c r="BQ285" s="44" t="s">
        <v>253</v>
      </c>
      <c r="BR285" s="44" t="s">
        <v>253</v>
      </c>
      <c r="BS285" s="44" t="s">
        <v>287</v>
      </c>
      <c r="BT285" s="44">
        <v>0</v>
      </c>
    </row>
    <row r="286" spans="1:72">
      <c r="A286" s="44">
        <v>2022</v>
      </c>
      <c r="B286" s="6">
        <v>12</v>
      </c>
      <c r="C286" s="6">
        <v>1</v>
      </c>
      <c r="D286" s="6" t="s">
        <v>286</v>
      </c>
      <c r="E286" s="6" t="s">
        <v>253</v>
      </c>
      <c r="F286" s="6" t="s">
        <v>254</v>
      </c>
      <c r="G286" s="6">
        <v>2022</v>
      </c>
      <c r="H286" s="6">
        <v>11</v>
      </c>
      <c r="I286" s="6" t="s">
        <v>36</v>
      </c>
      <c r="J286" s="6" t="s">
        <v>253</v>
      </c>
      <c r="K286" s="6">
        <v>1972</v>
      </c>
      <c r="L286" s="14">
        <v>12</v>
      </c>
      <c r="M286" s="6">
        <v>1</v>
      </c>
      <c r="N286" s="6" t="s">
        <v>255</v>
      </c>
      <c r="O286" s="6" t="s">
        <v>288</v>
      </c>
      <c r="P286" s="6" t="s">
        <v>257</v>
      </c>
      <c r="Q286" s="6">
        <v>3000</v>
      </c>
      <c r="R286" s="6" t="s">
        <v>254</v>
      </c>
      <c r="S286" s="6" t="s">
        <v>258</v>
      </c>
      <c r="T286" s="6" t="s">
        <v>259</v>
      </c>
      <c r="U286" s="6" t="s">
        <v>253</v>
      </c>
      <c r="V286" s="6">
        <v>1000</v>
      </c>
      <c r="W286" s="6" t="s">
        <v>260</v>
      </c>
      <c r="X286" s="6">
        <v>3000</v>
      </c>
      <c r="Y286" s="6" t="s">
        <v>261</v>
      </c>
      <c r="Z286" s="6">
        <v>470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286</v>
      </c>
      <c r="AN286" s="44" t="s">
        <v>253</v>
      </c>
      <c r="AO286" s="44" t="s">
        <v>266</v>
      </c>
      <c r="AP286" s="44" t="s">
        <v>264</v>
      </c>
      <c r="AQ286" s="44">
        <v>11</v>
      </c>
      <c r="AR286" s="44" t="s">
        <v>36</v>
      </c>
      <c r="AS286" s="44" t="s">
        <v>253</v>
      </c>
      <c r="AT286" s="44" t="s">
        <v>280</v>
      </c>
      <c r="AU286" s="44">
        <v>12</v>
      </c>
      <c r="AV286" s="44">
        <v>1</v>
      </c>
      <c r="AW286" s="44" t="s">
        <v>269</v>
      </c>
      <c r="AX286" s="44" t="s">
        <v>288</v>
      </c>
      <c r="AY286" s="44" t="s">
        <v>257</v>
      </c>
      <c r="AZ286" s="44">
        <v>1</v>
      </c>
      <c r="BA286" s="44" t="s">
        <v>270</v>
      </c>
      <c r="BB286" s="44" t="s">
        <v>271</v>
      </c>
      <c r="BC286" s="44" t="s">
        <v>259</v>
      </c>
      <c r="BD286" s="44" t="s">
        <v>253</v>
      </c>
      <c r="BE286" s="44" t="s">
        <v>272</v>
      </c>
      <c r="BF286" s="44" t="s">
        <v>260</v>
      </c>
      <c r="BG286" s="44" t="s">
        <v>273</v>
      </c>
      <c r="BH286" s="44" t="s">
        <v>274</v>
      </c>
      <c r="BI286" s="44" t="s">
        <v>293</v>
      </c>
      <c r="BJ286" s="44" t="s">
        <v>263</v>
      </c>
      <c r="BK286" s="44" t="s">
        <v>253</v>
      </c>
      <c r="BL286" s="44" t="s">
        <v>253</v>
      </c>
      <c r="BM286" s="44" t="s">
        <v>253</v>
      </c>
      <c r="BN286" s="44" t="s">
        <v>263</v>
      </c>
      <c r="BO286" s="44" t="s">
        <v>253</v>
      </c>
      <c r="BP286" s="44" t="s">
        <v>253</v>
      </c>
      <c r="BQ286" s="44" t="s">
        <v>253</v>
      </c>
      <c r="BR286" s="44" t="s">
        <v>253</v>
      </c>
      <c r="BS286" s="44" t="s">
        <v>287</v>
      </c>
      <c r="BT286" s="44">
        <v>0</v>
      </c>
    </row>
    <row r="287" spans="1:72">
      <c r="A287" s="44">
        <v>2022</v>
      </c>
      <c r="B287" s="6">
        <v>12</v>
      </c>
      <c r="C287" s="6">
        <v>1</v>
      </c>
      <c r="D287" s="6" t="s">
        <v>286</v>
      </c>
      <c r="E287" s="6" t="s">
        <v>253</v>
      </c>
      <c r="F287" s="6" t="s">
        <v>254</v>
      </c>
      <c r="G287" s="6">
        <v>2022</v>
      </c>
      <c r="H287" s="6">
        <v>11</v>
      </c>
      <c r="I287" s="6" t="s">
        <v>36</v>
      </c>
      <c r="J287" s="6" t="s">
        <v>253</v>
      </c>
      <c r="K287" s="6">
        <v>1962</v>
      </c>
      <c r="L287" s="14">
        <v>12</v>
      </c>
      <c r="M287" s="6">
        <v>1</v>
      </c>
      <c r="N287" s="6" t="s">
        <v>255</v>
      </c>
      <c r="O287" s="6" t="s">
        <v>288</v>
      </c>
      <c r="P287" s="6" t="s">
        <v>257</v>
      </c>
      <c r="Q287" s="6">
        <v>3000</v>
      </c>
      <c r="R287" s="6" t="s">
        <v>254</v>
      </c>
      <c r="S287" s="6" t="s">
        <v>258</v>
      </c>
      <c r="T287" s="6" t="s">
        <v>259</v>
      </c>
      <c r="U287" s="6" t="s">
        <v>253</v>
      </c>
      <c r="V287" s="6">
        <v>1000</v>
      </c>
      <c r="W287" s="6" t="s">
        <v>260</v>
      </c>
      <c r="X287" s="6">
        <v>3000</v>
      </c>
      <c r="Y287" s="6" t="s">
        <v>261</v>
      </c>
      <c r="Z287" s="6">
        <v>470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286</v>
      </c>
      <c r="AN287" s="44" t="s">
        <v>253</v>
      </c>
      <c r="AO287" s="44" t="s">
        <v>266</v>
      </c>
      <c r="AP287" s="44" t="s">
        <v>264</v>
      </c>
      <c r="AQ287" s="44">
        <v>11</v>
      </c>
      <c r="AR287" s="44" t="s">
        <v>36</v>
      </c>
      <c r="AS287" s="44" t="s">
        <v>253</v>
      </c>
      <c r="AT287" s="44" t="s">
        <v>281</v>
      </c>
      <c r="AU287" s="44">
        <v>12</v>
      </c>
      <c r="AV287" s="44">
        <v>1</v>
      </c>
      <c r="AW287" s="44" t="s">
        <v>269</v>
      </c>
      <c r="AX287" s="44" t="s">
        <v>288</v>
      </c>
      <c r="AY287" s="44" t="s">
        <v>257</v>
      </c>
      <c r="AZ287" s="44">
        <v>1</v>
      </c>
      <c r="BA287" s="44" t="s">
        <v>270</v>
      </c>
      <c r="BB287" s="44" t="s">
        <v>271</v>
      </c>
      <c r="BC287" s="44" t="s">
        <v>259</v>
      </c>
      <c r="BD287" s="44" t="s">
        <v>253</v>
      </c>
      <c r="BE287" s="44" t="s">
        <v>272</v>
      </c>
      <c r="BF287" s="44" t="s">
        <v>260</v>
      </c>
      <c r="BG287" s="44" t="s">
        <v>273</v>
      </c>
      <c r="BH287" s="44" t="s">
        <v>274</v>
      </c>
      <c r="BI287" s="44" t="s">
        <v>293</v>
      </c>
      <c r="BJ287" s="44" t="s">
        <v>263</v>
      </c>
      <c r="BK287" s="44" t="s">
        <v>253</v>
      </c>
      <c r="BL287" s="44" t="s">
        <v>253</v>
      </c>
      <c r="BM287" s="44" t="s">
        <v>253</v>
      </c>
      <c r="BN287" s="44" t="s">
        <v>263</v>
      </c>
      <c r="BO287" s="44" t="s">
        <v>253</v>
      </c>
      <c r="BP287" s="44" t="s">
        <v>253</v>
      </c>
      <c r="BQ287" s="44" t="s">
        <v>253</v>
      </c>
      <c r="BR287" s="44" t="s">
        <v>253</v>
      </c>
      <c r="BS287" s="44" t="s">
        <v>287</v>
      </c>
      <c r="BT287" s="44">
        <v>0</v>
      </c>
    </row>
    <row r="288" spans="1:72">
      <c r="A288" s="44">
        <v>2022</v>
      </c>
      <c r="B288" s="6">
        <v>12</v>
      </c>
      <c r="C288" s="6">
        <v>1</v>
      </c>
      <c r="D288" s="6" t="s">
        <v>286</v>
      </c>
      <c r="E288" s="6" t="s">
        <v>253</v>
      </c>
      <c r="F288" s="6" t="s">
        <v>254</v>
      </c>
      <c r="G288" s="6">
        <v>2022</v>
      </c>
      <c r="H288" s="6">
        <v>11</v>
      </c>
      <c r="I288" s="6" t="s">
        <v>36</v>
      </c>
      <c r="J288" s="6" t="s">
        <v>253</v>
      </c>
      <c r="K288" s="6">
        <v>1952</v>
      </c>
      <c r="L288" s="14">
        <v>12</v>
      </c>
      <c r="M288" s="6">
        <v>1</v>
      </c>
      <c r="N288" s="6" t="s">
        <v>255</v>
      </c>
      <c r="O288" s="6" t="s">
        <v>288</v>
      </c>
      <c r="P288" s="6" t="s">
        <v>257</v>
      </c>
      <c r="Q288" s="6">
        <v>3000</v>
      </c>
      <c r="R288" s="6" t="s">
        <v>254</v>
      </c>
      <c r="S288" s="6" t="s">
        <v>258</v>
      </c>
      <c r="T288" s="6" t="s">
        <v>259</v>
      </c>
      <c r="U288" s="6" t="s">
        <v>253</v>
      </c>
      <c r="V288" s="6">
        <v>1000</v>
      </c>
      <c r="W288" s="6" t="s">
        <v>260</v>
      </c>
      <c r="X288" s="6">
        <v>3000</v>
      </c>
      <c r="Y288" s="6" t="s">
        <v>261</v>
      </c>
      <c r="Z288" s="6">
        <v>470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286</v>
      </c>
      <c r="AN288" s="44" t="s">
        <v>253</v>
      </c>
      <c r="AO288" s="44" t="s">
        <v>266</v>
      </c>
      <c r="AP288" s="44" t="s">
        <v>264</v>
      </c>
      <c r="AQ288" s="44">
        <v>11</v>
      </c>
      <c r="AR288" s="44" t="s">
        <v>36</v>
      </c>
      <c r="AS288" s="44" t="s">
        <v>253</v>
      </c>
      <c r="AT288" s="44" t="s">
        <v>282</v>
      </c>
      <c r="AU288" s="44">
        <v>12</v>
      </c>
      <c r="AV288" s="44">
        <v>1</v>
      </c>
      <c r="AW288" s="44" t="s">
        <v>269</v>
      </c>
      <c r="AX288" s="44" t="s">
        <v>288</v>
      </c>
      <c r="AY288" s="44" t="s">
        <v>257</v>
      </c>
      <c r="AZ288" s="44">
        <v>1</v>
      </c>
      <c r="BA288" s="44" t="s">
        <v>270</v>
      </c>
      <c r="BB288" s="44" t="s">
        <v>271</v>
      </c>
      <c r="BC288" s="44" t="s">
        <v>259</v>
      </c>
      <c r="BD288" s="44" t="s">
        <v>253</v>
      </c>
      <c r="BE288" s="44" t="s">
        <v>272</v>
      </c>
      <c r="BF288" s="44" t="s">
        <v>260</v>
      </c>
      <c r="BG288" s="44" t="s">
        <v>273</v>
      </c>
      <c r="BH288" s="44" t="s">
        <v>274</v>
      </c>
      <c r="BI288" s="44" t="s">
        <v>293</v>
      </c>
      <c r="BJ288" s="44" t="s">
        <v>263</v>
      </c>
      <c r="BK288" s="44" t="s">
        <v>253</v>
      </c>
      <c r="BL288" s="44" t="s">
        <v>253</v>
      </c>
      <c r="BM288" s="44" t="s">
        <v>253</v>
      </c>
      <c r="BN288" s="44" t="s">
        <v>263</v>
      </c>
      <c r="BO288" s="44" t="s">
        <v>253</v>
      </c>
      <c r="BP288" s="44" t="s">
        <v>253</v>
      </c>
      <c r="BQ288" s="44" t="s">
        <v>253</v>
      </c>
      <c r="BR288" s="44" t="s">
        <v>253</v>
      </c>
      <c r="BS288" s="44" t="s">
        <v>287</v>
      </c>
      <c r="BT288" s="44">
        <v>0</v>
      </c>
    </row>
    <row r="289" spans="1:72">
      <c r="A289" s="44">
        <v>2022</v>
      </c>
      <c r="B289" s="6">
        <v>12</v>
      </c>
      <c r="C289" s="6">
        <v>1</v>
      </c>
      <c r="D289" s="6" t="s">
        <v>286</v>
      </c>
      <c r="E289" s="6" t="s">
        <v>253</v>
      </c>
      <c r="F289" s="6" t="s">
        <v>254</v>
      </c>
      <c r="G289" s="6">
        <v>2022</v>
      </c>
      <c r="H289" s="6">
        <v>11</v>
      </c>
      <c r="I289" s="6" t="s">
        <v>36</v>
      </c>
      <c r="J289" s="6" t="s">
        <v>253</v>
      </c>
      <c r="K289" s="6">
        <v>1992</v>
      </c>
      <c r="L289" s="14">
        <v>12</v>
      </c>
      <c r="M289" s="6">
        <v>1</v>
      </c>
      <c r="N289" s="6" t="s">
        <v>255</v>
      </c>
      <c r="O289" s="6" t="s">
        <v>288</v>
      </c>
      <c r="P289" s="6" t="s">
        <v>257</v>
      </c>
      <c r="Q289" s="6">
        <v>7000</v>
      </c>
      <c r="R289" s="6" t="s">
        <v>254</v>
      </c>
      <c r="S289" s="6" t="s">
        <v>258</v>
      </c>
      <c r="T289" s="6" t="s">
        <v>259</v>
      </c>
      <c r="U289" s="6" t="s">
        <v>253</v>
      </c>
      <c r="V289" s="6">
        <v>1000</v>
      </c>
      <c r="W289" s="6" t="s">
        <v>260</v>
      </c>
      <c r="X289" s="6">
        <v>3000</v>
      </c>
      <c r="Y289" s="6" t="s">
        <v>261</v>
      </c>
      <c r="Z289" s="6">
        <v>470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286</v>
      </c>
      <c r="AN289" s="44" t="s">
        <v>253</v>
      </c>
      <c r="AO289" s="44" t="s">
        <v>266</v>
      </c>
      <c r="AP289" s="44" t="s">
        <v>264</v>
      </c>
      <c r="AQ289" s="44">
        <v>11</v>
      </c>
      <c r="AR289" s="44" t="s">
        <v>36</v>
      </c>
      <c r="AS289" s="44" t="s">
        <v>253</v>
      </c>
      <c r="AT289" s="44" t="s">
        <v>268</v>
      </c>
      <c r="AU289" s="44">
        <v>12</v>
      </c>
      <c r="AV289" s="44">
        <v>1</v>
      </c>
      <c r="AW289" s="44" t="s">
        <v>269</v>
      </c>
      <c r="AX289" s="44" t="s">
        <v>288</v>
      </c>
      <c r="AY289" s="44" t="s">
        <v>257</v>
      </c>
      <c r="AZ289" s="44">
        <v>3</v>
      </c>
      <c r="BA289" s="44" t="s">
        <v>270</v>
      </c>
      <c r="BB289" s="44" t="s">
        <v>271</v>
      </c>
      <c r="BC289" s="44" t="s">
        <v>259</v>
      </c>
      <c r="BD289" s="44" t="s">
        <v>253</v>
      </c>
      <c r="BE289" s="44" t="s">
        <v>272</v>
      </c>
      <c r="BF289" s="44" t="s">
        <v>260</v>
      </c>
      <c r="BG289" s="44" t="s">
        <v>273</v>
      </c>
      <c r="BH289" s="44" t="s">
        <v>274</v>
      </c>
      <c r="BI289" s="44" t="s">
        <v>293</v>
      </c>
      <c r="BJ289" s="44" t="s">
        <v>263</v>
      </c>
      <c r="BK289" s="44" t="s">
        <v>253</v>
      </c>
      <c r="BL289" s="44" t="s">
        <v>253</v>
      </c>
      <c r="BM289" s="44" t="s">
        <v>253</v>
      </c>
      <c r="BN289" s="44" t="s">
        <v>263</v>
      </c>
      <c r="BO289" s="44" t="s">
        <v>253</v>
      </c>
      <c r="BP289" s="44" t="s">
        <v>253</v>
      </c>
      <c r="BQ289" s="44" t="s">
        <v>253</v>
      </c>
      <c r="BR289" s="44" t="s">
        <v>253</v>
      </c>
      <c r="BS289" s="44" t="s">
        <v>287</v>
      </c>
      <c r="BT289" s="44">
        <v>0</v>
      </c>
    </row>
    <row r="290" spans="1:72">
      <c r="A290" s="44">
        <v>2022</v>
      </c>
      <c r="B290" s="6">
        <v>12</v>
      </c>
      <c r="C290" s="6">
        <v>1</v>
      </c>
      <c r="D290" s="6" t="s">
        <v>286</v>
      </c>
      <c r="E290" s="6" t="s">
        <v>253</v>
      </c>
      <c r="F290" s="6" t="s">
        <v>254</v>
      </c>
      <c r="G290" s="6">
        <v>2022</v>
      </c>
      <c r="H290" s="6">
        <v>11</v>
      </c>
      <c r="I290" s="6" t="s">
        <v>36</v>
      </c>
      <c r="J290" s="6" t="s">
        <v>253</v>
      </c>
      <c r="K290" s="6">
        <v>1987</v>
      </c>
      <c r="L290" s="14">
        <v>12</v>
      </c>
      <c r="M290" s="6">
        <v>1</v>
      </c>
      <c r="N290" s="6" t="s">
        <v>255</v>
      </c>
      <c r="O290" s="6" t="s">
        <v>288</v>
      </c>
      <c r="P290" s="6" t="s">
        <v>257</v>
      </c>
      <c r="Q290" s="6">
        <v>7000</v>
      </c>
      <c r="R290" s="6" t="s">
        <v>254</v>
      </c>
      <c r="S290" s="6" t="s">
        <v>258</v>
      </c>
      <c r="T290" s="6" t="s">
        <v>259</v>
      </c>
      <c r="U290" s="6" t="s">
        <v>253</v>
      </c>
      <c r="V290" s="6">
        <v>1000</v>
      </c>
      <c r="W290" s="6" t="s">
        <v>260</v>
      </c>
      <c r="X290" s="6">
        <v>3000</v>
      </c>
      <c r="Y290" s="6" t="s">
        <v>261</v>
      </c>
      <c r="Z290" s="6">
        <v>470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286</v>
      </c>
      <c r="AN290" s="44" t="s">
        <v>253</v>
      </c>
      <c r="AO290" s="44" t="s">
        <v>266</v>
      </c>
      <c r="AP290" s="44" t="s">
        <v>264</v>
      </c>
      <c r="AQ290" s="44">
        <v>11</v>
      </c>
      <c r="AR290" s="44" t="s">
        <v>36</v>
      </c>
      <c r="AS290" s="44" t="s">
        <v>253</v>
      </c>
      <c r="AT290" s="44" t="s">
        <v>277</v>
      </c>
      <c r="AU290" s="44">
        <v>12</v>
      </c>
      <c r="AV290" s="44">
        <v>1</v>
      </c>
      <c r="AW290" s="44" t="s">
        <v>269</v>
      </c>
      <c r="AX290" s="44" t="s">
        <v>288</v>
      </c>
      <c r="AY290" s="44" t="s">
        <v>257</v>
      </c>
      <c r="AZ290" s="44">
        <v>3</v>
      </c>
      <c r="BA290" s="44" t="s">
        <v>270</v>
      </c>
      <c r="BB290" s="44" t="s">
        <v>271</v>
      </c>
      <c r="BC290" s="44" t="s">
        <v>259</v>
      </c>
      <c r="BD290" s="44" t="s">
        <v>253</v>
      </c>
      <c r="BE290" s="44" t="s">
        <v>272</v>
      </c>
      <c r="BF290" s="44" t="s">
        <v>260</v>
      </c>
      <c r="BG290" s="44" t="s">
        <v>273</v>
      </c>
      <c r="BH290" s="44" t="s">
        <v>274</v>
      </c>
      <c r="BI290" s="44" t="s">
        <v>293</v>
      </c>
      <c r="BJ290" s="44" t="s">
        <v>263</v>
      </c>
      <c r="BK290" s="44" t="s">
        <v>253</v>
      </c>
      <c r="BL290" s="44" t="s">
        <v>253</v>
      </c>
      <c r="BM290" s="44" t="s">
        <v>253</v>
      </c>
      <c r="BN290" s="44" t="s">
        <v>263</v>
      </c>
      <c r="BO290" s="44" t="s">
        <v>253</v>
      </c>
      <c r="BP290" s="44" t="s">
        <v>253</v>
      </c>
      <c r="BQ290" s="44" t="s">
        <v>253</v>
      </c>
      <c r="BR290" s="44" t="s">
        <v>253</v>
      </c>
      <c r="BS290" s="44" t="s">
        <v>287</v>
      </c>
      <c r="BT290" s="44">
        <v>0</v>
      </c>
    </row>
    <row r="291" spans="1:72">
      <c r="A291" s="44">
        <v>2022</v>
      </c>
      <c r="B291" s="6">
        <v>12</v>
      </c>
      <c r="C291" s="6">
        <v>1</v>
      </c>
      <c r="D291" s="6" t="s">
        <v>286</v>
      </c>
      <c r="E291" s="6" t="s">
        <v>253</v>
      </c>
      <c r="F291" s="6" t="s">
        <v>254</v>
      </c>
      <c r="G291" s="6">
        <v>2022</v>
      </c>
      <c r="H291" s="6">
        <v>11</v>
      </c>
      <c r="I291" s="6" t="s">
        <v>36</v>
      </c>
      <c r="J291" s="6" t="s">
        <v>253</v>
      </c>
      <c r="K291" s="6">
        <v>1982</v>
      </c>
      <c r="L291" s="14">
        <v>12</v>
      </c>
      <c r="M291" s="6">
        <v>1</v>
      </c>
      <c r="N291" s="6" t="s">
        <v>255</v>
      </c>
      <c r="O291" s="6" t="s">
        <v>288</v>
      </c>
      <c r="P291" s="6" t="s">
        <v>257</v>
      </c>
      <c r="Q291" s="6">
        <v>7000</v>
      </c>
      <c r="R291" s="6" t="s">
        <v>254</v>
      </c>
      <c r="S291" s="6" t="s">
        <v>258</v>
      </c>
      <c r="T291" s="6" t="s">
        <v>259</v>
      </c>
      <c r="U291" s="6" t="s">
        <v>253</v>
      </c>
      <c r="V291" s="6">
        <v>1000</v>
      </c>
      <c r="W291" s="6" t="s">
        <v>260</v>
      </c>
      <c r="X291" s="6">
        <v>3000</v>
      </c>
      <c r="Y291" s="6" t="s">
        <v>261</v>
      </c>
      <c r="Z291" s="6">
        <v>470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286</v>
      </c>
      <c r="AN291" s="44" t="s">
        <v>253</v>
      </c>
      <c r="AO291" s="44" t="s">
        <v>266</v>
      </c>
      <c r="AP291" s="44" t="s">
        <v>264</v>
      </c>
      <c r="AQ291" s="44">
        <v>11</v>
      </c>
      <c r="AR291" s="44" t="s">
        <v>36</v>
      </c>
      <c r="AS291" s="44" t="s">
        <v>253</v>
      </c>
      <c r="AT291" s="44" t="s">
        <v>278</v>
      </c>
      <c r="AU291" s="44">
        <v>12</v>
      </c>
      <c r="AV291" s="44">
        <v>1</v>
      </c>
      <c r="AW291" s="44" t="s">
        <v>269</v>
      </c>
      <c r="AX291" s="44" t="s">
        <v>288</v>
      </c>
      <c r="AY291" s="44" t="s">
        <v>257</v>
      </c>
      <c r="AZ291" s="44">
        <v>3</v>
      </c>
      <c r="BA291" s="44" t="s">
        <v>270</v>
      </c>
      <c r="BB291" s="44" t="s">
        <v>271</v>
      </c>
      <c r="BC291" s="44" t="s">
        <v>259</v>
      </c>
      <c r="BD291" s="44" t="s">
        <v>253</v>
      </c>
      <c r="BE291" s="44" t="s">
        <v>272</v>
      </c>
      <c r="BF291" s="44" t="s">
        <v>260</v>
      </c>
      <c r="BG291" s="44" t="s">
        <v>273</v>
      </c>
      <c r="BH291" s="44" t="s">
        <v>274</v>
      </c>
      <c r="BI291" s="44" t="s">
        <v>293</v>
      </c>
      <c r="BJ291" s="44" t="s">
        <v>263</v>
      </c>
      <c r="BK291" s="44" t="s">
        <v>253</v>
      </c>
      <c r="BL291" s="44" t="s">
        <v>253</v>
      </c>
      <c r="BM291" s="44" t="s">
        <v>253</v>
      </c>
      <c r="BN291" s="44" t="s">
        <v>263</v>
      </c>
      <c r="BO291" s="44" t="s">
        <v>253</v>
      </c>
      <c r="BP291" s="44" t="s">
        <v>253</v>
      </c>
      <c r="BQ291" s="44" t="s">
        <v>253</v>
      </c>
      <c r="BR291" s="44" t="s">
        <v>253</v>
      </c>
      <c r="BS291" s="44" t="s">
        <v>287</v>
      </c>
      <c r="BT291" s="44">
        <v>0</v>
      </c>
    </row>
    <row r="292" spans="1:72">
      <c r="A292" s="44">
        <v>2022</v>
      </c>
      <c r="B292" s="6">
        <v>12</v>
      </c>
      <c r="C292" s="6">
        <v>1</v>
      </c>
      <c r="D292" s="6" t="s">
        <v>286</v>
      </c>
      <c r="E292" s="6" t="s">
        <v>253</v>
      </c>
      <c r="F292" s="6" t="s">
        <v>254</v>
      </c>
      <c r="G292" s="6">
        <v>2022</v>
      </c>
      <c r="H292" s="6">
        <v>11</v>
      </c>
      <c r="I292" s="6" t="s">
        <v>36</v>
      </c>
      <c r="J292" s="6" t="s">
        <v>253</v>
      </c>
      <c r="K292" s="6">
        <v>1977</v>
      </c>
      <c r="L292" s="14">
        <v>12</v>
      </c>
      <c r="M292" s="6">
        <v>1</v>
      </c>
      <c r="N292" s="6" t="s">
        <v>255</v>
      </c>
      <c r="O292" s="6" t="s">
        <v>288</v>
      </c>
      <c r="P292" s="6" t="s">
        <v>257</v>
      </c>
      <c r="Q292" s="6">
        <v>7000</v>
      </c>
      <c r="R292" s="6" t="s">
        <v>254</v>
      </c>
      <c r="S292" s="6" t="s">
        <v>258</v>
      </c>
      <c r="T292" s="6" t="s">
        <v>259</v>
      </c>
      <c r="U292" s="6" t="s">
        <v>253</v>
      </c>
      <c r="V292" s="6">
        <v>1000</v>
      </c>
      <c r="W292" s="6" t="s">
        <v>260</v>
      </c>
      <c r="X292" s="6">
        <v>3000</v>
      </c>
      <c r="Y292" s="6" t="s">
        <v>261</v>
      </c>
      <c r="Z292" s="6">
        <v>470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286</v>
      </c>
      <c r="AN292" s="44" t="s">
        <v>253</v>
      </c>
      <c r="AO292" s="44" t="s">
        <v>266</v>
      </c>
      <c r="AP292" s="44" t="s">
        <v>264</v>
      </c>
      <c r="AQ292" s="44">
        <v>11</v>
      </c>
      <c r="AR292" s="44" t="s">
        <v>36</v>
      </c>
      <c r="AS292" s="44" t="s">
        <v>253</v>
      </c>
      <c r="AT292" s="44" t="s">
        <v>279</v>
      </c>
      <c r="AU292" s="44">
        <v>12</v>
      </c>
      <c r="AV292" s="44">
        <v>1</v>
      </c>
      <c r="AW292" s="44" t="s">
        <v>269</v>
      </c>
      <c r="AX292" s="44" t="s">
        <v>288</v>
      </c>
      <c r="AY292" s="44" t="s">
        <v>257</v>
      </c>
      <c r="AZ292" s="44">
        <v>3</v>
      </c>
      <c r="BA292" s="44" t="s">
        <v>270</v>
      </c>
      <c r="BB292" s="44" t="s">
        <v>271</v>
      </c>
      <c r="BC292" s="44" t="s">
        <v>259</v>
      </c>
      <c r="BD292" s="44" t="s">
        <v>253</v>
      </c>
      <c r="BE292" s="44" t="s">
        <v>272</v>
      </c>
      <c r="BF292" s="44" t="s">
        <v>260</v>
      </c>
      <c r="BG292" s="44" t="s">
        <v>273</v>
      </c>
      <c r="BH292" s="44" t="s">
        <v>274</v>
      </c>
      <c r="BI292" s="44" t="s">
        <v>293</v>
      </c>
      <c r="BJ292" s="44" t="s">
        <v>263</v>
      </c>
      <c r="BK292" s="44" t="s">
        <v>253</v>
      </c>
      <c r="BL292" s="44" t="s">
        <v>253</v>
      </c>
      <c r="BM292" s="44" t="s">
        <v>253</v>
      </c>
      <c r="BN292" s="44" t="s">
        <v>263</v>
      </c>
      <c r="BO292" s="44" t="s">
        <v>253</v>
      </c>
      <c r="BP292" s="44" t="s">
        <v>253</v>
      </c>
      <c r="BQ292" s="44" t="s">
        <v>253</v>
      </c>
      <c r="BR292" s="44" t="s">
        <v>253</v>
      </c>
      <c r="BS292" s="44" t="s">
        <v>287</v>
      </c>
      <c r="BT292" s="44">
        <v>0</v>
      </c>
    </row>
    <row r="293" spans="1:72">
      <c r="A293" s="44">
        <v>2022</v>
      </c>
      <c r="B293" s="6">
        <v>12</v>
      </c>
      <c r="C293" s="6">
        <v>1</v>
      </c>
      <c r="D293" s="6" t="s">
        <v>286</v>
      </c>
      <c r="E293" s="6" t="s">
        <v>253</v>
      </c>
      <c r="F293" s="6" t="s">
        <v>254</v>
      </c>
      <c r="G293" s="6">
        <v>2022</v>
      </c>
      <c r="H293" s="6">
        <v>11</v>
      </c>
      <c r="I293" s="6" t="s">
        <v>36</v>
      </c>
      <c r="J293" s="6" t="s">
        <v>253</v>
      </c>
      <c r="K293" s="6">
        <v>1972</v>
      </c>
      <c r="L293" s="14">
        <v>12</v>
      </c>
      <c r="M293" s="6">
        <v>1</v>
      </c>
      <c r="N293" s="6" t="s">
        <v>255</v>
      </c>
      <c r="O293" s="6" t="s">
        <v>288</v>
      </c>
      <c r="P293" s="6" t="s">
        <v>257</v>
      </c>
      <c r="Q293" s="6">
        <v>7000</v>
      </c>
      <c r="R293" s="6" t="s">
        <v>254</v>
      </c>
      <c r="S293" s="6" t="s">
        <v>258</v>
      </c>
      <c r="T293" s="6" t="s">
        <v>259</v>
      </c>
      <c r="U293" s="6" t="s">
        <v>253</v>
      </c>
      <c r="V293" s="6">
        <v>1000</v>
      </c>
      <c r="W293" s="6" t="s">
        <v>260</v>
      </c>
      <c r="X293" s="6">
        <v>3000</v>
      </c>
      <c r="Y293" s="6" t="s">
        <v>261</v>
      </c>
      <c r="Z293" s="6">
        <v>470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286</v>
      </c>
      <c r="AN293" s="44" t="s">
        <v>253</v>
      </c>
      <c r="AO293" s="44" t="s">
        <v>266</v>
      </c>
      <c r="AP293" s="44" t="s">
        <v>264</v>
      </c>
      <c r="AQ293" s="44">
        <v>11</v>
      </c>
      <c r="AR293" s="44" t="s">
        <v>36</v>
      </c>
      <c r="AS293" s="44" t="s">
        <v>253</v>
      </c>
      <c r="AT293" s="44" t="s">
        <v>280</v>
      </c>
      <c r="AU293" s="44">
        <v>12</v>
      </c>
      <c r="AV293" s="44">
        <v>1</v>
      </c>
      <c r="AW293" s="44" t="s">
        <v>269</v>
      </c>
      <c r="AX293" s="44" t="s">
        <v>288</v>
      </c>
      <c r="AY293" s="44" t="s">
        <v>257</v>
      </c>
      <c r="AZ293" s="44">
        <v>3</v>
      </c>
      <c r="BA293" s="44" t="s">
        <v>270</v>
      </c>
      <c r="BB293" s="44" t="s">
        <v>271</v>
      </c>
      <c r="BC293" s="44" t="s">
        <v>259</v>
      </c>
      <c r="BD293" s="44" t="s">
        <v>253</v>
      </c>
      <c r="BE293" s="44" t="s">
        <v>272</v>
      </c>
      <c r="BF293" s="44" t="s">
        <v>260</v>
      </c>
      <c r="BG293" s="44" t="s">
        <v>273</v>
      </c>
      <c r="BH293" s="44" t="s">
        <v>274</v>
      </c>
      <c r="BI293" s="44" t="s">
        <v>293</v>
      </c>
      <c r="BJ293" s="44" t="s">
        <v>263</v>
      </c>
      <c r="BK293" s="44" t="s">
        <v>253</v>
      </c>
      <c r="BL293" s="44" t="s">
        <v>253</v>
      </c>
      <c r="BM293" s="44" t="s">
        <v>253</v>
      </c>
      <c r="BN293" s="44" t="s">
        <v>263</v>
      </c>
      <c r="BO293" s="44" t="s">
        <v>253</v>
      </c>
      <c r="BP293" s="44" t="s">
        <v>253</v>
      </c>
      <c r="BQ293" s="44" t="s">
        <v>253</v>
      </c>
      <c r="BR293" s="44" t="s">
        <v>253</v>
      </c>
      <c r="BS293" s="44" t="s">
        <v>287</v>
      </c>
      <c r="BT293" s="44">
        <v>0</v>
      </c>
    </row>
    <row r="294" spans="1:72">
      <c r="A294" s="44">
        <v>2022</v>
      </c>
      <c r="B294" s="6">
        <v>12</v>
      </c>
      <c r="C294" s="6">
        <v>1</v>
      </c>
      <c r="D294" s="6" t="s">
        <v>286</v>
      </c>
      <c r="E294" s="6" t="s">
        <v>253</v>
      </c>
      <c r="F294" s="6" t="s">
        <v>254</v>
      </c>
      <c r="G294" s="6">
        <v>2022</v>
      </c>
      <c r="H294" s="6">
        <v>11</v>
      </c>
      <c r="I294" s="6" t="s">
        <v>36</v>
      </c>
      <c r="J294" s="6" t="s">
        <v>253</v>
      </c>
      <c r="K294" s="6">
        <v>1962</v>
      </c>
      <c r="L294" s="14">
        <v>12</v>
      </c>
      <c r="M294" s="6">
        <v>1</v>
      </c>
      <c r="N294" s="6" t="s">
        <v>255</v>
      </c>
      <c r="O294" s="6" t="s">
        <v>288</v>
      </c>
      <c r="P294" s="6" t="s">
        <v>257</v>
      </c>
      <c r="Q294" s="6">
        <v>7000</v>
      </c>
      <c r="R294" s="6" t="s">
        <v>254</v>
      </c>
      <c r="S294" s="6" t="s">
        <v>258</v>
      </c>
      <c r="T294" s="6" t="s">
        <v>259</v>
      </c>
      <c r="U294" s="6" t="s">
        <v>253</v>
      </c>
      <c r="V294" s="6">
        <v>1000</v>
      </c>
      <c r="W294" s="6" t="s">
        <v>260</v>
      </c>
      <c r="X294" s="6">
        <v>3000</v>
      </c>
      <c r="Y294" s="6" t="s">
        <v>261</v>
      </c>
      <c r="Z294" s="6">
        <v>470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286</v>
      </c>
      <c r="AN294" s="44" t="s">
        <v>253</v>
      </c>
      <c r="AO294" s="44" t="s">
        <v>266</v>
      </c>
      <c r="AP294" s="44" t="s">
        <v>264</v>
      </c>
      <c r="AQ294" s="44">
        <v>11</v>
      </c>
      <c r="AR294" s="44" t="s">
        <v>36</v>
      </c>
      <c r="AS294" s="44" t="s">
        <v>253</v>
      </c>
      <c r="AT294" s="44" t="s">
        <v>281</v>
      </c>
      <c r="AU294" s="44">
        <v>12</v>
      </c>
      <c r="AV294" s="44">
        <v>1</v>
      </c>
      <c r="AW294" s="44" t="s">
        <v>269</v>
      </c>
      <c r="AX294" s="44" t="s">
        <v>288</v>
      </c>
      <c r="AY294" s="44" t="s">
        <v>257</v>
      </c>
      <c r="AZ294" s="44">
        <v>3</v>
      </c>
      <c r="BA294" s="44" t="s">
        <v>270</v>
      </c>
      <c r="BB294" s="44" t="s">
        <v>271</v>
      </c>
      <c r="BC294" s="44" t="s">
        <v>259</v>
      </c>
      <c r="BD294" s="44" t="s">
        <v>253</v>
      </c>
      <c r="BE294" s="44" t="s">
        <v>272</v>
      </c>
      <c r="BF294" s="44" t="s">
        <v>260</v>
      </c>
      <c r="BG294" s="44" t="s">
        <v>273</v>
      </c>
      <c r="BH294" s="44" t="s">
        <v>274</v>
      </c>
      <c r="BI294" s="44" t="s">
        <v>293</v>
      </c>
      <c r="BJ294" s="44" t="s">
        <v>263</v>
      </c>
      <c r="BK294" s="44" t="s">
        <v>253</v>
      </c>
      <c r="BL294" s="44" t="s">
        <v>253</v>
      </c>
      <c r="BM294" s="44" t="s">
        <v>253</v>
      </c>
      <c r="BN294" s="44" t="s">
        <v>263</v>
      </c>
      <c r="BO294" s="44" t="s">
        <v>253</v>
      </c>
      <c r="BP294" s="44" t="s">
        <v>253</v>
      </c>
      <c r="BQ294" s="44" t="s">
        <v>253</v>
      </c>
      <c r="BR294" s="44" t="s">
        <v>253</v>
      </c>
      <c r="BS294" s="44" t="s">
        <v>287</v>
      </c>
      <c r="BT294" s="44">
        <v>0</v>
      </c>
    </row>
    <row r="295" spans="1:72">
      <c r="A295" s="44">
        <v>2022</v>
      </c>
      <c r="B295" s="6">
        <v>12</v>
      </c>
      <c r="C295" s="6">
        <v>1</v>
      </c>
      <c r="D295" s="6" t="s">
        <v>286</v>
      </c>
      <c r="E295" s="6" t="s">
        <v>253</v>
      </c>
      <c r="F295" s="6" t="s">
        <v>254</v>
      </c>
      <c r="G295" s="6">
        <v>2022</v>
      </c>
      <c r="H295" s="6">
        <v>11</v>
      </c>
      <c r="I295" s="6" t="s">
        <v>36</v>
      </c>
      <c r="J295" s="6" t="s">
        <v>253</v>
      </c>
      <c r="K295" s="6">
        <v>1952</v>
      </c>
      <c r="L295" s="14">
        <v>12</v>
      </c>
      <c r="M295" s="6">
        <v>1</v>
      </c>
      <c r="N295" s="6" t="s">
        <v>255</v>
      </c>
      <c r="O295" s="6" t="s">
        <v>288</v>
      </c>
      <c r="P295" s="6" t="s">
        <v>257</v>
      </c>
      <c r="Q295" s="6">
        <v>7000</v>
      </c>
      <c r="R295" s="6" t="s">
        <v>254</v>
      </c>
      <c r="S295" s="6" t="s">
        <v>258</v>
      </c>
      <c r="T295" s="6" t="s">
        <v>259</v>
      </c>
      <c r="U295" s="6" t="s">
        <v>253</v>
      </c>
      <c r="V295" s="6">
        <v>1000</v>
      </c>
      <c r="W295" s="6" t="s">
        <v>260</v>
      </c>
      <c r="X295" s="6">
        <v>3000</v>
      </c>
      <c r="Y295" s="6" t="s">
        <v>261</v>
      </c>
      <c r="Z295" s="6">
        <v>470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286</v>
      </c>
      <c r="AN295" s="44" t="s">
        <v>253</v>
      </c>
      <c r="AO295" s="44" t="s">
        <v>266</v>
      </c>
      <c r="AP295" s="44" t="s">
        <v>264</v>
      </c>
      <c r="AQ295" s="44">
        <v>11</v>
      </c>
      <c r="AR295" s="44" t="s">
        <v>36</v>
      </c>
      <c r="AS295" s="44" t="s">
        <v>253</v>
      </c>
      <c r="AT295" s="44" t="s">
        <v>282</v>
      </c>
      <c r="AU295" s="44">
        <v>12</v>
      </c>
      <c r="AV295" s="44">
        <v>1</v>
      </c>
      <c r="AW295" s="44" t="s">
        <v>269</v>
      </c>
      <c r="AX295" s="44" t="s">
        <v>288</v>
      </c>
      <c r="AY295" s="44" t="s">
        <v>257</v>
      </c>
      <c r="AZ295" s="44">
        <v>3</v>
      </c>
      <c r="BA295" s="44" t="s">
        <v>270</v>
      </c>
      <c r="BB295" s="44" t="s">
        <v>271</v>
      </c>
      <c r="BC295" s="44" t="s">
        <v>259</v>
      </c>
      <c r="BD295" s="44" t="s">
        <v>253</v>
      </c>
      <c r="BE295" s="44" t="s">
        <v>272</v>
      </c>
      <c r="BF295" s="44" t="s">
        <v>260</v>
      </c>
      <c r="BG295" s="44" t="s">
        <v>273</v>
      </c>
      <c r="BH295" s="44" t="s">
        <v>274</v>
      </c>
      <c r="BI295" s="44" t="s">
        <v>293</v>
      </c>
      <c r="BJ295" s="44" t="s">
        <v>263</v>
      </c>
      <c r="BK295" s="44" t="s">
        <v>253</v>
      </c>
      <c r="BL295" s="44" t="s">
        <v>253</v>
      </c>
      <c r="BM295" s="44" t="s">
        <v>253</v>
      </c>
      <c r="BN295" s="44" t="s">
        <v>263</v>
      </c>
      <c r="BO295" s="44" t="s">
        <v>253</v>
      </c>
      <c r="BP295" s="44" t="s">
        <v>253</v>
      </c>
      <c r="BQ295" s="44" t="s">
        <v>253</v>
      </c>
      <c r="BR295" s="44" t="s">
        <v>253</v>
      </c>
      <c r="BS295" s="44" t="s">
        <v>287</v>
      </c>
      <c r="BT295" s="44">
        <v>0</v>
      </c>
    </row>
    <row r="296" spans="1:72">
      <c r="A296" s="44">
        <v>2022</v>
      </c>
      <c r="B296" s="6">
        <v>12</v>
      </c>
      <c r="C296" s="6">
        <v>1</v>
      </c>
      <c r="D296" s="6" t="s">
        <v>286</v>
      </c>
      <c r="E296" s="6" t="s">
        <v>253</v>
      </c>
      <c r="F296" s="6" t="s">
        <v>254</v>
      </c>
      <c r="G296" s="6">
        <v>2022</v>
      </c>
      <c r="H296" s="6">
        <v>11</v>
      </c>
      <c r="I296" s="6" t="s">
        <v>36</v>
      </c>
      <c r="J296" s="6" t="s">
        <v>253</v>
      </c>
      <c r="K296" s="6">
        <v>1992</v>
      </c>
      <c r="L296" s="14">
        <v>12</v>
      </c>
      <c r="M296" s="6">
        <v>1</v>
      </c>
      <c r="N296" s="6" t="s">
        <v>255</v>
      </c>
      <c r="O296" s="6" t="s">
        <v>288</v>
      </c>
      <c r="P296" s="6" t="s">
        <v>283</v>
      </c>
      <c r="Q296" s="6">
        <v>3000</v>
      </c>
      <c r="R296" s="6" t="s">
        <v>254</v>
      </c>
      <c r="S296" s="6" t="s">
        <v>258</v>
      </c>
      <c r="T296" s="6" t="s">
        <v>259</v>
      </c>
      <c r="U296" s="6" t="s">
        <v>253</v>
      </c>
      <c r="V296" s="6">
        <v>1000</v>
      </c>
      <c r="W296" s="6" t="s">
        <v>260</v>
      </c>
      <c r="X296" s="6">
        <v>3000</v>
      </c>
      <c r="Y296" s="6" t="s">
        <v>261</v>
      </c>
      <c r="Z296" s="6">
        <v>470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286</v>
      </c>
      <c r="AN296" s="44" t="s">
        <v>253</v>
      </c>
      <c r="AO296" s="44" t="s">
        <v>266</v>
      </c>
      <c r="AP296" s="44" t="s">
        <v>264</v>
      </c>
      <c r="AQ296" s="44">
        <v>11</v>
      </c>
      <c r="AR296" s="44" t="s">
        <v>36</v>
      </c>
      <c r="AS296" s="44" t="s">
        <v>253</v>
      </c>
      <c r="AT296" s="44" t="s">
        <v>268</v>
      </c>
      <c r="AU296" s="44">
        <v>12</v>
      </c>
      <c r="AV296" s="44">
        <v>1</v>
      </c>
      <c r="AW296" s="44" t="s">
        <v>269</v>
      </c>
      <c r="AX296" s="44" t="s">
        <v>288</v>
      </c>
      <c r="AY296" s="44" t="s">
        <v>283</v>
      </c>
      <c r="AZ296" s="44">
        <v>1</v>
      </c>
      <c r="BA296" s="44" t="s">
        <v>270</v>
      </c>
      <c r="BB296" s="44" t="s">
        <v>271</v>
      </c>
      <c r="BC296" s="44" t="s">
        <v>259</v>
      </c>
      <c r="BD296" s="44" t="s">
        <v>253</v>
      </c>
      <c r="BE296" s="44" t="s">
        <v>272</v>
      </c>
      <c r="BF296" s="44" t="s">
        <v>260</v>
      </c>
      <c r="BG296" s="44" t="s">
        <v>273</v>
      </c>
      <c r="BH296" s="44" t="s">
        <v>274</v>
      </c>
      <c r="BI296" s="44" t="s">
        <v>293</v>
      </c>
      <c r="BJ296" s="44" t="s">
        <v>263</v>
      </c>
      <c r="BK296" s="44" t="s">
        <v>253</v>
      </c>
      <c r="BL296" s="44" t="s">
        <v>253</v>
      </c>
      <c r="BM296" s="44" t="s">
        <v>253</v>
      </c>
      <c r="BN296" s="44" t="s">
        <v>263</v>
      </c>
      <c r="BO296" s="44" t="s">
        <v>253</v>
      </c>
      <c r="BP296" s="44" t="s">
        <v>253</v>
      </c>
      <c r="BQ296" s="44" t="s">
        <v>253</v>
      </c>
      <c r="BR296" s="44" t="s">
        <v>253</v>
      </c>
      <c r="BS296" s="44" t="s">
        <v>287</v>
      </c>
      <c r="BT296" s="44">
        <v>0</v>
      </c>
    </row>
    <row r="297" spans="1:72">
      <c r="A297" s="44">
        <v>2022</v>
      </c>
      <c r="B297" s="6">
        <v>12</v>
      </c>
      <c r="C297" s="6">
        <v>1</v>
      </c>
      <c r="D297" s="6" t="s">
        <v>286</v>
      </c>
      <c r="E297" s="6" t="s">
        <v>253</v>
      </c>
      <c r="F297" s="6" t="s">
        <v>254</v>
      </c>
      <c r="G297" s="6">
        <v>2022</v>
      </c>
      <c r="H297" s="6">
        <v>11</v>
      </c>
      <c r="I297" s="6" t="s">
        <v>36</v>
      </c>
      <c r="J297" s="6" t="s">
        <v>253</v>
      </c>
      <c r="K297" s="6">
        <v>1987</v>
      </c>
      <c r="L297" s="14">
        <v>12</v>
      </c>
      <c r="M297" s="6">
        <v>1</v>
      </c>
      <c r="N297" s="6" t="s">
        <v>255</v>
      </c>
      <c r="O297" s="6" t="s">
        <v>288</v>
      </c>
      <c r="P297" s="6" t="s">
        <v>283</v>
      </c>
      <c r="Q297" s="6">
        <v>3000</v>
      </c>
      <c r="R297" s="6" t="s">
        <v>254</v>
      </c>
      <c r="S297" s="6" t="s">
        <v>258</v>
      </c>
      <c r="T297" s="6" t="s">
        <v>259</v>
      </c>
      <c r="U297" s="6" t="s">
        <v>253</v>
      </c>
      <c r="V297" s="6">
        <v>1000</v>
      </c>
      <c r="W297" s="6" t="s">
        <v>260</v>
      </c>
      <c r="X297" s="6">
        <v>3000</v>
      </c>
      <c r="Y297" s="6" t="s">
        <v>261</v>
      </c>
      <c r="Z297" s="6">
        <v>470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286</v>
      </c>
      <c r="AN297" s="44" t="s">
        <v>253</v>
      </c>
      <c r="AO297" s="44" t="s">
        <v>266</v>
      </c>
      <c r="AP297" s="44" t="s">
        <v>264</v>
      </c>
      <c r="AQ297" s="44">
        <v>11</v>
      </c>
      <c r="AR297" s="44" t="s">
        <v>36</v>
      </c>
      <c r="AS297" s="44" t="s">
        <v>253</v>
      </c>
      <c r="AT297" s="44" t="s">
        <v>277</v>
      </c>
      <c r="AU297" s="44">
        <v>12</v>
      </c>
      <c r="AV297" s="44">
        <v>1</v>
      </c>
      <c r="AW297" s="44" t="s">
        <v>269</v>
      </c>
      <c r="AX297" s="44" t="s">
        <v>288</v>
      </c>
      <c r="AY297" s="44" t="s">
        <v>283</v>
      </c>
      <c r="AZ297" s="44">
        <v>1</v>
      </c>
      <c r="BA297" s="44" t="s">
        <v>270</v>
      </c>
      <c r="BB297" s="44" t="s">
        <v>271</v>
      </c>
      <c r="BC297" s="44" t="s">
        <v>259</v>
      </c>
      <c r="BD297" s="44" t="s">
        <v>253</v>
      </c>
      <c r="BE297" s="44" t="s">
        <v>272</v>
      </c>
      <c r="BF297" s="44" t="s">
        <v>260</v>
      </c>
      <c r="BG297" s="44" t="s">
        <v>273</v>
      </c>
      <c r="BH297" s="44" t="s">
        <v>274</v>
      </c>
      <c r="BI297" s="44" t="s">
        <v>293</v>
      </c>
      <c r="BJ297" s="44" t="s">
        <v>263</v>
      </c>
      <c r="BK297" s="44" t="s">
        <v>253</v>
      </c>
      <c r="BL297" s="44" t="s">
        <v>253</v>
      </c>
      <c r="BM297" s="44" t="s">
        <v>253</v>
      </c>
      <c r="BN297" s="44" t="s">
        <v>263</v>
      </c>
      <c r="BO297" s="44" t="s">
        <v>253</v>
      </c>
      <c r="BP297" s="44" t="s">
        <v>253</v>
      </c>
      <c r="BQ297" s="44" t="s">
        <v>253</v>
      </c>
      <c r="BR297" s="44" t="s">
        <v>253</v>
      </c>
      <c r="BS297" s="44" t="s">
        <v>287</v>
      </c>
      <c r="BT297" s="44">
        <v>0</v>
      </c>
    </row>
    <row r="298" spans="1:72">
      <c r="A298" s="44">
        <v>2022</v>
      </c>
      <c r="B298" s="6">
        <v>12</v>
      </c>
      <c r="C298" s="6">
        <v>1</v>
      </c>
      <c r="D298" s="6" t="s">
        <v>286</v>
      </c>
      <c r="E298" s="6" t="s">
        <v>253</v>
      </c>
      <c r="F298" s="6" t="s">
        <v>254</v>
      </c>
      <c r="G298" s="6">
        <v>2022</v>
      </c>
      <c r="H298" s="6">
        <v>11</v>
      </c>
      <c r="I298" s="6" t="s">
        <v>36</v>
      </c>
      <c r="J298" s="6" t="s">
        <v>253</v>
      </c>
      <c r="K298" s="6">
        <v>1982</v>
      </c>
      <c r="L298" s="14">
        <v>12</v>
      </c>
      <c r="M298" s="6">
        <v>1</v>
      </c>
      <c r="N298" s="6" t="s">
        <v>255</v>
      </c>
      <c r="O298" s="6" t="s">
        <v>288</v>
      </c>
      <c r="P298" s="6" t="s">
        <v>283</v>
      </c>
      <c r="Q298" s="6">
        <v>3000</v>
      </c>
      <c r="R298" s="6" t="s">
        <v>254</v>
      </c>
      <c r="S298" s="6" t="s">
        <v>258</v>
      </c>
      <c r="T298" s="6" t="s">
        <v>259</v>
      </c>
      <c r="U298" s="6" t="s">
        <v>253</v>
      </c>
      <c r="V298" s="6">
        <v>1000</v>
      </c>
      <c r="W298" s="6" t="s">
        <v>260</v>
      </c>
      <c r="X298" s="6">
        <v>3000</v>
      </c>
      <c r="Y298" s="6" t="s">
        <v>261</v>
      </c>
      <c r="Z298" s="6">
        <v>470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286</v>
      </c>
      <c r="AN298" s="44" t="s">
        <v>253</v>
      </c>
      <c r="AO298" s="44" t="s">
        <v>266</v>
      </c>
      <c r="AP298" s="44" t="s">
        <v>264</v>
      </c>
      <c r="AQ298" s="44">
        <v>11</v>
      </c>
      <c r="AR298" s="44" t="s">
        <v>36</v>
      </c>
      <c r="AS298" s="44" t="s">
        <v>253</v>
      </c>
      <c r="AT298" s="44" t="s">
        <v>278</v>
      </c>
      <c r="AU298" s="44">
        <v>12</v>
      </c>
      <c r="AV298" s="44">
        <v>1</v>
      </c>
      <c r="AW298" s="44" t="s">
        <v>269</v>
      </c>
      <c r="AX298" s="44" t="s">
        <v>288</v>
      </c>
      <c r="AY298" s="44" t="s">
        <v>283</v>
      </c>
      <c r="AZ298" s="44">
        <v>1</v>
      </c>
      <c r="BA298" s="44" t="s">
        <v>270</v>
      </c>
      <c r="BB298" s="44" t="s">
        <v>271</v>
      </c>
      <c r="BC298" s="44" t="s">
        <v>259</v>
      </c>
      <c r="BD298" s="44" t="s">
        <v>253</v>
      </c>
      <c r="BE298" s="44" t="s">
        <v>272</v>
      </c>
      <c r="BF298" s="44" t="s">
        <v>260</v>
      </c>
      <c r="BG298" s="44" t="s">
        <v>273</v>
      </c>
      <c r="BH298" s="44" t="s">
        <v>274</v>
      </c>
      <c r="BI298" s="44" t="s">
        <v>293</v>
      </c>
      <c r="BJ298" s="44" t="s">
        <v>263</v>
      </c>
      <c r="BK298" s="44" t="s">
        <v>253</v>
      </c>
      <c r="BL298" s="44" t="s">
        <v>253</v>
      </c>
      <c r="BM298" s="44" t="s">
        <v>253</v>
      </c>
      <c r="BN298" s="44" t="s">
        <v>263</v>
      </c>
      <c r="BO298" s="44" t="s">
        <v>253</v>
      </c>
      <c r="BP298" s="44" t="s">
        <v>253</v>
      </c>
      <c r="BQ298" s="44" t="s">
        <v>253</v>
      </c>
      <c r="BR298" s="44" t="s">
        <v>253</v>
      </c>
      <c r="BS298" s="44" t="s">
        <v>287</v>
      </c>
      <c r="BT298" s="44">
        <v>0</v>
      </c>
    </row>
    <row r="299" spans="1:72">
      <c r="A299" s="44">
        <v>2022</v>
      </c>
      <c r="B299" s="6">
        <v>12</v>
      </c>
      <c r="C299" s="6">
        <v>1</v>
      </c>
      <c r="D299" s="6" t="s">
        <v>286</v>
      </c>
      <c r="E299" s="6" t="s">
        <v>253</v>
      </c>
      <c r="F299" s="6" t="s">
        <v>254</v>
      </c>
      <c r="G299" s="6">
        <v>2022</v>
      </c>
      <c r="H299" s="6">
        <v>11</v>
      </c>
      <c r="I299" s="6" t="s">
        <v>36</v>
      </c>
      <c r="J299" s="6" t="s">
        <v>253</v>
      </c>
      <c r="K299" s="6">
        <v>1977</v>
      </c>
      <c r="L299" s="14">
        <v>12</v>
      </c>
      <c r="M299" s="6">
        <v>1</v>
      </c>
      <c r="N299" s="6" t="s">
        <v>255</v>
      </c>
      <c r="O299" s="6" t="s">
        <v>288</v>
      </c>
      <c r="P299" s="6" t="s">
        <v>283</v>
      </c>
      <c r="Q299" s="6">
        <v>3000</v>
      </c>
      <c r="R299" s="6" t="s">
        <v>254</v>
      </c>
      <c r="S299" s="6" t="s">
        <v>258</v>
      </c>
      <c r="T299" s="6" t="s">
        <v>259</v>
      </c>
      <c r="U299" s="6" t="s">
        <v>253</v>
      </c>
      <c r="V299" s="6">
        <v>1000</v>
      </c>
      <c r="W299" s="6" t="s">
        <v>260</v>
      </c>
      <c r="X299" s="6">
        <v>3000</v>
      </c>
      <c r="Y299" s="6" t="s">
        <v>261</v>
      </c>
      <c r="Z299" s="6">
        <v>470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286</v>
      </c>
      <c r="AN299" s="44" t="s">
        <v>253</v>
      </c>
      <c r="AO299" s="44" t="s">
        <v>266</v>
      </c>
      <c r="AP299" s="44" t="s">
        <v>264</v>
      </c>
      <c r="AQ299" s="44">
        <v>11</v>
      </c>
      <c r="AR299" s="44" t="s">
        <v>36</v>
      </c>
      <c r="AS299" s="44" t="s">
        <v>253</v>
      </c>
      <c r="AT299" s="44" t="s">
        <v>279</v>
      </c>
      <c r="AU299" s="44">
        <v>12</v>
      </c>
      <c r="AV299" s="44">
        <v>1</v>
      </c>
      <c r="AW299" s="44" t="s">
        <v>269</v>
      </c>
      <c r="AX299" s="44" t="s">
        <v>288</v>
      </c>
      <c r="AY299" s="44" t="s">
        <v>283</v>
      </c>
      <c r="AZ299" s="44">
        <v>1</v>
      </c>
      <c r="BA299" s="44" t="s">
        <v>270</v>
      </c>
      <c r="BB299" s="44" t="s">
        <v>271</v>
      </c>
      <c r="BC299" s="44" t="s">
        <v>259</v>
      </c>
      <c r="BD299" s="44" t="s">
        <v>253</v>
      </c>
      <c r="BE299" s="44" t="s">
        <v>272</v>
      </c>
      <c r="BF299" s="44" t="s">
        <v>260</v>
      </c>
      <c r="BG299" s="44" t="s">
        <v>273</v>
      </c>
      <c r="BH299" s="44" t="s">
        <v>274</v>
      </c>
      <c r="BI299" s="44" t="s">
        <v>293</v>
      </c>
      <c r="BJ299" s="44" t="s">
        <v>263</v>
      </c>
      <c r="BK299" s="44" t="s">
        <v>253</v>
      </c>
      <c r="BL299" s="44" t="s">
        <v>253</v>
      </c>
      <c r="BM299" s="44" t="s">
        <v>253</v>
      </c>
      <c r="BN299" s="44" t="s">
        <v>263</v>
      </c>
      <c r="BO299" s="44" t="s">
        <v>253</v>
      </c>
      <c r="BP299" s="44" t="s">
        <v>253</v>
      </c>
      <c r="BQ299" s="44" t="s">
        <v>253</v>
      </c>
      <c r="BR299" s="44" t="s">
        <v>253</v>
      </c>
      <c r="BS299" s="44" t="s">
        <v>287</v>
      </c>
      <c r="BT299" s="44">
        <v>0</v>
      </c>
    </row>
    <row r="300" spans="1:72">
      <c r="A300" s="44">
        <v>2022</v>
      </c>
      <c r="B300" s="6">
        <v>12</v>
      </c>
      <c r="C300" s="6">
        <v>1</v>
      </c>
      <c r="D300" s="6" t="s">
        <v>286</v>
      </c>
      <c r="E300" s="6" t="s">
        <v>253</v>
      </c>
      <c r="F300" s="6" t="s">
        <v>254</v>
      </c>
      <c r="G300" s="6">
        <v>2022</v>
      </c>
      <c r="H300" s="6">
        <v>11</v>
      </c>
      <c r="I300" s="6" t="s">
        <v>36</v>
      </c>
      <c r="J300" s="6" t="s">
        <v>253</v>
      </c>
      <c r="K300" s="6">
        <v>1972</v>
      </c>
      <c r="L300" s="14">
        <v>12</v>
      </c>
      <c r="M300" s="6">
        <v>1</v>
      </c>
      <c r="N300" s="6" t="s">
        <v>255</v>
      </c>
      <c r="O300" s="6" t="s">
        <v>288</v>
      </c>
      <c r="P300" s="6" t="s">
        <v>283</v>
      </c>
      <c r="Q300" s="6">
        <v>3000</v>
      </c>
      <c r="R300" s="6" t="s">
        <v>254</v>
      </c>
      <c r="S300" s="6" t="s">
        <v>258</v>
      </c>
      <c r="T300" s="6" t="s">
        <v>259</v>
      </c>
      <c r="U300" s="6" t="s">
        <v>253</v>
      </c>
      <c r="V300" s="6">
        <v>1000</v>
      </c>
      <c r="W300" s="6" t="s">
        <v>260</v>
      </c>
      <c r="X300" s="6">
        <v>3000</v>
      </c>
      <c r="Y300" s="6" t="s">
        <v>261</v>
      </c>
      <c r="Z300" s="6">
        <v>470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286</v>
      </c>
      <c r="AN300" s="44" t="s">
        <v>253</v>
      </c>
      <c r="AO300" s="44" t="s">
        <v>266</v>
      </c>
      <c r="AP300" s="44" t="s">
        <v>264</v>
      </c>
      <c r="AQ300" s="44">
        <v>11</v>
      </c>
      <c r="AR300" s="44" t="s">
        <v>36</v>
      </c>
      <c r="AS300" s="44" t="s">
        <v>253</v>
      </c>
      <c r="AT300" s="44" t="s">
        <v>280</v>
      </c>
      <c r="AU300" s="44">
        <v>12</v>
      </c>
      <c r="AV300" s="44">
        <v>1</v>
      </c>
      <c r="AW300" s="44" t="s">
        <v>269</v>
      </c>
      <c r="AX300" s="44" t="s">
        <v>288</v>
      </c>
      <c r="AY300" s="44" t="s">
        <v>283</v>
      </c>
      <c r="AZ300" s="44">
        <v>1</v>
      </c>
      <c r="BA300" s="44" t="s">
        <v>270</v>
      </c>
      <c r="BB300" s="44" t="s">
        <v>271</v>
      </c>
      <c r="BC300" s="44" t="s">
        <v>259</v>
      </c>
      <c r="BD300" s="44" t="s">
        <v>253</v>
      </c>
      <c r="BE300" s="44" t="s">
        <v>272</v>
      </c>
      <c r="BF300" s="44" t="s">
        <v>260</v>
      </c>
      <c r="BG300" s="44" t="s">
        <v>273</v>
      </c>
      <c r="BH300" s="44" t="s">
        <v>274</v>
      </c>
      <c r="BI300" s="44" t="s">
        <v>293</v>
      </c>
      <c r="BJ300" s="44" t="s">
        <v>263</v>
      </c>
      <c r="BK300" s="44" t="s">
        <v>253</v>
      </c>
      <c r="BL300" s="44" t="s">
        <v>253</v>
      </c>
      <c r="BM300" s="44" t="s">
        <v>253</v>
      </c>
      <c r="BN300" s="44" t="s">
        <v>263</v>
      </c>
      <c r="BO300" s="44" t="s">
        <v>253</v>
      </c>
      <c r="BP300" s="44" t="s">
        <v>253</v>
      </c>
      <c r="BQ300" s="44" t="s">
        <v>253</v>
      </c>
      <c r="BR300" s="44" t="s">
        <v>253</v>
      </c>
      <c r="BS300" s="44" t="s">
        <v>287</v>
      </c>
      <c r="BT300" s="44">
        <v>0</v>
      </c>
    </row>
    <row r="301" spans="1:72">
      <c r="A301" s="44">
        <v>2022</v>
      </c>
      <c r="B301" s="6">
        <v>12</v>
      </c>
      <c r="C301" s="6">
        <v>1</v>
      </c>
      <c r="D301" s="6" t="s">
        <v>286</v>
      </c>
      <c r="E301" s="6" t="s">
        <v>253</v>
      </c>
      <c r="F301" s="6" t="s">
        <v>254</v>
      </c>
      <c r="G301" s="6">
        <v>2022</v>
      </c>
      <c r="H301" s="6">
        <v>11</v>
      </c>
      <c r="I301" s="6" t="s">
        <v>36</v>
      </c>
      <c r="J301" s="6" t="s">
        <v>253</v>
      </c>
      <c r="K301" s="6">
        <v>1962</v>
      </c>
      <c r="L301" s="14">
        <v>12</v>
      </c>
      <c r="M301" s="6">
        <v>1</v>
      </c>
      <c r="N301" s="6" t="s">
        <v>255</v>
      </c>
      <c r="O301" s="6" t="s">
        <v>288</v>
      </c>
      <c r="P301" s="6" t="s">
        <v>283</v>
      </c>
      <c r="Q301" s="6">
        <v>3000</v>
      </c>
      <c r="R301" s="6" t="s">
        <v>254</v>
      </c>
      <c r="S301" s="6" t="s">
        <v>258</v>
      </c>
      <c r="T301" s="6" t="s">
        <v>259</v>
      </c>
      <c r="U301" s="6" t="s">
        <v>253</v>
      </c>
      <c r="V301" s="6">
        <v>1000</v>
      </c>
      <c r="W301" s="6" t="s">
        <v>260</v>
      </c>
      <c r="X301" s="6">
        <v>3000</v>
      </c>
      <c r="Y301" s="6" t="s">
        <v>261</v>
      </c>
      <c r="Z301" s="6">
        <v>470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286</v>
      </c>
      <c r="AN301" s="44" t="s">
        <v>253</v>
      </c>
      <c r="AO301" s="44" t="s">
        <v>266</v>
      </c>
      <c r="AP301" s="44" t="s">
        <v>264</v>
      </c>
      <c r="AQ301" s="44">
        <v>11</v>
      </c>
      <c r="AR301" s="44" t="s">
        <v>36</v>
      </c>
      <c r="AS301" s="44" t="s">
        <v>253</v>
      </c>
      <c r="AT301" s="44" t="s">
        <v>281</v>
      </c>
      <c r="AU301" s="44">
        <v>12</v>
      </c>
      <c r="AV301" s="44">
        <v>1</v>
      </c>
      <c r="AW301" s="44" t="s">
        <v>269</v>
      </c>
      <c r="AX301" s="44" t="s">
        <v>288</v>
      </c>
      <c r="AY301" s="44" t="s">
        <v>283</v>
      </c>
      <c r="AZ301" s="44">
        <v>1</v>
      </c>
      <c r="BA301" s="44" t="s">
        <v>270</v>
      </c>
      <c r="BB301" s="44" t="s">
        <v>271</v>
      </c>
      <c r="BC301" s="44" t="s">
        <v>259</v>
      </c>
      <c r="BD301" s="44" t="s">
        <v>253</v>
      </c>
      <c r="BE301" s="44" t="s">
        <v>272</v>
      </c>
      <c r="BF301" s="44" t="s">
        <v>260</v>
      </c>
      <c r="BG301" s="44" t="s">
        <v>273</v>
      </c>
      <c r="BH301" s="44" t="s">
        <v>274</v>
      </c>
      <c r="BI301" s="44" t="s">
        <v>293</v>
      </c>
      <c r="BJ301" s="44" t="s">
        <v>263</v>
      </c>
      <c r="BK301" s="44" t="s">
        <v>253</v>
      </c>
      <c r="BL301" s="44" t="s">
        <v>253</v>
      </c>
      <c r="BM301" s="44" t="s">
        <v>253</v>
      </c>
      <c r="BN301" s="44" t="s">
        <v>263</v>
      </c>
      <c r="BO301" s="44" t="s">
        <v>253</v>
      </c>
      <c r="BP301" s="44" t="s">
        <v>253</v>
      </c>
      <c r="BQ301" s="44" t="s">
        <v>253</v>
      </c>
      <c r="BR301" s="44" t="s">
        <v>253</v>
      </c>
      <c r="BS301" s="44" t="s">
        <v>287</v>
      </c>
      <c r="BT301" s="44">
        <v>0</v>
      </c>
    </row>
    <row r="302" spans="1:72">
      <c r="A302" s="44">
        <v>2022</v>
      </c>
      <c r="B302" s="6">
        <v>12</v>
      </c>
      <c r="C302" s="6">
        <v>1</v>
      </c>
      <c r="D302" s="6" t="s">
        <v>286</v>
      </c>
      <c r="E302" s="6" t="s">
        <v>253</v>
      </c>
      <c r="F302" s="6" t="s">
        <v>254</v>
      </c>
      <c r="G302" s="6">
        <v>2022</v>
      </c>
      <c r="H302" s="6">
        <v>11</v>
      </c>
      <c r="I302" s="6" t="s">
        <v>36</v>
      </c>
      <c r="J302" s="6" t="s">
        <v>253</v>
      </c>
      <c r="K302" s="6">
        <v>1952</v>
      </c>
      <c r="L302" s="14">
        <v>12</v>
      </c>
      <c r="M302" s="6">
        <v>1</v>
      </c>
      <c r="N302" s="6" t="s">
        <v>255</v>
      </c>
      <c r="O302" s="6" t="s">
        <v>288</v>
      </c>
      <c r="P302" s="6" t="s">
        <v>283</v>
      </c>
      <c r="Q302" s="6">
        <v>3000</v>
      </c>
      <c r="R302" s="6" t="s">
        <v>254</v>
      </c>
      <c r="S302" s="6" t="s">
        <v>258</v>
      </c>
      <c r="T302" s="6" t="s">
        <v>259</v>
      </c>
      <c r="U302" s="6" t="s">
        <v>253</v>
      </c>
      <c r="V302" s="6">
        <v>1000</v>
      </c>
      <c r="W302" s="6" t="s">
        <v>260</v>
      </c>
      <c r="X302" s="6">
        <v>3000</v>
      </c>
      <c r="Y302" s="6" t="s">
        <v>261</v>
      </c>
      <c r="Z302" s="6">
        <v>470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286</v>
      </c>
      <c r="AN302" s="44" t="s">
        <v>253</v>
      </c>
      <c r="AO302" s="44" t="s">
        <v>266</v>
      </c>
      <c r="AP302" s="44" t="s">
        <v>264</v>
      </c>
      <c r="AQ302" s="44">
        <v>11</v>
      </c>
      <c r="AR302" s="44" t="s">
        <v>36</v>
      </c>
      <c r="AS302" s="44" t="s">
        <v>253</v>
      </c>
      <c r="AT302" s="44" t="s">
        <v>282</v>
      </c>
      <c r="AU302" s="44">
        <v>12</v>
      </c>
      <c r="AV302" s="44">
        <v>1</v>
      </c>
      <c r="AW302" s="44" t="s">
        <v>269</v>
      </c>
      <c r="AX302" s="44" t="s">
        <v>288</v>
      </c>
      <c r="AY302" s="44" t="s">
        <v>283</v>
      </c>
      <c r="AZ302" s="44">
        <v>1</v>
      </c>
      <c r="BA302" s="44" t="s">
        <v>270</v>
      </c>
      <c r="BB302" s="44" t="s">
        <v>271</v>
      </c>
      <c r="BC302" s="44" t="s">
        <v>259</v>
      </c>
      <c r="BD302" s="44" t="s">
        <v>253</v>
      </c>
      <c r="BE302" s="44" t="s">
        <v>272</v>
      </c>
      <c r="BF302" s="44" t="s">
        <v>260</v>
      </c>
      <c r="BG302" s="44" t="s">
        <v>273</v>
      </c>
      <c r="BH302" s="44" t="s">
        <v>274</v>
      </c>
      <c r="BI302" s="44" t="s">
        <v>293</v>
      </c>
      <c r="BJ302" s="44" t="s">
        <v>263</v>
      </c>
      <c r="BK302" s="44" t="s">
        <v>253</v>
      </c>
      <c r="BL302" s="44" t="s">
        <v>253</v>
      </c>
      <c r="BM302" s="44" t="s">
        <v>253</v>
      </c>
      <c r="BN302" s="44" t="s">
        <v>263</v>
      </c>
      <c r="BO302" s="44" t="s">
        <v>253</v>
      </c>
      <c r="BP302" s="44" t="s">
        <v>253</v>
      </c>
      <c r="BQ302" s="44" t="s">
        <v>253</v>
      </c>
      <c r="BR302" s="44" t="s">
        <v>253</v>
      </c>
      <c r="BS302" s="44" t="s">
        <v>287</v>
      </c>
      <c r="BT302" s="44">
        <v>0</v>
      </c>
    </row>
    <row r="303" spans="1:72">
      <c r="A303" s="44">
        <v>2022</v>
      </c>
      <c r="B303" s="6">
        <v>12</v>
      </c>
      <c r="C303" s="6">
        <v>1</v>
      </c>
      <c r="D303" s="6" t="s">
        <v>286</v>
      </c>
      <c r="E303" s="6" t="s">
        <v>253</v>
      </c>
      <c r="F303" s="6" t="s">
        <v>254</v>
      </c>
      <c r="G303" s="6">
        <v>2022</v>
      </c>
      <c r="H303" s="6">
        <v>11</v>
      </c>
      <c r="I303" s="6" t="s">
        <v>36</v>
      </c>
      <c r="J303" s="6" t="s">
        <v>253</v>
      </c>
      <c r="K303" s="6">
        <v>1992</v>
      </c>
      <c r="L303" s="14">
        <v>12</v>
      </c>
      <c r="M303" s="6">
        <v>1</v>
      </c>
      <c r="N303" s="6" t="s">
        <v>255</v>
      </c>
      <c r="O303" s="6" t="s">
        <v>288</v>
      </c>
      <c r="P303" s="6" t="s">
        <v>283</v>
      </c>
      <c r="Q303" s="6">
        <v>7000</v>
      </c>
      <c r="R303" s="6" t="s">
        <v>254</v>
      </c>
      <c r="S303" s="6" t="s">
        <v>258</v>
      </c>
      <c r="T303" s="6" t="s">
        <v>259</v>
      </c>
      <c r="U303" s="6" t="s">
        <v>253</v>
      </c>
      <c r="V303" s="6">
        <v>1000</v>
      </c>
      <c r="W303" s="6" t="s">
        <v>260</v>
      </c>
      <c r="X303" s="6">
        <v>3000</v>
      </c>
      <c r="Y303" s="6" t="s">
        <v>261</v>
      </c>
      <c r="Z303" s="6">
        <v>470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286</v>
      </c>
      <c r="AN303" s="44" t="s">
        <v>253</v>
      </c>
      <c r="AO303" s="44" t="s">
        <v>266</v>
      </c>
      <c r="AP303" s="44" t="s">
        <v>264</v>
      </c>
      <c r="AQ303" s="44">
        <v>11</v>
      </c>
      <c r="AR303" s="44" t="s">
        <v>36</v>
      </c>
      <c r="AS303" s="44" t="s">
        <v>253</v>
      </c>
      <c r="AT303" s="44" t="s">
        <v>268</v>
      </c>
      <c r="AU303" s="44">
        <v>12</v>
      </c>
      <c r="AV303" s="44">
        <v>1</v>
      </c>
      <c r="AW303" s="44" t="s">
        <v>269</v>
      </c>
      <c r="AX303" s="44" t="s">
        <v>288</v>
      </c>
      <c r="AY303" s="44" t="s">
        <v>283</v>
      </c>
      <c r="AZ303" s="44">
        <v>3</v>
      </c>
      <c r="BA303" s="44" t="s">
        <v>270</v>
      </c>
      <c r="BB303" s="44" t="s">
        <v>271</v>
      </c>
      <c r="BC303" s="44" t="s">
        <v>259</v>
      </c>
      <c r="BD303" s="44" t="s">
        <v>253</v>
      </c>
      <c r="BE303" s="44" t="s">
        <v>272</v>
      </c>
      <c r="BF303" s="44" t="s">
        <v>260</v>
      </c>
      <c r="BG303" s="44" t="s">
        <v>273</v>
      </c>
      <c r="BH303" s="44" t="s">
        <v>274</v>
      </c>
      <c r="BI303" s="44" t="s">
        <v>293</v>
      </c>
      <c r="BJ303" s="44" t="s">
        <v>263</v>
      </c>
      <c r="BK303" s="44" t="s">
        <v>253</v>
      </c>
      <c r="BL303" s="44" t="s">
        <v>253</v>
      </c>
      <c r="BM303" s="44" t="s">
        <v>253</v>
      </c>
      <c r="BN303" s="44" t="s">
        <v>263</v>
      </c>
      <c r="BO303" s="44" t="s">
        <v>253</v>
      </c>
      <c r="BP303" s="44" t="s">
        <v>253</v>
      </c>
      <c r="BQ303" s="44" t="s">
        <v>253</v>
      </c>
      <c r="BR303" s="44" t="s">
        <v>253</v>
      </c>
      <c r="BS303" s="44" t="s">
        <v>287</v>
      </c>
      <c r="BT303" s="44">
        <v>0</v>
      </c>
    </row>
    <row r="304" spans="1:72">
      <c r="A304" s="44">
        <v>2022</v>
      </c>
      <c r="B304" s="6">
        <v>12</v>
      </c>
      <c r="C304" s="6">
        <v>1</v>
      </c>
      <c r="D304" s="6" t="s">
        <v>286</v>
      </c>
      <c r="E304" s="6" t="s">
        <v>253</v>
      </c>
      <c r="F304" s="6" t="s">
        <v>254</v>
      </c>
      <c r="G304" s="6">
        <v>2022</v>
      </c>
      <c r="H304" s="6">
        <v>11</v>
      </c>
      <c r="I304" s="6" t="s">
        <v>36</v>
      </c>
      <c r="J304" s="6" t="s">
        <v>253</v>
      </c>
      <c r="K304" s="6">
        <v>1987</v>
      </c>
      <c r="L304" s="14">
        <v>12</v>
      </c>
      <c r="M304" s="6">
        <v>1</v>
      </c>
      <c r="N304" s="6" t="s">
        <v>255</v>
      </c>
      <c r="O304" s="6" t="s">
        <v>288</v>
      </c>
      <c r="P304" s="6" t="s">
        <v>283</v>
      </c>
      <c r="Q304" s="6">
        <v>7000</v>
      </c>
      <c r="R304" s="6" t="s">
        <v>254</v>
      </c>
      <c r="S304" s="6" t="s">
        <v>258</v>
      </c>
      <c r="T304" s="6" t="s">
        <v>259</v>
      </c>
      <c r="U304" s="6" t="s">
        <v>253</v>
      </c>
      <c r="V304" s="6">
        <v>1000</v>
      </c>
      <c r="W304" s="6" t="s">
        <v>260</v>
      </c>
      <c r="X304" s="6">
        <v>3000</v>
      </c>
      <c r="Y304" s="6" t="s">
        <v>261</v>
      </c>
      <c r="Z304" s="6">
        <v>470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286</v>
      </c>
      <c r="AN304" s="44" t="s">
        <v>253</v>
      </c>
      <c r="AO304" s="44" t="s">
        <v>266</v>
      </c>
      <c r="AP304" s="44" t="s">
        <v>264</v>
      </c>
      <c r="AQ304" s="44">
        <v>11</v>
      </c>
      <c r="AR304" s="44" t="s">
        <v>36</v>
      </c>
      <c r="AS304" s="44" t="s">
        <v>253</v>
      </c>
      <c r="AT304" s="44" t="s">
        <v>277</v>
      </c>
      <c r="AU304" s="44">
        <v>12</v>
      </c>
      <c r="AV304" s="44">
        <v>1</v>
      </c>
      <c r="AW304" s="44" t="s">
        <v>269</v>
      </c>
      <c r="AX304" s="44" t="s">
        <v>288</v>
      </c>
      <c r="AY304" s="44" t="s">
        <v>283</v>
      </c>
      <c r="AZ304" s="44">
        <v>3</v>
      </c>
      <c r="BA304" s="44" t="s">
        <v>270</v>
      </c>
      <c r="BB304" s="44" t="s">
        <v>271</v>
      </c>
      <c r="BC304" s="44" t="s">
        <v>259</v>
      </c>
      <c r="BD304" s="44" t="s">
        <v>253</v>
      </c>
      <c r="BE304" s="44" t="s">
        <v>272</v>
      </c>
      <c r="BF304" s="44" t="s">
        <v>260</v>
      </c>
      <c r="BG304" s="44" t="s">
        <v>273</v>
      </c>
      <c r="BH304" s="44" t="s">
        <v>274</v>
      </c>
      <c r="BI304" s="44" t="s">
        <v>293</v>
      </c>
      <c r="BJ304" s="44" t="s">
        <v>263</v>
      </c>
      <c r="BK304" s="44" t="s">
        <v>253</v>
      </c>
      <c r="BL304" s="44" t="s">
        <v>253</v>
      </c>
      <c r="BM304" s="44" t="s">
        <v>253</v>
      </c>
      <c r="BN304" s="44" t="s">
        <v>263</v>
      </c>
      <c r="BO304" s="44" t="s">
        <v>253</v>
      </c>
      <c r="BP304" s="44" t="s">
        <v>253</v>
      </c>
      <c r="BQ304" s="44" t="s">
        <v>253</v>
      </c>
      <c r="BR304" s="44" t="s">
        <v>253</v>
      </c>
      <c r="BS304" s="44" t="s">
        <v>287</v>
      </c>
      <c r="BT304" s="44">
        <v>0</v>
      </c>
    </row>
    <row r="305" spans="1:72">
      <c r="A305" s="44">
        <v>2022</v>
      </c>
      <c r="B305" s="6">
        <v>12</v>
      </c>
      <c r="C305" s="6">
        <v>1</v>
      </c>
      <c r="D305" s="6" t="s">
        <v>286</v>
      </c>
      <c r="E305" s="6" t="s">
        <v>253</v>
      </c>
      <c r="F305" s="6" t="s">
        <v>254</v>
      </c>
      <c r="G305" s="6">
        <v>2022</v>
      </c>
      <c r="H305" s="6">
        <v>11</v>
      </c>
      <c r="I305" s="6" t="s">
        <v>36</v>
      </c>
      <c r="J305" s="6" t="s">
        <v>253</v>
      </c>
      <c r="K305" s="6">
        <v>1982</v>
      </c>
      <c r="L305" s="14">
        <v>12</v>
      </c>
      <c r="M305" s="6">
        <v>1</v>
      </c>
      <c r="N305" s="6" t="s">
        <v>255</v>
      </c>
      <c r="O305" s="6" t="s">
        <v>288</v>
      </c>
      <c r="P305" s="6" t="s">
        <v>283</v>
      </c>
      <c r="Q305" s="6">
        <v>7000</v>
      </c>
      <c r="R305" s="6" t="s">
        <v>254</v>
      </c>
      <c r="S305" s="6" t="s">
        <v>258</v>
      </c>
      <c r="T305" s="6" t="s">
        <v>259</v>
      </c>
      <c r="U305" s="6" t="s">
        <v>253</v>
      </c>
      <c r="V305" s="6">
        <v>1000</v>
      </c>
      <c r="W305" s="6" t="s">
        <v>260</v>
      </c>
      <c r="X305" s="6">
        <v>3000</v>
      </c>
      <c r="Y305" s="6" t="s">
        <v>261</v>
      </c>
      <c r="Z305" s="6">
        <v>470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286</v>
      </c>
      <c r="AN305" s="44" t="s">
        <v>253</v>
      </c>
      <c r="AO305" s="44" t="s">
        <v>266</v>
      </c>
      <c r="AP305" s="44" t="s">
        <v>264</v>
      </c>
      <c r="AQ305" s="44">
        <v>11</v>
      </c>
      <c r="AR305" s="44" t="s">
        <v>36</v>
      </c>
      <c r="AS305" s="44" t="s">
        <v>253</v>
      </c>
      <c r="AT305" s="44" t="s">
        <v>278</v>
      </c>
      <c r="AU305" s="44">
        <v>12</v>
      </c>
      <c r="AV305" s="44">
        <v>1</v>
      </c>
      <c r="AW305" s="44" t="s">
        <v>269</v>
      </c>
      <c r="AX305" s="44" t="s">
        <v>288</v>
      </c>
      <c r="AY305" s="44" t="s">
        <v>283</v>
      </c>
      <c r="AZ305" s="44">
        <v>3</v>
      </c>
      <c r="BA305" s="44" t="s">
        <v>270</v>
      </c>
      <c r="BB305" s="44" t="s">
        <v>271</v>
      </c>
      <c r="BC305" s="44" t="s">
        <v>259</v>
      </c>
      <c r="BD305" s="44" t="s">
        <v>253</v>
      </c>
      <c r="BE305" s="44" t="s">
        <v>272</v>
      </c>
      <c r="BF305" s="44" t="s">
        <v>260</v>
      </c>
      <c r="BG305" s="44" t="s">
        <v>273</v>
      </c>
      <c r="BH305" s="44" t="s">
        <v>274</v>
      </c>
      <c r="BI305" s="44" t="s">
        <v>293</v>
      </c>
      <c r="BJ305" s="44" t="s">
        <v>263</v>
      </c>
      <c r="BK305" s="44" t="s">
        <v>253</v>
      </c>
      <c r="BL305" s="44" t="s">
        <v>253</v>
      </c>
      <c r="BM305" s="44" t="s">
        <v>253</v>
      </c>
      <c r="BN305" s="44" t="s">
        <v>263</v>
      </c>
      <c r="BO305" s="44" t="s">
        <v>253</v>
      </c>
      <c r="BP305" s="44" t="s">
        <v>253</v>
      </c>
      <c r="BQ305" s="44" t="s">
        <v>253</v>
      </c>
      <c r="BR305" s="44" t="s">
        <v>253</v>
      </c>
      <c r="BS305" s="44" t="s">
        <v>287</v>
      </c>
      <c r="BT305" s="44">
        <v>0</v>
      </c>
    </row>
    <row r="306" spans="1:72">
      <c r="A306" s="44">
        <v>2022</v>
      </c>
      <c r="B306" s="6">
        <v>12</v>
      </c>
      <c r="C306" s="6">
        <v>1</v>
      </c>
      <c r="D306" s="6" t="s">
        <v>286</v>
      </c>
      <c r="E306" s="6" t="s">
        <v>253</v>
      </c>
      <c r="F306" s="6" t="s">
        <v>254</v>
      </c>
      <c r="G306" s="6">
        <v>2022</v>
      </c>
      <c r="H306" s="6">
        <v>11</v>
      </c>
      <c r="I306" s="6" t="s">
        <v>36</v>
      </c>
      <c r="J306" s="6" t="s">
        <v>253</v>
      </c>
      <c r="K306" s="6">
        <v>1977</v>
      </c>
      <c r="L306" s="14">
        <v>12</v>
      </c>
      <c r="M306" s="6">
        <v>1</v>
      </c>
      <c r="N306" s="6" t="s">
        <v>255</v>
      </c>
      <c r="O306" s="6" t="s">
        <v>288</v>
      </c>
      <c r="P306" s="6" t="s">
        <v>283</v>
      </c>
      <c r="Q306" s="6">
        <v>7000</v>
      </c>
      <c r="R306" s="6" t="s">
        <v>254</v>
      </c>
      <c r="S306" s="6" t="s">
        <v>258</v>
      </c>
      <c r="T306" s="6" t="s">
        <v>259</v>
      </c>
      <c r="U306" s="6" t="s">
        <v>253</v>
      </c>
      <c r="V306" s="6">
        <v>1000</v>
      </c>
      <c r="W306" s="6" t="s">
        <v>260</v>
      </c>
      <c r="X306" s="6">
        <v>3000</v>
      </c>
      <c r="Y306" s="6" t="s">
        <v>261</v>
      </c>
      <c r="Z306" s="6">
        <v>470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286</v>
      </c>
      <c r="AN306" s="44" t="s">
        <v>253</v>
      </c>
      <c r="AO306" s="44" t="s">
        <v>266</v>
      </c>
      <c r="AP306" s="44" t="s">
        <v>264</v>
      </c>
      <c r="AQ306" s="44">
        <v>11</v>
      </c>
      <c r="AR306" s="44" t="s">
        <v>36</v>
      </c>
      <c r="AS306" s="44" t="s">
        <v>253</v>
      </c>
      <c r="AT306" s="44" t="s">
        <v>279</v>
      </c>
      <c r="AU306" s="44">
        <v>12</v>
      </c>
      <c r="AV306" s="44">
        <v>1</v>
      </c>
      <c r="AW306" s="44" t="s">
        <v>269</v>
      </c>
      <c r="AX306" s="44" t="s">
        <v>288</v>
      </c>
      <c r="AY306" s="44" t="s">
        <v>283</v>
      </c>
      <c r="AZ306" s="44">
        <v>3</v>
      </c>
      <c r="BA306" s="44" t="s">
        <v>270</v>
      </c>
      <c r="BB306" s="44" t="s">
        <v>271</v>
      </c>
      <c r="BC306" s="44" t="s">
        <v>259</v>
      </c>
      <c r="BD306" s="44" t="s">
        <v>253</v>
      </c>
      <c r="BE306" s="44" t="s">
        <v>272</v>
      </c>
      <c r="BF306" s="44" t="s">
        <v>260</v>
      </c>
      <c r="BG306" s="44" t="s">
        <v>273</v>
      </c>
      <c r="BH306" s="44" t="s">
        <v>274</v>
      </c>
      <c r="BI306" s="44" t="s">
        <v>293</v>
      </c>
      <c r="BJ306" s="44" t="s">
        <v>263</v>
      </c>
      <c r="BK306" s="44" t="s">
        <v>253</v>
      </c>
      <c r="BL306" s="44" t="s">
        <v>253</v>
      </c>
      <c r="BM306" s="44" t="s">
        <v>253</v>
      </c>
      <c r="BN306" s="44" t="s">
        <v>263</v>
      </c>
      <c r="BO306" s="44" t="s">
        <v>253</v>
      </c>
      <c r="BP306" s="44" t="s">
        <v>253</v>
      </c>
      <c r="BQ306" s="44" t="s">
        <v>253</v>
      </c>
      <c r="BR306" s="44" t="s">
        <v>253</v>
      </c>
      <c r="BS306" s="44" t="s">
        <v>287</v>
      </c>
      <c r="BT306" s="44">
        <v>0</v>
      </c>
    </row>
    <row r="307" spans="1:72">
      <c r="A307" s="44">
        <v>2022</v>
      </c>
      <c r="B307" s="6">
        <v>12</v>
      </c>
      <c r="C307" s="6">
        <v>1</v>
      </c>
      <c r="D307" s="6" t="s">
        <v>286</v>
      </c>
      <c r="E307" s="6" t="s">
        <v>253</v>
      </c>
      <c r="F307" s="6" t="s">
        <v>254</v>
      </c>
      <c r="G307" s="6">
        <v>2022</v>
      </c>
      <c r="H307" s="6">
        <v>11</v>
      </c>
      <c r="I307" s="6" t="s">
        <v>36</v>
      </c>
      <c r="J307" s="6" t="s">
        <v>253</v>
      </c>
      <c r="K307" s="6">
        <v>1972</v>
      </c>
      <c r="L307" s="14">
        <v>12</v>
      </c>
      <c r="M307" s="6">
        <v>1</v>
      </c>
      <c r="N307" s="6" t="s">
        <v>255</v>
      </c>
      <c r="O307" s="6" t="s">
        <v>288</v>
      </c>
      <c r="P307" s="6" t="s">
        <v>283</v>
      </c>
      <c r="Q307" s="6">
        <v>7000</v>
      </c>
      <c r="R307" s="6" t="s">
        <v>254</v>
      </c>
      <c r="S307" s="6" t="s">
        <v>258</v>
      </c>
      <c r="T307" s="6" t="s">
        <v>259</v>
      </c>
      <c r="U307" s="6" t="s">
        <v>253</v>
      </c>
      <c r="V307" s="6">
        <v>1000</v>
      </c>
      <c r="W307" s="6" t="s">
        <v>260</v>
      </c>
      <c r="X307" s="6">
        <v>3000</v>
      </c>
      <c r="Y307" s="6" t="s">
        <v>261</v>
      </c>
      <c r="Z307" s="6">
        <v>470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286</v>
      </c>
      <c r="AN307" s="44" t="s">
        <v>253</v>
      </c>
      <c r="AO307" s="44" t="s">
        <v>266</v>
      </c>
      <c r="AP307" s="44" t="s">
        <v>264</v>
      </c>
      <c r="AQ307" s="44">
        <v>11</v>
      </c>
      <c r="AR307" s="44" t="s">
        <v>36</v>
      </c>
      <c r="AS307" s="44" t="s">
        <v>253</v>
      </c>
      <c r="AT307" s="44" t="s">
        <v>280</v>
      </c>
      <c r="AU307" s="44">
        <v>12</v>
      </c>
      <c r="AV307" s="44">
        <v>1</v>
      </c>
      <c r="AW307" s="44" t="s">
        <v>269</v>
      </c>
      <c r="AX307" s="44" t="s">
        <v>288</v>
      </c>
      <c r="AY307" s="44" t="s">
        <v>283</v>
      </c>
      <c r="AZ307" s="44">
        <v>3</v>
      </c>
      <c r="BA307" s="44" t="s">
        <v>270</v>
      </c>
      <c r="BB307" s="44" t="s">
        <v>271</v>
      </c>
      <c r="BC307" s="44" t="s">
        <v>259</v>
      </c>
      <c r="BD307" s="44" t="s">
        <v>253</v>
      </c>
      <c r="BE307" s="44" t="s">
        <v>272</v>
      </c>
      <c r="BF307" s="44" t="s">
        <v>260</v>
      </c>
      <c r="BG307" s="44" t="s">
        <v>273</v>
      </c>
      <c r="BH307" s="44" t="s">
        <v>274</v>
      </c>
      <c r="BI307" s="44" t="s">
        <v>293</v>
      </c>
      <c r="BJ307" s="44" t="s">
        <v>263</v>
      </c>
      <c r="BK307" s="44" t="s">
        <v>253</v>
      </c>
      <c r="BL307" s="44" t="s">
        <v>253</v>
      </c>
      <c r="BM307" s="44" t="s">
        <v>253</v>
      </c>
      <c r="BN307" s="44" t="s">
        <v>263</v>
      </c>
      <c r="BO307" s="44" t="s">
        <v>253</v>
      </c>
      <c r="BP307" s="44" t="s">
        <v>253</v>
      </c>
      <c r="BQ307" s="44" t="s">
        <v>253</v>
      </c>
      <c r="BR307" s="44" t="s">
        <v>253</v>
      </c>
      <c r="BS307" s="44" t="s">
        <v>287</v>
      </c>
      <c r="BT307" s="44">
        <v>0</v>
      </c>
    </row>
    <row r="308" spans="1:72">
      <c r="A308" s="44">
        <v>2022</v>
      </c>
      <c r="B308" s="6">
        <v>12</v>
      </c>
      <c r="C308" s="6">
        <v>1</v>
      </c>
      <c r="D308" s="6" t="s">
        <v>286</v>
      </c>
      <c r="E308" s="6" t="s">
        <v>253</v>
      </c>
      <c r="F308" s="6" t="s">
        <v>254</v>
      </c>
      <c r="G308" s="6">
        <v>2022</v>
      </c>
      <c r="H308" s="6">
        <v>11</v>
      </c>
      <c r="I308" s="6" t="s">
        <v>36</v>
      </c>
      <c r="J308" s="6" t="s">
        <v>253</v>
      </c>
      <c r="K308" s="6">
        <v>1962</v>
      </c>
      <c r="L308" s="14">
        <v>12</v>
      </c>
      <c r="M308" s="6">
        <v>1</v>
      </c>
      <c r="N308" s="6" t="s">
        <v>255</v>
      </c>
      <c r="O308" s="6" t="s">
        <v>288</v>
      </c>
      <c r="P308" s="6" t="s">
        <v>283</v>
      </c>
      <c r="Q308" s="6">
        <v>7000</v>
      </c>
      <c r="R308" s="6" t="s">
        <v>254</v>
      </c>
      <c r="S308" s="6" t="s">
        <v>258</v>
      </c>
      <c r="T308" s="6" t="s">
        <v>259</v>
      </c>
      <c r="U308" s="6" t="s">
        <v>253</v>
      </c>
      <c r="V308" s="6">
        <v>1000</v>
      </c>
      <c r="W308" s="6" t="s">
        <v>260</v>
      </c>
      <c r="X308" s="6">
        <v>3000</v>
      </c>
      <c r="Y308" s="6" t="s">
        <v>261</v>
      </c>
      <c r="Z308" s="6">
        <v>470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286</v>
      </c>
      <c r="AN308" s="44" t="s">
        <v>253</v>
      </c>
      <c r="AO308" s="44" t="s">
        <v>266</v>
      </c>
      <c r="AP308" s="44" t="s">
        <v>264</v>
      </c>
      <c r="AQ308" s="44">
        <v>11</v>
      </c>
      <c r="AR308" s="44" t="s">
        <v>36</v>
      </c>
      <c r="AS308" s="44" t="s">
        <v>253</v>
      </c>
      <c r="AT308" s="44" t="s">
        <v>281</v>
      </c>
      <c r="AU308" s="44">
        <v>12</v>
      </c>
      <c r="AV308" s="44">
        <v>1</v>
      </c>
      <c r="AW308" s="44" t="s">
        <v>269</v>
      </c>
      <c r="AX308" s="44" t="s">
        <v>288</v>
      </c>
      <c r="AY308" s="44" t="s">
        <v>283</v>
      </c>
      <c r="AZ308" s="44">
        <v>3</v>
      </c>
      <c r="BA308" s="44" t="s">
        <v>270</v>
      </c>
      <c r="BB308" s="44" t="s">
        <v>271</v>
      </c>
      <c r="BC308" s="44" t="s">
        <v>259</v>
      </c>
      <c r="BD308" s="44" t="s">
        <v>253</v>
      </c>
      <c r="BE308" s="44" t="s">
        <v>272</v>
      </c>
      <c r="BF308" s="44" t="s">
        <v>260</v>
      </c>
      <c r="BG308" s="44" t="s">
        <v>273</v>
      </c>
      <c r="BH308" s="44" t="s">
        <v>274</v>
      </c>
      <c r="BI308" s="44" t="s">
        <v>293</v>
      </c>
      <c r="BJ308" s="44" t="s">
        <v>263</v>
      </c>
      <c r="BK308" s="44" t="s">
        <v>253</v>
      </c>
      <c r="BL308" s="44" t="s">
        <v>253</v>
      </c>
      <c r="BM308" s="44" t="s">
        <v>253</v>
      </c>
      <c r="BN308" s="44" t="s">
        <v>263</v>
      </c>
      <c r="BO308" s="44" t="s">
        <v>253</v>
      </c>
      <c r="BP308" s="44" t="s">
        <v>253</v>
      </c>
      <c r="BQ308" s="44" t="s">
        <v>253</v>
      </c>
      <c r="BR308" s="44" t="s">
        <v>253</v>
      </c>
      <c r="BS308" s="44" t="s">
        <v>287</v>
      </c>
      <c r="BT308" s="44">
        <v>0</v>
      </c>
    </row>
    <row r="309" spans="1:72">
      <c r="A309" s="44">
        <v>2022</v>
      </c>
      <c r="B309" s="6">
        <v>12</v>
      </c>
      <c r="C309" s="6">
        <v>1</v>
      </c>
      <c r="D309" s="6" t="s">
        <v>286</v>
      </c>
      <c r="E309" s="6" t="s">
        <v>253</v>
      </c>
      <c r="F309" s="6" t="s">
        <v>254</v>
      </c>
      <c r="G309" s="6">
        <v>2022</v>
      </c>
      <c r="H309" s="6">
        <v>11</v>
      </c>
      <c r="I309" s="6" t="s">
        <v>36</v>
      </c>
      <c r="J309" s="6" t="s">
        <v>253</v>
      </c>
      <c r="K309" s="6">
        <v>1952</v>
      </c>
      <c r="L309" s="14">
        <v>12</v>
      </c>
      <c r="M309" s="6">
        <v>1</v>
      </c>
      <c r="N309" s="6" t="s">
        <v>255</v>
      </c>
      <c r="O309" s="6" t="s">
        <v>288</v>
      </c>
      <c r="P309" s="6" t="s">
        <v>283</v>
      </c>
      <c r="Q309" s="6">
        <v>7000</v>
      </c>
      <c r="R309" s="6" t="s">
        <v>254</v>
      </c>
      <c r="S309" s="6" t="s">
        <v>258</v>
      </c>
      <c r="T309" s="6" t="s">
        <v>259</v>
      </c>
      <c r="U309" s="6" t="s">
        <v>253</v>
      </c>
      <c r="V309" s="6">
        <v>1000</v>
      </c>
      <c r="W309" s="6" t="s">
        <v>260</v>
      </c>
      <c r="X309" s="6">
        <v>3000</v>
      </c>
      <c r="Y309" s="6" t="s">
        <v>261</v>
      </c>
      <c r="Z309" s="6">
        <v>470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286</v>
      </c>
      <c r="AN309" s="44" t="s">
        <v>253</v>
      </c>
      <c r="AO309" s="44" t="s">
        <v>266</v>
      </c>
      <c r="AP309" s="44" t="s">
        <v>264</v>
      </c>
      <c r="AQ309" s="44">
        <v>11</v>
      </c>
      <c r="AR309" s="44" t="s">
        <v>36</v>
      </c>
      <c r="AS309" s="44" t="s">
        <v>253</v>
      </c>
      <c r="AT309" s="44" t="s">
        <v>282</v>
      </c>
      <c r="AU309" s="44">
        <v>12</v>
      </c>
      <c r="AV309" s="44">
        <v>1</v>
      </c>
      <c r="AW309" s="44" t="s">
        <v>269</v>
      </c>
      <c r="AX309" s="44" t="s">
        <v>288</v>
      </c>
      <c r="AY309" s="44" t="s">
        <v>283</v>
      </c>
      <c r="AZ309" s="44">
        <v>3</v>
      </c>
      <c r="BA309" s="44" t="s">
        <v>270</v>
      </c>
      <c r="BB309" s="44" t="s">
        <v>271</v>
      </c>
      <c r="BC309" s="44" t="s">
        <v>259</v>
      </c>
      <c r="BD309" s="44" t="s">
        <v>253</v>
      </c>
      <c r="BE309" s="44" t="s">
        <v>272</v>
      </c>
      <c r="BF309" s="44" t="s">
        <v>260</v>
      </c>
      <c r="BG309" s="44" t="s">
        <v>273</v>
      </c>
      <c r="BH309" s="44" t="s">
        <v>274</v>
      </c>
      <c r="BI309" s="44" t="s">
        <v>293</v>
      </c>
      <c r="BJ309" s="44" t="s">
        <v>263</v>
      </c>
      <c r="BK309" s="44" t="s">
        <v>253</v>
      </c>
      <c r="BL309" s="44" t="s">
        <v>253</v>
      </c>
      <c r="BM309" s="44" t="s">
        <v>253</v>
      </c>
      <c r="BN309" s="44" t="s">
        <v>263</v>
      </c>
      <c r="BO309" s="44" t="s">
        <v>253</v>
      </c>
      <c r="BP309" s="44" t="s">
        <v>253</v>
      </c>
      <c r="BQ309" s="44" t="s">
        <v>253</v>
      </c>
      <c r="BR309" s="44" t="s">
        <v>253</v>
      </c>
      <c r="BS309" s="44" t="s">
        <v>287</v>
      </c>
      <c r="BT309" s="44">
        <v>0</v>
      </c>
    </row>
    <row r="310" spans="1:72">
      <c r="A310" s="44">
        <v>2022</v>
      </c>
      <c r="B310" s="6">
        <v>12</v>
      </c>
      <c r="C310" s="6">
        <v>1</v>
      </c>
      <c r="D310" s="6">
        <v>20</v>
      </c>
      <c r="E310" s="6" t="s">
        <v>253</v>
      </c>
      <c r="F310" s="6" t="s">
        <v>254</v>
      </c>
      <c r="G310" s="6">
        <v>2017</v>
      </c>
      <c r="H310" s="6">
        <v>12</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12</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290</v>
      </c>
      <c r="BE310" s="44" t="s">
        <v>272</v>
      </c>
      <c r="BF310" s="44" t="s">
        <v>260</v>
      </c>
      <c r="BG310" s="44" t="s">
        <v>291</v>
      </c>
      <c r="BH310" s="44" t="s">
        <v>274</v>
      </c>
      <c r="BI310" s="44" t="s">
        <v>294</v>
      </c>
      <c r="BJ310" s="44" t="s">
        <v>263</v>
      </c>
      <c r="BK310" s="44" t="s">
        <v>253</v>
      </c>
      <c r="BL310" s="44" t="s">
        <v>253</v>
      </c>
      <c r="BM310" s="44" t="s">
        <v>253</v>
      </c>
      <c r="BN310" s="44" t="s">
        <v>263</v>
      </c>
      <c r="BO310" s="44" t="s">
        <v>253</v>
      </c>
      <c r="BP310" s="44" t="s">
        <v>253</v>
      </c>
      <c r="BQ310" s="44" t="s">
        <v>253</v>
      </c>
      <c r="BR310" s="44" t="s">
        <v>253</v>
      </c>
      <c r="BS310" s="44" t="s">
        <v>276</v>
      </c>
      <c r="BT310" s="44">
        <v>0</v>
      </c>
    </row>
    <row r="311" spans="1:72">
      <c r="A311" s="44">
        <v>2022</v>
      </c>
      <c r="B311" s="6">
        <v>12</v>
      </c>
      <c r="C311" s="6">
        <v>1</v>
      </c>
      <c r="D311" s="6">
        <v>20</v>
      </c>
      <c r="E311" s="6" t="s">
        <v>253</v>
      </c>
      <c r="F311" s="6" t="s">
        <v>254</v>
      </c>
      <c r="G311" s="6">
        <v>2017</v>
      </c>
      <c r="H311" s="6">
        <v>12</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12</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290</v>
      </c>
      <c r="BE311" s="44" t="s">
        <v>272</v>
      </c>
      <c r="BF311" s="44" t="s">
        <v>260</v>
      </c>
      <c r="BG311" s="44" t="s">
        <v>291</v>
      </c>
      <c r="BH311" s="44" t="s">
        <v>274</v>
      </c>
      <c r="BI311" s="44" t="s">
        <v>294</v>
      </c>
      <c r="BJ311" s="44" t="s">
        <v>263</v>
      </c>
      <c r="BK311" s="44" t="s">
        <v>253</v>
      </c>
      <c r="BL311" s="44" t="s">
        <v>253</v>
      </c>
      <c r="BM311" s="44" t="s">
        <v>253</v>
      </c>
      <c r="BN311" s="44" t="s">
        <v>263</v>
      </c>
      <c r="BO311" s="44" t="s">
        <v>253</v>
      </c>
      <c r="BP311" s="44" t="s">
        <v>253</v>
      </c>
      <c r="BQ311" s="44" t="s">
        <v>253</v>
      </c>
      <c r="BR311" s="44" t="s">
        <v>253</v>
      </c>
      <c r="BS311" s="44" t="s">
        <v>276</v>
      </c>
      <c r="BT311" s="44">
        <v>0</v>
      </c>
    </row>
    <row r="312" spans="1:72">
      <c r="A312" s="44">
        <v>2022</v>
      </c>
      <c r="B312" s="6">
        <v>12</v>
      </c>
      <c r="C312" s="6">
        <v>1</v>
      </c>
      <c r="D312" s="6">
        <v>20</v>
      </c>
      <c r="E312" s="6" t="s">
        <v>253</v>
      </c>
      <c r="F312" s="6" t="s">
        <v>254</v>
      </c>
      <c r="G312" s="6">
        <v>2017</v>
      </c>
      <c r="H312" s="6">
        <v>12</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12</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290</v>
      </c>
      <c r="BE312" s="44" t="s">
        <v>272</v>
      </c>
      <c r="BF312" s="44" t="s">
        <v>260</v>
      </c>
      <c r="BG312" s="44" t="s">
        <v>291</v>
      </c>
      <c r="BH312" s="44" t="s">
        <v>274</v>
      </c>
      <c r="BI312" s="44" t="s">
        <v>294</v>
      </c>
      <c r="BJ312" s="44" t="s">
        <v>263</v>
      </c>
      <c r="BK312" s="44" t="s">
        <v>253</v>
      </c>
      <c r="BL312" s="44" t="s">
        <v>253</v>
      </c>
      <c r="BM312" s="44" t="s">
        <v>253</v>
      </c>
      <c r="BN312" s="44" t="s">
        <v>263</v>
      </c>
      <c r="BO312" s="44" t="s">
        <v>253</v>
      </c>
      <c r="BP312" s="44" t="s">
        <v>253</v>
      </c>
      <c r="BQ312" s="44" t="s">
        <v>253</v>
      </c>
      <c r="BR312" s="44" t="s">
        <v>253</v>
      </c>
      <c r="BS312" s="44" t="s">
        <v>276</v>
      </c>
      <c r="BT312" s="44">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295</v>
      </c>
      <c r="C2" s="8" t="s">
        <v>296</v>
      </c>
      <c r="E2" s="8" t="s">
        <v>297</v>
      </c>
      <c r="F2" s="8" t="s">
        <v>296</v>
      </c>
      <c r="H2" s="8" t="s">
        <v>188</v>
      </c>
      <c r="I2" s="8" t="s">
        <v>296</v>
      </c>
    </row>
    <row r="3" spans="2:12">
      <c r="B3" s="9">
        <v>2018</v>
      </c>
      <c r="C3" s="38" t="s">
        <v>298</v>
      </c>
      <c r="E3" s="11">
        <v>20</v>
      </c>
      <c r="F3" s="38" t="s">
        <v>265</v>
      </c>
      <c r="H3" s="9" t="s">
        <v>299</v>
      </c>
      <c r="I3" s="38" t="s">
        <v>299</v>
      </c>
      <c r="K3" s="15" t="s">
        <v>199</v>
      </c>
      <c r="L3" s="8" t="s">
        <v>300</v>
      </c>
    </row>
    <row r="4" spans="2:12">
      <c r="B4" s="9">
        <v>2019</v>
      </c>
      <c r="C4" s="38" t="s">
        <v>301</v>
      </c>
      <c r="E4" s="11">
        <v>19</v>
      </c>
      <c r="F4" s="38" t="s">
        <v>302</v>
      </c>
      <c r="H4" s="9" t="s">
        <v>303</v>
      </c>
      <c r="I4" s="38" t="s">
        <v>304</v>
      </c>
      <c r="K4" s="9" t="s">
        <v>261</v>
      </c>
      <c r="L4" s="1" t="s">
        <v>274</v>
      </c>
    </row>
    <row r="5" spans="2:12">
      <c r="B5" s="9">
        <v>2020</v>
      </c>
      <c r="C5" s="38" t="s">
        <v>305</v>
      </c>
      <c r="E5" s="11">
        <v>18</v>
      </c>
      <c r="F5" s="38" t="s">
        <v>306</v>
      </c>
      <c r="H5" s="9" t="s">
        <v>255</v>
      </c>
      <c r="I5" s="38" t="s">
        <v>269</v>
      </c>
      <c r="K5" s="9" t="s">
        <v>307</v>
      </c>
      <c r="L5" s="1" t="s">
        <v>308</v>
      </c>
    </row>
    <row r="6" spans="2:12">
      <c r="B6" s="9">
        <v>2021</v>
      </c>
      <c r="C6" s="38" t="s">
        <v>309</v>
      </c>
      <c r="E6" s="11">
        <v>17</v>
      </c>
      <c r="F6" s="38" t="s">
        <v>284</v>
      </c>
      <c r="H6" s="9" t="s">
        <v>310</v>
      </c>
      <c r="I6" s="38" t="s">
        <v>311</v>
      </c>
      <c r="K6" s="9" t="s">
        <v>312</v>
      </c>
      <c r="L6" s="1" t="s">
        <v>313</v>
      </c>
    </row>
    <row r="7" spans="2:12">
      <c r="B7" s="9">
        <v>2022</v>
      </c>
      <c r="C7" s="38" t="s">
        <v>264</v>
      </c>
      <c r="E7" s="11">
        <v>16</v>
      </c>
      <c r="F7" s="38" t="s">
        <v>314</v>
      </c>
      <c r="H7" s="9" t="s">
        <v>315</v>
      </c>
      <c r="I7" s="38" t="s">
        <v>316</v>
      </c>
    </row>
    <row r="8" spans="2:12">
      <c r="B8" s="9">
        <v>2023</v>
      </c>
      <c r="C8" s="38" t="s">
        <v>317</v>
      </c>
      <c r="E8" s="11">
        <v>15</v>
      </c>
      <c r="F8" s="38" t="s">
        <v>318</v>
      </c>
      <c r="H8" s="9" t="s">
        <v>319</v>
      </c>
      <c r="I8" s="38" t="s">
        <v>320</v>
      </c>
      <c r="K8" s="8" t="s">
        <v>200</v>
      </c>
    </row>
    <row r="9" spans="2:12">
      <c r="B9" s="9">
        <v>2024</v>
      </c>
      <c r="C9" s="38" t="s">
        <v>321</v>
      </c>
      <c r="E9" s="11">
        <v>14</v>
      </c>
      <c r="F9" s="38" t="s">
        <v>322</v>
      </c>
      <c r="H9" s="9" t="s">
        <v>323</v>
      </c>
      <c r="I9" s="38" t="s">
        <v>324</v>
      </c>
      <c r="K9" s="9" t="s">
        <v>262</v>
      </c>
      <c r="L9" s="1" t="s">
        <v>263</v>
      </c>
    </row>
    <row r="10" spans="2:12">
      <c r="E10" s="11">
        <v>13</v>
      </c>
      <c r="F10" s="38" t="s">
        <v>325</v>
      </c>
      <c r="K10" s="9" t="s">
        <v>326</v>
      </c>
      <c r="L10" s="1" t="s">
        <v>326</v>
      </c>
    </row>
    <row r="11" spans="2:12">
      <c r="B11" s="8" t="s">
        <v>327</v>
      </c>
      <c r="C11" s="8" t="s">
        <v>296</v>
      </c>
      <c r="E11" s="11">
        <v>12</v>
      </c>
      <c r="F11" s="38" t="s">
        <v>328</v>
      </c>
      <c r="H11" s="8" t="s">
        <v>329</v>
      </c>
      <c r="I11" s="8" t="s">
        <v>330</v>
      </c>
      <c r="K11" s="9" t="s">
        <v>331</v>
      </c>
      <c r="L11" s="1" t="s">
        <v>253</v>
      </c>
    </row>
    <row r="12" spans="2:12">
      <c r="B12" s="9">
        <v>1</v>
      </c>
      <c r="C12" s="10" t="s">
        <v>332</v>
      </c>
      <c r="E12" s="11">
        <v>11</v>
      </c>
      <c r="F12" s="38" t="s">
        <v>333</v>
      </c>
      <c r="H12" s="9" t="s">
        <v>254</v>
      </c>
      <c r="I12" s="1">
        <v>1</v>
      </c>
    </row>
    <row r="13" spans="2:12">
      <c r="B13" s="9">
        <v>2</v>
      </c>
      <c r="C13" s="10" t="s">
        <v>334</v>
      </c>
      <c r="E13" s="11">
        <v>10</v>
      </c>
      <c r="F13" s="38" t="s">
        <v>285</v>
      </c>
      <c r="H13" s="9" t="s">
        <v>335</v>
      </c>
      <c r="I13" s="1">
        <v>2</v>
      </c>
      <c r="K13" s="8" t="s">
        <v>194</v>
      </c>
      <c r="L13" s="8" t="s">
        <v>336</v>
      </c>
    </row>
    <row r="14" spans="2:12">
      <c r="B14" s="9">
        <v>3</v>
      </c>
      <c r="C14" s="10" t="s">
        <v>337</v>
      </c>
      <c r="E14" s="11">
        <v>9</v>
      </c>
      <c r="F14" s="38" t="s">
        <v>338</v>
      </c>
      <c r="H14" s="9" t="s">
        <v>339</v>
      </c>
      <c r="I14" s="1">
        <v>3</v>
      </c>
      <c r="K14" s="9">
        <v>500</v>
      </c>
      <c r="L14" s="38" t="s">
        <v>340</v>
      </c>
    </row>
    <row r="15" spans="2:12">
      <c r="B15" s="9">
        <v>4</v>
      </c>
      <c r="C15" s="10" t="s">
        <v>341</v>
      </c>
      <c r="E15" s="11">
        <v>8</v>
      </c>
      <c r="F15" s="38" t="s">
        <v>342</v>
      </c>
      <c r="H15" s="9" t="s">
        <v>343</v>
      </c>
      <c r="I15" s="1">
        <v>4</v>
      </c>
      <c r="K15" s="9">
        <v>1000</v>
      </c>
      <c r="L15" s="38" t="s">
        <v>272</v>
      </c>
    </row>
    <row r="16" spans="2:12">
      <c r="B16" s="9">
        <v>5</v>
      </c>
      <c r="C16" s="10" t="s">
        <v>344</v>
      </c>
      <c r="E16" s="11">
        <v>7</v>
      </c>
      <c r="F16" s="38" t="s">
        <v>345</v>
      </c>
      <c r="K16" s="9">
        <v>2000</v>
      </c>
      <c r="L16" s="38" t="s">
        <v>346</v>
      </c>
    </row>
    <row r="17" spans="2:12">
      <c r="B17" s="9">
        <v>6</v>
      </c>
      <c r="C17" s="10" t="s">
        <v>347</v>
      </c>
      <c r="E17" s="11">
        <v>6</v>
      </c>
      <c r="F17" s="38" t="s">
        <v>348</v>
      </c>
      <c r="H17" s="8" t="s">
        <v>349</v>
      </c>
      <c r="I17" s="8" t="s">
        <v>330</v>
      </c>
      <c r="K17" s="9">
        <v>3000</v>
      </c>
      <c r="L17" s="38" t="s">
        <v>273</v>
      </c>
    </row>
    <row r="18" spans="2:12">
      <c r="B18" s="9">
        <v>7</v>
      </c>
      <c r="C18" s="10" t="s">
        <v>350</v>
      </c>
      <c r="E18" s="11">
        <v>5</v>
      </c>
      <c r="F18" s="38" t="s">
        <v>351</v>
      </c>
      <c r="H18" s="9" t="s">
        <v>258</v>
      </c>
      <c r="I18" s="1" t="s">
        <v>271</v>
      </c>
      <c r="K18" s="9">
        <v>5000</v>
      </c>
      <c r="L18" s="38" t="s">
        <v>291</v>
      </c>
    </row>
    <row r="19" spans="2:12">
      <c r="B19" s="9">
        <v>8</v>
      </c>
      <c r="C19" s="10" t="s">
        <v>352</v>
      </c>
      <c r="E19" s="11">
        <v>4</v>
      </c>
      <c r="F19" s="38" t="s">
        <v>353</v>
      </c>
      <c r="H19" s="9" t="s">
        <v>354</v>
      </c>
      <c r="I19" s="1" t="s">
        <v>354</v>
      </c>
      <c r="K19" s="9" t="s">
        <v>259</v>
      </c>
      <c r="L19" s="38" t="s">
        <v>259</v>
      </c>
    </row>
    <row r="20" spans="2:12">
      <c r="B20" s="9">
        <v>9</v>
      </c>
      <c r="C20" s="10" t="s">
        <v>355</v>
      </c>
      <c r="E20" s="11">
        <v>3</v>
      </c>
      <c r="F20" s="38" t="s">
        <v>356</v>
      </c>
      <c r="H20" s="9" t="s">
        <v>357</v>
      </c>
      <c r="I20" s="1" t="s">
        <v>358</v>
      </c>
    </row>
    <row r="21" spans="2:12">
      <c r="B21" s="9">
        <v>10</v>
      </c>
      <c r="C21" s="10" t="s">
        <v>359</v>
      </c>
      <c r="E21" s="11">
        <v>2</v>
      </c>
      <c r="F21" s="38" t="s">
        <v>360</v>
      </c>
      <c r="K21" s="8" t="s">
        <v>361</v>
      </c>
      <c r="L21" s="8" t="s">
        <v>362</v>
      </c>
    </row>
    <row r="22" spans="2:12">
      <c r="B22" s="9">
        <v>11</v>
      </c>
      <c r="C22" s="10" t="s">
        <v>363</v>
      </c>
      <c r="E22" s="11">
        <v>1</v>
      </c>
      <c r="F22" s="38" t="s">
        <v>360</v>
      </c>
      <c r="H22" s="8" t="s">
        <v>364</v>
      </c>
      <c r="I22" s="8" t="s">
        <v>330</v>
      </c>
      <c r="K22" s="9">
        <v>500</v>
      </c>
      <c r="L22" s="38" t="s">
        <v>340</v>
      </c>
    </row>
    <row r="23" spans="2:12">
      <c r="B23" s="9">
        <v>12</v>
      </c>
      <c r="C23" s="10" t="s">
        <v>365</v>
      </c>
      <c r="E23" s="9" t="s">
        <v>286</v>
      </c>
      <c r="F23" s="38" t="s">
        <v>286</v>
      </c>
      <c r="H23" s="9" t="s">
        <v>254</v>
      </c>
      <c r="I23" s="1" t="s">
        <v>266</v>
      </c>
      <c r="K23" s="9">
        <v>1000</v>
      </c>
      <c r="L23" s="38" t="s">
        <v>272</v>
      </c>
    </row>
    <row r="24" spans="2:12">
      <c r="E24" s="9" t="s">
        <v>366</v>
      </c>
      <c r="F24" s="38" t="s">
        <v>366</v>
      </c>
      <c r="H24" s="9" t="s">
        <v>335</v>
      </c>
      <c r="I24" s="1" t="s">
        <v>367</v>
      </c>
      <c r="K24" s="9">
        <v>2000</v>
      </c>
      <c r="L24" s="38" t="s">
        <v>346</v>
      </c>
    </row>
    <row r="25" spans="2:12">
      <c r="B25" s="8" t="s">
        <v>368</v>
      </c>
      <c r="C25" s="8" t="s">
        <v>296</v>
      </c>
      <c r="H25" s="9" t="s">
        <v>339</v>
      </c>
      <c r="I25" s="1" t="s">
        <v>369</v>
      </c>
    </row>
    <row r="26" spans="2:12">
      <c r="B26" s="9">
        <v>1</v>
      </c>
      <c r="C26" s="10" t="s">
        <v>332</v>
      </c>
      <c r="E26" s="8" t="s">
        <v>191</v>
      </c>
      <c r="F26" s="8" t="s">
        <v>330</v>
      </c>
      <c r="H26" s="9" t="s">
        <v>343</v>
      </c>
      <c r="I26" s="1" t="s">
        <v>370</v>
      </c>
      <c r="K26" s="8" t="s">
        <v>198</v>
      </c>
      <c r="L26" s="8" t="s">
        <v>371</v>
      </c>
    </row>
    <row r="27" spans="2:12">
      <c r="B27" s="9">
        <v>2</v>
      </c>
      <c r="C27" s="10" t="s">
        <v>334</v>
      </c>
      <c r="E27" s="11">
        <v>1000</v>
      </c>
      <c r="F27" s="1">
        <v>1</v>
      </c>
      <c r="K27" s="9">
        <v>3000</v>
      </c>
      <c r="L27" s="38" t="s">
        <v>273</v>
      </c>
    </row>
    <row r="28" spans="2:12">
      <c r="B28" s="9">
        <v>3</v>
      </c>
      <c r="C28" s="10" t="s">
        <v>337</v>
      </c>
      <c r="E28" s="11">
        <f t="shared" ref="E28:E56" si="0">E27+1000</f>
        <v>2000</v>
      </c>
      <c r="F28" s="1">
        <v>1</v>
      </c>
      <c r="H28" s="8" t="s">
        <v>372</v>
      </c>
      <c r="I28" s="8" t="s">
        <v>330</v>
      </c>
      <c r="K28" s="9">
        <v>4000</v>
      </c>
      <c r="L28" s="38" t="s">
        <v>373</v>
      </c>
    </row>
    <row r="29" spans="2:12">
      <c r="B29" s="9">
        <v>4</v>
      </c>
      <c r="C29" s="10" t="s">
        <v>341</v>
      </c>
      <c r="E29" s="11">
        <f t="shared" si="0"/>
        <v>3000</v>
      </c>
      <c r="F29" s="1">
        <v>1</v>
      </c>
      <c r="H29" s="9" t="s">
        <v>254</v>
      </c>
      <c r="I29" s="1" t="s">
        <v>270</v>
      </c>
      <c r="K29" s="9">
        <v>5000</v>
      </c>
      <c r="L29" s="38" t="s">
        <v>291</v>
      </c>
    </row>
    <row r="30" spans="2:12">
      <c r="B30" s="9">
        <v>5</v>
      </c>
      <c r="C30" s="10" t="s">
        <v>344</v>
      </c>
      <c r="E30" s="11">
        <f t="shared" si="0"/>
        <v>4000</v>
      </c>
      <c r="F30" s="1">
        <v>2</v>
      </c>
      <c r="H30" s="9" t="s">
        <v>335</v>
      </c>
      <c r="I30" s="1" t="s">
        <v>367</v>
      </c>
      <c r="K30" s="9">
        <v>6000</v>
      </c>
      <c r="L30" s="38" t="s">
        <v>374</v>
      </c>
    </row>
    <row r="31" spans="2:12">
      <c r="B31" s="9">
        <v>6</v>
      </c>
      <c r="C31" s="10" t="s">
        <v>347</v>
      </c>
      <c r="E31" s="11">
        <f t="shared" si="0"/>
        <v>5000</v>
      </c>
      <c r="F31" s="1">
        <v>2</v>
      </c>
      <c r="H31" s="9" t="s">
        <v>339</v>
      </c>
      <c r="I31" s="1" t="s">
        <v>369</v>
      </c>
      <c r="K31" s="9">
        <v>7000</v>
      </c>
      <c r="L31" s="38" t="s">
        <v>375</v>
      </c>
    </row>
    <row r="32" spans="2:12">
      <c r="B32" s="9">
        <v>7</v>
      </c>
      <c r="C32" s="10" t="s">
        <v>350</v>
      </c>
      <c r="E32" s="11">
        <f t="shared" si="0"/>
        <v>6000</v>
      </c>
      <c r="F32" s="1">
        <v>3</v>
      </c>
      <c r="H32" s="9" t="s">
        <v>343</v>
      </c>
      <c r="I32" s="1" t="s">
        <v>376</v>
      </c>
      <c r="K32" s="9">
        <v>8000</v>
      </c>
      <c r="L32" s="38" t="s">
        <v>377</v>
      </c>
    </row>
    <row r="33" spans="2:12">
      <c r="B33" s="9">
        <v>8</v>
      </c>
      <c r="C33" s="10" t="s">
        <v>352</v>
      </c>
      <c r="E33" s="11">
        <f t="shared" si="0"/>
        <v>7000</v>
      </c>
      <c r="F33" s="1">
        <v>3</v>
      </c>
      <c r="K33" s="9">
        <v>9000</v>
      </c>
      <c r="L33" s="38" t="s">
        <v>378</v>
      </c>
    </row>
    <row r="34" spans="2:12">
      <c r="B34" s="9">
        <v>9</v>
      </c>
      <c r="C34" s="10" t="s">
        <v>355</v>
      </c>
      <c r="E34" s="11">
        <f t="shared" si="0"/>
        <v>8000</v>
      </c>
      <c r="F34" s="1">
        <v>3</v>
      </c>
      <c r="K34" s="9">
        <v>10000</v>
      </c>
      <c r="L34" s="38" t="s">
        <v>379</v>
      </c>
    </row>
    <row r="35" spans="2:12">
      <c r="B35" s="9">
        <v>10</v>
      </c>
      <c r="C35" s="10" t="s">
        <v>359</v>
      </c>
      <c r="E35" s="11">
        <f t="shared" si="0"/>
        <v>9000</v>
      </c>
      <c r="F35" s="1">
        <v>3</v>
      </c>
      <c r="K35" s="9" t="s">
        <v>259</v>
      </c>
      <c r="L35" s="38" t="s">
        <v>259</v>
      </c>
    </row>
    <row r="36" spans="2:12">
      <c r="B36" s="9">
        <v>11</v>
      </c>
      <c r="C36" s="10" t="s">
        <v>363</v>
      </c>
      <c r="E36" s="11">
        <f t="shared" si="0"/>
        <v>10000</v>
      </c>
      <c r="F36" s="1">
        <v>3</v>
      </c>
    </row>
    <row r="37" spans="2:12">
      <c r="B37" s="9">
        <v>12</v>
      </c>
      <c r="C37" s="10" t="s">
        <v>365</v>
      </c>
      <c r="E37" s="11">
        <f t="shared" si="0"/>
        <v>11000</v>
      </c>
      <c r="F37" s="1">
        <v>4</v>
      </c>
      <c r="K37" s="8" t="s">
        <v>380</v>
      </c>
      <c r="L37" s="8" t="s">
        <v>381</v>
      </c>
    </row>
    <row r="38" spans="2:12">
      <c r="B38" s="9">
        <v>13</v>
      </c>
      <c r="C38" s="10" t="s">
        <v>382</v>
      </c>
      <c r="E38" s="11">
        <f t="shared" si="0"/>
        <v>12000</v>
      </c>
      <c r="F38" s="1">
        <v>4</v>
      </c>
      <c r="K38" s="9" t="s">
        <v>253</v>
      </c>
      <c r="L38" s="38" t="s">
        <v>253</v>
      </c>
    </row>
    <row r="39" spans="2:12">
      <c r="B39" s="9">
        <v>14</v>
      </c>
      <c r="C39" s="10" t="s">
        <v>383</v>
      </c>
      <c r="E39" s="11">
        <f t="shared" si="0"/>
        <v>13000</v>
      </c>
      <c r="F39" s="1">
        <v>4</v>
      </c>
      <c r="K39" s="9" t="s">
        <v>263</v>
      </c>
      <c r="L39" s="38" t="s">
        <v>290</v>
      </c>
    </row>
    <row r="40" spans="2:12">
      <c r="B40" s="9">
        <v>15</v>
      </c>
      <c r="C40" s="10" t="s">
        <v>384</v>
      </c>
      <c r="E40" s="11">
        <f t="shared" si="0"/>
        <v>14000</v>
      </c>
      <c r="F40" s="1">
        <v>4</v>
      </c>
      <c r="K40" s="9" t="s">
        <v>259</v>
      </c>
      <c r="L40" s="38" t="s">
        <v>259</v>
      </c>
    </row>
    <row r="41" spans="2:12">
      <c r="B41" s="9">
        <v>16</v>
      </c>
      <c r="C41" s="10" t="s">
        <v>385</v>
      </c>
      <c r="E41" s="11">
        <f t="shared" si="0"/>
        <v>15000</v>
      </c>
      <c r="F41" s="1">
        <v>4</v>
      </c>
    </row>
    <row r="42" spans="2:12">
      <c r="B42" s="9">
        <v>17</v>
      </c>
      <c r="C42" s="10" t="s">
        <v>386</v>
      </c>
      <c r="E42" s="11">
        <f t="shared" si="0"/>
        <v>16000</v>
      </c>
      <c r="F42" s="1">
        <v>5</v>
      </c>
      <c r="K42" s="8" t="s">
        <v>387</v>
      </c>
    </row>
    <row r="43" spans="2:12">
      <c r="B43" s="9">
        <v>18</v>
      </c>
      <c r="C43" s="10" t="s">
        <v>388</v>
      </c>
      <c r="E43" s="11">
        <f t="shared" si="0"/>
        <v>17000</v>
      </c>
      <c r="F43" s="1">
        <v>5</v>
      </c>
      <c r="K43" s="9" t="s">
        <v>253</v>
      </c>
    </row>
    <row r="44" spans="2:12">
      <c r="B44" s="9">
        <v>19</v>
      </c>
      <c r="C44" s="10" t="s">
        <v>389</v>
      </c>
      <c r="E44" s="11">
        <f t="shared" si="0"/>
        <v>18000</v>
      </c>
      <c r="F44" s="1">
        <v>5</v>
      </c>
      <c r="K44" s="9" t="s">
        <v>390</v>
      </c>
    </row>
    <row r="45" spans="2:12">
      <c r="B45" s="9">
        <v>20</v>
      </c>
      <c r="C45" s="10" t="s">
        <v>391</v>
      </c>
      <c r="E45" s="11">
        <f t="shared" si="0"/>
        <v>19000</v>
      </c>
      <c r="F45" s="1">
        <v>5</v>
      </c>
      <c r="K45" s="9" t="s">
        <v>392</v>
      </c>
    </row>
    <row r="46" spans="2:12">
      <c r="B46" s="9">
        <v>21</v>
      </c>
      <c r="C46" s="10" t="s">
        <v>393</v>
      </c>
      <c r="E46" s="11">
        <f t="shared" si="0"/>
        <v>20000</v>
      </c>
      <c r="F46" s="1">
        <v>5</v>
      </c>
      <c r="K46" s="9" t="s">
        <v>394</v>
      </c>
    </row>
    <row r="47" spans="2:12">
      <c r="B47" s="9">
        <v>22</v>
      </c>
      <c r="C47" s="10" t="s">
        <v>395</v>
      </c>
      <c r="E47" s="11">
        <f t="shared" si="0"/>
        <v>21000</v>
      </c>
      <c r="F47" s="1">
        <v>5</v>
      </c>
      <c r="K47" s="9" t="s">
        <v>396</v>
      </c>
    </row>
    <row r="48" spans="2:12">
      <c r="B48" s="9">
        <v>23</v>
      </c>
      <c r="C48" s="10" t="s">
        <v>397</v>
      </c>
      <c r="E48" s="11">
        <f t="shared" si="0"/>
        <v>22000</v>
      </c>
      <c r="F48" s="1">
        <v>5</v>
      </c>
      <c r="K48" s="9" t="s">
        <v>398</v>
      </c>
    </row>
    <row r="49" spans="2:12">
      <c r="B49" s="9">
        <v>24</v>
      </c>
      <c r="C49" s="10" t="s">
        <v>399</v>
      </c>
      <c r="E49" s="11">
        <f t="shared" si="0"/>
        <v>23000</v>
      </c>
      <c r="F49" s="1">
        <v>5</v>
      </c>
      <c r="K49" s="9" t="s">
        <v>400</v>
      </c>
    </row>
    <row r="50" spans="2:12">
      <c r="B50" s="9">
        <v>25</v>
      </c>
      <c r="C50" s="10" t="s">
        <v>401</v>
      </c>
      <c r="E50" s="11">
        <f t="shared" si="0"/>
        <v>24000</v>
      </c>
      <c r="F50" s="1">
        <v>5</v>
      </c>
    </row>
    <row r="51" spans="2:12">
      <c r="B51" s="9">
        <v>26</v>
      </c>
      <c r="C51" s="10" t="s">
        <v>402</v>
      </c>
      <c r="E51" s="11">
        <f t="shared" si="0"/>
        <v>25000</v>
      </c>
      <c r="F51" s="1">
        <v>5</v>
      </c>
      <c r="K51" s="8" t="s">
        <v>206</v>
      </c>
      <c r="L51" s="8" t="s">
        <v>403</v>
      </c>
    </row>
    <row r="52" spans="2:12">
      <c r="B52" s="9">
        <v>27</v>
      </c>
      <c r="C52" s="10" t="s">
        <v>404</v>
      </c>
      <c r="E52" s="11">
        <f t="shared" si="0"/>
        <v>26000</v>
      </c>
      <c r="F52" s="1">
        <v>5</v>
      </c>
      <c r="K52" s="9" t="s">
        <v>253</v>
      </c>
      <c r="L52" s="38" t="s">
        <v>253</v>
      </c>
    </row>
    <row r="53" spans="2:12">
      <c r="B53" s="9">
        <v>28</v>
      </c>
      <c r="C53" s="10" t="s">
        <v>405</v>
      </c>
      <c r="E53" s="11">
        <f t="shared" si="0"/>
        <v>27000</v>
      </c>
      <c r="F53" s="1">
        <v>5</v>
      </c>
      <c r="K53" s="9">
        <v>3000</v>
      </c>
      <c r="L53" s="38" t="s">
        <v>273</v>
      </c>
    </row>
    <row r="54" spans="2:12">
      <c r="B54" s="9">
        <v>29</v>
      </c>
      <c r="C54" s="10" t="s">
        <v>406</v>
      </c>
      <c r="E54" s="11">
        <f t="shared" si="0"/>
        <v>28000</v>
      </c>
      <c r="F54" s="1">
        <v>5</v>
      </c>
      <c r="K54" s="9">
        <v>5000</v>
      </c>
      <c r="L54" s="38" t="s">
        <v>291</v>
      </c>
    </row>
    <row r="55" spans="2:12">
      <c r="B55" s="9">
        <v>30</v>
      </c>
      <c r="C55" s="10" t="s">
        <v>407</v>
      </c>
      <c r="E55" s="11">
        <f t="shared" si="0"/>
        <v>29000</v>
      </c>
      <c r="F55" s="1">
        <v>5</v>
      </c>
      <c r="K55" s="9">
        <v>10000</v>
      </c>
      <c r="L55" s="38" t="s">
        <v>379</v>
      </c>
    </row>
    <row r="56" spans="2:12">
      <c r="B56" s="9">
        <v>31</v>
      </c>
      <c r="C56" s="10" t="s">
        <v>408</v>
      </c>
      <c r="E56" s="11">
        <f t="shared" si="0"/>
        <v>30000</v>
      </c>
      <c r="F56" s="1">
        <v>5</v>
      </c>
    </row>
    <row r="57" spans="2:12">
      <c r="K57" s="8" t="s">
        <v>409</v>
      </c>
      <c r="L57" s="8" t="s">
        <v>296</v>
      </c>
    </row>
    <row r="58" spans="2:12">
      <c r="B58" s="8" t="s">
        <v>410</v>
      </c>
      <c r="C58" s="8" t="s">
        <v>296</v>
      </c>
      <c r="K58" s="9" t="s">
        <v>253</v>
      </c>
      <c r="L58" s="38" t="s">
        <v>253</v>
      </c>
    </row>
    <row r="59" spans="2:12">
      <c r="B59" s="9">
        <v>2026</v>
      </c>
      <c r="C59" s="38" t="s">
        <v>411</v>
      </c>
      <c r="K59" s="9" t="s">
        <v>412</v>
      </c>
      <c r="L59" s="38" t="s">
        <v>413</v>
      </c>
    </row>
    <row r="60" spans="2:12">
      <c r="B60" s="9">
        <f t="shared" ref="B60:B91" si="1">B59-1</f>
        <v>2025</v>
      </c>
      <c r="C60" s="38" t="s">
        <v>414</v>
      </c>
      <c r="K60" s="9" t="s">
        <v>415</v>
      </c>
      <c r="L60" s="38" t="s">
        <v>416</v>
      </c>
    </row>
    <row r="61" spans="2:12">
      <c r="B61" s="9">
        <f t="shared" si="1"/>
        <v>2024</v>
      </c>
      <c r="C61" s="38" t="s">
        <v>321</v>
      </c>
      <c r="K61" s="9" t="s">
        <v>354</v>
      </c>
      <c r="L61" s="38" t="s">
        <v>417</v>
      </c>
    </row>
    <row r="62" spans="2:12">
      <c r="B62" s="9">
        <f t="shared" si="1"/>
        <v>2023</v>
      </c>
      <c r="C62" s="38" t="s">
        <v>317</v>
      </c>
    </row>
    <row r="63" spans="2:12">
      <c r="B63" s="9">
        <f t="shared" si="1"/>
        <v>2022</v>
      </c>
      <c r="C63" s="38" t="s">
        <v>264</v>
      </c>
      <c r="K63" s="8" t="s">
        <v>197</v>
      </c>
    </row>
    <row r="64" spans="2:12">
      <c r="B64" s="9">
        <f t="shared" si="1"/>
        <v>2021</v>
      </c>
      <c r="C64" s="38" t="s">
        <v>309</v>
      </c>
      <c r="K64" s="9" t="s">
        <v>260</v>
      </c>
    </row>
    <row r="65" spans="2:11">
      <c r="B65" s="9">
        <f t="shared" si="1"/>
        <v>2020</v>
      </c>
      <c r="C65" s="38" t="s">
        <v>305</v>
      </c>
      <c r="K65" s="9" t="s">
        <v>418</v>
      </c>
    </row>
    <row r="66" spans="2:11">
      <c r="B66" s="9">
        <f t="shared" si="1"/>
        <v>2019</v>
      </c>
      <c r="C66" s="38" t="s">
        <v>301</v>
      </c>
    </row>
    <row r="67" spans="2:11">
      <c r="B67" s="9">
        <f t="shared" si="1"/>
        <v>2018</v>
      </c>
      <c r="C67" s="38" t="s">
        <v>298</v>
      </c>
    </row>
    <row r="68" spans="2:11">
      <c r="B68" s="9">
        <f t="shared" si="1"/>
        <v>2017</v>
      </c>
      <c r="C68" s="38" t="s">
        <v>267</v>
      </c>
    </row>
    <row r="69" spans="2:11">
      <c r="B69" s="9">
        <f t="shared" si="1"/>
        <v>2016</v>
      </c>
      <c r="C69" s="38" t="s">
        <v>289</v>
      </c>
    </row>
    <row r="70" spans="2:11">
      <c r="B70" s="9">
        <f t="shared" si="1"/>
        <v>2015</v>
      </c>
      <c r="C70" s="38" t="s">
        <v>419</v>
      </c>
    </row>
    <row r="71" spans="2:11">
      <c r="B71" s="9">
        <f t="shared" si="1"/>
        <v>2014</v>
      </c>
      <c r="C71" s="38" t="s">
        <v>420</v>
      </c>
    </row>
    <row r="72" spans="2:11">
      <c r="B72" s="9">
        <f t="shared" si="1"/>
        <v>2013</v>
      </c>
      <c r="C72" s="38" t="s">
        <v>421</v>
      </c>
    </row>
    <row r="73" spans="2:11">
      <c r="B73" s="9">
        <f t="shared" si="1"/>
        <v>2012</v>
      </c>
      <c r="C73" s="38" t="s">
        <v>422</v>
      </c>
    </row>
    <row r="74" spans="2:11">
      <c r="B74" s="9">
        <f t="shared" si="1"/>
        <v>2011</v>
      </c>
      <c r="C74" s="38" t="s">
        <v>423</v>
      </c>
    </row>
    <row r="75" spans="2:11">
      <c r="B75" s="9">
        <f t="shared" si="1"/>
        <v>2010</v>
      </c>
      <c r="C75" s="38" t="s">
        <v>424</v>
      </c>
    </row>
    <row r="76" spans="2:11">
      <c r="B76" s="9">
        <f t="shared" si="1"/>
        <v>2009</v>
      </c>
      <c r="C76" s="38" t="s">
        <v>425</v>
      </c>
    </row>
    <row r="77" spans="2:11">
      <c r="B77" s="9">
        <f t="shared" si="1"/>
        <v>2008</v>
      </c>
      <c r="C77" s="38" t="s">
        <v>426</v>
      </c>
    </row>
    <row r="78" spans="2:11">
      <c r="B78" s="9">
        <f t="shared" si="1"/>
        <v>2007</v>
      </c>
      <c r="C78" s="38" t="s">
        <v>427</v>
      </c>
    </row>
    <row r="79" spans="2:11">
      <c r="B79" s="9">
        <f t="shared" si="1"/>
        <v>2006</v>
      </c>
      <c r="C79" s="38" t="s">
        <v>428</v>
      </c>
    </row>
    <row r="80" spans="2:11">
      <c r="B80" s="9">
        <f t="shared" si="1"/>
        <v>2005</v>
      </c>
      <c r="C80" s="38" t="s">
        <v>429</v>
      </c>
    </row>
    <row r="81" spans="2:3">
      <c r="B81" s="9">
        <f t="shared" si="1"/>
        <v>2004</v>
      </c>
      <c r="C81" s="38" t="s">
        <v>430</v>
      </c>
    </row>
    <row r="82" spans="2:3">
      <c r="B82" s="9">
        <f t="shared" si="1"/>
        <v>2003</v>
      </c>
      <c r="C82" s="38" t="s">
        <v>431</v>
      </c>
    </row>
    <row r="83" spans="2:3">
      <c r="B83" s="9">
        <f t="shared" si="1"/>
        <v>2002</v>
      </c>
      <c r="C83" s="38" t="s">
        <v>432</v>
      </c>
    </row>
    <row r="84" spans="2:3">
      <c r="B84" s="9">
        <f t="shared" si="1"/>
        <v>2001</v>
      </c>
      <c r="C84" s="38" t="s">
        <v>433</v>
      </c>
    </row>
    <row r="85" spans="2:3">
      <c r="B85" s="9">
        <f t="shared" si="1"/>
        <v>2000</v>
      </c>
      <c r="C85" s="38" t="s">
        <v>434</v>
      </c>
    </row>
    <row r="86" spans="2:3">
      <c r="B86" s="9">
        <f t="shared" si="1"/>
        <v>1999</v>
      </c>
      <c r="C86" s="38" t="s">
        <v>435</v>
      </c>
    </row>
    <row r="87" spans="2:3">
      <c r="B87" s="9">
        <f t="shared" si="1"/>
        <v>1998</v>
      </c>
      <c r="C87" s="38" t="s">
        <v>436</v>
      </c>
    </row>
    <row r="88" spans="2:3">
      <c r="B88" s="9">
        <f t="shared" si="1"/>
        <v>1997</v>
      </c>
      <c r="C88" s="38" t="s">
        <v>437</v>
      </c>
    </row>
    <row r="89" spans="2:3">
      <c r="B89" s="9">
        <f t="shared" si="1"/>
        <v>1996</v>
      </c>
      <c r="C89" s="38" t="s">
        <v>438</v>
      </c>
    </row>
    <row r="90" spans="2:3">
      <c r="B90" s="9">
        <f t="shared" si="1"/>
        <v>1995</v>
      </c>
      <c r="C90" s="38" t="s">
        <v>439</v>
      </c>
    </row>
    <row r="91" spans="2:3">
      <c r="B91" s="9">
        <f t="shared" si="1"/>
        <v>1994</v>
      </c>
      <c r="C91" s="38" t="s">
        <v>440</v>
      </c>
    </row>
    <row r="92" spans="2:3">
      <c r="B92" s="9">
        <f t="shared" ref="B92:B123" si="2">B91-1</f>
        <v>1993</v>
      </c>
      <c r="C92" s="38" t="s">
        <v>441</v>
      </c>
    </row>
    <row r="93" spans="2:3">
      <c r="B93" s="9">
        <f t="shared" si="2"/>
        <v>1992</v>
      </c>
      <c r="C93" s="38" t="s">
        <v>268</v>
      </c>
    </row>
    <row r="94" spans="2:3">
      <c r="B94" s="9">
        <f t="shared" si="2"/>
        <v>1991</v>
      </c>
      <c r="C94" s="38" t="s">
        <v>442</v>
      </c>
    </row>
    <row r="95" spans="2:3">
      <c r="B95" s="9">
        <f t="shared" si="2"/>
        <v>1990</v>
      </c>
      <c r="C95" s="38" t="s">
        <v>443</v>
      </c>
    </row>
    <row r="96" spans="2:3">
      <c r="B96" s="9">
        <f t="shared" si="2"/>
        <v>1989</v>
      </c>
      <c r="C96" s="38" t="s">
        <v>444</v>
      </c>
    </row>
    <row r="97" spans="2:3">
      <c r="B97" s="9">
        <f t="shared" si="2"/>
        <v>1988</v>
      </c>
      <c r="C97" s="38" t="s">
        <v>445</v>
      </c>
    </row>
    <row r="98" spans="2:3">
      <c r="B98" s="9">
        <f t="shared" si="2"/>
        <v>1987</v>
      </c>
      <c r="C98" s="38" t="s">
        <v>277</v>
      </c>
    </row>
    <row r="99" spans="2:3">
      <c r="B99" s="9">
        <f t="shared" si="2"/>
        <v>1986</v>
      </c>
      <c r="C99" s="38" t="s">
        <v>446</v>
      </c>
    </row>
    <row r="100" spans="2:3">
      <c r="B100" s="9">
        <f t="shared" si="2"/>
        <v>1985</v>
      </c>
      <c r="C100" s="38" t="s">
        <v>447</v>
      </c>
    </row>
    <row r="101" spans="2:3">
      <c r="B101" s="9">
        <f t="shared" si="2"/>
        <v>1984</v>
      </c>
      <c r="C101" s="38" t="s">
        <v>448</v>
      </c>
    </row>
    <row r="102" spans="2:3">
      <c r="B102" s="9">
        <f t="shared" si="2"/>
        <v>1983</v>
      </c>
      <c r="C102" s="38" t="s">
        <v>449</v>
      </c>
    </row>
    <row r="103" spans="2:3">
      <c r="B103" s="9">
        <f t="shared" si="2"/>
        <v>1982</v>
      </c>
      <c r="C103" s="38" t="s">
        <v>278</v>
      </c>
    </row>
    <row r="104" spans="2:3">
      <c r="B104" s="9">
        <f t="shared" si="2"/>
        <v>1981</v>
      </c>
      <c r="C104" s="38" t="s">
        <v>450</v>
      </c>
    </row>
    <row r="105" spans="2:3">
      <c r="B105" s="9">
        <f t="shared" si="2"/>
        <v>1980</v>
      </c>
      <c r="C105" s="38" t="s">
        <v>451</v>
      </c>
    </row>
    <row r="106" spans="2:3">
      <c r="B106" s="9">
        <f t="shared" si="2"/>
        <v>1979</v>
      </c>
      <c r="C106" s="38" t="s">
        <v>452</v>
      </c>
    </row>
    <row r="107" spans="2:3">
      <c r="B107" s="9">
        <f t="shared" si="2"/>
        <v>1978</v>
      </c>
      <c r="C107" s="38" t="s">
        <v>453</v>
      </c>
    </row>
    <row r="108" spans="2:3">
      <c r="B108" s="9">
        <f t="shared" si="2"/>
        <v>1977</v>
      </c>
      <c r="C108" s="38" t="s">
        <v>279</v>
      </c>
    </row>
    <row r="109" spans="2:3">
      <c r="B109" s="9">
        <f t="shared" si="2"/>
        <v>1976</v>
      </c>
      <c r="C109" s="38" t="s">
        <v>454</v>
      </c>
    </row>
    <row r="110" spans="2:3">
      <c r="B110" s="9">
        <f t="shared" si="2"/>
        <v>1975</v>
      </c>
      <c r="C110" s="38" t="s">
        <v>455</v>
      </c>
    </row>
    <row r="111" spans="2:3">
      <c r="B111" s="9">
        <f t="shared" si="2"/>
        <v>1974</v>
      </c>
      <c r="C111" s="38" t="s">
        <v>456</v>
      </c>
    </row>
    <row r="112" spans="2:3">
      <c r="B112" s="9">
        <f t="shared" si="2"/>
        <v>1973</v>
      </c>
      <c r="C112" s="38" t="s">
        <v>457</v>
      </c>
    </row>
    <row r="113" spans="2:3">
      <c r="B113" s="9">
        <f t="shared" si="2"/>
        <v>1972</v>
      </c>
      <c r="C113" s="38" t="s">
        <v>280</v>
      </c>
    </row>
    <row r="114" spans="2:3">
      <c r="B114" s="9">
        <f t="shared" si="2"/>
        <v>1971</v>
      </c>
      <c r="C114" s="38" t="s">
        <v>458</v>
      </c>
    </row>
    <row r="115" spans="2:3">
      <c r="B115" s="9">
        <f t="shared" si="2"/>
        <v>1970</v>
      </c>
      <c r="C115" s="38" t="s">
        <v>459</v>
      </c>
    </row>
    <row r="116" spans="2:3">
      <c r="B116" s="9">
        <f t="shared" si="2"/>
        <v>1969</v>
      </c>
      <c r="C116" s="38" t="s">
        <v>460</v>
      </c>
    </row>
    <row r="117" spans="2:3">
      <c r="B117" s="9">
        <f t="shared" si="2"/>
        <v>1968</v>
      </c>
      <c r="C117" s="38" t="s">
        <v>461</v>
      </c>
    </row>
    <row r="118" spans="2:3">
      <c r="B118" s="9">
        <f t="shared" si="2"/>
        <v>1967</v>
      </c>
      <c r="C118" s="38" t="s">
        <v>462</v>
      </c>
    </row>
    <row r="119" spans="2:3">
      <c r="B119" s="9">
        <f t="shared" si="2"/>
        <v>1966</v>
      </c>
      <c r="C119" s="38" t="s">
        <v>463</v>
      </c>
    </row>
    <row r="120" spans="2:3">
      <c r="B120" s="9">
        <f t="shared" si="2"/>
        <v>1965</v>
      </c>
      <c r="C120" s="38" t="s">
        <v>464</v>
      </c>
    </row>
    <row r="121" spans="2:3">
      <c r="B121" s="9">
        <f t="shared" si="2"/>
        <v>1964</v>
      </c>
      <c r="C121" s="38" t="s">
        <v>465</v>
      </c>
    </row>
    <row r="122" spans="2:3">
      <c r="B122" s="9">
        <f t="shared" si="2"/>
        <v>1963</v>
      </c>
      <c r="C122" s="38" t="s">
        <v>466</v>
      </c>
    </row>
    <row r="123" spans="2:3">
      <c r="B123" s="9">
        <f t="shared" si="2"/>
        <v>1962</v>
      </c>
      <c r="C123" s="38" t="s">
        <v>281</v>
      </c>
    </row>
    <row r="124" spans="2:3">
      <c r="B124" s="9">
        <f t="shared" ref="B124:B155" si="3">B123-1</f>
        <v>1961</v>
      </c>
      <c r="C124" s="38" t="s">
        <v>467</v>
      </c>
    </row>
    <row r="125" spans="2:3">
      <c r="B125" s="9">
        <f t="shared" si="3"/>
        <v>1960</v>
      </c>
      <c r="C125" s="38" t="s">
        <v>468</v>
      </c>
    </row>
    <row r="126" spans="2:3">
      <c r="B126" s="9">
        <f t="shared" si="3"/>
        <v>1959</v>
      </c>
      <c r="C126" s="38" t="s">
        <v>469</v>
      </c>
    </row>
    <row r="127" spans="2:3">
      <c r="B127" s="9">
        <f t="shared" si="3"/>
        <v>1958</v>
      </c>
      <c r="C127" s="38" t="s">
        <v>470</v>
      </c>
    </row>
    <row r="128" spans="2:3">
      <c r="B128" s="9">
        <f t="shared" si="3"/>
        <v>1957</v>
      </c>
      <c r="C128" s="38" t="s">
        <v>471</v>
      </c>
    </row>
    <row r="129" spans="2:3">
      <c r="B129" s="9">
        <f t="shared" si="3"/>
        <v>1956</v>
      </c>
      <c r="C129" s="38" t="s">
        <v>472</v>
      </c>
    </row>
    <row r="130" spans="2:3">
      <c r="B130" s="9">
        <f t="shared" si="3"/>
        <v>1955</v>
      </c>
      <c r="C130" s="38" t="s">
        <v>473</v>
      </c>
    </row>
    <row r="131" spans="2:3">
      <c r="B131" s="9">
        <f t="shared" si="3"/>
        <v>1954</v>
      </c>
      <c r="C131" s="38" t="s">
        <v>474</v>
      </c>
    </row>
    <row r="132" spans="2:3">
      <c r="B132" s="9">
        <f t="shared" si="3"/>
        <v>1953</v>
      </c>
      <c r="C132" s="38" t="s">
        <v>475</v>
      </c>
    </row>
    <row r="133" spans="2:3">
      <c r="B133" s="9">
        <f t="shared" si="3"/>
        <v>1952</v>
      </c>
      <c r="C133" s="38" t="s">
        <v>282</v>
      </c>
    </row>
    <row r="134" spans="2:3">
      <c r="B134" s="9">
        <f t="shared" si="3"/>
        <v>1951</v>
      </c>
      <c r="C134" s="38" t="s">
        <v>476</v>
      </c>
    </row>
    <row r="135" spans="2:3">
      <c r="B135" s="9">
        <f t="shared" si="3"/>
        <v>1950</v>
      </c>
      <c r="C135" s="38" t="s">
        <v>477</v>
      </c>
    </row>
    <row r="136" spans="2:3">
      <c r="B136" s="9">
        <f t="shared" si="3"/>
        <v>1949</v>
      </c>
      <c r="C136" s="38" t="s">
        <v>478</v>
      </c>
    </row>
    <row r="137" spans="2:3">
      <c r="B137" s="9">
        <f t="shared" si="3"/>
        <v>1948</v>
      </c>
      <c r="C137" s="38" t="s">
        <v>479</v>
      </c>
    </row>
    <row r="138" spans="2:3">
      <c r="B138" s="9">
        <f t="shared" si="3"/>
        <v>1947</v>
      </c>
      <c r="C138" s="38" t="s">
        <v>480</v>
      </c>
    </row>
    <row r="139" spans="2:3">
      <c r="B139" s="9">
        <f t="shared" si="3"/>
        <v>1946</v>
      </c>
      <c r="C139" s="38" t="s">
        <v>481</v>
      </c>
    </row>
    <row r="140" spans="2:3">
      <c r="B140" s="9">
        <f t="shared" si="3"/>
        <v>1945</v>
      </c>
      <c r="C140" s="38" t="s">
        <v>482</v>
      </c>
    </row>
    <row r="141" spans="2:3">
      <c r="B141" s="9">
        <f t="shared" si="3"/>
        <v>1944</v>
      </c>
      <c r="C141" s="38" t="s">
        <v>483</v>
      </c>
    </row>
    <row r="142" spans="2:3">
      <c r="B142" s="9">
        <f t="shared" si="3"/>
        <v>1943</v>
      </c>
      <c r="C142" s="38" t="s">
        <v>484</v>
      </c>
    </row>
    <row r="143" spans="2:3">
      <c r="B143" s="9">
        <f t="shared" si="3"/>
        <v>1942</v>
      </c>
      <c r="C143" s="38" t="s">
        <v>485</v>
      </c>
    </row>
    <row r="144" spans="2:3">
      <c r="B144" s="9">
        <f t="shared" si="3"/>
        <v>1941</v>
      </c>
      <c r="C144" s="38" t="s">
        <v>486</v>
      </c>
    </row>
    <row r="145" spans="2:3">
      <c r="B145" s="9">
        <f t="shared" si="3"/>
        <v>1940</v>
      </c>
      <c r="C145" s="38" t="s">
        <v>487</v>
      </c>
    </row>
    <row r="146" spans="2:3">
      <c r="B146" s="9">
        <f t="shared" si="3"/>
        <v>1939</v>
      </c>
      <c r="C146" s="38" t="s">
        <v>488</v>
      </c>
    </row>
    <row r="147" spans="2:3">
      <c r="B147" s="9">
        <f t="shared" si="3"/>
        <v>1938</v>
      </c>
      <c r="C147" s="38" t="s">
        <v>489</v>
      </c>
    </row>
    <row r="148" spans="2:3">
      <c r="B148" s="9">
        <f t="shared" si="3"/>
        <v>1937</v>
      </c>
      <c r="C148" s="38" t="s">
        <v>490</v>
      </c>
    </row>
    <row r="149" spans="2:3">
      <c r="B149" s="9">
        <f t="shared" si="3"/>
        <v>1936</v>
      </c>
      <c r="C149" s="38" t="s">
        <v>491</v>
      </c>
    </row>
    <row r="150" spans="2:3">
      <c r="B150" s="9">
        <f t="shared" si="3"/>
        <v>1935</v>
      </c>
      <c r="C150" s="38" t="s">
        <v>492</v>
      </c>
    </row>
    <row r="151" spans="2:3">
      <c r="B151" s="9">
        <f t="shared" si="3"/>
        <v>1934</v>
      </c>
      <c r="C151" s="38" t="s">
        <v>493</v>
      </c>
    </row>
    <row r="152" spans="2:3">
      <c r="B152" s="9">
        <f t="shared" si="3"/>
        <v>1933</v>
      </c>
      <c r="C152" s="38" t="s">
        <v>494</v>
      </c>
    </row>
    <row r="153" spans="2:3">
      <c r="B153" s="9">
        <f t="shared" si="3"/>
        <v>1932</v>
      </c>
      <c r="C153" s="38" t="s">
        <v>495</v>
      </c>
    </row>
    <row r="154" spans="2:3">
      <c r="B154" s="9">
        <f t="shared" si="3"/>
        <v>1931</v>
      </c>
      <c r="C154" s="38" t="s">
        <v>496</v>
      </c>
    </row>
    <row r="155" spans="2:3">
      <c r="B155" s="9">
        <f t="shared" si="3"/>
        <v>1930</v>
      </c>
      <c r="C155" s="38" t="s">
        <v>497</v>
      </c>
    </row>
    <row r="156" spans="2:3">
      <c r="B156" s="9">
        <f t="shared" ref="B156:B166" si="4">B155-1</f>
        <v>1929</v>
      </c>
      <c r="C156" s="38" t="s">
        <v>498</v>
      </c>
    </row>
    <row r="157" spans="2:3">
      <c r="B157" s="9">
        <f t="shared" si="4"/>
        <v>1928</v>
      </c>
      <c r="C157" s="38" t="s">
        <v>499</v>
      </c>
    </row>
    <row r="158" spans="2:3">
      <c r="B158" s="9">
        <f t="shared" si="4"/>
        <v>1927</v>
      </c>
      <c r="C158" s="38" t="s">
        <v>500</v>
      </c>
    </row>
    <row r="159" spans="2:3">
      <c r="B159" s="9">
        <f t="shared" si="4"/>
        <v>1926</v>
      </c>
      <c r="C159" s="38" t="s">
        <v>501</v>
      </c>
    </row>
    <row r="160" spans="2:3">
      <c r="B160" s="9">
        <f t="shared" si="4"/>
        <v>1925</v>
      </c>
      <c r="C160" s="38" t="s">
        <v>502</v>
      </c>
    </row>
    <row r="161" spans="2:3">
      <c r="B161" s="9">
        <f t="shared" si="4"/>
        <v>1924</v>
      </c>
      <c r="C161" s="38" t="s">
        <v>503</v>
      </c>
    </row>
    <row r="162" spans="2:3">
      <c r="B162" s="9">
        <f t="shared" si="4"/>
        <v>1923</v>
      </c>
      <c r="C162" s="38" t="s">
        <v>504</v>
      </c>
    </row>
    <row r="163" spans="2:3">
      <c r="B163" s="9">
        <f t="shared" si="4"/>
        <v>1922</v>
      </c>
      <c r="C163" s="38" t="s">
        <v>505</v>
      </c>
    </row>
    <row r="164" spans="2:3">
      <c r="B164" s="9">
        <f t="shared" si="4"/>
        <v>1921</v>
      </c>
      <c r="C164" s="38" t="s">
        <v>506</v>
      </c>
    </row>
    <row r="165" spans="2:3">
      <c r="B165" s="9">
        <f t="shared" si="4"/>
        <v>1920</v>
      </c>
      <c r="C165" s="38" t="s">
        <v>507</v>
      </c>
    </row>
    <row r="166" spans="2:3">
      <c r="B166" s="9">
        <f t="shared" si="4"/>
        <v>1919</v>
      </c>
      <c r="C166" s="38" t="s">
        <v>508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509</v>
      </c>
      <c r="K1" s="44" t="s">
        <v>510</v>
      </c>
    </row>
    <row r="2" spans="4:12">
      <c r="H2" s="17" t="s">
        <v>329</v>
      </c>
      <c r="I2" s="17" t="s">
        <v>185</v>
      </c>
      <c r="K2" s="17" t="s">
        <v>329</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283</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511</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512</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513</v>
      </c>
      <c r="AK1" s="5" t="s">
        <v>514</v>
      </c>
      <c r="AL1" s="2" t="s">
        <v>515</v>
      </c>
      <c r="AM1" s="2" t="s">
        <v>516</v>
      </c>
      <c r="AN1" s="2" t="s">
        <v>517</v>
      </c>
      <c r="AO1" s="2" t="s">
        <v>518</v>
      </c>
      <c r="AP1" s="2" t="s">
        <v>519</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2017(平成29)</v>
      </c>
      <c r="H2" s="6">
        <f>Z打鍵!$H2</f>
        <v>12</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0</v>
      </c>
      <c r="AN2" s="44">
        <f>COUNTIFS(Z打鍵!$BU:$BU,"&gt;"&amp;0)+COUNTIFS(Z打鍵!$BV:$BV,"&gt;"&amp;0)</f>
        <v>0</v>
      </c>
      <c r="AP2" s="44">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2022-11-01T09:00:56Z</dcterms:modified>
</cp:coreProperties>
</file>