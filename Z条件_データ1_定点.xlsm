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fic\Documents\ファイル元帳\"/>
    </mc:Choice>
  </mc:AlternateContent>
  <bookViews>
    <workbookView xWindow="0" yWindow="0" windowWidth="20490" windowHeight="8475" tabRatio="874"/>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186" i="8" l="1"/>
  <c r="Z185" i="8"/>
  <c r="AE164" i="8" l="1"/>
  <c r="AE165" i="8" s="1"/>
  <c r="AU188" i="8"/>
  <c r="AT188" i="8"/>
  <c r="AS188" i="8"/>
  <c r="AR188" i="8"/>
  <c r="AQ188" i="8"/>
  <c r="AP188" i="8"/>
  <c r="AO188" i="8"/>
  <c r="AN188" i="8"/>
  <c r="AM188" i="8"/>
  <c r="AL188" i="8"/>
  <c r="AK188" i="8"/>
  <c r="AJ188" i="8"/>
  <c r="AI188" i="8"/>
  <c r="AH188" i="8"/>
  <c r="AG188" i="8"/>
  <c r="AF188" i="8"/>
  <c r="AJ97" i="8"/>
  <c r="AI97" i="8"/>
  <c r="AH97" i="8"/>
  <c r="AG97" i="8"/>
  <c r="AF97" i="8"/>
  <c r="AE97" i="8"/>
  <c r="AD97" i="8"/>
  <c r="AC97" i="8"/>
  <c r="AB97" i="8"/>
  <c r="AA97" i="8"/>
  <c r="Z97" i="8"/>
  <c r="Y97" i="8"/>
  <c r="X97" i="8"/>
  <c r="W97" i="8"/>
  <c r="V97" i="8"/>
  <c r="U97" i="8"/>
  <c r="AJ81" i="8"/>
  <c r="AI81" i="8"/>
  <c r="AH81" i="8"/>
  <c r="AG81" i="8"/>
  <c r="AF81" i="8"/>
  <c r="AE81" i="8"/>
  <c r="AD81" i="8"/>
  <c r="AC81" i="8"/>
  <c r="AB81" i="8"/>
  <c r="AA81" i="8"/>
  <c r="Z81" i="8"/>
  <c r="Y81" i="8"/>
  <c r="X81" i="8"/>
  <c r="W81" i="8"/>
  <c r="V81" i="8"/>
  <c r="U81" i="8"/>
  <c r="AE166" i="8" l="1"/>
  <c r="AE172" i="8"/>
  <c r="AE179" i="8" s="1"/>
  <c r="AE193" i="8" s="1"/>
  <c r="AE171" i="8"/>
  <c r="AE178" i="8" s="1"/>
  <c r="AE192" i="8" s="1"/>
  <c r="G2" i="6"/>
  <c r="B60" i="2"/>
  <c r="B61" i="2" s="1"/>
  <c r="B62" i="2" s="1"/>
  <c r="B63" i="2" s="1"/>
  <c r="B64" i="2" s="1"/>
  <c r="B65" i="2" s="1"/>
  <c r="B66" i="2" s="1"/>
  <c r="B67" i="2" s="1"/>
  <c r="X29" i="8"/>
  <c r="X28" i="8"/>
  <c r="AE167" i="8" l="1"/>
  <c r="AE173" i="8"/>
  <c r="AE180" i="8" s="1"/>
  <c r="AE194" i="8" s="1"/>
  <c r="AE174" i="8" l="1"/>
  <c r="AE181" i="8" s="1"/>
  <c r="AE195" i="8" s="1"/>
  <c r="AE168" i="8"/>
  <c r="AE175" i="8" s="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63" i="3" l="1"/>
  <c r="K53" i="3"/>
  <c r="K54" i="3" s="1"/>
  <c r="K55" i="3" s="1"/>
  <c r="K56" i="3" s="1"/>
  <c r="K57" i="3" s="1"/>
  <c r="K58" i="3" s="1"/>
  <c r="K59" i="3" s="1"/>
  <c r="K60" i="3" s="1"/>
  <c r="K61" i="3" s="1"/>
  <c r="K62" i="3" s="1"/>
  <c r="K11" i="3"/>
  <c r="K10" i="3" s="1"/>
  <c r="K9" i="3" s="1"/>
  <c r="K8" i="3" s="1"/>
  <c r="K7" i="3" s="1"/>
  <c r="K6" i="3" s="1"/>
  <c r="K5" i="3" s="1"/>
  <c r="K4" i="3" s="1"/>
  <c r="K3" i="3" s="1"/>
  <c r="K12" i="3"/>
  <c r="AJ100" i="8" l="1"/>
  <c r="AJ101" i="8" s="1"/>
  <c r="AI100" i="8"/>
  <c r="AI101" i="8" s="1"/>
  <c r="AH100" i="8"/>
  <c r="AH101" i="8" s="1"/>
  <c r="AG100" i="8"/>
  <c r="AG101" i="8" s="1"/>
  <c r="AF100" i="8"/>
  <c r="AF101" i="8" s="1"/>
  <c r="AE100" i="8"/>
  <c r="AE101" i="8" s="1"/>
  <c r="AD100" i="8"/>
  <c r="AD101" i="8" s="1"/>
  <c r="AC100" i="8"/>
  <c r="AC101" i="8" s="1"/>
  <c r="AB100" i="8"/>
  <c r="AB101" i="8" s="1"/>
  <c r="AA100" i="8"/>
  <c r="AA101" i="8" s="1"/>
  <c r="Z100" i="8"/>
  <c r="Z101" i="8" s="1"/>
  <c r="Y100" i="8"/>
  <c r="Y101" i="8" s="1"/>
  <c r="X100" i="8"/>
  <c r="X101" i="8" s="1"/>
  <c r="W100" i="8"/>
  <c r="W101" i="8" s="1"/>
  <c r="V100" i="8"/>
  <c r="V101" i="8" s="1"/>
  <c r="U100" i="8"/>
  <c r="U101" i="8" s="1"/>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X31" i="8"/>
  <c r="X32" i="8" s="1"/>
  <c r="W31" i="8"/>
  <c r="W32" i="8" s="1"/>
  <c r="V31" i="8"/>
  <c r="V32" i="8" s="1"/>
  <c r="U31" i="8"/>
  <c r="U3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AK1" i="1"/>
  <c r="AJ1" i="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AL1" i="1"/>
  <c r="AM1" i="1"/>
  <c r="I10" i="3" l="1"/>
  <c r="Q2" i="6"/>
  <c r="AN1" i="1"/>
  <c r="I11" i="3" l="1"/>
  <c r="AO1" i="1"/>
  <c r="I12" i="3" l="1"/>
  <c r="AP1" i="1"/>
  <c r="I13" i="3" l="1"/>
  <c r="AQ1" i="1"/>
  <c r="I14" i="3" l="1"/>
  <c r="AR1" i="1"/>
  <c r="K2" i="6" l="1"/>
  <c r="I15" i="3"/>
  <c r="AT1" i="1"/>
  <c r="I16" i="3" l="1"/>
  <c r="AU1" i="1"/>
  <c r="I17" i="3" l="1"/>
  <c r="AV1" i="1"/>
  <c r="I18" i="3" l="1"/>
  <c r="AW1" i="1"/>
  <c r="I19" i="3" l="1"/>
  <c r="AX1" i="1"/>
  <c r="I20" i="3" l="1"/>
  <c r="AY1" i="1"/>
  <c r="I21" i="3" l="1"/>
  <c r="AZ1" i="1"/>
  <c r="I22" i="3" l="1"/>
  <c r="BA1" i="1"/>
  <c r="I23" i="3" l="1"/>
  <c r="BB1" i="1"/>
  <c r="I24" i="3" l="1"/>
  <c r="BC1" i="1"/>
  <c r="I25" i="3" l="1"/>
  <c r="BD1" i="1"/>
  <c r="I26" i="3" l="1"/>
  <c r="BE1" i="1"/>
  <c r="I27" i="3" l="1"/>
  <c r="BF1" i="1"/>
  <c r="I28" i="3" l="1"/>
  <c r="BH1" i="1"/>
  <c r="I29" i="3" l="1"/>
  <c r="BI1" i="1"/>
  <c r="I30" i="3" l="1"/>
  <c r="BJ1" i="1"/>
  <c r="I31" i="3" l="1"/>
  <c r="BK1" i="1"/>
  <c r="I32" i="3" l="1"/>
  <c r="BL1" i="1"/>
  <c r="I33" i="3" l="1"/>
  <c r="BM1" i="1"/>
  <c r="I34" i="3" l="1"/>
  <c r="BN1" i="1"/>
  <c r="I35" i="3" l="1"/>
  <c r="BO1" i="1"/>
  <c r="I36" i="3" l="1"/>
  <c r="BP1" i="1"/>
  <c r="I37" i="3" l="1"/>
  <c r="BQ1" i="1"/>
  <c r="I38" i="3" l="1"/>
  <c r="BR1" i="1"/>
  <c r="I39" i="3" l="1"/>
  <c r="I40" i="3" l="1"/>
  <c r="I41" i="3" l="1"/>
  <c r="I42" i="3" l="1"/>
</calcChain>
</file>

<file path=xl/sharedStrings.xml><?xml version="1.0" encoding="utf-8"?>
<sst xmlns="http://schemas.openxmlformats.org/spreadsheetml/2006/main" count="17364" uniqueCount="535">
  <si>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</si>
  <si>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</si>
  <si>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</si>
  <si>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</si>
  <si>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</si>
  <si>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</si>
  <si>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</si>
  <si>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</si>
  <si>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</si>
  <si>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</si>
  <si>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</si>
  <si>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</si>
  <si>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</si>
  <si>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</si>
  <si>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</si>
  <si>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</si>
  <si>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</si>
  <si>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</si>
  <si>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</si>
  <si>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</si>
  <si>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</si>
  <si>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</si>
  <si>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</si>
  <si>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</si>
  <si>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</si>
  <si>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</si>
  <si>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</si>
  <si>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</si>
  <si>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</si>
  <si>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</si>
  <si>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</si>
  <si>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</si>
  <si>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</si>
  <si>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</si>
  <si>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</si>
  <si>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</si>
  <si>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</si>
  <si>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</si>
  <si>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</si>
  <si>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</si>
  <si>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</si>
  <si>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</si>
  <si>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</si>
  <si>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</si>
  <si>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</si>
  <si>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</si>
  <si>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</si>
  <si>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</si>
  <si>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</si>
  <si>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</si>
  <si>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</si>
  <si>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</si>
  <si>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</si>
  <si>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</si>
  <si>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</si>
  <si>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</si>
  <si>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</si>
  <si>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</si>
  <si>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</si>
  <si>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</si>
  <si>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</si>
  <si>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連結2</t>
    <rPh sb="0" eb="2">
      <t>レンケツ</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</si>
  <si>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</si>
  <si>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</si>
  <si>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</si>
  <si>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</si>
  <si>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</si>
  <si>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</si>
  <si>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</si>
  <si>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</si>
  <si>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</si>
  <si>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</si>
  <si>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</si>
  <si>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</si>
  <si>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</si>
  <si>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</si>
  <si>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車有P</t>
    <rPh sb="0" eb="1">
      <t>シャ</t>
    </rPh>
    <rPh sb="1" eb="2">
      <t>アリ</t>
    </rPh>
    <phoneticPr fontId="1"/>
  </si>
  <si>
    <t>車無P</t>
    <rPh sb="0" eb="1">
      <t>シャ</t>
    </rPh>
    <rPh sb="1" eb="2">
      <t>ナ</t>
    </rPh>
    <phoneticPr fontId="1"/>
  </si>
  <si>
    <t>純新規フラグ2</t>
    <rPh sb="0" eb="1">
      <t>ジュン</t>
    </rPh>
    <rPh sb="1" eb="3">
      <t>シンキ</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</si>
  <si>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</si>
  <si>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</si>
  <si>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</si>
  <si>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</si>
  <si>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</si>
  <si>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</si>
  <si>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</si>
  <si>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</si>
  <si>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</si>
  <si>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</si>
  <si>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</si>
  <si>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</si>
  <si>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</si>
  <si>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</si>
  <si>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</si>
  <si>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</si>
  <si>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</si>
  <si>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</si>
  <si>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</si>
  <si>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</si>
  <si>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</si>
  <si>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</si>
  <si>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</si>
  <si>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</si>
  <si>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</si>
  <si>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</si>
  <si>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</si>
  <si>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</si>
  <si>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</si>
  <si>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</si>
  <si>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</si>
  <si>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</si>
  <si>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</si>
  <si>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</si>
  <si>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</si>
  <si>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</si>
  <si>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</si>
  <si>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</si>
  <si>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</si>
  <si>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</si>
  <si>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</si>
  <si>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</si>
  <si>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</si>
  <si>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</si>
  <si>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</si>
  <si>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</si>
  <si>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</si>
  <si>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</si>
  <si>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</si>
  <si>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</si>
  <si>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</si>
  <si>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</si>
  <si>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</si>
  <si>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</si>
  <si>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</si>
  <si>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</si>
  <si>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</si>
  <si>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</si>
  <si>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</si>
  <si>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</si>
  <si>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</si>
  <si>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</si>
  <si>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</si>
  <si>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</si>
  <si>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</si>
  <si>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</si>
  <si>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</si>
  <si>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</si>
  <si>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</si>
  <si>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</si>
  <si>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</si>
  <si>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</si>
  <si>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</si>
  <si>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</si>
  <si>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</si>
  <si>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</si>
  <si>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</si>
  <si>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</si>
  <si>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</si>
  <si>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</si>
  <si>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</si>
  <si>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</si>
  <si>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</si>
  <si>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</si>
  <si>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</si>
  <si>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</si>
  <si>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</si>
  <si>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</si>
  <si>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</si>
  <si>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</si>
  <si>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</si>
  <si>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</si>
  <si>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</si>
  <si>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</si>
  <si>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</si>
  <si>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</si>
  <si>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</si>
  <si>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</si>
  <si>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</si>
  <si>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</si>
  <si>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</si>
  <si>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</si>
  <si>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</si>
  <si>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</si>
  <si>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</si>
  <si>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</si>
  <si>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</si>
  <si>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</si>
  <si>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</si>
  <si>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</si>
  <si>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</si>
  <si>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</si>
  <si>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</si>
  <si>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</si>
  <si>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</si>
  <si>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</si>
  <si>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</si>
  <si>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</si>
  <si>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</si>
  <si>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</si>
  <si>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</si>
  <si>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</si>
  <si>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</si>
  <si>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</si>
  <si>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</si>
  <si>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</si>
  <si>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</si>
  <si>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</si>
  <si>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</si>
  <si>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</si>
  <si>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</si>
  <si>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</si>
  <si>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</si>
  <si>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</si>
  <si>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地域</t>
    <rPh sb="0" eb="2">
      <t>チイキ</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</si>
  <si>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</si>
  <si>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</si>
  <si>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</si>
  <si>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</si>
  <si>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</si>
  <si>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</si>
  <si>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</si>
  <si>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ゴールド</t>
  </si>
  <si>
    <t>使用目的</t>
    <rPh sb="0" eb="2">
      <t>シヨウ</t>
    </rPh>
    <rPh sb="2" eb="4">
      <t>モクテキ</t>
    </rPh>
    <phoneticPr fontId="1"/>
  </si>
  <si>
    <t>走行距離</t>
    <rPh sb="0" eb="2">
      <t>ソウコウ</t>
    </rPh>
    <rPh sb="2" eb="4">
      <t>キョリ</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</si>
  <si>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</si>
  <si>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</si>
  <si>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</si>
  <si>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</si>
  <si>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対物AMT</t>
    <rPh sb="0" eb="2">
      <t>タイブツ</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</si>
  <si>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</si>
  <si>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</si>
  <si>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</si>
  <si>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</si>
  <si>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</si>
  <si>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</si>
  <si>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</si>
  <si>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</si>
  <si>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</si>
  <si>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</si>
  <si>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</si>
  <si>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</si>
  <si>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</si>
  <si>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</si>
  <si>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</si>
  <si>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</si>
  <si>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</si>
  <si>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</si>
  <si>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</si>
  <si>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車両保険種類</t>
    <rPh sb="0" eb="2">
      <t>シャリョウ</t>
    </rPh>
    <rPh sb="2" eb="4">
      <t>ホケン</t>
    </rPh>
    <rPh sb="4" eb="6">
      <t>シュルイ</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</si>
  <si>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</si>
  <si>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</si>
  <si>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</si>
  <si>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</si>
  <si>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</si>
  <si>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</si>
  <si>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</si>
  <si>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</si>
  <si>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車両免責</t>
    <rPh sb="0" eb="2">
      <t>シャリョウ</t>
    </rPh>
    <rPh sb="2" eb="4">
      <t>メンセキ</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</si>
  <si>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</si>
  <si>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</si>
  <si>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</si>
  <si>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</si>
  <si>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</si>
  <si>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</si>
  <si>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</si>
  <si>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</si>
  <si>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</si>
  <si>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</si>
  <si>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</si>
  <si>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</si>
  <si>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</si>
  <si>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</si>
  <si>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</si>
  <si>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</si>
  <si>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</si>
  <si>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</si>
  <si>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</si>
  <si>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</si>
  <si>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</si>
  <si>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</si>
  <si>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</si>
  <si>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</si>
  <si>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</si>
  <si>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</si>
  <si>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</si>
  <si>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</si>
  <si>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</si>
  <si>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</si>
  <si>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</si>
  <si>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t>
    <rPh sb="0" eb="2">
      <t>ジンショウ</t>
    </rPh>
    <phoneticPr fontId="1"/>
  </si>
  <si>
    <t>人傷AMT2</t>
    <rPh sb="0" eb="2">
      <t>ジンショウ</t>
    </rPh>
    <phoneticPr fontId="1"/>
  </si>
  <si>
    <t>人傷AMT3</t>
    <rPh sb="0" eb="2">
      <t>ジンショウ</t>
    </rPh>
    <phoneticPr fontId="1"/>
  </si>
  <si>
    <t>早割</t>
    <rPh sb="0" eb="2">
      <t>ハヤワリ</t>
    </rPh>
    <phoneticPr fontId="1"/>
  </si>
  <si>
    <t>イ割車有</t>
    <rPh sb="1" eb="2">
      <t>ワ</t>
    </rPh>
    <rPh sb="2" eb="3">
      <t>シャ</t>
    </rPh>
    <rPh sb="3" eb="4">
      <t>アリ</t>
    </rPh>
    <phoneticPr fontId="1"/>
  </si>
  <si>
    <t>イ割車無</t>
    <rPh sb="1" eb="2">
      <t>ワ</t>
    </rPh>
    <rPh sb="2" eb="3">
      <t>シャ</t>
    </rPh>
    <rPh sb="3" eb="4">
      <t>ナシ</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</si>
  <si>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</si>
  <si>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</si>
  <si>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</si>
  <si>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</si>
  <si>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</si>
  <si>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</si>
  <si>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</si>
  <si>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</si>
  <si>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</si>
  <si>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</si>
  <si>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</si>
  <si>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</si>
  <si>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</si>
  <si>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</si>
  <si>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</si>
  <si>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</si>
  <si>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</si>
  <si>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</si>
  <si>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</si>
  <si>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</si>
  <si>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</si>
  <si>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</si>
  <si>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</si>
  <si>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</si>
  <si>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</si>
  <si>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</si>
  <si>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</si>
  <si>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</si>
  <si>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</si>
  <si>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</si>
  <si>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</si>
  <si>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</si>
  <si>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</si>
  <si>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</si>
  <si>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</si>
  <si>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</si>
  <si>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</si>
  <si>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</si>
  <si>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</si>
  <si>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</si>
  <si>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</si>
  <si>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</si>
  <si>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</si>
  <si>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</si>
  <si>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</si>
  <si>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</si>
  <si>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</si>
  <si>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</si>
  <si>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</si>
  <si>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</si>
  <si>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</si>
  <si>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</si>
  <si>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</si>
  <si>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</si>
  <si>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</si>
  <si>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</si>
  <si>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</si>
  <si>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</si>
  <si>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</si>
  <si>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</si>
  <si>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ASV2</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</si>
  <si>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</si>
  <si>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</si>
  <si>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</si>
  <si>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</si>
  <si>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</si>
  <si>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</si>
  <si>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</si>
  <si>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</si>
  <si>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</si>
  <si>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</si>
  <si>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</si>
  <si>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</si>
  <si>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</si>
  <si>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</si>
  <si>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</si>
  <si>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B11W</t>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</si>
  <si>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</si>
  <si>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</si>
  <si>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</si>
  <si>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</si>
  <si>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</si>
  <si>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</si>
  <si>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</si>
  <si>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</si>
  <si>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</si>
  <si>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</si>
  <si>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</si>
  <si>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</si>
  <si>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</si>
  <si>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</si>
  <si>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</si>
  <si>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</si>
  <si>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</si>
  <si>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</si>
  <si>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</si>
  <si>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</si>
  <si>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</si>
  <si>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</si>
  <si>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</si>
  <si>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</si>
  <si>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</si>
  <si>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</si>
  <si>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</si>
  <si>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</si>
  <si>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</si>
  <si>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計算シート作成用(新車ASV用_新車)</t>
    <rPh sb="0" eb="2">
      <t>ケイサン</t>
    </rPh>
    <rPh sb="5" eb="7">
      <t>サクセイ</t>
    </rPh>
    <rPh sb="7" eb="8">
      <t>ヨウ</t>
    </rPh>
    <rPh sb="9" eb="11">
      <t>シンシャ</t>
    </rPh>
    <rPh sb="14" eb="15">
      <t>ヨウ</t>
    </rPh>
    <rPh sb="16" eb="18">
      <t>シンシャ</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</si>
  <si>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</si>
  <si>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</si>
  <si>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</si>
  <si>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</si>
  <si>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</si>
  <si>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</si>
  <si>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自小乗</t>
    <rPh sb="0" eb="1">
      <t>ジ</t>
    </rPh>
    <rPh sb="1" eb="3">
      <t>ショウジョウ</t>
    </rPh>
    <phoneticPr fontId="1"/>
  </si>
  <si>
    <t>自普乗</t>
    <rPh sb="0" eb="1">
      <t>ジ</t>
    </rPh>
    <rPh sb="1" eb="2">
      <t>フ</t>
    </rPh>
    <rPh sb="2" eb="3">
      <t>ジョウ</t>
    </rPh>
    <phoneticPr fontId="1"/>
  </si>
  <si>
    <t>自軽四乗</t>
    <rPh sb="0" eb="1">
      <t>ジ</t>
    </rPh>
    <rPh sb="1" eb="2">
      <t>ケイ</t>
    </rPh>
    <rPh sb="2" eb="3">
      <t>ヨン</t>
    </rPh>
    <rPh sb="3" eb="4">
      <t>ジョウ</t>
    </rPh>
    <phoneticPr fontId="1"/>
  </si>
  <si>
    <t>キューブ</t>
    <phoneticPr fontId="1"/>
  </si>
  <si>
    <t>アトレー</t>
    <phoneticPr fontId="1"/>
  </si>
  <si>
    <t>タウンボックス</t>
    <phoneticPr fontId="1"/>
  </si>
  <si>
    <t>ヤリスクロス</t>
    <phoneticPr fontId="1"/>
  </si>
  <si>
    <t>GSR50W</t>
    <phoneticPr fontId="1"/>
  </si>
  <si>
    <t>MH34S</t>
    <phoneticPr fontId="1"/>
  </si>
  <si>
    <t>年齢を問わず補償</t>
    <rPh sb="0" eb="2">
      <t>ネンレイ</t>
    </rPh>
    <rPh sb="3" eb="4">
      <t>ト</t>
    </rPh>
    <rPh sb="6" eb="8">
      <t>ホショウ</t>
    </rPh>
    <phoneticPr fontId="1"/>
  </si>
  <si>
    <t>全年齢補償</t>
    <rPh sb="0" eb="3">
      <t>ゼンネンレイ</t>
    </rPh>
    <rPh sb="3" eb="5">
      <t>ホショウ</t>
    </rPh>
    <phoneticPr fontId="1"/>
  </si>
  <si>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</si>
  <si>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</si>
  <si>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</si>
  <si>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</si>
  <si>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</si>
  <si>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</si>
  <si>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</si>
  <si>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Z12</t>
    <phoneticPr fontId="1"/>
  </si>
  <si>
    <t>軽四</t>
    <rPh sb="0" eb="2">
      <t>ケイヨン</t>
    </rPh>
    <phoneticPr fontId="1"/>
  </si>
  <si>
    <t>JW5</t>
    <phoneticPr fontId="1"/>
  </si>
  <si>
    <t>JG1</t>
    <phoneticPr fontId="1"/>
  </si>
  <si>
    <t>L285S</t>
    <phoneticPr fontId="1"/>
  </si>
  <si>
    <t>本人と配偶者</t>
  </si>
  <si>
    <t>東京</t>
  </si>
  <si>
    <t>3,000万円</t>
  </si>
  <si>
    <t>エスティマ</t>
    <phoneticPr fontId="1"/>
  </si>
  <si>
    <t>30歳以上補償</t>
  </si>
  <si>
    <t>純新規以外</t>
  </si>
  <si>
    <t>1,000万円</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</si>
  <si>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</si>
  <si>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</si>
  <si>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</si>
  <si>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</si>
  <si>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</si>
  <si>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</si>
  <si>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</si>
  <si>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</si>
  <si>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</si>
  <si>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BM2AP</t>
    <phoneticPr fontId="1"/>
  </si>
  <si>
    <t>CWEAWN</t>
    <phoneticPr fontId="1"/>
  </si>
  <si>
    <t>LA700S</t>
    <phoneticPr fontId="1"/>
  </si>
  <si>
    <t>LA300S</t>
    <phoneticPr fontId="1"/>
  </si>
  <si>
    <t>DS17W</t>
    <phoneticPr fontId="1"/>
  </si>
  <si>
    <t>アクセラ</t>
    <phoneticPr fontId="1"/>
  </si>
  <si>
    <t>ラフェスタ</t>
    <phoneticPr fontId="1"/>
  </si>
  <si>
    <t>デミオ</t>
    <phoneticPr fontId="1"/>
  </si>
  <si>
    <t>ワゴンR</t>
    <phoneticPr fontId="1"/>
  </si>
  <si>
    <t>ウェイク</t>
    <phoneticPr fontId="1"/>
  </si>
  <si>
    <t>ミラ</t>
    <phoneticPr fontId="1"/>
  </si>
  <si>
    <t>MXPJ10</t>
    <phoneticPr fontId="1"/>
  </si>
  <si>
    <t>AXUH80</t>
    <phoneticPr fontId="1"/>
  </si>
  <si>
    <t>ZSG10</t>
    <phoneticPr fontId="1"/>
  </si>
  <si>
    <t>MXPB15</t>
    <phoneticPr fontId="1"/>
  </si>
  <si>
    <t>GL3W</t>
    <phoneticPr fontId="1"/>
  </si>
  <si>
    <t>ZWE213H</t>
    <phoneticPr fontId="1"/>
  </si>
  <si>
    <t>MX81S</t>
    <phoneticPr fontId="1"/>
  </si>
  <si>
    <t>JH3</t>
    <phoneticPr fontId="1"/>
  </si>
  <si>
    <t>LA650S</t>
    <phoneticPr fontId="1"/>
  </si>
  <si>
    <t>MH95S</t>
    <phoneticPr fontId="1"/>
  </si>
  <si>
    <t>MJ95S</t>
    <phoneticPr fontId="1"/>
  </si>
  <si>
    <t>ハリアー</t>
    <phoneticPr fontId="1"/>
  </si>
  <si>
    <t>カローラクロス</t>
    <phoneticPr fontId="1"/>
  </si>
  <si>
    <t>エクリプスクロス</t>
    <phoneticPr fontId="1"/>
  </si>
  <si>
    <t>カローラスポーツ</t>
    <phoneticPr fontId="1"/>
  </si>
  <si>
    <t>ワゴンRスマイル</t>
    <phoneticPr fontId="1"/>
  </si>
  <si>
    <t>N-WGN</t>
    <phoneticPr fontId="1"/>
  </si>
  <si>
    <t>タント</t>
    <phoneticPr fontId="1"/>
  </si>
  <si>
    <t>フレア</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</si>
  <si>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</si>
  <si>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</si>
  <si>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</si>
  <si>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</si>
  <si>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</si>
  <si>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</si>
  <si>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</si>
  <si>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</si>
  <si>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</si>
  <si>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</si>
  <si>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</si>
  <si>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</si>
  <si>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</si>
  <si>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</si>
  <si>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</si>
  <si>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</si>
  <si>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</si>
  <si>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</si>
  <si>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</si>
  <si>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</si>
  <si>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</si>
  <si>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</si>
  <si>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</si>
  <si>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</si>
  <si>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</si>
  <si>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</si>
  <si>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</si>
  <si>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</si>
  <si>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</si>
  <si>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</si>
  <si>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</si>
  <si>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</si>
  <si>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</si>
  <si>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</si>
  <si>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</si>
  <si>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</si>
  <si>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</si>
  <si>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</si>
  <si>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</si>
  <si>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</si>
  <si>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</si>
  <si>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</si>
  <si>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2022(令和04)</t>
  </si>
  <si>
    <t>110万円</t>
  </si>
  <si>
    <t>純新規</t>
  </si>
  <si>
    <t>50万円</t>
  </si>
  <si>
    <t>計算シート基準</t>
  </si>
  <si>
    <t>DJ5FS</t>
  </si>
  <si>
    <t>免責金額なし</t>
  </si>
  <si>
    <t>B11W</t>
  </si>
  <si>
    <t>KG2P</t>
  </si>
  <si>
    <t>ZVW40W</t>
  </si>
  <si>
    <t>35歳以上補償</t>
  </si>
  <si>
    <t>車内外</t>
  </si>
  <si>
    <t>5,000万円</t>
  </si>
  <si>
    <t>80万円</t>
  </si>
  <si>
    <t>470万円</t>
  </si>
  <si>
    <t>180万円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</si>
</sst>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sz val="16"/>
      <color rgb="FF000000"/>
      <name val="ＭＳ Ｐゴシック"/>
      <family val="3"/>
      <charset val="128"/>
    </font>
    <font>
      <sz val="11"/>
      <color rgb="FF000000"/>
      <name val="ＭＳ Ｐゴシック"/>
      <family val="3"/>
      <charset val="128"/>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20"/>
      <color rgb="FF000000"/>
      <name val="ＭＳ Ｐゴシック"/>
      <family val="3"/>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68">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38" fontId="0" fillId="0" borderId="0" xfId="0" applyNumberForma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0" fillId="0" borderId="1" xfId="0" applyFill="1"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7" fillId="10" borderId="3"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0" xfId="0" applyFont="1" applyFill="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0" fillId="14" borderId="1" xfId="0" applyFill="1" applyBorder="1" applyAlignment="1">
      <alignment horizontal="center" vertical="center"/>
    </xf>
    <xf numFmtId="0" fontId="6" fillId="12" borderId="3" xfId="0" applyFont="1" applyFill="1" applyBorder="1" applyAlignment="1">
      <alignment horizontal="center" vertical="center"/>
    </xf>
    <xf numFmtId="0" fontId="6" fillId="12" borderId="4" xfId="0" applyFont="1" applyFill="1" applyBorder="1" applyAlignment="1">
      <alignment horizontal="center" vertical="center"/>
    </xf>
    <xf numFmtId="0" fontId="6" fillId="12" borderId="5"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0" xfId="0" applyFont="1" applyFill="1" applyBorder="1" applyAlignment="1">
      <alignment horizontal="center" vertical="center"/>
    </xf>
    <xf numFmtId="0" fontId="6" fillId="12" borderId="7" xfId="0" applyFont="1" applyFill="1" applyBorder="1" applyAlignment="1">
      <alignment horizontal="center" vertical="center"/>
    </xf>
    <xf numFmtId="0" fontId="6" fillId="12" borderId="8"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0" xfId="0" applyFont="1" applyFill="1" applyBorder="1" applyAlignment="1">
      <alignment horizontal="center" vertical="center"/>
    </xf>
    <xf numFmtId="0" fontId="7"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142875</xdr:rowOff>
        </xdr:from>
        <xdr:to>
          <xdr:col>7</xdr:col>
          <xdr:colOff>9525</xdr:colOff>
          <xdr:row>55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247650</xdr:colOff>
          <xdr:row>29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104</xdr:row>
          <xdr:rowOff>9525</xdr:rowOff>
        </xdr:from>
        <xdr:to>
          <xdr:col>23</xdr:col>
          <xdr:colOff>847725</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tabSelected="1" topLeftCell="A10" zoomScaleNormal="100" workbookViewId="0">
      <selection activeCell="F53" sqref="F53"/>
    </sheetView>
  </sheetViews>
  <sheetFormatPr defaultRowHeight="13.5" x14ac:dyDescent="0.15"/>
  <cols>
    <col min="1" max="3" width="3.125" style="6" customWidth="1"/>
    <col min="4" max="4" width="3.125" style="21" customWidth="1"/>
    <col min="16" max="16" width="2.75" customWidth="1"/>
    <col min="17" max="17" width="2.75" style="22" customWidth="1"/>
    <col min="18" max="19" width="3.25" customWidth="1"/>
    <col min="20" max="20" width="12.625" customWidth="1"/>
    <col min="21" max="21" width="16.25" bestFit="1" customWidth="1"/>
    <col min="22" max="22" width="13.375" bestFit="1" customWidth="1"/>
    <col min="23" max="23" width="13.5" customWidth="1"/>
    <col min="24" max="30" width="13.375" bestFit="1" customWidth="1"/>
    <col min="31" max="47" width="14.125" customWidth="1"/>
  </cols>
  <sheetData>
    <row r="1" spans="2:22" ht="14.25" thickBot="1" x14ac:dyDescent="0.2"/>
    <row r="2" spans="2:22" ht="13.5" customHeight="1" thickBot="1" x14ac:dyDescent="0.2">
      <c r="B2" s="57" t="s">
        <v>339</v>
      </c>
      <c r="C2" s="58"/>
      <c r="D2" s="58"/>
      <c r="E2" s="58"/>
      <c r="F2" s="58"/>
      <c r="G2" s="58"/>
      <c r="H2" s="59"/>
    </row>
    <row r="3" spans="2:22" ht="13.5" customHeight="1" x14ac:dyDescent="0.15">
      <c r="B3" s="60"/>
      <c r="C3" s="61"/>
      <c r="D3" s="61"/>
      <c r="E3" s="61"/>
      <c r="F3" s="61"/>
      <c r="G3" s="61"/>
      <c r="H3" s="62"/>
      <c r="S3" s="47" t="s">
        <v>300</v>
      </c>
      <c r="T3" s="48"/>
      <c r="U3" s="48"/>
      <c r="V3" s="49"/>
    </row>
    <row r="4" spans="2:22" ht="13.5" customHeight="1" x14ac:dyDescent="0.15">
      <c r="B4" s="60"/>
      <c r="C4" s="61"/>
      <c r="D4" s="61"/>
      <c r="E4" s="61"/>
      <c r="F4" s="61"/>
      <c r="G4" s="61"/>
      <c r="H4" s="62"/>
      <c r="S4" s="50"/>
      <c r="T4" s="66"/>
      <c r="U4" s="66"/>
      <c r="V4" s="52"/>
    </row>
    <row r="5" spans="2:22" ht="14.25" customHeight="1" thickBot="1" x14ac:dyDescent="0.2">
      <c r="B5" s="63"/>
      <c r="C5" s="64"/>
      <c r="D5" s="64"/>
      <c r="E5" s="64"/>
      <c r="F5" s="64"/>
      <c r="G5" s="64"/>
      <c r="H5" s="65"/>
      <c r="S5" s="53"/>
      <c r="T5" s="54"/>
      <c r="U5" s="54"/>
      <c r="V5" s="55"/>
    </row>
    <row r="7" spans="2:22" x14ac:dyDescent="0.15">
      <c r="C7" s="21" t="s">
        <v>340</v>
      </c>
      <c r="E7" s="21"/>
      <c r="F7" s="21"/>
      <c r="G7" s="21"/>
      <c r="T7" t="s">
        <v>341</v>
      </c>
    </row>
    <row r="8" spans="2:22" x14ac:dyDescent="0.15">
      <c r="C8" s="21" t="s">
        <v>301</v>
      </c>
      <c r="E8" s="21"/>
      <c r="F8" s="21"/>
      <c r="G8" s="21"/>
    </row>
    <row r="10" spans="2:22" x14ac:dyDescent="0.15">
      <c r="C10" s="23" t="s">
        <v>302</v>
      </c>
      <c r="D10" s="24" t="s">
        <v>303</v>
      </c>
    </row>
    <row r="11" spans="2:22" x14ac:dyDescent="0.15">
      <c r="D11" s="21" t="s">
        <v>342</v>
      </c>
    </row>
    <row r="12" spans="2:22" x14ac:dyDescent="0.15">
      <c r="D12" s="21" t="s">
        <v>304</v>
      </c>
    </row>
    <row r="14" spans="2:22" ht="14.25" thickBot="1" x14ac:dyDescent="0.2">
      <c r="D14" s="6" t="s">
        <v>305</v>
      </c>
      <c r="E14" t="s">
        <v>306</v>
      </c>
    </row>
    <row r="15" spans="2:22" x14ac:dyDescent="0.15">
      <c r="D15" s="6"/>
      <c r="E15" t="s">
        <v>307</v>
      </c>
      <c r="S15" s="47" t="s">
        <v>308</v>
      </c>
      <c r="T15" s="48"/>
      <c r="U15" s="48"/>
      <c r="V15" s="49"/>
    </row>
    <row r="16" spans="2:22" x14ac:dyDescent="0.15">
      <c r="D16" s="6"/>
      <c r="S16" s="50"/>
      <c r="T16" s="66"/>
      <c r="U16" s="66"/>
      <c r="V16" s="52"/>
    </row>
    <row r="17" spans="3:24" ht="14.25" thickBot="1" x14ac:dyDescent="0.2">
      <c r="D17" s="6" t="s">
        <v>305</v>
      </c>
      <c r="E17" t="s">
        <v>309</v>
      </c>
      <c r="S17" s="53"/>
      <c r="T17" s="54"/>
      <c r="U17" s="54"/>
      <c r="V17" s="55"/>
    </row>
    <row r="18" spans="3:24" x14ac:dyDescent="0.15">
      <c r="D18" s="6"/>
      <c r="E18" t="s">
        <v>310</v>
      </c>
    </row>
    <row r="19" spans="3:24" x14ac:dyDescent="0.15">
      <c r="E19" t="s">
        <v>311</v>
      </c>
      <c r="T19" t="s">
        <v>312</v>
      </c>
    </row>
    <row r="20" spans="3:24" x14ac:dyDescent="0.15">
      <c r="T20" t="s">
        <v>313</v>
      </c>
    </row>
    <row r="21" spans="3:24" x14ac:dyDescent="0.15">
      <c r="D21" s="6" t="s">
        <v>305</v>
      </c>
      <c r="E21" t="s">
        <v>314</v>
      </c>
      <c r="W21" s="25" t="s">
        <v>315</v>
      </c>
    </row>
    <row r="22" spans="3:24" x14ac:dyDescent="0.15">
      <c r="E22" t="s">
        <v>316</v>
      </c>
      <c r="T22" s="26" t="s">
        <v>317</v>
      </c>
      <c r="U22" s="1">
        <v>2022</v>
      </c>
      <c r="W22" s="27" t="str">
        <f>IF($U$22*10000+$U$23*100+$U$24&gt;=19890108,IF($U$22*10000+$U$23*100+$U$24&gt;=20190501,"令和","平成"),"昭和")</f>
        <v>令和</v>
      </c>
      <c r="X22" s="28">
        <f>IF($W$22="令和",$U$22-2018,IF($W$22="平成",$U22-1988,$U22-1989+64))</f>
        <v>4</v>
      </c>
    </row>
    <row r="23" spans="3:24" x14ac:dyDescent="0.15">
      <c r="T23" s="26" t="s">
        <v>318</v>
      </c>
      <c r="U23" s="1">
        <v>12</v>
      </c>
    </row>
    <row r="24" spans="3:24" x14ac:dyDescent="0.15">
      <c r="C24" s="23" t="s">
        <v>319</v>
      </c>
      <c r="D24" s="24" t="s">
        <v>320</v>
      </c>
      <c r="T24" s="26" t="s">
        <v>321</v>
      </c>
      <c r="U24" s="1">
        <v>1</v>
      </c>
    </row>
    <row r="25" spans="3:24" x14ac:dyDescent="0.15">
      <c r="D25" s="21" t="s">
        <v>359</v>
      </c>
    </row>
    <row r="26" spans="3:24" x14ac:dyDescent="0.15">
      <c r="D26" s="21" t="s">
        <v>322</v>
      </c>
      <c r="U26" s="29" t="s">
        <v>323</v>
      </c>
      <c r="V26" s="29" t="s">
        <v>324</v>
      </c>
      <c r="W26" s="29" t="s">
        <v>325</v>
      </c>
      <c r="X26" s="29" t="s">
        <v>326</v>
      </c>
    </row>
    <row r="27" spans="3:24" x14ac:dyDescent="0.15">
      <c r="T27" s="26" t="s">
        <v>179</v>
      </c>
      <c r="U27" s="12" t="s">
        <v>440</v>
      </c>
      <c r="V27" s="12" t="s">
        <v>371</v>
      </c>
      <c r="W27" s="12" t="s">
        <v>438</v>
      </c>
      <c r="X27" s="12" t="s">
        <v>439</v>
      </c>
    </row>
    <row r="28" spans="3:24" x14ac:dyDescent="0.15">
      <c r="T28" s="26" t="s">
        <v>109</v>
      </c>
      <c r="U28" s="12">
        <v>2017</v>
      </c>
      <c r="V28" s="12">
        <v>2016</v>
      </c>
      <c r="W28" s="12">
        <v>2017</v>
      </c>
      <c r="X28" s="12">
        <f>IF($U$23&lt;=3,$U$22-1,$U$22)</f>
        <v>2022</v>
      </c>
    </row>
    <row r="29" spans="3:24" x14ac:dyDescent="0.15">
      <c r="T29" s="26" t="s">
        <v>110</v>
      </c>
      <c r="U29" s="12">
        <v>12</v>
      </c>
      <c r="V29" s="12">
        <v>12</v>
      </c>
      <c r="W29" s="12">
        <v>12</v>
      </c>
      <c r="X29" s="12">
        <f>IF($U$23&lt;=3,9+$U$23,$U$23-1)</f>
        <v>11</v>
      </c>
    </row>
    <row r="30" spans="3:24" x14ac:dyDescent="0.15">
      <c r="T30" s="26" t="s">
        <v>249</v>
      </c>
      <c r="U30" s="12">
        <v>110</v>
      </c>
      <c r="V30" s="12">
        <v>80</v>
      </c>
      <c r="W30" s="12">
        <v>180</v>
      </c>
      <c r="X30" s="12">
        <v>470</v>
      </c>
    </row>
    <row r="31" spans="3:24" x14ac:dyDescent="0.15">
      <c r="T31" s="26" t="s">
        <v>327</v>
      </c>
      <c r="U31" s="27" t="str">
        <f>IF(U$28*100+U$29&gt;=198901,IF(U$28*100+U$29&gt;=201905,"令和","平成"),"昭和")</f>
        <v>平成</v>
      </c>
      <c r="V31" s="27" t="str">
        <f>IF(V$28*100+V$29&gt;=198901,IF(V$28*100+V$29&gt;=201905,"令和","平成"),"昭和")</f>
        <v>平成</v>
      </c>
      <c r="W31" s="27" t="str">
        <f>IF(W$28*100+W$29&gt;=198901,IF(W$28*100+W$29&gt;=201905,"令和","平成"),"昭和")</f>
        <v>平成</v>
      </c>
      <c r="X31" s="27" t="str">
        <f>IF(X$28*100+X$29&gt;=198901,IF(X$28*100+X$29&gt;=201905,"令和","平成"),"昭和")</f>
        <v>令和</v>
      </c>
    </row>
    <row r="32" spans="3:24" x14ac:dyDescent="0.15">
      <c r="C32" s="23" t="s">
        <v>328</v>
      </c>
      <c r="D32" s="24" t="s">
        <v>329</v>
      </c>
      <c r="E32" s="25"/>
      <c r="T32" s="26" t="s">
        <v>330</v>
      </c>
      <c r="U32" s="28">
        <f>IF(U$31="令和",U$28-2018,IF(U$31="平成",U$28-1988,U$28-1989+64))</f>
        <v>29</v>
      </c>
      <c r="V32" s="28">
        <f t="shared" ref="V32:X32" si="0">IF(V$31="令和",V$28-2018,IF(V$31="平成",V$28-1988,V$28-1989+64))</f>
        <v>28</v>
      </c>
      <c r="W32" s="28">
        <f t="shared" si="0"/>
        <v>29</v>
      </c>
      <c r="X32" s="28">
        <f t="shared" si="0"/>
        <v>4</v>
      </c>
    </row>
    <row r="33" spans="3:22" x14ac:dyDescent="0.15">
      <c r="D33" s="21" t="s">
        <v>331</v>
      </c>
    </row>
    <row r="35" spans="3:22" x14ac:dyDescent="0.15">
      <c r="C35" s="23" t="s">
        <v>332</v>
      </c>
      <c r="D35" s="24" t="s">
        <v>333</v>
      </c>
    </row>
    <row r="36" spans="3:22" x14ac:dyDescent="0.15">
      <c r="D36" s="21" t="s">
        <v>334</v>
      </c>
    </row>
    <row r="37" spans="3:22" ht="14.25" thickBot="1" x14ac:dyDescent="0.2">
      <c r="D37" s="21" t="s">
        <v>335</v>
      </c>
    </row>
    <row r="38" spans="3:22" x14ac:dyDescent="0.15">
      <c r="D38" s="21" t="s">
        <v>336</v>
      </c>
      <c r="S38" s="47" t="s">
        <v>337</v>
      </c>
      <c r="T38" s="48"/>
      <c r="U38" s="48"/>
      <c r="V38" s="49"/>
    </row>
    <row r="39" spans="3:22" x14ac:dyDescent="0.15">
      <c r="S39" s="50"/>
      <c r="T39" s="66"/>
      <c r="U39" s="66"/>
      <c r="V39" s="52"/>
    </row>
    <row r="40" spans="3:22" ht="14.25" thickBot="1" x14ac:dyDescent="0.2">
      <c r="C40" s="23" t="s">
        <v>349</v>
      </c>
      <c r="D40" s="24" t="s">
        <v>350</v>
      </c>
      <c r="S40" s="53"/>
      <c r="T40" s="54"/>
      <c r="U40" s="54"/>
      <c r="V40" s="55"/>
    </row>
    <row r="41" spans="3:22" x14ac:dyDescent="0.15">
      <c r="D41" s="21" t="s">
        <v>351</v>
      </c>
    </row>
    <row r="42" spans="3:22" x14ac:dyDescent="0.15">
      <c r="T42" t="s">
        <v>338</v>
      </c>
    </row>
    <row r="43" spans="3:22" x14ac:dyDescent="0.15">
      <c r="E43" s="26" t="s">
        <v>352</v>
      </c>
      <c r="F43" s="32">
        <v>1</v>
      </c>
    </row>
    <row r="44" spans="3:22" x14ac:dyDescent="0.15">
      <c r="E44" s="67" t="s">
        <v>367</v>
      </c>
      <c r="F44" s="31">
        <v>1</v>
      </c>
      <c r="G44" t="s">
        <v>368</v>
      </c>
    </row>
    <row r="45" spans="3:22" x14ac:dyDescent="0.15">
      <c r="E45" s="67"/>
      <c r="F45" s="31">
        <v>2</v>
      </c>
    </row>
    <row r="46" spans="3:22" x14ac:dyDescent="0.15">
      <c r="E46" s="67"/>
      <c r="F46" s="31">
        <v>3</v>
      </c>
    </row>
    <row r="47" spans="3:22" x14ac:dyDescent="0.15">
      <c r="E47" s="67"/>
      <c r="F47" s="31">
        <v>4</v>
      </c>
    </row>
    <row r="48" spans="3:22" ht="14.25" thickBot="1" x14ac:dyDescent="0.2">
      <c r="E48" s="67"/>
      <c r="F48" s="31">
        <v>5</v>
      </c>
    </row>
    <row r="49" spans="5:22" x14ac:dyDescent="0.15">
      <c r="E49" s="67"/>
      <c r="F49" s="31">
        <v>6</v>
      </c>
      <c r="S49" s="47" t="s">
        <v>356</v>
      </c>
      <c r="T49" s="48"/>
      <c r="U49" s="48"/>
      <c r="V49" s="49"/>
    </row>
    <row r="50" spans="5:22" x14ac:dyDescent="0.15">
      <c r="E50" s="67"/>
      <c r="F50" s="31">
        <v>7</v>
      </c>
      <c r="S50" s="50"/>
      <c r="T50" s="66"/>
      <c r="U50" s="66"/>
      <c r="V50" s="52"/>
    </row>
    <row r="51" spans="5:22" ht="14.25" thickBot="1" x14ac:dyDescent="0.2">
      <c r="E51" s="67"/>
      <c r="F51" s="1">
        <v>8</v>
      </c>
      <c r="S51" s="53"/>
      <c r="T51" s="54"/>
      <c r="U51" s="54"/>
      <c r="V51" s="55"/>
    </row>
    <row r="52" spans="5:22" x14ac:dyDescent="0.15">
      <c r="E52" s="67"/>
      <c r="F52" s="1">
        <v>9</v>
      </c>
    </row>
    <row r="53" spans="5:22" x14ac:dyDescent="0.15">
      <c r="T53" t="s">
        <v>357</v>
      </c>
    </row>
    <row r="54" spans="5:22" x14ac:dyDescent="0.15">
      <c r="T54" t="s">
        <v>360</v>
      </c>
    </row>
    <row r="55" spans="5:22" x14ac:dyDescent="0.15">
      <c r="T55" t="s">
        <v>358</v>
      </c>
    </row>
    <row r="64" spans="5:22" ht="14.25" thickBot="1" x14ac:dyDescent="0.2"/>
    <row r="65" spans="19:36" x14ac:dyDescent="0.15">
      <c r="S65" s="47" t="s">
        <v>372</v>
      </c>
      <c r="T65" s="48"/>
      <c r="U65" s="48"/>
      <c r="V65" s="49"/>
    </row>
    <row r="66" spans="19:36" x14ac:dyDescent="0.15">
      <c r="S66" s="50"/>
      <c r="T66" s="51"/>
      <c r="U66" s="51"/>
      <c r="V66" s="52"/>
    </row>
    <row r="67" spans="19:36" ht="14.25" thickBot="1" x14ac:dyDescent="0.2">
      <c r="S67" s="53"/>
      <c r="T67" s="54"/>
      <c r="U67" s="54"/>
      <c r="V67" s="55"/>
    </row>
    <row r="69" spans="19:36" x14ac:dyDescent="0.15">
      <c r="T69" t="s">
        <v>373</v>
      </c>
    </row>
    <row r="71" spans="19:36" x14ac:dyDescent="0.15">
      <c r="U71" s="56" t="s">
        <v>374</v>
      </c>
      <c r="V71" s="56"/>
      <c r="W71" s="56"/>
      <c r="X71" s="56"/>
      <c r="Y71" s="56"/>
      <c r="Z71" s="56"/>
      <c r="AA71" s="56"/>
      <c r="AB71" s="56"/>
      <c r="AC71" s="56"/>
      <c r="AD71" s="56"/>
      <c r="AE71" s="56"/>
      <c r="AF71" s="56"/>
      <c r="AG71" s="56"/>
      <c r="AH71" s="56"/>
      <c r="AI71" s="56"/>
      <c r="AJ71" s="56"/>
    </row>
    <row r="72" spans="19:36" x14ac:dyDescent="0.15">
      <c r="T72" s="33" t="s">
        <v>375</v>
      </c>
      <c r="U72" s="34" t="s">
        <v>376</v>
      </c>
      <c r="V72" s="34" t="s">
        <v>377</v>
      </c>
      <c r="W72" s="34" t="s">
        <v>378</v>
      </c>
      <c r="X72" s="34" t="s">
        <v>379</v>
      </c>
      <c r="Y72" s="34" t="s">
        <v>380</v>
      </c>
      <c r="Z72" s="34" t="s">
        <v>381</v>
      </c>
      <c r="AA72" s="34" t="s">
        <v>382</v>
      </c>
      <c r="AB72" s="34" t="s">
        <v>383</v>
      </c>
      <c r="AC72" s="34" t="s">
        <v>384</v>
      </c>
      <c r="AD72" s="34" t="s">
        <v>385</v>
      </c>
      <c r="AE72" s="34" t="s">
        <v>386</v>
      </c>
      <c r="AF72" s="34" t="s">
        <v>387</v>
      </c>
      <c r="AG72" s="34" t="s">
        <v>388</v>
      </c>
      <c r="AH72" s="34" t="s">
        <v>389</v>
      </c>
      <c r="AI72" s="34" t="s">
        <v>390</v>
      </c>
      <c r="AJ72" s="34" t="s">
        <v>391</v>
      </c>
    </row>
    <row r="73" spans="19:36" x14ac:dyDescent="0.15">
      <c r="T73" s="33" t="s">
        <v>392</v>
      </c>
      <c r="U73" s="34">
        <v>7</v>
      </c>
      <c r="V73" s="34">
        <v>7</v>
      </c>
      <c r="W73" s="34">
        <v>7</v>
      </c>
      <c r="X73" s="34">
        <v>7</v>
      </c>
      <c r="Y73" s="34">
        <v>8</v>
      </c>
      <c r="Z73" s="34">
        <v>7</v>
      </c>
      <c r="AA73" s="34">
        <v>7</v>
      </c>
      <c r="AB73" s="34">
        <v>7</v>
      </c>
      <c r="AC73" s="34">
        <v>3</v>
      </c>
      <c r="AD73" s="34">
        <v>3</v>
      </c>
      <c r="AE73" s="34">
        <v>3</v>
      </c>
      <c r="AF73" s="34">
        <v>3</v>
      </c>
      <c r="AG73" s="34">
        <v>2</v>
      </c>
      <c r="AH73" s="34">
        <v>3</v>
      </c>
      <c r="AI73" s="34">
        <v>3</v>
      </c>
      <c r="AJ73" s="34">
        <v>3</v>
      </c>
    </row>
    <row r="74" spans="19:36" x14ac:dyDescent="0.15">
      <c r="T74" s="33" t="s">
        <v>393</v>
      </c>
      <c r="U74" s="34">
        <v>7</v>
      </c>
      <c r="V74" s="34">
        <v>7</v>
      </c>
      <c r="W74" s="34">
        <v>7</v>
      </c>
      <c r="X74" s="34">
        <v>7</v>
      </c>
      <c r="Y74" s="34">
        <v>7</v>
      </c>
      <c r="Z74" s="34">
        <v>6</v>
      </c>
      <c r="AA74" s="34">
        <v>7</v>
      </c>
      <c r="AB74" s="34">
        <v>7</v>
      </c>
      <c r="AC74" s="34">
        <v>3</v>
      </c>
      <c r="AD74" s="34">
        <v>3</v>
      </c>
      <c r="AE74" s="34">
        <v>3</v>
      </c>
      <c r="AF74" s="34">
        <v>3</v>
      </c>
      <c r="AG74" s="34">
        <v>3</v>
      </c>
      <c r="AH74" s="34">
        <v>1</v>
      </c>
      <c r="AI74" s="34">
        <v>3</v>
      </c>
      <c r="AJ74" s="34">
        <v>3</v>
      </c>
    </row>
    <row r="75" spans="19:36" x14ac:dyDescent="0.15">
      <c r="T75" s="33" t="s">
        <v>394</v>
      </c>
      <c r="U75" s="34">
        <v>7</v>
      </c>
      <c r="V75" s="34">
        <v>7</v>
      </c>
      <c r="W75" s="34">
        <v>7</v>
      </c>
      <c r="X75" s="34">
        <v>7</v>
      </c>
      <c r="Y75" s="34">
        <v>7</v>
      </c>
      <c r="Z75" s="34">
        <v>7</v>
      </c>
      <c r="AA75" s="34">
        <v>6</v>
      </c>
      <c r="AB75" s="34">
        <v>7</v>
      </c>
      <c r="AC75" s="34">
        <v>2</v>
      </c>
      <c r="AD75" s="34">
        <v>2</v>
      </c>
      <c r="AE75" s="34">
        <v>2</v>
      </c>
      <c r="AF75" s="34">
        <v>2</v>
      </c>
      <c r="AG75" s="34">
        <v>2</v>
      </c>
      <c r="AH75" s="34">
        <v>2</v>
      </c>
      <c r="AI75" s="34">
        <v>3</v>
      </c>
      <c r="AJ75" s="34">
        <v>2</v>
      </c>
    </row>
    <row r="76" spans="19:36" x14ac:dyDescent="0.15">
      <c r="T76" s="33" t="s">
        <v>395</v>
      </c>
      <c r="U76" s="34">
        <v>6</v>
      </c>
      <c r="V76" s="34">
        <v>6</v>
      </c>
      <c r="W76" s="34">
        <v>6</v>
      </c>
      <c r="X76" s="34">
        <v>6</v>
      </c>
      <c r="Y76" s="34">
        <v>8</v>
      </c>
      <c r="Z76" s="34">
        <v>9</v>
      </c>
      <c r="AA76" s="34">
        <v>7</v>
      </c>
      <c r="AB76" s="34">
        <v>7</v>
      </c>
      <c r="AC76" s="34">
        <v>1</v>
      </c>
      <c r="AD76" s="34">
        <v>1</v>
      </c>
      <c r="AE76" s="34">
        <v>1</v>
      </c>
      <c r="AF76" s="34">
        <v>1</v>
      </c>
      <c r="AG76" s="34">
        <v>3</v>
      </c>
      <c r="AH76" s="34">
        <v>2</v>
      </c>
      <c r="AI76" s="34">
        <v>2</v>
      </c>
      <c r="AJ76" s="34">
        <v>3</v>
      </c>
    </row>
    <row r="77" spans="19:36" x14ac:dyDescent="0.15">
      <c r="T77" s="33" t="s">
        <v>179</v>
      </c>
      <c r="U77" s="44" t="s">
        <v>396</v>
      </c>
      <c r="V77" s="44" t="s">
        <v>396</v>
      </c>
      <c r="W77" s="44" t="s">
        <v>396</v>
      </c>
      <c r="X77" s="44" t="s">
        <v>396</v>
      </c>
      <c r="Y77" s="44" t="s">
        <v>415</v>
      </c>
      <c r="Z77" s="44" t="s">
        <v>447</v>
      </c>
      <c r="AA77" s="44" t="s">
        <v>448</v>
      </c>
      <c r="AB77" s="44" t="s">
        <v>440</v>
      </c>
      <c r="AC77" s="44" t="s">
        <v>397</v>
      </c>
      <c r="AD77" s="44" t="s">
        <v>397</v>
      </c>
      <c r="AE77" s="44" t="s">
        <v>397</v>
      </c>
      <c r="AF77" s="44" t="s">
        <v>397</v>
      </c>
      <c r="AG77" s="44" t="s">
        <v>416</v>
      </c>
      <c r="AH77" s="44" t="s">
        <v>449</v>
      </c>
      <c r="AI77" s="44" t="s">
        <v>450</v>
      </c>
      <c r="AJ77" s="44" t="s">
        <v>451</v>
      </c>
    </row>
    <row r="78" spans="19:36" x14ac:dyDescent="0.15">
      <c r="T78" s="33" t="s">
        <v>109</v>
      </c>
      <c r="U78" s="44">
        <v>2016</v>
      </c>
      <c r="V78" s="44">
        <v>2016</v>
      </c>
      <c r="W78" s="44">
        <v>2016</v>
      </c>
      <c r="X78" s="44">
        <v>2016</v>
      </c>
      <c r="Y78" s="44">
        <v>2016</v>
      </c>
      <c r="Z78" s="44">
        <v>2016</v>
      </c>
      <c r="AA78" s="44">
        <v>2016</v>
      </c>
      <c r="AB78" s="44">
        <v>2016</v>
      </c>
      <c r="AC78" s="44">
        <v>2016</v>
      </c>
      <c r="AD78" s="44">
        <v>2016</v>
      </c>
      <c r="AE78" s="44">
        <v>2016</v>
      </c>
      <c r="AF78" s="44">
        <v>2016</v>
      </c>
      <c r="AG78" s="44">
        <v>2016</v>
      </c>
      <c r="AH78" s="44">
        <v>2016</v>
      </c>
      <c r="AI78" s="44">
        <v>2016</v>
      </c>
      <c r="AJ78" s="44">
        <v>2016</v>
      </c>
    </row>
    <row r="79" spans="19:36" x14ac:dyDescent="0.15">
      <c r="T79" s="33" t="s">
        <v>110</v>
      </c>
      <c r="U79" s="12">
        <v>12</v>
      </c>
      <c r="V79" s="12">
        <v>12</v>
      </c>
      <c r="W79" s="12">
        <v>12</v>
      </c>
      <c r="X79" s="12">
        <v>12</v>
      </c>
      <c r="Y79" s="12">
        <v>12</v>
      </c>
      <c r="Z79" s="12">
        <v>12</v>
      </c>
      <c r="AA79" s="12">
        <v>12</v>
      </c>
      <c r="AB79" s="12">
        <v>12</v>
      </c>
      <c r="AC79" s="12">
        <v>12</v>
      </c>
      <c r="AD79" s="12">
        <v>12</v>
      </c>
      <c r="AE79" s="12">
        <v>12</v>
      </c>
      <c r="AF79" s="12">
        <v>12</v>
      </c>
      <c r="AG79" s="12">
        <v>12</v>
      </c>
      <c r="AH79" s="12">
        <v>12</v>
      </c>
      <c r="AI79" s="12">
        <v>12</v>
      </c>
      <c r="AJ79" s="12">
        <v>12</v>
      </c>
    </row>
    <row r="80" spans="19:36" x14ac:dyDescent="0.15">
      <c r="T80" s="33" t="s">
        <v>398</v>
      </c>
      <c r="U80" s="12">
        <v>85</v>
      </c>
      <c r="V80" s="12">
        <v>85</v>
      </c>
      <c r="W80" s="12">
        <v>85</v>
      </c>
      <c r="X80" s="12">
        <v>85</v>
      </c>
      <c r="Y80" s="12">
        <v>160</v>
      </c>
      <c r="Z80" s="12">
        <v>160</v>
      </c>
      <c r="AA80" s="1">
        <v>110</v>
      </c>
      <c r="AB80" s="1">
        <v>85</v>
      </c>
      <c r="AC80" s="1">
        <v>100</v>
      </c>
      <c r="AD80" s="1">
        <v>100</v>
      </c>
      <c r="AE80" s="1">
        <v>100</v>
      </c>
      <c r="AF80" s="1">
        <v>100</v>
      </c>
      <c r="AG80" s="1">
        <v>60</v>
      </c>
      <c r="AH80" s="1">
        <v>90</v>
      </c>
      <c r="AI80" s="1">
        <v>50</v>
      </c>
      <c r="AJ80" s="1">
        <v>100</v>
      </c>
    </row>
    <row r="81" spans="20:36" x14ac:dyDescent="0.15">
      <c r="T81" s="33" t="s">
        <v>399</v>
      </c>
      <c r="U81" s="35">
        <f>U80</f>
        <v>85</v>
      </c>
      <c r="V81" s="35">
        <f t="shared" ref="V81:AJ81" si="1">V80</f>
        <v>85</v>
      </c>
      <c r="W81" s="35">
        <f t="shared" si="1"/>
        <v>85</v>
      </c>
      <c r="X81" s="35">
        <f t="shared" si="1"/>
        <v>85</v>
      </c>
      <c r="Y81" s="35">
        <f t="shared" si="1"/>
        <v>160</v>
      </c>
      <c r="Z81" s="35">
        <f t="shared" si="1"/>
        <v>160</v>
      </c>
      <c r="AA81" s="36">
        <f t="shared" si="1"/>
        <v>110</v>
      </c>
      <c r="AB81" s="36">
        <f t="shared" si="1"/>
        <v>85</v>
      </c>
      <c r="AC81" s="36">
        <f t="shared" si="1"/>
        <v>100</v>
      </c>
      <c r="AD81" s="36">
        <f t="shared" si="1"/>
        <v>100</v>
      </c>
      <c r="AE81" s="36">
        <f t="shared" si="1"/>
        <v>100</v>
      </c>
      <c r="AF81" s="36">
        <f t="shared" si="1"/>
        <v>100</v>
      </c>
      <c r="AG81" s="36">
        <f t="shared" si="1"/>
        <v>60</v>
      </c>
      <c r="AH81" s="36">
        <f t="shared" si="1"/>
        <v>90</v>
      </c>
      <c r="AI81" s="36">
        <f t="shared" si="1"/>
        <v>50</v>
      </c>
      <c r="AJ81" s="36">
        <f t="shared" si="1"/>
        <v>100</v>
      </c>
    </row>
    <row r="82" spans="20:36" x14ac:dyDescent="0.15">
      <c r="T82" s="33" t="s">
        <v>407</v>
      </c>
      <c r="U82" s="39" t="s">
        <v>408</v>
      </c>
      <c r="V82" s="39" t="s">
        <v>408</v>
      </c>
      <c r="W82" s="39" t="s">
        <v>408</v>
      </c>
      <c r="X82" s="39" t="s">
        <v>408</v>
      </c>
      <c r="Y82" s="39" t="s">
        <v>409</v>
      </c>
      <c r="Z82" s="39" t="s">
        <v>409</v>
      </c>
      <c r="AA82" s="39" t="s">
        <v>409</v>
      </c>
      <c r="AB82" s="39" t="s">
        <v>408</v>
      </c>
      <c r="AC82" s="39" t="s">
        <v>410</v>
      </c>
      <c r="AD82" s="39" t="s">
        <v>410</v>
      </c>
      <c r="AE82" s="39" t="s">
        <v>410</v>
      </c>
      <c r="AF82" s="39" t="s">
        <v>410</v>
      </c>
      <c r="AG82" s="39" t="s">
        <v>410</v>
      </c>
      <c r="AH82" s="39" t="s">
        <v>410</v>
      </c>
      <c r="AI82" s="39" t="s">
        <v>410</v>
      </c>
      <c r="AJ82" s="39" t="s">
        <v>410</v>
      </c>
    </row>
    <row r="83" spans="20:36" x14ac:dyDescent="0.15">
      <c r="T83" s="33" t="s">
        <v>400</v>
      </c>
      <c r="U83" s="12" t="s">
        <v>411</v>
      </c>
      <c r="V83" s="12" t="s">
        <v>411</v>
      </c>
      <c r="W83" s="12" t="s">
        <v>411</v>
      </c>
      <c r="X83" s="12" t="s">
        <v>411</v>
      </c>
      <c r="Y83" s="12" t="s">
        <v>434</v>
      </c>
      <c r="Z83" s="12" t="s">
        <v>452</v>
      </c>
      <c r="AA83" s="12" t="s">
        <v>453</v>
      </c>
      <c r="AB83" s="12" t="s">
        <v>454</v>
      </c>
      <c r="AC83" s="12" t="s">
        <v>412</v>
      </c>
      <c r="AD83" s="12" t="s">
        <v>412</v>
      </c>
      <c r="AE83" s="12" t="s">
        <v>412</v>
      </c>
      <c r="AF83" s="12" t="s">
        <v>412</v>
      </c>
      <c r="AG83" s="12" t="s">
        <v>455</v>
      </c>
      <c r="AH83" s="12" t="s">
        <v>456</v>
      </c>
      <c r="AI83" s="12" t="s">
        <v>457</v>
      </c>
      <c r="AJ83" s="12" t="s">
        <v>413</v>
      </c>
    </row>
    <row r="84" spans="20:36" x14ac:dyDescent="0.15">
      <c r="U84" s="27" t="str">
        <f>IF(U$78*100+U$79&gt;=201905,"令和",IF(U$78*100+U$79&gt;=198901,"平成","昭和"))</f>
        <v>平成</v>
      </c>
      <c r="V84" s="27" t="str">
        <f t="shared" ref="V84:AJ84" si="2">IF(V$78*100+V$79&gt;=201905,"令和",IF(V$78*100+V$79&gt;=198901,"平成","昭和"))</f>
        <v>平成</v>
      </c>
      <c r="W84" s="27" t="str">
        <f t="shared" si="2"/>
        <v>平成</v>
      </c>
      <c r="X84" s="27" t="str">
        <f t="shared" si="2"/>
        <v>平成</v>
      </c>
      <c r="Y84" s="27" t="str">
        <f t="shared" si="2"/>
        <v>平成</v>
      </c>
      <c r="Z84" s="27" t="str">
        <f t="shared" si="2"/>
        <v>平成</v>
      </c>
      <c r="AA84" s="27" t="str">
        <f t="shared" si="2"/>
        <v>平成</v>
      </c>
      <c r="AB84" s="27" t="str">
        <f t="shared" si="2"/>
        <v>平成</v>
      </c>
      <c r="AC84" s="27" t="str">
        <f t="shared" si="2"/>
        <v>平成</v>
      </c>
      <c r="AD84" s="27" t="str">
        <f t="shared" si="2"/>
        <v>平成</v>
      </c>
      <c r="AE84" s="27" t="str">
        <f t="shared" si="2"/>
        <v>平成</v>
      </c>
      <c r="AF84" s="27" t="str">
        <f t="shared" si="2"/>
        <v>平成</v>
      </c>
      <c r="AG84" s="27" t="str">
        <f t="shared" si="2"/>
        <v>平成</v>
      </c>
      <c r="AH84" s="27" t="str">
        <f t="shared" si="2"/>
        <v>平成</v>
      </c>
      <c r="AI84" s="27" t="str">
        <f t="shared" si="2"/>
        <v>平成</v>
      </c>
      <c r="AJ84" s="27" t="str">
        <f t="shared" si="2"/>
        <v>平成</v>
      </c>
    </row>
    <row r="85" spans="20:36" x14ac:dyDescent="0.15">
      <c r="U85" s="28">
        <f>IF(U$84="令和",U$78-2018,IF(U$84="平成",U$78-1988,U$78-1989+64))</f>
        <v>28</v>
      </c>
      <c r="V85" s="28">
        <f t="shared" ref="V85:AJ85" si="3">IF(V$84="令和",V$78-2018,IF(V$84="平成",V$78-1988,V$78-1989+64))</f>
        <v>28</v>
      </c>
      <c r="W85" s="28">
        <f t="shared" si="3"/>
        <v>28</v>
      </c>
      <c r="X85" s="28">
        <f t="shared" si="3"/>
        <v>28</v>
      </c>
      <c r="Y85" s="28">
        <f t="shared" si="3"/>
        <v>28</v>
      </c>
      <c r="Z85" s="28">
        <f t="shared" si="3"/>
        <v>28</v>
      </c>
      <c r="AA85" s="28">
        <f t="shared" si="3"/>
        <v>28</v>
      </c>
      <c r="AB85" s="28">
        <f t="shared" si="3"/>
        <v>28</v>
      </c>
      <c r="AC85" s="28">
        <f t="shared" si="3"/>
        <v>28</v>
      </c>
      <c r="AD85" s="28">
        <f t="shared" si="3"/>
        <v>28</v>
      </c>
      <c r="AE85" s="28">
        <f t="shared" si="3"/>
        <v>28</v>
      </c>
      <c r="AF85" s="28">
        <f t="shared" si="3"/>
        <v>28</v>
      </c>
      <c r="AG85" s="28">
        <f t="shared" si="3"/>
        <v>28</v>
      </c>
      <c r="AH85" s="28">
        <f t="shared" si="3"/>
        <v>28</v>
      </c>
      <c r="AI85" s="28">
        <f t="shared" si="3"/>
        <v>28</v>
      </c>
      <c r="AJ85" s="28">
        <f t="shared" si="3"/>
        <v>28</v>
      </c>
    </row>
    <row r="87" spans="20:36" x14ac:dyDescent="0.15">
      <c r="U87" s="56" t="s">
        <v>401</v>
      </c>
      <c r="V87" s="56"/>
      <c r="W87" s="56"/>
      <c r="X87" s="56"/>
      <c r="Y87" s="56"/>
      <c r="Z87" s="56"/>
      <c r="AA87" s="56"/>
      <c r="AB87" s="56"/>
      <c r="AC87" s="56"/>
      <c r="AD87" s="56"/>
      <c r="AE87" s="56"/>
      <c r="AF87" s="56"/>
      <c r="AG87" s="56"/>
      <c r="AH87" s="56"/>
      <c r="AI87" s="56"/>
      <c r="AJ87" s="56"/>
    </row>
    <row r="88" spans="20:36" x14ac:dyDescent="0.15">
      <c r="T88" s="33" t="s">
        <v>375</v>
      </c>
      <c r="U88" s="34" t="s">
        <v>376</v>
      </c>
      <c r="V88" s="34" t="s">
        <v>377</v>
      </c>
      <c r="W88" s="34" t="s">
        <v>378</v>
      </c>
      <c r="X88" s="34" t="s">
        <v>379</v>
      </c>
      <c r="Y88" s="34" t="s">
        <v>380</v>
      </c>
      <c r="Z88" s="34" t="s">
        <v>381</v>
      </c>
      <c r="AA88" s="34" t="s">
        <v>382</v>
      </c>
      <c r="AB88" s="34" t="s">
        <v>383</v>
      </c>
      <c r="AC88" s="34" t="s">
        <v>384</v>
      </c>
      <c r="AD88" s="34" t="s">
        <v>385</v>
      </c>
      <c r="AE88" s="34" t="s">
        <v>386</v>
      </c>
      <c r="AF88" s="34" t="s">
        <v>387</v>
      </c>
      <c r="AG88" s="34" t="s">
        <v>388</v>
      </c>
      <c r="AH88" s="34" t="s">
        <v>389</v>
      </c>
      <c r="AI88" s="34" t="s">
        <v>390</v>
      </c>
      <c r="AJ88" s="34" t="s">
        <v>391</v>
      </c>
    </row>
    <row r="89" spans="20:36" x14ac:dyDescent="0.15">
      <c r="T89" s="33" t="s">
        <v>392</v>
      </c>
      <c r="U89" s="34">
        <v>6</v>
      </c>
      <c r="V89" s="34">
        <v>6</v>
      </c>
      <c r="W89" s="34">
        <v>9</v>
      </c>
      <c r="X89" s="34">
        <v>6</v>
      </c>
      <c r="Y89" s="34">
        <v>7</v>
      </c>
      <c r="Z89" s="34">
        <v>6</v>
      </c>
      <c r="AA89" s="34">
        <v>9</v>
      </c>
      <c r="AB89" s="34">
        <v>6</v>
      </c>
      <c r="AC89" s="34">
        <v>2</v>
      </c>
      <c r="AD89" s="34">
        <v>2</v>
      </c>
      <c r="AE89" s="34">
        <v>1</v>
      </c>
      <c r="AF89" s="34">
        <v>2</v>
      </c>
      <c r="AG89" s="34">
        <v>1</v>
      </c>
      <c r="AH89" s="34">
        <v>2</v>
      </c>
      <c r="AI89" s="34">
        <v>1</v>
      </c>
      <c r="AJ89" s="34">
        <v>2</v>
      </c>
    </row>
    <row r="90" spans="20:36" x14ac:dyDescent="0.15">
      <c r="T90" s="33" t="s">
        <v>393</v>
      </c>
      <c r="U90" s="34">
        <v>7</v>
      </c>
      <c r="V90" s="34">
        <v>7</v>
      </c>
      <c r="W90" s="34">
        <v>7</v>
      </c>
      <c r="X90" s="34">
        <v>7</v>
      </c>
      <c r="Y90" s="34">
        <v>7</v>
      </c>
      <c r="Z90" s="34">
        <v>5</v>
      </c>
      <c r="AA90" s="34">
        <v>7</v>
      </c>
      <c r="AB90" s="34">
        <v>7</v>
      </c>
      <c r="AC90" s="34">
        <v>2</v>
      </c>
      <c r="AD90" s="34">
        <v>2</v>
      </c>
      <c r="AE90" s="34">
        <v>2</v>
      </c>
      <c r="AF90" s="34">
        <v>2</v>
      </c>
      <c r="AG90" s="34">
        <v>2</v>
      </c>
      <c r="AH90" s="34">
        <v>1</v>
      </c>
      <c r="AI90" s="34">
        <v>2</v>
      </c>
      <c r="AJ90" s="34">
        <v>2</v>
      </c>
    </row>
    <row r="91" spans="20:36" x14ac:dyDescent="0.15">
      <c r="T91" s="33" t="s">
        <v>394</v>
      </c>
      <c r="U91" s="34">
        <v>7</v>
      </c>
      <c r="V91" s="34">
        <v>7</v>
      </c>
      <c r="W91" s="34">
        <v>9</v>
      </c>
      <c r="X91" s="34">
        <v>7</v>
      </c>
      <c r="Y91" s="34">
        <v>7</v>
      </c>
      <c r="Z91" s="34">
        <v>7</v>
      </c>
      <c r="AA91" s="34">
        <v>7</v>
      </c>
      <c r="AB91" s="34">
        <v>7</v>
      </c>
      <c r="AC91" s="34">
        <v>2</v>
      </c>
      <c r="AD91" s="34">
        <v>2</v>
      </c>
      <c r="AE91" s="34">
        <v>2</v>
      </c>
      <c r="AF91" s="34">
        <v>2</v>
      </c>
      <c r="AG91" s="34">
        <v>2</v>
      </c>
      <c r="AH91" s="34">
        <v>2</v>
      </c>
      <c r="AI91" s="34">
        <v>3</v>
      </c>
      <c r="AJ91" s="34">
        <v>2</v>
      </c>
    </row>
    <row r="92" spans="20:36" x14ac:dyDescent="0.15">
      <c r="T92" s="33" t="s">
        <v>395</v>
      </c>
      <c r="U92" s="34">
        <v>7</v>
      </c>
      <c r="V92" s="34">
        <v>7</v>
      </c>
      <c r="W92" s="34">
        <v>9</v>
      </c>
      <c r="X92" s="34">
        <v>7</v>
      </c>
      <c r="Y92" s="34">
        <v>9</v>
      </c>
      <c r="Z92" s="34">
        <v>7</v>
      </c>
      <c r="AA92" s="34">
        <v>10</v>
      </c>
      <c r="AB92" s="34">
        <v>8</v>
      </c>
      <c r="AC92" s="34">
        <v>2</v>
      </c>
      <c r="AD92" s="34">
        <v>2</v>
      </c>
      <c r="AE92" s="34">
        <v>3</v>
      </c>
      <c r="AF92" s="34">
        <v>2</v>
      </c>
      <c r="AG92" s="34">
        <v>3</v>
      </c>
      <c r="AH92" s="34">
        <v>2</v>
      </c>
      <c r="AI92" s="34">
        <v>3</v>
      </c>
      <c r="AJ92" s="34">
        <v>3</v>
      </c>
    </row>
    <row r="93" spans="20:36" x14ac:dyDescent="0.15">
      <c r="T93" s="33" t="s">
        <v>179</v>
      </c>
      <c r="U93" s="44" t="s">
        <v>458</v>
      </c>
      <c r="V93" s="44" t="s">
        <v>458</v>
      </c>
      <c r="W93" s="44" t="s">
        <v>459</v>
      </c>
      <c r="X93" s="44" t="s">
        <v>458</v>
      </c>
      <c r="Y93" s="44" t="s">
        <v>460</v>
      </c>
      <c r="Z93" s="44" t="s">
        <v>461</v>
      </c>
      <c r="AA93" s="44" t="s">
        <v>462</v>
      </c>
      <c r="AB93" s="44" t="s">
        <v>463</v>
      </c>
      <c r="AC93" s="44" t="s">
        <v>464</v>
      </c>
      <c r="AD93" s="44" t="s">
        <v>464</v>
      </c>
      <c r="AE93" s="44" t="s">
        <v>465</v>
      </c>
      <c r="AF93" s="44" t="s">
        <v>464</v>
      </c>
      <c r="AG93" s="44" t="s">
        <v>465</v>
      </c>
      <c r="AH93" s="44" t="s">
        <v>466</v>
      </c>
      <c r="AI93" s="44" t="s">
        <v>467</v>
      </c>
      <c r="AJ93" s="12" t="s">
        <v>468</v>
      </c>
    </row>
    <row r="94" spans="20:36" x14ac:dyDescent="0.15">
      <c r="T94" s="33" t="s">
        <v>109</v>
      </c>
      <c r="U94" s="12">
        <v>2021</v>
      </c>
      <c r="V94" s="12">
        <v>2021</v>
      </c>
      <c r="W94" s="12">
        <v>2021</v>
      </c>
      <c r="X94" s="12">
        <v>2021</v>
      </c>
      <c r="Y94" s="12">
        <v>2021</v>
      </c>
      <c r="Z94" s="12">
        <v>2021</v>
      </c>
      <c r="AA94" s="12">
        <v>2021</v>
      </c>
      <c r="AB94" s="12">
        <v>2021</v>
      </c>
      <c r="AC94" s="12">
        <v>2021</v>
      </c>
      <c r="AD94" s="12">
        <v>2021</v>
      </c>
      <c r="AE94" s="12">
        <v>2021</v>
      </c>
      <c r="AF94" s="12">
        <v>2021</v>
      </c>
      <c r="AG94" s="12">
        <v>2021</v>
      </c>
      <c r="AH94" s="12">
        <v>2021</v>
      </c>
      <c r="AI94" s="12">
        <v>2021</v>
      </c>
      <c r="AJ94" s="12">
        <v>2021</v>
      </c>
    </row>
    <row r="95" spans="20:36" x14ac:dyDescent="0.15">
      <c r="T95" s="33" t="s">
        <v>110</v>
      </c>
      <c r="U95" s="12">
        <v>10</v>
      </c>
      <c r="V95" s="12">
        <v>10</v>
      </c>
      <c r="W95" s="12">
        <v>10</v>
      </c>
      <c r="X95" s="12">
        <v>10</v>
      </c>
      <c r="Y95" s="12">
        <v>10</v>
      </c>
      <c r="Z95" s="12">
        <v>10</v>
      </c>
      <c r="AA95" s="12">
        <v>10</v>
      </c>
      <c r="AB95" s="12">
        <v>10</v>
      </c>
      <c r="AC95" s="12">
        <v>10</v>
      </c>
      <c r="AD95" s="12">
        <v>10</v>
      </c>
      <c r="AE95" s="12">
        <v>10</v>
      </c>
      <c r="AF95" s="12">
        <v>10</v>
      </c>
      <c r="AG95" s="12">
        <v>10</v>
      </c>
      <c r="AH95" s="12">
        <v>10</v>
      </c>
      <c r="AI95" s="12">
        <v>10</v>
      </c>
      <c r="AJ95" s="12">
        <v>10</v>
      </c>
    </row>
    <row r="96" spans="20:36" x14ac:dyDescent="0.15">
      <c r="T96" s="33" t="s">
        <v>398</v>
      </c>
      <c r="U96" s="12">
        <v>260</v>
      </c>
      <c r="V96" s="12">
        <v>260</v>
      </c>
      <c r="W96" s="12">
        <v>480</v>
      </c>
      <c r="X96" s="12">
        <v>260</v>
      </c>
      <c r="Y96" s="12">
        <v>270</v>
      </c>
      <c r="Z96" s="12">
        <v>240</v>
      </c>
      <c r="AA96" s="1">
        <v>460</v>
      </c>
      <c r="AB96" s="1">
        <v>260</v>
      </c>
      <c r="AC96" s="1">
        <v>145</v>
      </c>
      <c r="AD96" s="1">
        <v>145</v>
      </c>
      <c r="AE96" s="1">
        <v>170</v>
      </c>
      <c r="AF96" s="1">
        <v>145</v>
      </c>
      <c r="AG96" s="1">
        <v>170</v>
      </c>
      <c r="AH96" s="1">
        <v>180</v>
      </c>
      <c r="AI96" s="1">
        <v>180</v>
      </c>
      <c r="AJ96" s="1">
        <v>145</v>
      </c>
    </row>
    <row r="97" spans="20:36" x14ac:dyDescent="0.15">
      <c r="T97" s="33" t="s">
        <v>399</v>
      </c>
      <c r="U97" s="12">
        <f>U96</f>
        <v>260</v>
      </c>
      <c r="V97" s="12">
        <f t="shared" ref="V97:AJ97" si="4">V96</f>
        <v>260</v>
      </c>
      <c r="W97" s="12">
        <f t="shared" si="4"/>
        <v>480</v>
      </c>
      <c r="X97" s="12">
        <f t="shared" si="4"/>
        <v>260</v>
      </c>
      <c r="Y97" s="12">
        <f t="shared" si="4"/>
        <v>270</v>
      </c>
      <c r="Z97" s="12">
        <f t="shared" si="4"/>
        <v>240</v>
      </c>
      <c r="AA97" s="12">
        <f t="shared" si="4"/>
        <v>460</v>
      </c>
      <c r="AB97" s="12">
        <f t="shared" si="4"/>
        <v>260</v>
      </c>
      <c r="AC97" s="12">
        <f t="shared" si="4"/>
        <v>145</v>
      </c>
      <c r="AD97" s="12">
        <f t="shared" si="4"/>
        <v>145</v>
      </c>
      <c r="AE97" s="12">
        <f t="shared" si="4"/>
        <v>170</v>
      </c>
      <c r="AF97" s="12">
        <f t="shared" si="4"/>
        <v>145</v>
      </c>
      <c r="AG97" s="12">
        <f t="shared" si="4"/>
        <v>170</v>
      </c>
      <c r="AH97" s="12">
        <f t="shared" si="4"/>
        <v>180</v>
      </c>
      <c r="AI97" s="12">
        <f t="shared" si="4"/>
        <v>180</v>
      </c>
      <c r="AJ97" s="12">
        <f t="shared" si="4"/>
        <v>145</v>
      </c>
    </row>
    <row r="98" spans="20:36" x14ac:dyDescent="0.15">
      <c r="T98" s="33" t="s">
        <v>407</v>
      </c>
      <c r="U98" s="39" t="s">
        <v>409</v>
      </c>
      <c r="V98" s="39" t="s">
        <v>409</v>
      </c>
      <c r="W98" s="39" t="s">
        <v>409</v>
      </c>
      <c r="X98" s="39" t="s">
        <v>409</v>
      </c>
      <c r="Y98" s="39" t="s">
        <v>409</v>
      </c>
      <c r="Z98" s="39" t="s">
        <v>409</v>
      </c>
      <c r="AA98" s="39" t="s">
        <v>409</v>
      </c>
      <c r="AB98" s="39" t="s">
        <v>409</v>
      </c>
      <c r="AC98" s="39" t="s">
        <v>410</v>
      </c>
      <c r="AD98" s="39" t="s">
        <v>410</v>
      </c>
      <c r="AE98" s="39" t="s">
        <v>410</v>
      </c>
      <c r="AF98" s="39" t="s">
        <v>410</v>
      </c>
      <c r="AG98" s="39" t="s">
        <v>410</v>
      </c>
      <c r="AH98" s="39" t="s">
        <v>410</v>
      </c>
      <c r="AI98" s="39" t="s">
        <v>410</v>
      </c>
      <c r="AJ98" s="39" t="s">
        <v>410</v>
      </c>
    </row>
    <row r="99" spans="20:36" x14ac:dyDescent="0.15">
      <c r="T99" s="33" t="s">
        <v>400</v>
      </c>
      <c r="U99" s="12" t="s">
        <v>414</v>
      </c>
      <c r="V99" s="12" t="s">
        <v>414</v>
      </c>
      <c r="W99" s="12" t="s">
        <v>469</v>
      </c>
      <c r="X99" s="12" t="s">
        <v>414</v>
      </c>
      <c r="Y99" s="12" t="s">
        <v>470</v>
      </c>
      <c r="Z99" s="12" t="s">
        <v>414</v>
      </c>
      <c r="AA99" s="12" t="s">
        <v>471</v>
      </c>
      <c r="AB99" s="12" t="s">
        <v>472</v>
      </c>
      <c r="AC99" s="12" t="s">
        <v>473</v>
      </c>
      <c r="AD99" s="12" t="s">
        <v>473</v>
      </c>
      <c r="AE99" s="12" t="s">
        <v>474</v>
      </c>
      <c r="AF99" s="12" t="s">
        <v>473</v>
      </c>
      <c r="AG99" s="12" t="s">
        <v>474</v>
      </c>
      <c r="AH99" s="12" t="s">
        <v>475</v>
      </c>
      <c r="AI99" s="12" t="s">
        <v>455</v>
      </c>
      <c r="AJ99" s="12" t="s">
        <v>476</v>
      </c>
    </row>
    <row r="100" spans="20:36" x14ac:dyDescent="0.15">
      <c r="U100" s="27" t="str">
        <f>IF(U$94*100+U$95&gt;=201905,"令和",IF(U$94*100+U$95&gt;=198901,"平成","昭和"))</f>
        <v>令和</v>
      </c>
      <c r="V100" s="27" t="str">
        <f t="shared" ref="V100:AJ100" si="5">IF(V$94*100+V$95&gt;=201905,"令和",IF(V$94*100+V$95&gt;=198901,"平成","昭和"))</f>
        <v>令和</v>
      </c>
      <c r="W100" s="27" t="str">
        <f t="shared" si="5"/>
        <v>令和</v>
      </c>
      <c r="X100" s="27" t="str">
        <f t="shared" si="5"/>
        <v>令和</v>
      </c>
      <c r="Y100" s="27" t="str">
        <f t="shared" si="5"/>
        <v>令和</v>
      </c>
      <c r="Z100" s="27" t="str">
        <f t="shared" si="5"/>
        <v>令和</v>
      </c>
      <c r="AA100" s="27" t="str">
        <f t="shared" si="5"/>
        <v>令和</v>
      </c>
      <c r="AB100" s="27" t="str">
        <f t="shared" si="5"/>
        <v>令和</v>
      </c>
      <c r="AC100" s="27" t="str">
        <f t="shared" si="5"/>
        <v>令和</v>
      </c>
      <c r="AD100" s="27" t="str">
        <f t="shared" si="5"/>
        <v>令和</v>
      </c>
      <c r="AE100" s="27" t="str">
        <f t="shared" si="5"/>
        <v>令和</v>
      </c>
      <c r="AF100" s="27" t="str">
        <f t="shared" si="5"/>
        <v>令和</v>
      </c>
      <c r="AG100" s="27" t="str">
        <f t="shared" si="5"/>
        <v>令和</v>
      </c>
      <c r="AH100" s="27" t="str">
        <f t="shared" si="5"/>
        <v>令和</v>
      </c>
      <c r="AI100" s="27" t="str">
        <f t="shared" si="5"/>
        <v>令和</v>
      </c>
      <c r="AJ100" s="27" t="str">
        <f t="shared" si="5"/>
        <v>令和</v>
      </c>
    </row>
    <row r="101" spans="20:36" x14ac:dyDescent="0.15">
      <c r="U101" s="28">
        <f>IF(U$100="令和",U$94-2018,IF(U$100="平成",U$94-1988,U$94-1989+64))</f>
        <v>3</v>
      </c>
      <c r="V101" s="28">
        <f t="shared" ref="V101:AJ101" si="6">IF(V$100="令和",V$94-2018,IF(V$100="平成",V$94-1988,V$94-1989+64))</f>
        <v>3</v>
      </c>
      <c r="W101" s="28">
        <f t="shared" si="6"/>
        <v>3</v>
      </c>
      <c r="X101" s="28">
        <f t="shared" si="6"/>
        <v>3</v>
      </c>
      <c r="Y101" s="28">
        <f t="shared" si="6"/>
        <v>3</v>
      </c>
      <c r="Z101" s="28">
        <f t="shared" si="6"/>
        <v>3</v>
      </c>
      <c r="AA101" s="28">
        <f t="shared" si="6"/>
        <v>3</v>
      </c>
      <c r="AB101" s="28">
        <f t="shared" si="6"/>
        <v>3</v>
      </c>
      <c r="AC101" s="28">
        <f t="shared" si="6"/>
        <v>3</v>
      </c>
      <c r="AD101" s="28">
        <f t="shared" si="6"/>
        <v>3</v>
      </c>
      <c r="AE101" s="28">
        <f t="shared" si="6"/>
        <v>3</v>
      </c>
      <c r="AF101" s="28">
        <f t="shared" si="6"/>
        <v>3</v>
      </c>
      <c r="AG101" s="28">
        <f t="shared" si="6"/>
        <v>3</v>
      </c>
      <c r="AH101" s="28">
        <f t="shared" si="6"/>
        <v>3</v>
      </c>
      <c r="AI101" s="28">
        <f t="shared" si="6"/>
        <v>3</v>
      </c>
      <c r="AJ101" s="28">
        <f t="shared" si="6"/>
        <v>3</v>
      </c>
    </row>
    <row r="103" spans="20:36" x14ac:dyDescent="0.15">
      <c r="T103" s="37" t="s">
        <v>402</v>
      </c>
    </row>
    <row r="104" spans="20:36" x14ac:dyDescent="0.15">
      <c r="T104" s="33" t="s">
        <v>403</v>
      </c>
      <c r="U104" s="1">
        <v>2022</v>
      </c>
    </row>
    <row r="105" spans="20:36" x14ac:dyDescent="0.15">
      <c r="T105" s="33" t="s">
        <v>82</v>
      </c>
      <c r="U105" s="1">
        <v>12</v>
      </c>
      <c r="Z105" t="s">
        <v>518</v>
      </c>
    </row>
    <row r="106" spans="20:36" x14ac:dyDescent="0.15">
      <c r="T106" s="33" t="s">
        <v>83</v>
      </c>
      <c r="U106" s="1">
        <v>1</v>
      </c>
      <c r="Z106" s="40" t="s">
        <v>421</v>
      </c>
      <c r="AA106" s="5" t="s">
        <v>423</v>
      </c>
      <c r="AB106" s="5" t="s">
        <v>424</v>
      </c>
      <c r="AC106" s="5" t="s">
        <v>425</v>
      </c>
      <c r="AE106" s="40" t="s">
        <v>427</v>
      </c>
      <c r="AF106" s="5" t="s">
        <v>423</v>
      </c>
      <c r="AG106" s="5" t="s">
        <v>424</v>
      </c>
      <c r="AH106" s="5" t="s">
        <v>425</v>
      </c>
    </row>
    <row r="107" spans="20:36" x14ac:dyDescent="0.15">
      <c r="Z107" s="14">
        <v>480</v>
      </c>
      <c r="AA107" s="38" t="s">
        <v>422</v>
      </c>
      <c r="AB107" s="1">
        <v>2019</v>
      </c>
      <c r="AC107" s="1">
        <v>1</v>
      </c>
      <c r="AE107" s="14">
        <v>270</v>
      </c>
      <c r="AF107" s="38" t="s">
        <v>428</v>
      </c>
      <c r="AG107" s="1">
        <v>2021</v>
      </c>
      <c r="AH107" s="1">
        <v>11</v>
      </c>
    </row>
    <row r="108" spans="20:36" x14ac:dyDescent="0.15">
      <c r="Z108" s="14">
        <f t="shared" ref="Z108" si="7">Z107-5</f>
        <v>475</v>
      </c>
      <c r="AA108" s="38" t="s">
        <v>422</v>
      </c>
      <c r="AB108" s="1">
        <v>2019</v>
      </c>
      <c r="AC108" s="1">
        <v>1</v>
      </c>
      <c r="AE108" s="14">
        <f t="shared" ref="AE108:AE118" si="8">AE107-5</f>
        <v>265</v>
      </c>
      <c r="AF108" s="38" t="s">
        <v>428</v>
      </c>
      <c r="AG108" s="1">
        <v>2021</v>
      </c>
      <c r="AH108" s="1">
        <v>11</v>
      </c>
    </row>
    <row r="109" spans="20:36" x14ac:dyDescent="0.15">
      <c r="T109" s="10" t="s">
        <v>404</v>
      </c>
      <c r="U109" s="38" t="s">
        <v>523</v>
      </c>
      <c r="Z109" s="14">
        <f t="shared" ref="Z109:Z172" si="9">Z108-5</f>
        <v>470</v>
      </c>
      <c r="AA109" s="38" t="s">
        <v>422</v>
      </c>
      <c r="AB109" s="1">
        <v>2019</v>
      </c>
      <c r="AC109" s="1">
        <v>1</v>
      </c>
      <c r="AE109" s="14">
        <f t="shared" si="8"/>
        <v>260</v>
      </c>
      <c r="AF109" s="38" t="s">
        <v>428</v>
      </c>
      <c r="AG109" s="1">
        <v>2021</v>
      </c>
      <c r="AH109" s="1">
        <v>11</v>
      </c>
    </row>
    <row r="110" spans="20:36" x14ac:dyDescent="0.15">
      <c r="Z110" s="14">
        <f t="shared" si="9"/>
        <v>465</v>
      </c>
      <c r="AA110" s="38" t="s">
        <v>422</v>
      </c>
      <c r="AB110" s="1">
        <v>2019</v>
      </c>
      <c r="AC110" s="1">
        <v>1</v>
      </c>
      <c r="AE110" s="14">
        <f t="shared" si="8"/>
        <v>255</v>
      </c>
      <c r="AF110" s="38" t="s">
        <v>428</v>
      </c>
      <c r="AG110" s="1">
        <v>2021</v>
      </c>
      <c r="AH110" s="1">
        <v>11</v>
      </c>
    </row>
    <row r="111" spans="20:36" x14ac:dyDescent="0.15">
      <c r="Z111" s="14">
        <f t="shared" si="9"/>
        <v>460</v>
      </c>
      <c r="AA111" s="38" t="s">
        <v>422</v>
      </c>
      <c r="AB111" s="1">
        <v>2019</v>
      </c>
      <c r="AC111" s="1">
        <v>1</v>
      </c>
      <c r="AE111" s="14">
        <f t="shared" si="8"/>
        <v>250</v>
      </c>
      <c r="AF111" s="38" t="s">
        <v>428</v>
      </c>
      <c r="AG111" s="1">
        <v>2021</v>
      </c>
      <c r="AH111" s="1">
        <v>11</v>
      </c>
    </row>
    <row r="112" spans="20:36" x14ac:dyDescent="0.15">
      <c r="Z112" s="14">
        <f t="shared" si="9"/>
        <v>455</v>
      </c>
      <c r="AA112" s="38" t="s">
        <v>422</v>
      </c>
      <c r="AB112" s="1">
        <v>2019</v>
      </c>
      <c r="AC112" s="1">
        <v>1</v>
      </c>
      <c r="AE112" s="14">
        <f t="shared" si="8"/>
        <v>245</v>
      </c>
      <c r="AF112" s="38" t="s">
        <v>428</v>
      </c>
      <c r="AG112" s="1">
        <v>2021</v>
      </c>
      <c r="AH112" s="1">
        <v>11</v>
      </c>
    </row>
    <row r="113" spans="26:34" x14ac:dyDescent="0.15">
      <c r="Z113" s="14">
        <f t="shared" si="9"/>
        <v>450</v>
      </c>
      <c r="AA113" s="38" t="s">
        <v>422</v>
      </c>
      <c r="AB113" s="1">
        <v>2019</v>
      </c>
      <c r="AC113" s="1">
        <v>1</v>
      </c>
      <c r="AE113" s="14">
        <f t="shared" si="8"/>
        <v>240</v>
      </c>
      <c r="AF113" s="38" t="s">
        <v>428</v>
      </c>
      <c r="AG113" s="1">
        <v>2021</v>
      </c>
      <c r="AH113" s="1">
        <v>11</v>
      </c>
    </row>
    <row r="114" spans="26:34" x14ac:dyDescent="0.15">
      <c r="Z114" s="14">
        <f t="shared" si="9"/>
        <v>445</v>
      </c>
      <c r="AA114" s="38" t="s">
        <v>422</v>
      </c>
      <c r="AB114" s="1">
        <v>2019</v>
      </c>
      <c r="AC114" s="1">
        <v>1</v>
      </c>
      <c r="AE114" s="14">
        <f t="shared" si="8"/>
        <v>235</v>
      </c>
      <c r="AF114" s="38" t="s">
        <v>428</v>
      </c>
      <c r="AG114" s="1">
        <v>2021</v>
      </c>
      <c r="AH114" s="1">
        <v>11</v>
      </c>
    </row>
    <row r="115" spans="26:34" x14ac:dyDescent="0.15">
      <c r="Z115" s="14">
        <f t="shared" si="9"/>
        <v>440</v>
      </c>
      <c r="AA115" s="38" t="s">
        <v>422</v>
      </c>
      <c r="AB115" s="1">
        <v>2019</v>
      </c>
      <c r="AC115" s="1">
        <v>1</v>
      </c>
      <c r="AE115" s="14">
        <f t="shared" si="8"/>
        <v>230</v>
      </c>
      <c r="AF115" s="38" t="s">
        <v>428</v>
      </c>
      <c r="AG115" s="1">
        <v>2021</v>
      </c>
      <c r="AH115" s="1">
        <v>11</v>
      </c>
    </row>
    <row r="116" spans="26:34" x14ac:dyDescent="0.15">
      <c r="Z116" s="14">
        <f t="shared" si="9"/>
        <v>435</v>
      </c>
      <c r="AA116" s="38" t="s">
        <v>422</v>
      </c>
      <c r="AB116" s="1">
        <v>2019</v>
      </c>
      <c r="AC116" s="1">
        <v>1</v>
      </c>
      <c r="AE116" s="14">
        <f t="shared" si="8"/>
        <v>225</v>
      </c>
      <c r="AF116" s="38" t="s">
        <v>428</v>
      </c>
      <c r="AG116" s="1">
        <v>2021</v>
      </c>
      <c r="AH116" s="1">
        <v>11</v>
      </c>
    </row>
    <row r="117" spans="26:34" x14ac:dyDescent="0.15">
      <c r="Z117" s="14">
        <f t="shared" si="9"/>
        <v>430</v>
      </c>
      <c r="AA117" s="38" t="s">
        <v>422</v>
      </c>
      <c r="AB117" s="1">
        <v>2019</v>
      </c>
      <c r="AC117" s="1">
        <v>1</v>
      </c>
      <c r="AE117" s="14">
        <f t="shared" si="8"/>
        <v>220</v>
      </c>
      <c r="AF117" s="38" t="s">
        <v>428</v>
      </c>
      <c r="AG117" s="1">
        <v>2021</v>
      </c>
      <c r="AH117" s="1">
        <v>11</v>
      </c>
    </row>
    <row r="118" spans="26:34" x14ac:dyDescent="0.15">
      <c r="Z118" s="14">
        <f t="shared" si="9"/>
        <v>425</v>
      </c>
      <c r="AA118" s="38" t="s">
        <v>422</v>
      </c>
      <c r="AB118" s="1">
        <v>2019</v>
      </c>
      <c r="AC118" s="1">
        <v>1</v>
      </c>
      <c r="AE118" s="14">
        <f t="shared" si="8"/>
        <v>215</v>
      </c>
      <c r="AF118" s="38" t="s">
        <v>428</v>
      </c>
      <c r="AG118" s="1">
        <v>2021</v>
      </c>
      <c r="AH118" s="1">
        <v>11</v>
      </c>
    </row>
    <row r="119" spans="26:34" x14ac:dyDescent="0.15">
      <c r="Z119" s="14">
        <f t="shared" si="9"/>
        <v>420</v>
      </c>
      <c r="AA119" s="38" t="s">
        <v>422</v>
      </c>
      <c r="AB119" s="1">
        <v>2019</v>
      </c>
      <c r="AC119" s="1">
        <v>1</v>
      </c>
      <c r="AE119" s="14">
        <f t="shared" ref="AE119:AE120" si="10">AE118-5</f>
        <v>210</v>
      </c>
      <c r="AF119" s="38" t="s">
        <v>428</v>
      </c>
      <c r="AG119" s="1">
        <v>2021</v>
      </c>
      <c r="AH119" s="1">
        <v>11</v>
      </c>
    </row>
    <row r="120" spans="26:34" x14ac:dyDescent="0.15">
      <c r="Z120" s="14">
        <f t="shared" si="9"/>
        <v>415</v>
      </c>
      <c r="AA120" s="38" t="s">
        <v>422</v>
      </c>
      <c r="AB120" s="1">
        <v>2019</v>
      </c>
      <c r="AC120" s="1">
        <v>1</v>
      </c>
      <c r="AE120" s="14">
        <f t="shared" si="10"/>
        <v>205</v>
      </c>
      <c r="AF120" s="38" t="s">
        <v>428</v>
      </c>
      <c r="AG120" s="1">
        <v>2021</v>
      </c>
      <c r="AH120" s="1">
        <v>11</v>
      </c>
    </row>
    <row r="121" spans="26:34" x14ac:dyDescent="0.15">
      <c r="Z121" s="14">
        <f t="shared" si="9"/>
        <v>410</v>
      </c>
      <c r="AA121" s="38" t="s">
        <v>422</v>
      </c>
      <c r="AB121" s="1">
        <v>2019</v>
      </c>
      <c r="AC121" s="1">
        <v>1</v>
      </c>
      <c r="AE121" s="14">
        <f t="shared" ref="AE121:AE159" si="11">AE120-5</f>
        <v>200</v>
      </c>
      <c r="AF121" s="38" t="s">
        <v>428</v>
      </c>
      <c r="AG121" s="1">
        <v>2021</v>
      </c>
      <c r="AH121" s="1">
        <v>1</v>
      </c>
    </row>
    <row r="122" spans="26:34" x14ac:dyDescent="0.15">
      <c r="Z122" s="14">
        <f t="shared" si="9"/>
        <v>405</v>
      </c>
      <c r="AA122" s="38" t="s">
        <v>422</v>
      </c>
      <c r="AB122" s="1">
        <v>2019</v>
      </c>
      <c r="AC122" s="1">
        <v>1</v>
      </c>
      <c r="AE122" s="14">
        <f t="shared" si="11"/>
        <v>195</v>
      </c>
      <c r="AF122" s="38" t="s">
        <v>428</v>
      </c>
      <c r="AG122" s="1">
        <v>2021</v>
      </c>
      <c r="AH122" s="1">
        <v>1</v>
      </c>
    </row>
    <row r="123" spans="26:34" x14ac:dyDescent="0.15">
      <c r="Z123" s="14">
        <f t="shared" si="9"/>
        <v>400</v>
      </c>
      <c r="AA123" s="38" t="s">
        <v>422</v>
      </c>
      <c r="AB123" s="1">
        <v>2019</v>
      </c>
      <c r="AC123" s="1">
        <v>1</v>
      </c>
      <c r="AE123" s="14">
        <f t="shared" si="11"/>
        <v>190</v>
      </c>
      <c r="AF123" s="38" t="s">
        <v>428</v>
      </c>
      <c r="AG123" s="1">
        <v>2021</v>
      </c>
      <c r="AH123" s="1">
        <v>1</v>
      </c>
    </row>
    <row r="124" spans="26:34" x14ac:dyDescent="0.15">
      <c r="Z124" s="14">
        <f t="shared" si="9"/>
        <v>395</v>
      </c>
      <c r="AA124" s="38" t="s">
        <v>422</v>
      </c>
      <c r="AB124" s="1">
        <v>2018</v>
      </c>
      <c r="AC124" s="1">
        <v>1</v>
      </c>
      <c r="AE124" s="14">
        <f t="shared" si="11"/>
        <v>185</v>
      </c>
      <c r="AF124" s="38" t="s">
        <v>428</v>
      </c>
      <c r="AG124" s="1">
        <v>2021</v>
      </c>
      <c r="AH124" s="1">
        <v>1</v>
      </c>
    </row>
    <row r="125" spans="26:34" x14ac:dyDescent="0.15">
      <c r="Z125" s="14">
        <f t="shared" si="9"/>
        <v>390</v>
      </c>
      <c r="AA125" s="38" t="s">
        <v>422</v>
      </c>
      <c r="AB125" s="1">
        <v>2018</v>
      </c>
      <c r="AC125" s="1">
        <v>1</v>
      </c>
      <c r="AE125" s="14">
        <f t="shared" si="11"/>
        <v>180</v>
      </c>
      <c r="AF125" s="38" t="s">
        <v>428</v>
      </c>
      <c r="AG125" s="1">
        <v>2021</v>
      </c>
      <c r="AH125" s="1">
        <v>1</v>
      </c>
    </row>
    <row r="126" spans="26:34" x14ac:dyDescent="0.15">
      <c r="Z126" s="14">
        <f t="shared" si="9"/>
        <v>385</v>
      </c>
      <c r="AA126" s="38" t="s">
        <v>422</v>
      </c>
      <c r="AB126" s="1">
        <v>2018</v>
      </c>
      <c r="AC126" s="1">
        <v>1</v>
      </c>
      <c r="AE126" s="14">
        <f t="shared" si="11"/>
        <v>175</v>
      </c>
      <c r="AF126" s="38" t="s">
        <v>428</v>
      </c>
      <c r="AG126" s="1">
        <v>2021</v>
      </c>
      <c r="AH126" s="1">
        <v>1</v>
      </c>
    </row>
    <row r="127" spans="26:34" x14ac:dyDescent="0.15">
      <c r="Z127" s="14">
        <f t="shared" si="9"/>
        <v>380</v>
      </c>
      <c r="AA127" s="38" t="s">
        <v>422</v>
      </c>
      <c r="AB127" s="1">
        <v>2018</v>
      </c>
      <c r="AC127" s="1">
        <v>1</v>
      </c>
      <c r="AE127" s="14">
        <f t="shared" si="11"/>
        <v>170</v>
      </c>
      <c r="AF127" s="38" t="s">
        <v>428</v>
      </c>
      <c r="AG127" s="1">
        <v>2021</v>
      </c>
      <c r="AH127" s="1">
        <v>1</v>
      </c>
    </row>
    <row r="128" spans="26:34" x14ac:dyDescent="0.15">
      <c r="Z128" s="14">
        <f t="shared" si="9"/>
        <v>375</v>
      </c>
      <c r="AA128" s="38" t="s">
        <v>422</v>
      </c>
      <c r="AB128" s="1">
        <v>2018</v>
      </c>
      <c r="AC128" s="1">
        <v>1</v>
      </c>
      <c r="AE128" s="14">
        <f t="shared" si="11"/>
        <v>165</v>
      </c>
      <c r="AF128" s="38" t="s">
        <v>428</v>
      </c>
      <c r="AG128" s="1">
        <v>2021</v>
      </c>
      <c r="AH128" s="1">
        <v>1</v>
      </c>
    </row>
    <row r="129" spans="26:34" x14ac:dyDescent="0.15">
      <c r="Z129" s="14">
        <f t="shared" si="9"/>
        <v>370</v>
      </c>
      <c r="AA129" s="38" t="s">
        <v>422</v>
      </c>
      <c r="AB129" s="1">
        <v>2018</v>
      </c>
      <c r="AC129" s="1">
        <v>1</v>
      </c>
      <c r="AE129" s="14">
        <f t="shared" si="11"/>
        <v>160</v>
      </c>
      <c r="AF129" s="38" t="s">
        <v>428</v>
      </c>
      <c r="AG129" s="1">
        <v>2021</v>
      </c>
      <c r="AH129" s="1">
        <v>1</v>
      </c>
    </row>
    <row r="130" spans="26:34" x14ac:dyDescent="0.15">
      <c r="Z130" s="14">
        <f t="shared" si="9"/>
        <v>365</v>
      </c>
      <c r="AA130" s="38" t="s">
        <v>422</v>
      </c>
      <c r="AB130" s="1">
        <v>2018</v>
      </c>
      <c r="AC130" s="1">
        <v>1</v>
      </c>
      <c r="AE130" s="14">
        <f t="shared" si="11"/>
        <v>155</v>
      </c>
      <c r="AF130" s="38" t="s">
        <v>428</v>
      </c>
      <c r="AG130" s="2">
        <v>2018</v>
      </c>
      <c r="AH130" s="2">
        <v>1</v>
      </c>
    </row>
    <row r="131" spans="26:34" x14ac:dyDescent="0.15">
      <c r="Z131" s="14">
        <f t="shared" si="9"/>
        <v>360</v>
      </c>
      <c r="AA131" s="38" t="s">
        <v>422</v>
      </c>
      <c r="AB131" s="1">
        <v>2018</v>
      </c>
      <c r="AC131" s="1">
        <v>1</v>
      </c>
      <c r="AE131" s="14">
        <f t="shared" si="11"/>
        <v>150</v>
      </c>
      <c r="AF131" s="38" t="s">
        <v>428</v>
      </c>
      <c r="AG131" s="2">
        <v>2018</v>
      </c>
      <c r="AH131" s="2">
        <v>1</v>
      </c>
    </row>
    <row r="132" spans="26:34" x14ac:dyDescent="0.15">
      <c r="Z132" s="14">
        <f t="shared" si="9"/>
        <v>355</v>
      </c>
      <c r="AA132" s="38" t="s">
        <v>422</v>
      </c>
      <c r="AB132" s="1">
        <v>2018</v>
      </c>
      <c r="AC132" s="1">
        <v>1</v>
      </c>
      <c r="AE132" s="14">
        <f t="shared" si="11"/>
        <v>145</v>
      </c>
      <c r="AF132" s="38" t="s">
        <v>428</v>
      </c>
      <c r="AG132" s="2">
        <v>2018</v>
      </c>
      <c r="AH132" s="2">
        <v>1</v>
      </c>
    </row>
    <row r="133" spans="26:34" x14ac:dyDescent="0.15">
      <c r="Z133" s="14">
        <f t="shared" si="9"/>
        <v>350</v>
      </c>
      <c r="AA133" s="38" t="s">
        <v>422</v>
      </c>
      <c r="AB133" s="1">
        <v>2017</v>
      </c>
      <c r="AC133" s="1">
        <v>1</v>
      </c>
      <c r="AE133" s="41">
        <f>AE132</f>
        <v>145</v>
      </c>
      <c r="AF133" s="42" t="s">
        <v>429</v>
      </c>
      <c r="AG133" s="2">
        <v>2019</v>
      </c>
      <c r="AH133" s="2">
        <v>1</v>
      </c>
    </row>
    <row r="134" spans="26:34" x14ac:dyDescent="0.15">
      <c r="Z134" s="14">
        <f t="shared" si="9"/>
        <v>345</v>
      </c>
      <c r="AA134" s="38" t="s">
        <v>422</v>
      </c>
      <c r="AB134" s="1">
        <v>2017</v>
      </c>
      <c r="AC134" s="1">
        <v>1</v>
      </c>
      <c r="AE134" s="14">
        <f t="shared" si="11"/>
        <v>140</v>
      </c>
      <c r="AF134" s="42" t="s">
        <v>429</v>
      </c>
      <c r="AG134" s="2">
        <v>2019</v>
      </c>
      <c r="AH134" s="2">
        <v>1</v>
      </c>
    </row>
    <row r="135" spans="26:34" x14ac:dyDescent="0.15">
      <c r="Z135" s="14">
        <f t="shared" si="9"/>
        <v>340</v>
      </c>
      <c r="AA135" s="38" t="s">
        <v>422</v>
      </c>
      <c r="AB135" s="1">
        <v>2017</v>
      </c>
      <c r="AC135" s="1">
        <v>1</v>
      </c>
      <c r="AE135" s="14">
        <f t="shared" si="11"/>
        <v>135</v>
      </c>
      <c r="AF135" s="42" t="s">
        <v>429</v>
      </c>
      <c r="AG135" s="2">
        <v>2019</v>
      </c>
      <c r="AH135" s="2">
        <v>1</v>
      </c>
    </row>
    <row r="136" spans="26:34" x14ac:dyDescent="0.15">
      <c r="Z136" s="14">
        <f t="shared" si="9"/>
        <v>335</v>
      </c>
      <c r="AA136" s="38" t="s">
        <v>422</v>
      </c>
      <c r="AB136" s="1">
        <v>2017</v>
      </c>
      <c r="AC136" s="1">
        <v>1</v>
      </c>
      <c r="AE136" s="14">
        <f t="shared" si="11"/>
        <v>130</v>
      </c>
      <c r="AF136" s="42" t="s">
        <v>429</v>
      </c>
      <c r="AG136" s="2">
        <v>2019</v>
      </c>
      <c r="AH136" s="2">
        <v>1</v>
      </c>
    </row>
    <row r="137" spans="26:34" x14ac:dyDescent="0.15">
      <c r="Z137" s="14">
        <f t="shared" si="9"/>
        <v>330</v>
      </c>
      <c r="AA137" s="38" t="s">
        <v>422</v>
      </c>
      <c r="AB137" s="1">
        <v>2017</v>
      </c>
      <c r="AC137" s="1">
        <v>1</v>
      </c>
      <c r="AE137" s="14">
        <f t="shared" si="11"/>
        <v>125</v>
      </c>
      <c r="AF137" s="42" t="s">
        <v>429</v>
      </c>
      <c r="AG137" s="2">
        <v>2019</v>
      </c>
      <c r="AH137" s="2">
        <v>1</v>
      </c>
    </row>
    <row r="138" spans="26:34" x14ac:dyDescent="0.15">
      <c r="Z138" s="14">
        <f t="shared" si="9"/>
        <v>325</v>
      </c>
      <c r="AA138" s="38" t="s">
        <v>422</v>
      </c>
      <c r="AB138" s="1">
        <v>2017</v>
      </c>
      <c r="AC138" s="1">
        <v>1</v>
      </c>
      <c r="AE138" s="14">
        <f t="shared" si="11"/>
        <v>120</v>
      </c>
      <c r="AF138" s="42" t="s">
        <v>429</v>
      </c>
      <c r="AG138" s="2">
        <v>2019</v>
      </c>
      <c r="AH138" s="2">
        <v>1</v>
      </c>
    </row>
    <row r="139" spans="26:34" x14ac:dyDescent="0.15">
      <c r="Z139" s="14">
        <f t="shared" si="9"/>
        <v>320</v>
      </c>
      <c r="AA139" s="38" t="s">
        <v>422</v>
      </c>
      <c r="AB139" s="1">
        <v>2017</v>
      </c>
      <c r="AC139" s="1">
        <v>1</v>
      </c>
      <c r="AE139" s="14">
        <f t="shared" si="11"/>
        <v>115</v>
      </c>
      <c r="AF139" s="42" t="s">
        <v>429</v>
      </c>
      <c r="AG139" s="2">
        <v>2015</v>
      </c>
      <c r="AH139" s="2">
        <v>1</v>
      </c>
    </row>
    <row r="140" spans="26:34" x14ac:dyDescent="0.15">
      <c r="Z140" s="14">
        <f t="shared" si="9"/>
        <v>315</v>
      </c>
      <c r="AA140" s="38" t="s">
        <v>422</v>
      </c>
      <c r="AB140" s="1">
        <v>2017</v>
      </c>
      <c r="AC140" s="1">
        <v>1</v>
      </c>
      <c r="AE140" s="14">
        <f t="shared" si="11"/>
        <v>110</v>
      </c>
      <c r="AF140" s="42" t="s">
        <v>429</v>
      </c>
      <c r="AG140" s="2">
        <v>2015</v>
      </c>
      <c r="AH140" s="2">
        <v>1</v>
      </c>
    </row>
    <row r="141" spans="26:34" x14ac:dyDescent="0.15">
      <c r="Z141" s="14">
        <f t="shared" si="9"/>
        <v>310</v>
      </c>
      <c r="AA141" s="38" t="s">
        <v>422</v>
      </c>
      <c r="AB141" s="1">
        <v>2017</v>
      </c>
      <c r="AC141" s="1">
        <v>1</v>
      </c>
      <c r="AE141" s="14">
        <f t="shared" si="11"/>
        <v>105</v>
      </c>
      <c r="AF141" s="42" t="s">
        <v>429</v>
      </c>
      <c r="AG141" s="2">
        <v>2015</v>
      </c>
      <c r="AH141" s="2">
        <v>1</v>
      </c>
    </row>
    <row r="142" spans="26:34" x14ac:dyDescent="0.15">
      <c r="Z142" s="14">
        <f t="shared" si="9"/>
        <v>305</v>
      </c>
      <c r="AA142" s="38" t="s">
        <v>422</v>
      </c>
      <c r="AB142" s="1">
        <v>2017</v>
      </c>
      <c r="AC142" s="1">
        <v>1</v>
      </c>
      <c r="AE142" s="14">
        <f t="shared" si="11"/>
        <v>100</v>
      </c>
      <c r="AF142" s="42" t="s">
        <v>429</v>
      </c>
      <c r="AG142" s="2">
        <v>2015</v>
      </c>
      <c r="AH142" s="2">
        <v>1</v>
      </c>
    </row>
    <row r="143" spans="26:34" x14ac:dyDescent="0.15">
      <c r="Z143" s="14">
        <f t="shared" si="9"/>
        <v>300</v>
      </c>
      <c r="AA143" s="38" t="s">
        <v>422</v>
      </c>
      <c r="AB143" s="1">
        <v>2017</v>
      </c>
      <c r="AC143" s="1">
        <v>1</v>
      </c>
      <c r="AE143" s="14">
        <f t="shared" si="11"/>
        <v>95</v>
      </c>
      <c r="AF143" s="42" t="s">
        <v>429</v>
      </c>
      <c r="AG143" s="2">
        <v>2015</v>
      </c>
      <c r="AH143" s="2">
        <v>1</v>
      </c>
    </row>
    <row r="144" spans="26:34" x14ac:dyDescent="0.15">
      <c r="Z144" s="14">
        <f t="shared" si="9"/>
        <v>295</v>
      </c>
      <c r="AA144" s="38" t="s">
        <v>422</v>
      </c>
      <c r="AB144" s="1">
        <v>2016</v>
      </c>
      <c r="AC144" s="1">
        <v>1</v>
      </c>
      <c r="AE144" s="14">
        <f t="shared" si="11"/>
        <v>90</v>
      </c>
      <c r="AF144" s="42" t="s">
        <v>429</v>
      </c>
      <c r="AG144" s="2">
        <v>2015</v>
      </c>
      <c r="AH144" s="2">
        <v>1</v>
      </c>
    </row>
    <row r="145" spans="26:34" x14ac:dyDescent="0.15">
      <c r="Z145" s="14">
        <f t="shared" si="9"/>
        <v>290</v>
      </c>
      <c r="AA145" s="38" t="s">
        <v>422</v>
      </c>
      <c r="AB145" s="1">
        <v>2016</v>
      </c>
      <c r="AC145" s="1">
        <v>1</v>
      </c>
      <c r="AE145" s="14">
        <f t="shared" si="11"/>
        <v>85</v>
      </c>
      <c r="AF145" s="42" t="s">
        <v>429</v>
      </c>
      <c r="AG145" s="2">
        <v>2013</v>
      </c>
      <c r="AH145" s="2">
        <v>1</v>
      </c>
    </row>
    <row r="146" spans="26:34" x14ac:dyDescent="0.15">
      <c r="Z146" s="14">
        <f t="shared" si="9"/>
        <v>285</v>
      </c>
      <c r="AA146" s="38" t="s">
        <v>422</v>
      </c>
      <c r="AB146" s="1">
        <v>2016</v>
      </c>
      <c r="AC146" s="1">
        <v>1</v>
      </c>
      <c r="AE146" s="14">
        <f t="shared" si="11"/>
        <v>80</v>
      </c>
      <c r="AF146" s="42" t="s">
        <v>429</v>
      </c>
      <c r="AG146" s="2">
        <v>2013</v>
      </c>
      <c r="AH146" s="2">
        <v>1</v>
      </c>
    </row>
    <row r="147" spans="26:34" x14ac:dyDescent="0.15">
      <c r="Z147" s="14">
        <f t="shared" si="9"/>
        <v>280</v>
      </c>
      <c r="AA147" s="38" t="s">
        <v>422</v>
      </c>
      <c r="AB147" s="1">
        <v>2016</v>
      </c>
      <c r="AC147" s="1">
        <v>1</v>
      </c>
      <c r="AE147" s="14">
        <f t="shared" si="11"/>
        <v>75</v>
      </c>
      <c r="AF147" s="42" t="s">
        <v>429</v>
      </c>
      <c r="AG147" s="2">
        <v>2013</v>
      </c>
      <c r="AH147" s="2">
        <v>1</v>
      </c>
    </row>
    <row r="148" spans="26:34" x14ac:dyDescent="0.15">
      <c r="Z148" s="14">
        <f t="shared" si="9"/>
        <v>275</v>
      </c>
      <c r="AA148" s="38" t="s">
        <v>422</v>
      </c>
      <c r="AB148" s="1">
        <v>2016</v>
      </c>
      <c r="AC148" s="1">
        <v>1</v>
      </c>
      <c r="AE148" s="14">
        <f t="shared" si="11"/>
        <v>70</v>
      </c>
      <c r="AF148" s="42" t="s">
        <v>429</v>
      </c>
      <c r="AG148" s="2">
        <v>2013</v>
      </c>
      <c r="AH148" s="2">
        <v>1</v>
      </c>
    </row>
    <row r="149" spans="26:34" x14ac:dyDescent="0.15">
      <c r="Z149" s="14">
        <f t="shared" si="9"/>
        <v>270</v>
      </c>
      <c r="AA149" s="38" t="s">
        <v>422</v>
      </c>
      <c r="AB149" s="1">
        <v>2016</v>
      </c>
      <c r="AC149" s="1">
        <v>1</v>
      </c>
      <c r="AE149" s="14">
        <v>70</v>
      </c>
      <c r="AF149" s="38" t="s">
        <v>430</v>
      </c>
      <c r="AG149" s="2">
        <v>2018</v>
      </c>
      <c r="AH149" s="2">
        <v>1</v>
      </c>
    </row>
    <row r="150" spans="26:34" x14ac:dyDescent="0.15">
      <c r="Z150" s="14">
        <f t="shared" si="9"/>
        <v>265</v>
      </c>
      <c r="AA150" s="38" t="s">
        <v>422</v>
      </c>
      <c r="AB150" s="1">
        <v>2016</v>
      </c>
      <c r="AC150" s="1">
        <v>1</v>
      </c>
      <c r="AE150" s="14">
        <f>AE148-5</f>
        <v>65</v>
      </c>
      <c r="AF150" s="38" t="s">
        <v>430</v>
      </c>
      <c r="AG150" s="2">
        <v>2018</v>
      </c>
      <c r="AH150" s="2">
        <v>1</v>
      </c>
    </row>
    <row r="151" spans="26:34" x14ac:dyDescent="0.15">
      <c r="Z151" s="14">
        <f t="shared" si="9"/>
        <v>260</v>
      </c>
      <c r="AA151" s="38" t="s">
        <v>422</v>
      </c>
      <c r="AB151" s="1">
        <v>2016</v>
      </c>
      <c r="AC151" s="1">
        <v>1</v>
      </c>
      <c r="AE151" s="14">
        <f t="shared" si="11"/>
        <v>60</v>
      </c>
      <c r="AF151" s="38" t="s">
        <v>430</v>
      </c>
      <c r="AG151" s="2">
        <v>2018</v>
      </c>
      <c r="AH151" s="2">
        <v>1</v>
      </c>
    </row>
    <row r="152" spans="26:34" x14ac:dyDescent="0.15">
      <c r="Z152" s="14">
        <f t="shared" si="9"/>
        <v>255</v>
      </c>
      <c r="AA152" s="38" t="s">
        <v>422</v>
      </c>
      <c r="AB152" s="1">
        <v>2016</v>
      </c>
      <c r="AC152" s="1">
        <v>1</v>
      </c>
      <c r="AE152" s="14">
        <f t="shared" si="11"/>
        <v>55</v>
      </c>
      <c r="AF152" s="38" t="s">
        <v>430</v>
      </c>
      <c r="AG152" s="2">
        <v>2018</v>
      </c>
      <c r="AH152" s="2">
        <v>1</v>
      </c>
    </row>
    <row r="153" spans="26:34" x14ac:dyDescent="0.15">
      <c r="Z153" s="14">
        <f t="shared" si="9"/>
        <v>250</v>
      </c>
      <c r="AA153" s="38" t="s">
        <v>422</v>
      </c>
      <c r="AB153" s="1">
        <v>2016</v>
      </c>
      <c r="AC153" s="1">
        <v>1</v>
      </c>
      <c r="AE153" s="14">
        <f t="shared" si="11"/>
        <v>50</v>
      </c>
      <c r="AF153" s="38" t="s">
        <v>430</v>
      </c>
      <c r="AG153" s="2">
        <v>2018</v>
      </c>
      <c r="AH153" s="2">
        <v>1</v>
      </c>
    </row>
    <row r="154" spans="26:34" x14ac:dyDescent="0.15">
      <c r="Z154" s="14">
        <f t="shared" si="9"/>
        <v>245</v>
      </c>
      <c r="AA154" s="38" t="s">
        <v>422</v>
      </c>
      <c r="AB154" s="1">
        <v>2015</v>
      </c>
      <c r="AC154" s="1">
        <v>1</v>
      </c>
      <c r="AE154" s="14">
        <f t="shared" si="11"/>
        <v>45</v>
      </c>
      <c r="AF154" s="38" t="s">
        <v>430</v>
      </c>
      <c r="AG154" s="2">
        <v>2016</v>
      </c>
      <c r="AH154" s="2">
        <v>1</v>
      </c>
    </row>
    <row r="155" spans="26:34" x14ac:dyDescent="0.15">
      <c r="Z155" s="14">
        <f t="shared" si="9"/>
        <v>240</v>
      </c>
      <c r="AA155" s="38" t="s">
        <v>422</v>
      </c>
      <c r="AB155" s="1">
        <v>2015</v>
      </c>
      <c r="AC155" s="1">
        <v>1</v>
      </c>
      <c r="AE155" s="14">
        <f t="shared" si="11"/>
        <v>40</v>
      </c>
      <c r="AF155" s="38" t="s">
        <v>430</v>
      </c>
      <c r="AG155" s="2">
        <v>2016</v>
      </c>
      <c r="AH155" s="2">
        <v>1</v>
      </c>
    </row>
    <row r="156" spans="26:34" x14ac:dyDescent="0.15">
      <c r="Z156" s="14">
        <f t="shared" si="9"/>
        <v>235</v>
      </c>
      <c r="AA156" s="38" t="s">
        <v>422</v>
      </c>
      <c r="AB156" s="1">
        <v>2015</v>
      </c>
      <c r="AC156" s="1">
        <v>1</v>
      </c>
      <c r="AE156" s="14">
        <f t="shared" si="11"/>
        <v>35</v>
      </c>
      <c r="AF156" s="38" t="s">
        <v>430</v>
      </c>
      <c r="AG156" s="2">
        <v>2012</v>
      </c>
      <c r="AH156" s="2">
        <v>1</v>
      </c>
    </row>
    <row r="157" spans="26:34" x14ac:dyDescent="0.15">
      <c r="Z157" s="14">
        <f t="shared" si="9"/>
        <v>230</v>
      </c>
      <c r="AA157" s="38" t="s">
        <v>422</v>
      </c>
      <c r="AB157" s="1">
        <v>2015</v>
      </c>
      <c r="AC157" s="1">
        <v>1</v>
      </c>
      <c r="AE157" s="14">
        <f t="shared" si="11"/>
        <v>30</v>
      </c>
      <c r="AF157" s="38" t="s">
        <v>430</v>
      </c>
      <c r="AG157" s="2">
        <v>2012</v>
      </c>
      <c r="AH157" s="2">
        <v>1</v>
      </c>
    </row>
    <row r="158" spans="26:34" x14ac:dyDescent="0.15">
      <c r="Z158" s="14">
        <f t="shared" si="9"/>
        <v>225</v>
      </c>
      <c r="AA158" s="38" t="s">
        <v>422</v>
      </c>
      <c r="AB158" s="1">
        <v>2015</v>
      </c>
      <c r="AC158" s="1">
        <v>1</v>
      </c>
      <c r="AE158" s="14">
        <f t="shared" si="11"/>
        <v>25</v>
      </c>
      <c r="AF158" s="38" t="s">
        <v>430</v>
      </c>
      <c r="AG158" s="2">
        <v>2012</v>
      </c>
      <c r="AH158" s="2">
        <v>1</v>
      </c>
    </row>
    <row r="159" spans="26:34" x14ac:dyDescent="0.15">
      <c r="Z159" s="14">
        <f t="shared" si="9"/>
        <v>220</v>
      </c>
      <c r="AA159" s="38" t="s">
        <v>422</v>
      </c>
      <c r="AB159" s="1">
        <v>2015</v>
      </c>
      <c r="AC159" s="1">
        <v>1</v>
      </c>
      <c r="AE159" s="14">
        <f t="shared" si="11"/>
        <v>20</v>
      </c>
      <c r="AF159" s="38" t="s">
        <v>430</v>
      </c>
      <c r="AG159" s="2">
        <v>2012</v>
      </c>
      <c r="AH159" s="2">
        <v>1</v>
      </c>
    </row>
    <row r="160" spans="26:34" x14ac:dyDescent="0.15">
      <c r="Z160" s="14">
        <f t="shared" si="9"/>
        <v>215</v>
      </c>
      <c r="AA160" s="38" t="s">
        <v>422</v>
      </c>
      <c r="AB160" s="1">
        <v>2015</v>
      </c>
      <c r="AC160" s="1">
        <v>1</v>
      </c>
    </row>
    <row r="161" spans="26:47" x14ac:dyDescent="0.15">
      <c r="Z161" s="14">
        <f t="shared" si="9"/>
        <v>210</v>
      </c>
      <c r="AA161" s="38" t="s">
        <v>422</v>
      </c>
      <c r="AB161" s="1">
        <v>2015</v>
      </c>
      <c r="AC161" s="1">
        <v>1</v>
      </c>
      <c r="AE161" s="10" t="s">
        <v>516</v>
      </c>
      <c r="AF161" t="s">
        <v>477</v>
      </c>
    </row>
    <row r="162" spans="26:47" x14ac:dyDescent="0.15">
      <c r="Z162" s="14">
        <f t="shared" si="9"/>
        <v>205</v>
      </c>
      <c r="AA162" s="38" t="s">
        <v>422</v>
      </c>
      <c r="AB162" s="1">
        <v>2015</v>
      </c>
      <c r="AC162" s="1">
        <v>1</v>
      </c>
    </row>
    <row r="163" spans="26:47" x14ac:dyDescent="0.15">
      <c r="Z163" s="14">
        <f t="shared" si="9"/>
        <v>200</v>
      </c>
      <c r="AA163" s="38" t="s">
        <v>422</v>
      </c>
      <c r="AB163" s="1">
        <v>2015</v>
      </c>
      <c r="AC163" s="1">
        <v>1</v>
      </c>
      <c r="AE163" s="45" t="s">
        <v>179</v>
      </c>
      <c r="AF163" s="46" t="s">
        <v>376</v>
      </c>
      <c r="AG163" s="46" t="s">
        <v>377</v>
      </c>
      <c r="AH163" s="46" t="s">
        <v>378</v>
      </c>
      <c r="AI163" s="46" t="s">
        <v>379</v>
      </c>
      <c r="AJ163" s="46" t="s">
        <v>380</v>
      </c>
      <c r="AK163" s="46" t="s">
        <v>381</v>
      </c>
      <c r="AL163" s="46" t="s">
        <v>382</v>
      </c>
      <c r="AM163" s="46" t="s">
        <v>383</v>
      </c>
      <c r="AN163" s="46" t="s">
        <v>384</v>
      </c>
      <c r="AO163" s="46" t="s">
        <v>385</v>
      </c>
      <c r="AP163" s="46" t="s">
        <v>386</v>
      </c>
      <c r="AQ163" s="46" t="s">
        <v>387</v>
      </c>
      <c r="AR163" s="46" t="s">
        <v>388</v>
      </c>
      <c r="AS163" s="46" t="s">
        <v>389</v>
      </c>
      <c r="AT163" s="46" t="s">
        <v>390</v>
      </c>
      <c r="AU163" s="46" t="s">
        <v>391</v>
      </c>
    </row>
    <row r="164" spans="26:47" x14ac:dyDescent="0.15">
      <c r="Z164" s="14">
        <f t="shared" si="9"/>
        <v>195</v>
      </c>
      <c r="AA164" s="38" t="s">
        <v>422</v>
      </c>
      <c r="AB164" s="1">
        <v>2014</v>
      </c>
      <c r="AC164" s="1">
        <v>1</v>
      </c>
      <c r="AE164" s="33">
        <f>U104-1</f>
        <v>2021</v>
      </c>
      <c r="AF164" s="38" t="s">
        <v>478</v>
      </c>
      <c r="AG164" s="38" t="s">
        <v>478</v>
      </c>
      <c r="AH164" s="38" t="s">
        <v>478</v>
      </c>
      <c r="AI164" s="38" t="s">
        <v>479</v>
      </c>
      <c r="AJ164" s="38" t="s">
        <v>479</v>
      </c>
      <c r="AK164" s="38" t="s">
        <v>480</v>
      </c>
      <c r="AL164" s="38" t="s">
        <v>481</v>
      </c>
      <c r="AM164" s="38" t="s">
        <v>482</v>
      </c>
      <c r="AN164" s="38" t="s">
        <v>397</v>
      </c>
      <c r="AO164" s="38" t="s">
        <v>397</v>
      </c>
      <c r="AP164" s="38" t="s">
        <v>449</v>
      </c>
      <c r="AQ164" s="38" t="s">
        <v>397</v>
      </c>
      <c r="AR164" s="38" t="s">
        <v>483</v>
      </c>
      <c r="AS164" s="38" t="s">
        <v>449</v>
      </c>
      <c r="AT164" s="38" t="s">
        <v>484</v>
      </c>
      <c r="AU164" s="38" t="s">
        <v>451</v>
      </c>
    </row>
    <row r="165" spans="26:47" x14ac:dyDescent="0.15">
      <c r="Z165" s="14">
        <f t="shared" si="9"/>
        <v>190</v>
      </c>
      <c r="AA165" s="38" t="s">
        <v>422</v>
      </c>
      <c r="AB165" s="1">
        <v>2014</v>
      </c>
      <c r="AC165" s="1">
        <v>1</v>
      </c>
      <c r="AE165" s="33">
        <f>AE164-1</f>
        <v>2020</v>
      </c>
      <c r="AF165" s="38" t="s">
        <v>478</v>
      </c>
      <c r="AG165" s="38" t="s">
        <v>478</v>
      </c>
      <c r="AH165" s="38" t="s">
        <v>478</v>
      </c>
      <c r="AI165" s="38" t="s">
        <v>479</v>
      </c>
      <c r="AJ165" s="38" t="s">
        <v>479</v>
      </c>
      <c r="AK165" s="38" t="s">
        <v>480</v>
      </c>
      <c r="AL165" s="38" t="s">
        <v>481</v>
      </c>
      <c r="AM165" s="38" t="s">
        <v>482</v>
      </c>
      <c r="AN165" s="38" t="s">
        <v>397</v>
      </c>
      <c r="AO165" s="38" t="s">
        <v>397</v>
      </c>
      <c r="AP165" s="38" t="s">
        <v>449</v>
      </c>
      <c r="AQ165" s="38" t="s">
        <v>397</v>
      </c>
      <c r="AR165" s="38" t="s">
        <v>483</v>
      </c>
      <c r="AS165" s="38" t="s">
        <v>449</v>
      </c>
      <c r="AT165" s="38" t="s">
        <v>484</v>
      </c>
      <c r="AU165" s="38" t="s">
        <v>451</v>
      </c>
    </row>
    <row r="166" spans="26:47" x14ac:dyDescent="0.15">
      <c r="Z166" s="14">
        <f t="shared" si="9"/>
        <v>185</v>
      </c>
      <c r="AA166" s="38" t="s">
        <v>422</v>
      </c>
      <c r="AB166" s="1">
        <v>2014</v>
      </c>
      <c r="AC166" s="1">
        <v>1</v>
      </c>
      <c r="AE166" s="33">
        <f t="shared" ref="AE166:AE168" si="12">AE165-1</f>
        <v>2019</v>
      </c>
      <c r="AF166" s="38" t="s">
        <v>478</v>
      </c>
      <c r="AG166" s="38" t="s">
        <v>478</v>
      </c>
      <c r="AH166" s="38" t="s">
        <v>478</v>
      </c>
      <c r="AI166" s="38" t="s">
        <v>479</v>
      </c>
      <c r="AJ166" s="38" t="s">
        <v>479</v>
      </c>
      <c r="AK166" s="38" t="s">
        <v>480</v>
      </c>
      <c r="AL166" s="38" t="s">
        <v>481</v>
      </c>
      <c r="AM166" s="38" t="s">
        <v>482</v>
      </c>
      <c r="AN166" s="38" t="s">
        <v>397</v>
      </c>
      <c r="AO166" s="38" t="s">
        <v>397</v>
      </c>
      <c r="AP166" s="38" t="s">
        <v>449</v>
      </c>
      <c r="AQ166" s="38" t="s">
        <v>397</v>
      </c>
      <c r="AR166" s="38" t="s">
        <v>483</v>
      </c>
      <c r="AS166" s="38" t="s">
        <v>449</v>
      </c>
      <c r="AT166" s="38" t="s">
        <v>484</v>
      </c>
      <c r="AU166" s="38" t="s">
        <v>451</v>
      </c>
    </row>
    <row r="167" spans="26:47" x14ac:dyDescent="0.15">
      <c r="Z167" s="14">
        <f t="shared" si="9"/>
        <v>180</v>
      </c>
      <c r="AA167" s="38" t="s">
        <v>422</v>
      </c>
      <c r="AB167" s="1">
        <v>2014</v>
      </c>
      <c r="AC167" s="1">
        <v>1</v>
      </c>
      <c r="AE167" s="33">
        <f t="shared" si="12"/>
        <v>2018</v>
      </c>
      <c r="AF167" s="38" t="s">
        <v>478</v>
      </c>
      <c r="AG167" s="38" t="s">
        <v>478</v>
      </c>
      <c r="AH167" s="38" t="s">
        <v>478</v>
      </c>
      <c r="AI167" s="38" t="s">
        <v>479</v>
      </c>
      <c r="AJ167" s="38" t="s">
        <v>479</v>
      </c>
      <c r="AK167" s="38" t="s">
        <v>480</v>
      </c>
      <c r="AL167" s="38" t="s">
        <v>481</v>
      </c>
      <c r="AM167" s="38" t="s">
        <v>482</v>
      </c>
      <c r="AN167" s="38" t="s">
        <v>397</v>
      </c>
      <c r="AO167" s="38" t="s">
        <v>397</v>
      </c>
      <c r="AP167" s="38" t="s">
        <v>449</v>
      </c>
      <c r="AQ167" s="38" t="s">
        <v>397</v>
      </c>
      <c r="AR167" s="38" t="s">
        <v>483</v>
      </c>
      <c r="AS167" s="38" t="s">
        <v>449</v>
      </c>
      <c r="AT167" s="38" t="s">
        <v>484</v>
      </c>
      <c r="AU167" s="38" t="s">
        <v>451</v>
      </c>
    </row>
    <row r="168" spans="26:47" x14ac:dyDescent="0.15">
      <c r="Z168" s="14">
        <f t="shared" si="9"/>
        <v>175</v>
      </c>
      <c r="AA168" s="38" t="s">
        <v>422</v>
      </c>
      <c r="AB168" s="1">
        <v>2014</v>
      </c>
      <c r="AC168" s="1">
        <v>1</v>
      </c>
      <c r="AE168" s="33">
        <f t="shared" si="12"/>
        <v>2017</v>
      </c>
      <c r="AF168" s="38" t="s">
        <v>478</v>
      </c>
      <c r="AG168" s="38" t="s">
        <v>478</v>
      </c>
      <c r="AH168" s="38" t="s">
        <v>478</v>
      </c>
      <c r="AI168" s="38" t="s">
        <v>479</v>
      </c>
      <c r="AJ168" s="38" t="s">
        <v>479</v>
      </c>
      <c r="AK168" s="38" t="s">
        <v>480</v>
      </c>
      <c r="AL168" s="38" t="s">
        <v>481</v>
      </c>
      <c r="AM168" s="38" t="s">
        <v>482</v>
      </c>
      <c r="AN168" s="38" t="s">
        <v>397</v>
      </c>
      <c r="AO168" s="38" t="s">
        <v>397</v>
      </c>
      <c r="AP168" s="38" t="s">
        <v>449</v>
      </c>
      <c r="AQ168" s="38" t="s">
        <v>397</v>
      </c>
      <c r="AR168" s="38" t="s">
        <v>483</v>
      </c>
      <c r="AS168" s="38" t="s">
        <v>449</v>
      </c>
      <c r="AT168" s="38" t="s">
        <v>484</v>
      </c>
      <c r="AU168" s="38" t="s">
        <v>451</v>
      </c>
    </row>
    <row r="169" spans="26:47" x14ac:dyDescent="0.15">
      <c r="Z169" s="14">
        <f t="shared" si="9"/>
        <v>170</v>
      </c>
      <c r="AA169" s="38" t="s">
        <v>422</v>
      </c>
      <c r="AB169" s="1">
        <v>2013</v>
      </c>
      <c r="AC169" s="1">
        <v>1</v>
      </c>
    </row>
    <row r="170" spans="26:47" x14ac:dyDescent="0.15">
      <c r="Z170" s="14">
        <f t="shared" si="9"/>
        <v>165</v>
      </c>
      <c r="AA170" s="38" t="s">
        <v>422</v>
      </c>
      <c r="AB170" s="1">
        <v>2013</v>
      </c>
      <c r="AC170" s="1">
        <v>1</v>
      </c>
      <c r="AE170" s="45" t="s">
        <v>485</v>
      </c>
      <c r="AF170" s="46" t="s">
        <v>376</v>
      </c>
      <c r="AG170" s="46" t="s">
        <v>377</v>
      </c>
      <c r="AH170" s="46" t="s">
        <v>378</v>
      </c>
      <c r="AI170" s="46" t="s">
        <v>379</v>
      </c>
      <c r="AJ170" s="46" t="s">
        <v>380</v>
      </c>
      <c r="AK170" s="46" t="s">
        <v>381</v>
      </c>
      <c r="AL170" s="46" t="s">
        <v>382</v>
      </c>
      <c r="AM170" s="46" t="s">
        <v>383</v>
      </c>
      <c r="AN170" s="46" t="s">
        <v>384</v>
      </c>
      <c r="AO170" s="46" t="s">
        <v>385</v>
      </c>
      <c r="AP170" s="46" t="s">
        <v>386</v>
      </c>
      <c r="AQ170" s="46" t="s">
        <v>387</v>
      </c>
      <c r="AR170" s="46" t="s">
        <v>388</v>
      </c>
      <c r="AS170" s="46" t="s">
        <v>389</v>
      </c>
      <c r="AT170" s="46" t="s">
        <v>390</v>
      </c>
      <c r="AU170" s="46" t="s">
        <v>391</v>
      </c>
    </row>
    <row r="171" spans="26:47" x14ac:dyDescent="0.15">
      <c r="Z171" s="14">
        <f t="shared" si="9"/>
        <v>160</v>
      </c>
      <c r="AA171" s="38" t="s">
        <v>422</v>
      </c>
      <c r="AB171" s="1">
        <v>2013</v>
      </c>
      <c r="AC171" s="1">
        <v>1</v>
      </c>
      <c r="AE171" s="33">
        <f>AE164</f>
        <v>2021</v>
      </c>
      <c r="AF171" s="38" t="s">
        <v>486</v>
      </c>
      <c r="AG171" s="38" t="s">
        <v>486</v>
      </c>
      <c r="AH171" s="38" t="s">
        <v>486</v>
      </c>
      <c r="AI171" s="38" t="s">
        <v>487</v>
      </c>
      <c r="AJ171" s="38" t="s">
        <v>487</v>
      </c>
      <c r="AK171" s="38" t="s">
        <v>488</v>
      </c>
      <c r="AL171" s="38" t="s">
        <v>489</v>
      </c>
      <c r="AM171" s="38" t="s">
        <v>487</v>
      </c>
      <c r="AN171" s="38" t="s">
        <v>488</v>
      </c>
      <c r="AO171" s="38" t="s">
        <v>488</v>
      </c>
      <c r="AP171" s="38" t="s">
        <v>488</v>
      </c>
      <c r="AQ171" s="38" t="s">
        <v>488</v>
      </c>
      <c r="AR171" s="38" t="s">
        <v>490</v>
      </c>
      <c r="AS171" s="38" t="s">
        <v>488</v>
      </c>
      <c r="AT171" s="38" t="s">
        <v>491</v>
      </c>
      <c r="AU171" s="38" t="s">
        <v>491</v>
      </c>
    </row>
    <row r="172" spans="26:47" x14ac:dyDescent="0.15">
      <c r="Z172" s="14">
        <f t="shared" si="9"/>
        <v>155</v>
      </c>
      <c r="AA172" s="38" t="s">
        <v>422</v>
      </c>
      <c r="AB172" s="1">
        <v>2013</v>
      </c>
      <c r="AC172" s="1">
        <v>1</v>
      </c>
      <c r="AE172" s="33">
        <f t="shared" ref="AE172:AE175" si="13">AE165</f>
        <v>2020</v>
      </c>
      <c r="AF172" s="38" t="s">
        <v>492</v>
      </c>
      <c r="AG172" s="38" t="s">
        <v>492</v>
      </c>
      <c r="AH172" s="38" t="s">
        <v>492</v>
      </c>
      <c r="AI172" s="38" t="s">
        <v>493</v>
      </c>
      <c r="AJ172" s="38" t="s">
        <v>493</v>
      </c>
      <c r="AK172" s="38" t="s">
        <v>494</v>
      </c>
      <c r="AL172" s="38" t="s">
        <v>487</v>
      </c>
      <c r="AM172" s="38" t="s">
        <v>495</v>
      </c>
      <c r="AN172" s="38" t="s">
        <v>494</v>
      </c>
      <c r="AO172" s="38" t="s">
        <v>494</v>
      </c>
      <c r="AP172" s="38" t="s">
        <v>496</v>
      </c>
      <c r="AQ172" s="38" t="s">
        <v>494</v>
      </c>
      <c r="AR172" s="38" t="s">
        <v>497</v>
      </c>
      <c r="AS172" s="38" t="s">
        <v>496</v>
      </c>
      <c r="AT172" s="38" t="s">
        <v>498</v>
      </c>
      <c r="AU172" s="38" t="s">
        <v>498</v>
      </c>
    </row>
    <row r="173" spans="26:47" x14ac:dyDescent="0.15">
      <c r="Z173" s="14">
        <f t="shared" ref="Z173:Z186" si="14">Z172-5</f>
        <v>150</v>
      </c>
      <c r="AA173" s="38" t="s">
        <v>422</v>
      </c>
      <c r="AB173" s="1">
        <v>2012</v>
      </c>
      <c r="AC173" s="1">
        <v>1</v>
      </c>
      <c r="AE173" s="33">
        <f t="shared" si="13"/>
        <v>2019</v>
      </c>
      <c r="AF173" s="38" t="s">
        <v>499</v>
      </c>
      <c r="AG173" s="38" t="s">
        <v>499</v>
      </c>
      <c r="AH173" s="38" t="s">
        <v>499</v>
      </c>
      <c r="AI173" s="38" t="s">
        <v>495</v>
      </c>
      <c r="AJ173" s="38" t="s">
        <v>495</v>
      </c>
      <c r="AK173" s="38" t="s">
        <v>500</v>
      </c>
      <c r="AL173" s="38" t="s">
        <v>493</v>
      </c>
      <c r="AM173" s="38" t="s">
        <v>501</v>
      </c>
      <c r="AN173" s="38" t="s">
        <v>502</v>
      </c>
      <c r="AO173" s="38" t="s">
        <v>502</v>
      </c>
      <c r="AP173" s="38" t="s">
        <v>494</v>
      </c>
      <c r="AQ173" s="38" t="s">
        <v>502</v>
      </c>
      <c r="AR173" s="38" t="s">
        <v>503</v>
      </c>
      <c r="AS173" s="38" t="s">
        <v>494</v>
      </c>
      <c r="AT173" s="38" t="s">
        <v>488</v>
      </c>
      <c r="AU173" s="38" t="s">
        <v>488</v>
      </c>
    </row>
    <row r="174" spans="26:47" x14ac:dyDescent="0.15">
      <c r="Z174" s="14">
        <f t="shared" si="14"/>
        <v>145</v>
      </c>
      <c r="AA174" s="38" t="s">
        <v>422</v>
      </c>
      <c r="AB174" s="1">
        <v>2012</v>
      </c>
      <c r="AC174" s="1">
        <v>1</v>
      </c>
      <c r="AE174" s="33">
        <f t="shared" si="13"/>
        <v>2018</v>
      </c>
      <c r="AF174" s="38" t="s">
        <v>504</v>
      </c>
      <c r="AG174" s="38" t="s">
        <v>504</v>
      </c>
      <c r="AH174" s="38" t="s">
        <v>504</v>
      </c>
      <c r="AI174" s="38" t="s">
        <v>505</v>
      </c>
      <c r="AJ174" s="38" t="s">
        <v>505</v>
      </c>
      <c r="AK174" s="38" t="s">
        <v>490</v>
      </c>
      <c r="AL174" s="38" t="s">
        <v>506</v>
      </c>
      <c r="AM174" s="38" t="s">
        <v>507</v>
      </c>
      <c r="AN174" s="38" t="s">
        <v>500</v>
      </c>
      <c r="AO174" s="38" t="s">
        <v>500</v>
      </c>
      <c r="AP174" s="38" t="s">
        <v>502</v>
      </c>
      <c r="AQ174" s="38" t="s">
        <v>500</v>
      </c>
      <c r="AR174" s="38" t="s">
        <v>508</v>
      </c>
      <c r="AS174" s="38" t="s">
        <v>502</v>
      </c>
      <c r="AT174" s="38" t="s">
        <v>496</v>
      </c>
      <c r="AU174" s="38" t="s">
        <v>496</v>
      </c>
    </row>
    <row r="175" spans="26:47" x14ac:dyDescent="0.15">
      <c r="Z175" s="14">
        <f t="shared" si="14"/>
        <v>140</v>
      </c>
      <c r="AA175" s="38" t="s">
        <v>422</v>
      </c>
      <c r="AB175" s="1">
        <v>2012</v>
      </c>
      <c r="AC175" s="1">
        <v>1</v>
      </c>
      <c r="AE175" s="33">
        <f t="shared" si="13"/>
        <v>2017</v>
      </c>
      <c r="AF175" s="38" t="s">
        <v>509</v>
      </c>
      <c r="AG175" s="38" t="s">
        <v>509</v>
      </c>
      <c r="AH175" s="38" t="s">
        <v>509</v>
      </c>
      <c r="AI175" s="38" t="s">
        <v>507</v>
      </c>
      <c r="AJ175" s="38" t="s">
        <v>507</v>
      </c>
      <c r="AK175" s="38" t="s">
        <v>503</v>
      </c>
      <c r="AL175" s="38" t="s">
        <v>510</v>
      </c>
      <c r="AM175" s="38" t="s">
        <v>498</v>
      </c>
      <c r="AN175" s="38" t="s">
        <v>511</v>
      </c>
      <c r="AO175" s="38" t="s">
        <v>511</v>
      </c>
      <c r="AP175" s="38" t="s">
        <v>511</v>
      </c>
      <c r="AQ175" s="38" t="s">
        <v>511</v>
      </c>
      <c r="AR175" s="38" t="s">
        <v>512</v>
      </c>
      <c r="AS175" s="38" t="s">
        <v>511</v>
      </c>
      <c r="AT175" s="38" t="s">
        <v>494</v>
      </c>
      <c r="AU175" s="38" t="s">
        <v>494</v>
      </c>
    </row>
    <row r="176" spans="26:47" x14ac:dyDescent="0.15">
      <c r="Z176" s="14">
        <f t="shared" si="14"/>
        <v>135</v>
      </c>
      <c r="AA176" s="38" t="s">
        <v>422</v>
      </c>
      <c r="AB176" s="1">
        <v>2012</v>
      </c>
      <c r="AC176" s="1">
        <v>1</v>
      </c>
    </row>
    <row r="177" spans="26:47" x14ac:dyDescent="0.15">
      <c r="Z177" s="14">
        <f t="shared" si="14"/>
        <v>130</v>
      </c>
      <c r="AA177" s="38" t="s">
        <v>422</v>
      </c>
      <c r="AB177" s="1">
        <v>2011</v>
      </c>
      <c r="AC177" s="1">
        <v>1</v>
      </c>
      <c r="AE177" s="45" t="s">
        <v>513</v>
      </c>
      <c r="AF177" s="46" t="s">
        <v>376</v>
      </c>
      <c r="AG177" s="46" t="s">
        <v>517</v>
      </c>
      <c r="AH177" s="46" t="s">
        <v>378</v>
      </c>
      <c r="AI177" s="46" t="s">
        <v>379</v>
      </c>
      <c r="AJ177" s="46" t="s">
        <v>380</v>
      </c>
      <c r="AK177" s="46" t="s">
        <v>381</v>
      </c>
      <c r="AL177" s="46" t="s">
        <v>382</v>
      </c>
      <c r="AM177" s="46" t="s">
        <v>383</v>
      </c>
      <c r="AN177" s="46" t="s">
        <v>384</v>
      </c>
      <c r="AO177" s="46" t="s">
        <v>385</v>
      </c>
      <c r="AP177" s="46" t="s">
        <v>386</v>
      </c>
      <c r="AQ177" s="46" t="s">
        <v>387</v>
      </c>
      <c r="AR177" s="46" t="s">
        <v>388</v>
      </c>
      <c r="AS177" s="46" t="s">
        <v>389</v>
      </c>
      <c r="AT177" s="46" t="s">
        <v>390</v>
      </c>
      <c r="AU177" s="46" t="s">
        <v>391</v>
      </c>
    </row>
    <row r="178" spans="26:47" x14ac:dyDescent="0.15">
      <c r="Z178" s="14">
        <f t="shared" si="14"/>
        <v>125</v>
      </c>
      <c r="AA178" s="38" t="s">
        <v>422</v>
      </c>
      <c r="AB178" s="1">
        <v>2011</v>
      </c>
      <c r="AC178" s="1">
        <v>1</v>
      </c>
      <c r="AE178" s="33">
        <f>AE171</f>
        <v>2021</v>
      </c>
      <c r="AF178" s="38">
        <v>150</v>
      </c>
      <c r="AG178" s="38">
        <v>150</v>
      </c>
      <c r="AH178" s="38">
        <v>150</v>
      </c>
      <c r="AI178" s="38">
        <v>220</v>
      </c>
      <c r="AJ178" s="38">
        <v>220</v>
      </c>
      <c r="AK178" s="38">
        <v>140</v>
      </c>
      <c r="AL178" s="38">
        <v>240</v>
      </c>
      <c r="AM178" s="38">
        <v>220</v>
      </c>
      <c r="AN178" s="38">
        <v>140</v>
      </c>
      <c r="AO178" s="38">
        <v>140</v>
      </c>
      <c r="AP178" s="38">
        <v>140</v>
      </c>
      <c r="AQ178" s="38">
        <v>140</v>
      </c>
      <c r="AR178" s="38">
        <v>110</v>
      </c>
      <c r="AS178" s="38">
        <v>140</v>
      </c>
      <c r="AT178" s="38">
        <v>160</v>
      </c>
      <c r="AU178" s="38">
        <v>140</v>
      </c>
    </row>
    <row r="179" spans="26:47" x14ac:dyDescent="0.15">
      <c r="Z179" s="14">
        <f t="shared" si="14"/>
        <v>120</v>
      </c>
      <c r="AA179" s="38" t="s">
        <v>422</v>
      </c>
      <c r="AB179" s="1">
        <v>2011</v>
      </c>
      <c r="AC179" s="1">
        <v>1</v>
      </c>
      <c r="AE179" s="33">
        <f t="shared" ref="AE179:AE182" si="15">AE172</f>
        <v>2020</v>
      </c>
      <c r="AF179" s="38">
        <v>150</v>
      </c>
      <c r="AG179" s="38">
        <v>150</v>
      </c>
      <c r="AH179" s="38">
        <v>150</v>
      </c>
      <c r="AI179" s="38">
        <v>210</v>
      </c>
      <c r="AJ179" s="38">
        <v>210</v>
      </c>
      <c r="AK179" s="38">
        <v>125</v>
      </c>
      <c r="AL179" s="38">
        <v>220</v>
      </c>
      <c r="AM179" s="38">
        <v>210</v>
      </c>
      <c r="AN179" s="38">
        <v>140</v>
      </c>
      <c r="AO179" s="38">
        <v>140</v>
      </c>
      <c r="AP179" s="38">
        <v>130</v>
      </c>
      <c r="AQ179" s="38">
        <v>140</v>
      </c>
      <c r="AR179" s="38">
        <v>100</v>
      </c>
      <c r="AS179" s="38">
        <v>130</v>
      </c>
      <c r="AT179" s="38">
        <v>150</v>
      </c>
      <c r="AU179" s="38">
        <v>140</v>
      </c>
    </row>
    <row r="180" spans="26:47" x14ac:dyDescent="0.15">
      <c r="Z180" s="14">
        <f t="shared" si="14"/>
        <v>115</v>
      </c>
      <c r="AA180" s="38" t="s">
        <v>422</v>
      </c>
      <c r="AB180" s="1">
        <v>2010</v>
      </c>
      <c r="AC180" s="1">
        <v>12</v>
      </c>
      <c r="AE180" s="33">
        <f t="shared" si="15"/>
        <v>2019</v>
      </c>
      <c r="AF180" s="38">
        <v>125</v>
      </c>
      <c r="AG180" s="38">
        <v>125</v>
      </c>
      <c r="AH180" s="38">
        <v>125</v>
      </c>
      <c r="AI180" s="38">
        <v>190</v>
      </c>
      <c r="AJ180" s="38">
        <v>190</v>
      </c>
      <c r="AK180" s="38">
        <v>115</v>
      </c>
      <c r="AL180" s="38">
        <v>200</v>
      </c>
      <c r="AM180" s="38">
        <v>190</v>
      </c>
      <c r="AN180" s="38">
        <v>130</v>
      </c>
      <c r="AO180" s="38">
        <v>130</v>
      </c>
      <c r="AP180" s="38">
        <v>120</v>
      </c>
      <c r="AQ180" s="38">
        <v>130</v>
      </c>
      <c r="AR180" s="38">
        <v>90</v>
      </c>
      <c r="AS180" s="38">
        <v>120</v>
      </c>
      <c r="AT180" s="38">
        <v>140</v>
      </c>
      <c r="AU180" s="38">
        <v>130</v>
      </c>
    </row>
    <row r="181" spans="26:47" x14ac:dyDescent="0.15">
      <c r="Z181" s="14">
        <f t="shared" si="14"/>
        <v>110</v>
      </c>
      <c r="AA181" s="38" t="s">
        <v>422</v>
      </c>
      <c r="AB181" s="1">
        <v>2010</v>
      </c>
      <c r="AC181" s="1">
        <v>12</v>
      </c>
      <c r="AE181" s="33">
        <f t="shared" si="15"/>
        <v>2018</v>
      </c>
      <c r="AF181" s="38">
        <v>115</v>
      </c>
      <c r="AG181" s="38">
        <v>115</v>
      </c>
      <c r="AH181" s="38">
        <v>115</v>
      </c>
      <c r="AI181" s="38">
        <v>160</v>
      </c>
      <c r="AJ181" s="38">
        <v>160</v>
      </c>
      <c r="AK181" s="38">
        <v>110</v>
      </c>
      <c r="AL181" s="38">
        <v>200</v>
      </c>
      <c r="AM181" s="38">
        <v>160</v>
      </c>
      <c r="AN181" s="38">
        <v>125</v>
      </c>
      <c r="AO181" s="38">
        <v>125</v>
      </c>
      <c r="AP181" s="38">
        <v>120</v>
      </c>
      <c r="AQ181" s="38">
        <v>125</v>
      </c>
      <c r="AR181" s="38">
        <v>85</v>
      </c>
      <c r="AS181" s="38">
        <v>120</v>
      </c>
      <c r="AT181" s="38">
        <v>130</v>
      </c>
      <c r="AU181" s="38">
        <v>125</v>
      </c>
    </row>
    <row r="182" spans="26:47" x14ac:dyDescent="0.15">
      <c r="Z182" s="14">
        <f t="shared" si="14"/>
        <v>105</v>
      </c>
      <c r="AA182" s="38" t="s">
        <v>422</v>
      </c>
      <c r="AB182" s="1">
        <v>2010</v>
      </c>
      <c r="AC182" s="1">
        <v>12</v>
      </c>
      <c r="AE182" s="33">
        <f t="shared" si="15"/>
        <v>2017</v>
      </c>
      <c r="AF182" s="38">
        <v>100</v>
      </c>
      <c r="AG182" s="38">
        <v>100</v>
      </c>
      <c r="AH182" s="38">
        <v>100</v>
      </c>
      <c r="AI182" s="38">
        <v>150</v>
      </c>
      <c r="AJ182" s="38">
        <v>150</v>
      </c>
      <c r="AK182" s="38">
        <v>95</v>
      </c>
      <c r="AL182" s="38">
        <v>180</v>
      </c>
      <c r="AM182" s="38">
        <v>150</v>
      </c>
      <c r="AN182" s="38">
        <v>115</v>
      </c>
      <c r="AO182" s="38">
        <v>115</v>
      </c>
      <c r="AP182" s="38">
        <v>110</v>
      </c>
      <c r="AQ182" s="38">
        <v>115</v>
      </c>
      <c r="AR182" s="38">
        <v>80</v>
      </c>
      <c r="AS182" s="38">
        <v>110</v>
      </c>
      <c r="AT182" s="38">
        <v>130</v>
      </c>
      <c r="AU182" s="38">
        <v>115</v>
      </c>
    </row>
    <row r="183" spans="26:47" x14ac:dyDescent="0.15">
      <c r="Z183" s="14">
        <v>105</v>
      </c>
      <c r="AA183" s="38" t="s">
        <v>396</v>
      </c>
      <c r="AB183" s="1">
        <v>2017</v>
      </c>
      <c r="AC183" s="1">
        <v>12</v>
      </c>
    </row>
    <row r="184" spans="26:47" x14ac:dyDescent="0.15">
      <c r="Z184" s="14">
        <f t="shared" si="14"/>
        <v>100</v>
      </c>
      <c r="AA184" s="38" t="s">
        <v>396</v>
      </c>
      <c r="AB184" s="1">
        <v>2017</v>
      </c>
      <c r="AC184" s="1">
        <v>12</v>
      </c>
      <c r="AE184" s="33" t="s">
        <v>392</v>
      </c>
      <c r="AF184" s="37">
        <v>7</v>
      </c>
      <c r="AG184" s="37">
        <v>7</v>
      </c>
      <c r="AH184" s="37">
        <v>7</v>
      </c>
      <c r="AI184" s="37">
        <v>5</v>
      </c>
      <c r="AJ184" s="37">
        <v>5</v>
      </c>
      <c r="AK184" s="37">
        <v>7</v>
      </c>
      <c r="AL184" s="37">
        <v>7</v>
      </c>
      <c r="AM184" s="37">
        <v>5</v>
      </c>
      <c r="AN184" s="37">
        <v>3</v>
      </c>
      <c r="AO184" s="37">
        <v>3</v>
      </c>
      <c r="AP184" s="37">
        <v>3</v>
      </c>
      <c r="AQ184" s="37">
        <v>3</v>
      </c>
      <c r="AR184" s="37">
        <v>2</v>
      </c>
      <c r="AS184" s="37">
        <v>3</v>
      </c>
      <c r="AT184" s="37">
        <v>3</v>
      </c>
      <c r="AU184" s="37">
        <v>3</v>
      </c>
    </row>
    <row r="185" spans="26:47" x14ac:dyDescent="0.15">
      <c r="Z185" s="14">
        <f t="shared" si="14"/>
        <v>95</v>
      </c>
      <c r="AA185" s="38" t="s">
        <v>396</v>
      </c>
      <c r="AB185" s="1">
        <v>2017</v>
      </c>
      <c r="AC185" s="1">
        <v>12</v>
      </c>
      <c r="AE185" s="33" t="s">
        <v>393</v>
      </c>
      <c r="AF185" s="37">
        <v>6</v>
      </c>
      <c r="AG185" s="37">
        <v>6</v>
      </c>
      <c r="AH185" s="37">
        <v>6</v>
      </c>
      <c r="AI185" s="37">
        <v>6</v>
      </c>
      <c r="AJ185" s="37">
        <v>6</v>
      </c>
      <c r="AK185" s="37">
        <v>7</v>
      </c>
      <c r="AL185" s="37">
        <v>6</v>
      </c>
      <c r="AM185" s="37">
        <v>6</v>
      </c>
      <c r="AN185" s="37">
        <v>3</v>
      </c>
      <c r="AO185" s="37">
        <v>3</v>
      </c>
      <c r="AP185" s="37">
        <v>1</v>
      </c>
      <c r="AQ185" s="37">
        <v>3</v>
      </c>
      <c r="AR185" s="37">
        <v>1</v>
      </c>
      <c r="AS185" s="37">
        <v>1</v>
      </c>
      <c r="AT185" s="37">
        <v>1</v>
      </c>
      <c r="AU185" s="37">
        <v>3</v>
      </c>
    </row>
    <row r="186" spans="26:47" x14ac:dyDescent="0.15">
      <c r="Z186" s="14">
        <f t="shared" si="14"/>
        <v>90</v>
      </c>
      <c r="AA186" s="38" t="s">
        <v>426</v>
      </c>
      <c r="AB186" s="1">
        <v>2017</v>
      </c>
      <c r="AC186" s="1">
        <v>12</v>
      </c>
      <c r="AE186" s="33" t="s">
        <v>394</v>
      </c>
      <c r="AF186" s="37">
        <v>6</v>
      </c>
      <c r="AG186" s="37">
        <v>6</v>
      </c>
      <c r="AH186" s="37">
        <v>6</v>
      </c>
      <c r="AI186" s="37">
        <v>6</v>
      </c>
      <c r="AJ186" s="37">
        <v>6</v>
      </c>
      <c r="AK186" s="37">
        <v>6</v>
      </c>
      <c r="AL186" s="37">
        <v>9</v>
      </c>
      <c r="AM186" s="37">
        <v>6</v>
      </c>
      <c r="AN186" s="37">
        <v>2</v>
      </c>
      <c r="AO186" s="37">
        <v>2</v>
      </c>
      <c r="AP186" s="37">
        <v>2</v>
      </c>
      <c r="AQ186" s="37">
        <v>2</v>
      </c>
      <c r="AR186" s="37">
        <v>2</v>
      </c>
      <c r="AS186" s="37">
        <v>2</v>
      </c>
      <c r="AT186" s="37">
        <v>3</v>
      </c>
      <c r="AU186" s="37">
        <v>2</v>
      </c>
    </row>
    <row r="187" spans="26:47" x14ac:dyDescent="0.15">
      <c r="Z187" s="14">
        <f t="shared" ref="Z187:Z199" si="16">Z186-5</f>
        <v>85</v>
      </c>
      <c r="AA187" s="38" t="s">
        <v>426</v>
      </c>
      <c r="AB187" s="1">
        <v>2017</v>
      </c>
      <c r="AC187" s="1">
        <v>12</v>
      </c>
      <c r="AE187" s="33" t="s">
        <v>395</v>
      </c>
      <c r="AF187" s="37">
        <v>5</v>
      </c>
      <c r="AG187" s="37">
        <v>5</v>
      </c>
      <c r="AH187" s="37">
        <v>5</v>
      </c>
      <c r="AI187" s="37">
        <v>6</v>
      </c>
      <c r="AJ187" s="37">
        <v>6</v>
      </c>
      <c r="AK187" s="37">
        <v>5</v>
      </c>
      <c r="AL187" s="37">
        <v>7</v>
      </c>
      <c r="AM187" s="37">
        <v>9</v>
      </c>
      <c r="AN187" s="37">
        <v>1</v>
      </c>
      <c r="AO187" s="37">
        <v>1</v>
      </c>
      <c r="AP187" s="37">
        <v>2</v>
      </c>
      <c r="AQ187" s="37">
        <v>1</v>
      </c>
      <c r="AR187" s="37">
        <v>2</v>
      </c>
      <c r="AS187" s="37">
        <v>2</v>
      </c>
      <c r="AT187" s="37">
        <v>3</v>
      </c>
      <c r="AU187" s="37">
        <v>3</v>
      </c>
    </row>
    <row r="188" spans="26:47" x14ac:dyDescent="0.15">
      <c r="Z188" s="14">
        <f t="shared" si="16"/>
        <v>80</v>
      </c>
      <c r="AA188" s="38" t="s">
        <v>426</v>
      </c>
      <c r="AB188" s="1">
        <v>2017</v>
      </c>
      <c r="AC188" s="1">
        <v>12</v>
      </c>
      <c r="AF188" s="38" t="str">
        <f>AF164</f>
        <v>NRE161G</v>
      </c>
      <c r="AG188" s="38" t="str">
        <f t="shared" ref="AG188:AU188" si="17">AG164</f>
        <v>NRE161G</v>
      </c>
      <c r="AH188" s="38" t="str">
        <f t="shared" si="17"/>
        <v>NRE161G</v>
      </c>
      <c r="AI188" s="38" t="str">
        <f t="shared" si="17"/>
        <v>GB6</v>
      </c>
      <c r="AJ188" s="38" t="str">
        <f t="shared" si="17"/>
        <v>GB6</v>
      </c>
      <c r="AK188" s="38" t="str">
        <f t="shared" si="17"/>
        <v>M700A</v>
      </c>
      <c r="AL188" s="38" t="str">
        <f t="shared" si="17"/>
        <v>SGC27</v>
      </c>
      <c r="AM188" s="38" t="str">
        <f t="shared" si="17"/>
        <v>GP8</v>
      </c>
      <c r="AN188" s="38" t="str">
        <f t="shared" si="17"/>
        <v>S321G</v>
      </c>
      <c r="AO188" s="38" t="str">
        <f t="shared" si="17"/>
        <v>S321G</v>
      </c>
      <c r="AP188" s="38" t="str">
        <f t="shared" si="17"/>
        <v>LA700S</v>
      </c>
      <c r="AQ188" s="38" t="str">
        <f t="shared" si="17"/>
        <v>S321G</v>
      </c>
      <c r="AR188" s="38" t="str">
        <f t="shared" si="17"/>
        <v>LA360S</v>
      </c>
      <c r="AS188" s="38" t="str">
        <f t="shared" si="17"/>
        <v>LA700S</v>
      </c>
      <c r="AT188" s="38" t="str">
        <f t="shared" si="17"/>
        <v>DA17W</v>
      </c>
      <c r="AU188" s="38" t="str">
        <f t="shared" si="17"/>
        <v>DS17W</v>
      </c>
    </row>
    <row r="189" spans="26:47" x14ac:dyDescent="0.15">
      <c r="Z189" s="14">
        <f t="shared" si="16"/>
        <v>75</v>
      </c>
      <c r="AA189" s="38" t="s">
        <v>426</v>
      </c>
      <c r="AB189" s="2">
        <v>2016</v>
      </c>
      <c r="AC189" s="1">
        <v>12</v>
      </c>
    </row>
    <row r="190" spans="26:47" x14ac:dyDescent="0.15">
      <c r="Z190" s="14">
        <f t="shared" si="16"/>
        <v>70</v>
      </c>
      <c r="AA190" s="38" t="s">
        <v>426</v>
      </c>
      <c r="AB190" s="2">
        <v>2016</v>
      </c>
      <c r="AC190" s="1">
        <v>12</v>
      </c>
    </row>
    <row r="191" spans="26:47" x14ac:dyDescent="0.15">
      <c r="Z191" s="14">
        <f t="shared" si="16"/>
        <v>65</v>
      </c>
      <c r="AA191" s="38" t="s">
        <v>426</v>
      </c>
      <c r="AB191" s="2">
        <v>2016</v>
      </c>
      <c r="AC191" s="1">
        <v>12</v>
      </c>
      <c r="AE191" s="45" t="s">
        <v>514</v>
      </c>
      <c r="AF191" s="46" t="s">
        <v>376</v>
      </c>
      <c r="AG191" s="46" t="s">
        <v>377</v>
      </c>
      <c r="AH191" s="46" t="s">
        <v>378</v>
      </c>
      <c r="AI191" s="46" t="s">
        <v>379</v>
      </c>
      <c r="AJ191" s="46" t="s">
        <v>380</v>
      </c>
      <c r="AK191" s="46" t="s">
        <v>381</v>
      </c>
      <c r="AL191" s="46" t="s">
        <v>382</v>
      </c>
      <c r="AM191" s="46" t="s">
        <v>383</v>
      </c>
      <c r="AN191" s="46" t="s">
        <v>384</v>
      </c>
      <c r="AO191" s="46" t="s">
        <v>385</v>
      </c>
      <c r="AP191" s="46" t="s">
        <v>386</v>
      </c>
      <c r="AQ191" s="46" t="s">
        <v>387</v>
      </c>
      <c r="AR191" s="46" t="s">
        <v>388</v>
      </c>
      <c r="AS191" s="46" t="s">
        <v>389</v>
      </c>
      <c r="AT191" s="46" t="s">
        <v>390</v>
      </c>
      <c r="AU191" s="46" t="s">
        <v>391</v>
      </c>
    </row>
    <row r="192" spans="26:47" x14ac:dyDescent="0.15">
      <c r="Z192" s="14">
        <f t="shared" si="16"/>
        <v>60</v>
      </c>
      <c r="AA192" s="38" t="s">
        <v>426</v>
      </c>
      <c r="AB192" s="1">
        <v>2015</v>
      </c>
      <c r="AC192" s="1">
        <v>12</v>
      </c>
      <c r="AE192" s="33">
        <f>AE178</f>
        <v>2021</v>
      </c>
      <c r="AF192" s="38" t="s">
        <v>515</v>
      </c>
      <c r="AG192" s="38" t="s">
        <v>515</v>
      </c>
      <c r="AH192" s="38" t="s">
        <v>515</v>
      </c>
      <c r="AI192" s="38" t="s">
        <v>515</v>
      </c>
      <c r="AJ192" s="38" t="s">
        <v>515</v>
      </c>
      <c r="AK192" s="38" t="s">
        <v>515</v>
      </c>
      <c r="AL192" s="38" t="s">
        <v>515</v>
      </c>
      <c r="AM192" s="38" t="s">
        <v>515</v>
      </c>
      <c r="AN192" s="38" t="s">
        <v>410</v>
      </c>
      <c r="AO192" s="38" t="s">
        <v>410</v>
      </c>
      <c r="AP192" s="38" t="s">
        <v>410</v>
      </c>
      <c r="AQ192" s="38" t="s">
        <v>410</v>
      </c>
      <c r="AR192" s="38" t="s">
        <v>410</v>
      </c>
      <c r="AS192" s="38" t="s">
        <v>410</v>
      </c>
      <c r="AT192" s="38" t="s">
        <v>410</v>
      </c>
      <c r="AU192" s="38" t="s">
        <v>410</v>
      </c>
    </row>
    <row r="193" spans="26:47" x14ac:dyDescent="0.15">
      <c r="Z193" s="14">
        <f t="shared" si="16"/>
        <v>55</v>
      </c>
      <c r="AA193" s="38" t="s">
        <v>426</v>
      </c>
      <c r="AB193" s="1">
        <v>2015</v>
      </c>
      <c r="AC193" s="1">
        <v>12</v>
      </c>
      <c r="AE193" s="33">
        <f t="shared" ref="AE193:AE196" si="18">AE179</f>
        <v>2020</v>
      </c>
      <c r="AF193" s="38" t="s">
        <v>515</v>
      </c>
      <c r="AG193" s="38" t="s">
        <v>515</v>
      </c>
      <c r="AH193" s="38" t="s">
        <v>515</v>
      </c>
      <c r="AI193" s="38" t="s">
        <v>515</v>
      </c>
      <c r="AJ193" s="38" t="s">
        <v>515</v>
      </c>
      <c r="AK193" s="38" t="s">
        <v>515</v>
      </c>
      <c r="AL193" s="38" t="s">
        <v>515</v>
      </c>
      <c r="AM193" s="38" t="s">
        <v>515</v>
      </c>
      <c r="AN193" s="38" t="s">
        <v>410</v>
      </c>
      <c r="AO193" s="38" t="s">
        <v>410</v>
      </c>
      <c r="AP193" s="38" t="s">
        <v>410</v>
      </c>
      <c r="AQ193" s="38" t="s">
        <v>410</v>
      </c>
      <c r="AR193" s="38" t="s">
        <v>410</v>
      </c>
      <c r="AS193" s="38" t="s">
        <v>410</v>
      </c>
      <c r="AT193" s="38" t="s">
        <v>410</v>
      </c>
      <c r="AU193" s="38" t="s">
        <v>410</v>
      </c>
    </row>
    <row r="194" spans="26:47" x14ac:dyDescent="0.15">
      <c r="Z194" s="14">
        <f t="shared" si="16"/>
        <v>50</v>
      </c>
      <c r="AA194" s="38" t="s">
        <v>426</v>
      </c>
      <c r="AB194" s="1">
        <v>2015</v>
      </c>
      <c r="AC194" s="1">
        <v>12</v>
      </c>
      <c r="AE194" s="33">
        <f t="shared" si="18"/>
        <v>2019</v>
      </c>
      <c r="AF194" s="38" t="s">
        <v>515</v>
      </c>
      <c r="AG194" s="38" t="s">
        <v>515</v>
      </c>
      <c r="AH194" s="38" t="s">
        <v>515</v>
      </c>
      <c r="AI194" s="38" t="s">
        <v>515</v>
      </c>
      <c r="AJ194" s="38" t="s">
        <v>515</v>
      </c>
      <c r="AK194" s="38" t="s">
        <v>515</v>
      </c>
      <c r="AL194" s="38" t="s">
        <v>515</v>
      </c>
      <c r="AM194" s="38" t="s">
        <v>515</v>
      </c>
      <c r="AN194" s="38" t="s">
        <v>410</v>
      </c>
      <c r="AO194" s="38" t="s">
        <v>410</v>
      </c>
      <c r="AP194" s="38" t="s">
        <v>410</v>
      </c>
      <c r="AQ194" s="38" t="s">
        <v>410</v>
      </c>
      <c r="AR194" s="38" t="s">
        <v>410</v>
      </c>
      <c r="AS194" s="38" t="s">
        <v>410</v>
      </c>
      <c r="AT194" s="38" t="s">
        <v>410</v>
      </c>
      <c r="AU194" s="38" t="s">
        <v>410</v>
      </c>
    </row>
    <row r="195" spans="26:47" x14ac:dyDescent="0.15">
      <c r="Z195" s="14">
        <f t="shared" si="16"/>
        <v>45</v>
      </c>
      <c r="AA195" s="38" t="s">
        <v>426</v>
      </c>
      <c r="AB195" s="1">
        <v>2014</v>
      </c>
      <c r="AC195" s="1">
        <v>12</v>
      </c>
      <c r="AE195" s="33">
        <f t="shared" si="18"/>
        <v>2018</v>
      </c>
      <c r="AF195" s="38" t="s">
        <v>515</v>
      </c>
      <c r="AG195" s="38" t="s">
        <v>515</v>
      </c>
      <c r="AH195" s="38" t="s">
        <v>515</v>
      </c>
      <c r="AI195" s="38" t="s">
        <v>515</v>
      </c>
      <c r="AJ195" s="38" t="s">
        <v>515</v>
      </c>
      <c r="AK195" s="38" t="s">
        <v>515</v>
      </c>
      <c r="AL195" s="38" t="s">
        <v>515</v>
      </c>
      <c r="AM195" s="38" t="s">
        <v>515</v>
      </c>
      <c r="AN195" s="38" t="s">
        <v>410</v>
      </c>
      <c r="AO195" s="38" t="s">
        <v>410</v>
      </c>
      <c r="AP195" s="38" t="s">
        <v>410</v>
      </c>
      <c r="AQ195" s="38" t="s">
        <v>410</v>
      </c>
      <c r="AR195" s="38" t="s">
        <v>410</v>
      </c>
      <c r="AS195" s="38" t="s">
        <v>410</v>
      </c>
      <c r="AT195" s="38" t="s">
        <v>410</v>
      </c>
      <c r="AU195" s="38" t="s">
        <v>410</v>
      </c>
    </row>
    <row r="196" spans="26:47" x14ac:dyDescent="0.15">
      <c r="Z196" s="14">
        <f t="shared" si="16"/>
        <v>40</v>
      </c>
      <c r="AA196" s="38" t="s">
        <v>426</v>
      </c>
      <c r="AB196" s="1">
        <v>2013</v>
      </c>
      <c r="AC196" s="1">
        <v>12</v>
      </c>
      <c r="AE196" s="33">
        <f t="shared" si="18"/>
        <v>2017</v>
      </c>
      <c r="AF196" s="38" t="s">
        <v>515</v>
      </c>
      <c r="AG196" s="38" t="s">
        <v>515</v>
      </c>
      <c r="AH196" s="38" t="s">
        <v>515</v>
      </c>
      <c r="AI196" s="38" t="s">
        <v>515</v>
      </c>
      <c r="AJ196" s="38" t="s">
        <v>515</v>
      </c>
      <c r="AK196" s="38" t="s">
        <v>515</v>
      </c>
      <c r="AL196" s="38" t="s">
        <v>515</v>
      </c>
      <c r="AM196" s="38" t="s">
        <v>515</v>
      </c>
      <c r="AN196" s="38" t="s">
        <v>410</v>
      </c>
      <c r="AO196" s="38" t="s">
        <v>410</v>
      </c>
      <c r="AP196" s="38" t="s">
        <v>410</v>
      </c>
      <c r="AQ196" s="38" t="s">
        <v>410</v>
      </c>
      <c r="AR196" s="38" t="s">
        <v>410</v>
      </c>
      <c r="AS196" s="38" t="s">
        <v>410</v>
      </c>
      <c r="AT196" s="38" t="s">
        <v>410</v>
      </c>
      <c r="AU196" s="38" t="s">
        <v>410</v>
      </c>
    </row>
    <row r="197" spans="26:47" x14ac:dyDescent="0.15">
      <c r="Z197" s="14">
        <f t="shared" si="16"/>
        <v>35</v>
      </c>
      <c r="AA197" s="38" t="s">
        <v>426</v>
      </c>
      <c r="AB197" s="1">
        <v>2011</v>
      </c>
      <c r="AC197" s="1">
        <v>12</v>
      </c>
    </row>
    <row r="198" spans="26:47" x14ac:dyDescent="0.15">
      <c r="Z198" s="14">
        <f t="shared" si="16"/>
        <v>30</v>
      </c>
      <c r="AA198" s="38" t="s">
        <v>426</v>
      </c>
      <c r="AB198" s="1">
        <v>2011</v>
      </c>
      <c r="AC198" s="1">
        <v>12</v>
      </c>
    </row>
    <row r="199" spans="26:47" x14ac:dyDescent="0.15">
      <c r="Z199" s="14">
        <f t="shared" si="16"/>
        <v>25</v>
      </c>
      <c r="AA199" s="38" t="s">
        <v>426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142875</xdr:rowOff>
                  </from>
                  <to>
                    <xdr:col>7</xdr:col>
                    <xdr:colOff>9525</xdr:colOff>
                    <xdr:row>55</xdr:row>
                    <xdr:rowOff>133350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247650</xdr:colOff>
                    <xdr:row>29</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314325</xdr:colOff>
                    <xdr:row>104</xdr:row>
                    <xdr:rowOff>9525</xdr:rowOff>
                  </from>
                  <to>
                    <xdr:col>23</xdr:col>
                    <xdr:colOff>847725</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Y312"/>
  <sheetViews>
    <sheetView zoomScale="70" zoomScaleNormal="70" workbookViewId="0">
      <pane ySplit="1" topLeftCell="A2" activePane="bottomLeft" state="frozen"/>
      <selection pane="bottomLeft"/>
    </sheetView>
  </sheetViews>
  <sheetFormatPr defaultRowHeight="13.5" x14ac:dyDescent="0.15"/>
  <cols>
    <col min="1" max="1" width="6.125" style="43" customWidth="1"/>
    <col min="2" max="11" width="9" style="8"/>
    <col min="12" max="12" width="9" style="17"/>
    <col min="13" max="26" width="9" style="8"/>
    <col min="27" max="27" width="14.25" style="8" customWidth="1"/>
    <col min="28" max="29" width="9" style="8"/>
    <col min="30" max="30" width="9" style="8" customWidth="1"/>
    <col min="31" max="35" width="9" style="8"/>
    <col min="76" max="76" width="9" customWidth="1"/>
  </cols>
  <sheetData>
    <row r="1" spans="1:77" s="6" customFormat="1" x14ac:dyDescent="0.15">
      <c r="A1" s="5" t="s">
        <v>81</v>
      </c>
      <c r="B1" s="5" t="s">
        <v>82</v>
      </c>
      <c r="C1" s="5" t="s">
        <v>83</v>
      </c>
      <c r="D1" s="5" t="s">
        <v>84</v>
      </c>
      <c r="E1" s="5" t="s">
        <v>104</v>
      </c>
      <c r="F1" s="5" t="s">
        <v>108</v>
      </c>
      <c r="G1" s="5" t="s">
        <v>109</v>
      </c>
      <c r="H1" s="5" t="s">
        <v>110</v>
      </c>
      <c r="I1" s="5" t="s">
        <v>179</v>
      </c>
      <c r="J1" s="5" t="s">
        <v>354</v>
      </c>
      <c r="K1" s="5" t="s">
        <v>210</v>
      </c>
      <c r="L1" s="15" t="s">
        <v>211</v>
      </c>
      <c r="M1" s="5" t="s">
        <v>212</v>
      </c>
      <c r="N1" s="5" t="s">
        <v>213</v>
      </c>
      <c r="O1" s="5" t="s">
        <v>220</v>
      </c>
      <c r="P1" s="5" t="s">
        <v>222</v>
      </c>
      <c r="Q1" s="5" t="s">
        <v>223</v>
      </c>
      <c r="R1" s="16" t="s">
        <v>226</v>
      </c>
      <c r="S1" s="16" t="s">
        <v>227</v>
      </c>
      <c r="T1" s="16" t="s">
        <v>228</v>
      </c>
      <c r="U1" s="16" t="s">
        <v>238</v>
      </c>
      <c r="V1" s="16" t="s">
        <v>239</v>
      </c>
      <c r="W1" s="16" t="s">
        <v>240</v>
      </c>
      <c r="X1" s="16" t="s">
        <v>289</v>
      </c>
      <c r="Y1" s="16" t="s">
        <v>248</v>
      </c>
      <c r="Z1" s="16" t="s">
        <v>249</v>
      </c>
      <c r="AA1" s="16" t="s">
        <v>257</v>
      </c>
      <c r="AB1" s="16" t="s">
        <v>258</v>
      </c>
      <c r="AC1" s="16" t="s">
        <v>259</v>
      </c>
      <c r="AD1" s="16" t="s">
        <v>260</v>
      </c>
      <c r="AE1" s="16" t="s">
        <v>261</v>
      </c>
      <c r="AF1" s="16" t="s">
        <v>262</v>
      </c>
      <c r="AG1" s="16" t="s">
        <v>263</v>
      </c>
      <c r="AH1" s="16" t="s">
        <v>264</v>
      </c>
      <c r="AI1" s="16" t="s">
        <v>265</v>
      </c>
      <c r="AJ1" s="7" t="str">
        <f t="shared" ref="AJ1:AR1" si="0">CONCATENATE(A1,"2")</f>
        <v>西暦2</v>
      </c>
      <c r="AK1" s="7" t="str">
        <f t="shared" si="0"/>
        <v>月2</v>
      </c>
      <c r="AL1" s="7" t="str">
        <f t="shared" si="0"/>
        <v>日2</v>
      </c>
      <c r="AM1" s="7" t="str">
        <f t="shared" si="0"/>
        <v>NF2</v>
      </c>
      <c r="AN1" s="7" t="str">
        <f t="shared" si="0"/>
        <v>背番号2</v>
      </c>
      <c r="AO1" s="7" t="str">
        <f t="shared" si="0"/>
        <v>年齢限定2</v>
      </c>
      <c r="AP1" s="7" t="str">
        <f t="shared" si="0"/>
        <v>初度年2</v>
      </c>
      <c r="AQ1" s="7" t="str">
        <f t="shared" si="0"/>
        <v>初度月2</v>
      </c>
      <c r="AR1" s="7" t="str">
        <f t="shared" si="0"/>
        <v>型式2</v>
      </c>
      <c r="AS1" s="7" t="s">
        <v>355</v>
      </c>
      <c r="AT1" s="7" t="str">
        <f t="shared" ref="AT1:BF1" si="1">CONCATENATE(K1,"2")</f>
        <v>生年2</v>
      </c>
      <c r="AU1" s="7" t="str">
        <f t="shared" si="1"/>
        <v>生まれ月2</v>
      </c>
      <c r="AV1" s="7" t="str">
        <f t="shared" si="1"/>
        <v>生まれ日2</v>
      </c>
      <c r="AW1" s="7" t="str">
        <f t="shared" si="1"/>
        <v>地域2</v>
      </c>
      <c r="AX1" s="7" t="str">
        <f t="shared" si="1"/>
        <v>免許2</v>
      </c>
      <c r="AY1" s="7" t="str">
        <f t="shared" si="1"/>
        <v>使用目的2</v>
      </c>
      <c r="AZ1" s="7" t="str">
        <f t="shared" si="1"/>
        <v>走行距離2</v>
      </c>
      <c r="BA1" s="7" t="str">
        <f t="shared" si="1"/>
        <v>年齢限定修正2</v>
      </c>
      <c r="BB1" s="7" t="str">
        <f t="shared" si="1"/>
        <v>運限修正2</v>
      </c>
      <c r="BC1" s="7" t="str">
        <f t="shared" si="1"/>
        <v>対物AMT2</v>
      </c>
      <c r="BD1" s="7" t="str">
        <f t="shared" si="1"/>
        <v>対物LL2</v>
      </c>
      <c r="BE1" s="7" t="str">
        <f t="shared" si="1"/>
        <v>搭乗者2</v>
      </c>
      <c r="BF1" s="7" t="str">
        <f t="shared" si="1"/>
        <v>人傷種類2</v>
      </c>
      <c r="BG1" s="7" t="s">
        <v>290</v>
      </c>
      <c r="BH1" s="7" t="str">
        <f t="shared" ref="BH1:BR1" si="2">CONCATENATE(Y1,"2")</f>
        <v>車両保険種類2</v>
      </c>
      <c r="BI1" s="7" t="str">
        <f t="shared" si="2"/>
        <v>車両AMT2</v>
      </c>
      <c r="BJ1" s="7" t="str">
        <f t="shared" si="2"/>
        <v>車両免責2</v>
      </c>
      <c r="BK1" s="7" t="str">
        <f t="shared" si="2"/>
        <v>積載動産2</v>
      </c>
      <c r="BL1" s="7" t="str">
        <f t="shared" si="2"/>
        <v>代車費用2</v>
      </c>
      <c r="BM1" s="7" t="str">
        <f t="shared" si="2"/>
        <v>地噴津2</v>
      </c>
      <c r="BN1" s="7" t="str">
        <f t="shared" si="2"/>
        <v>弁特2</v>
      </c>
      <c r="BO1" s="7" t="str">
        <f t="shared" si="2"/>
        <v>原付2</v>
      </c>
      <c r="BP1" s="7" t="str">
        <f t="shared" si="2"/>
        <v>個賠2</v>
      </c>
      <c r="BQ1" s="7" t="str">
        <f t="shared" si="2"/>
        <v>傷害2</v>
      </c>
      <c r="BR1" s="7" t="str">
        <f t="shared" si="2"/>
        <v>地噴津死亡傷害2</v>
      </c>
      <c r="BS1" s="7" t="s">
        <v>78</v>
      </c>
      <c r="BT1" s="7" t="s">
        <v>61</v>
      </c>
      <c r="BU1" s="9" t="s">
        <v>76</v>
      </c>
      <c r="BV1" s="9" t="s">
        <v>77</v>
      </c>
      <c r="BW1" s="9" t="s">
        <v>293</v>
      </c>
      <c r="BX1" s="9" t="s">
        <v>294</v>
      </c>
      <c r="BY1" s="9" t="s">
        <v>292</v>
      </c>
    </row>
    <row r="2" spans="1:77" x14ac:dyDescent="0.15">
      <c r="A2" s="43">
        <v>2022</v>
      </c>
      <c r="B2" s="43">
        <v>12</v>
      </c>
      <c r="C2" s="43">
        <v>1</v>
      </c>
      <c r="D2" s="43">
        <v>20</v>
      </c>
      <c r="E2" s="43" t="s">
        <v>236</v>
      </c>
      <c r="F2" s="43" t="s">
        <v>57</v>
      </c>
      <c r="G2" s="43">
        <v>2017</v>
      </c>
      <c r="H2" s="43">
        <v>12</v>
      </c>
      <c r="I2" s="43" t="s">
        <v>524</v>
      </c>
      <c r="J2" s="43" t="s">
        <v>236</v>
      </c>
      <c r="K2" s="43">
        <v>1992</v>
      </c>
      <c r="L2" s="43">
        <v>12</v>
      </c>
      <c r="M2" s="43">
        <v>1</v>
      </c>
      <c r="N2" s="43" t="s">
        <v>48</v>
      </c>
      <c r="O2" s="43" t="s">
        <v>221</v>
      </c>
      <c r="P2" s="43" t="s">
        <v>224</v>
      </c>
      <c r="Q2" s="43">
        <v>3000</v>
      </c>
      <c r="R2" s="43" t="s">
        <v>57</v>
      </c>
      <c r="S2" s="43" t="s">
        <v>52</v>
      </c>
      <c r="T2" s="43" t="s">
        <v>70</v>
      </c>
      <c r="U2" s="43" t="s">
        <v>236</v>
      </c>
      <c r="V2" s="43">
        <v>1000</v>
      </c>
      <c r="W2" s="43" t="s">
        <v>241</v>
      </c>
      <c r="X2" s="43">
        <v>3000</v>
      </c>
      <c r="Y2" s="43" t="s">
        <v>278</v>
      </c>
      <c r="Z2" s="43">
        <v>110</v>
      </c>
      <c r="AA2" s="43" t="s">
        <v>525</v>
      </c>
      <c r="AB2" s="43" t="s">
        <v>236</v>
      </c>
      <c r="AC2" s="43" t="s">
        <v>236</v>
      </c>
      <c r="AD2" s="43" t="s">
        <v>236</v>
      </c>
      <c r="AE2" s="43" t="s">
        <v>68</v>
      </c>
      <c r="AF2" s="43" t="s">
        <v>236</v>
      </c>
      <c r="AG2" s="43" t="s">
        <v>236</v>
      </c>
      <c r="AH2" s="43" t="s">
        <v>236</v>
      </c>
      <c r="AI2" s="43" t="s">
        <v>236</v>
      </c>
      <c r="AJ2" t="s">
        <v>519</v>
      </c>
      <c r="AK2">
        <v>12</v>
      </c>
      <c r="AL2">
        <v>1</v>
      </c>
      <c r="AM2" t="s">
        <v>85</v>
      </c>
      <c r="AN2" t="s">
        <v>236</v>
      </c>
      <c r="AO2" t="s">
        <v>529</v>
      </c>
      <c r="AP2" t="s">
        <v>112</v>
      </c>
      <c r="AQ2">
        <v>12</v>
      </c>
      <c r="AR2" t="s">
        <v>524</v>
      </c>
      <c r="AS2" t="s">
        <v>236</v>
      </c>
      <c r="AT2" t="s">
        <v>137</v>
      </c>
      <c r="AU2" s="4">
        <v>12</v>
      </c>
      <c r="AV2">
        <v>1</v>
      </c>
      <c r="AW2" t="s">
        <v>432</v>
      </c>
      <c r="AX2" t="s">
        <v>221</v>
      </c>
      <c r="AY2" t="s">
        <v>224</v>
      </c>
      <c r="AZ2">
        <v>1</v>
      </c>
      <c r="BA2" t="s">
        <v>435</v>
      </c>
      <c r="BB2" t="s">
        <v>431</v>
      </c>
      <c r="BC2" t="s">
        <v>419</v>
      </c>
      <c r="BD2" t="s">
        <v>236</v>
      </c>
      <c r="BE2" t="s">
        <v>437</v>
      </c>
      <c r="BF2" t="s">
        <v>530</v>
      </c>
      <c r="BG2" t="s">
        <v>433</v>
      </c>
      <c r="BH2" t="s">
        <v>420</v>
      </c>
      <c r="BI2" t="s">
        <v>520</v>
      </c>
      <c r="BJ2" t="s">
        <v>68</v>
      </c>
      <c r="BK2" t="s">
        <v>236</v>
      </c>
      <c r="BL2" t="s">
        <v>236</v>
      </c>
      <c r="BM2" t="s">
        <v>236</v>
      </c>
      <c r="BN2" t="s">
        <v>68</v>
      </c>
      <c r="BO2" t="s">
        <v>236</v>
      </c>
      <c r="BP2" t="s">
        <v>236</v>
      </c>
      <c r="BQ2" t="s">
        <v>236</v>
      </c>
      <c r="BR2" t="s">
        <v>236</v>
      </c>
      <c r="BS2" t="s">
        <v>436</v>
      </c>
      <c r="BT2">
        <v>0</v>
      </c>
      <c r="BU2" s="19"/>
      <c r="BV2" s="19"/>
      <c r="BW2" s="19"/>
      <c r="BX2" s="19"/>
    </row>
    <row r="3" spans="1:77" x14ac:dyDescent="0.15">
      <c r="A3" s="43">
        <v>2022</v>
      </c>
      <c r="B3" s="43">
        <v>12</v>
      </c>
      <c r="C3" s="43">
        <v>1</v>
      </c>
      <c r="D3" s="43">
        <v>20</v>
      </c>
      <c r="E3" s="43" t="s">
        <v>236</v>
      </c>
      <c r="F3" s="43" t="s">
        <v>57</v>
      </c>
      <c r="G3" s="43">
        <v>2017</v>
      </c>
      <c r="H3" s="43">
        <v>12</v>
      </c>
      <c r="I3" s="43" t="s">
        <v>524</v>
      </c>
      <c r="J3" s="43" t="s">
        <v>236</v>
      </c>
      <c r="K3" s="43">
        <v>1987</v>
      </c>
      <c r="L3" s="43">
        <v>12</v>
      </c>
      <c r="M3" s="43">
        <v>1</v>
      </c>
      <c r="N3" s="43" t="s">
        <v>48</v>
      </c>
      <c r="O3" s="43" t="s">
        <v>221</v>
      </c>
      <c r="P3" s="43" t="s">
        <v>224</v>
      </c>
      <c r="Q3" s="43">
        <v>3000</v>
      </c>
      <c r="R3" s="43" t="s">
        <v>57</v>
      </c>
      <c r="S3" s="43" t="s">
        <v>52</v>
      </c>
      <c r="T3" s="43" t="s">
        <v>70</v>
      </c>
      <c r="U3" s="43" t="s">
        <v>236</v>
      </c>
      <c r="V3" s="43">
        <v>1000</v>
      </c>
      <c r="W3" s="43" t="s">
        <v>241</v>
      </c>
      <c r="X3" s="43">
        <v>3000</v>
      </c>
      <c r="Y3" s="43" t="s">
        <v>278</v>
      </c>
      <c r="Z3" s="43">
        <v>110</v>
      </c>
      <c r="AA3" s="43" t="s">
        <v>525</v>
      </c>
      <c r="AB3" s="43" t="s">
        <v>236</v>
      </c>
      <c r="AC3" s="43" t="s">
        <v>236</v>
      </c>
      <c r="AD3" s="43" t="s">
        <v>236</v>
      </c>
      <c r="AE3" s="43" t="s">
        <v>68</v>
      </c>
      <c r="AF3" s="43" t="s">
        <v>236</v>
      </c>
      <c r="AG3" s="43" t="s">
        <v>236</v>
      </c>
      <c r="AH3" s="43" t="s">
        <v>236</v>
      </c>
      <c r="AI3" s="43" t="s">
        <v>236</v>
      </c>
      <c r="AJ3" t="s">
        <v>519</v>
      </c>
      <c r="AK3">
        <v>12</v>
      </c>
      <c r="AL3">
        <v>1</v>
      </c>
      <c r="AM3" t="s">
        <v>85</v>
      </c>
      <c r="AN3" t="s">
        <v>236</v>
      </c>
      <c r="AO3" t="s">
        <v>529</v>
      </c>
      <c r="AP3" t="s">
        <v>112</v>
      </c>
      <c r="AQ3">
        <v>12</v>
      </c>
      <c r="AR3" t="s">
        <v>524</v>
      </c>
      <c r="AS3" t="s">
        <v>236</v>
      </c>
      <c r="AT3" t="s">
        <v>140</v>
      </c>
      <c r="AU3" s="4">
        <v>12</v>
      </c>
      <c r="AV3">
        <v>1</v>
      </c>
      <c r="AW3" t="s">
        <v>432</v>
      </c>
      <c r="AX3" t="s">
        <v>221</v>
      </c>
      <c r="AY3" t="s">
        <v>224</v>
      </c>
      <c r="AZ3">
        <v>1</v>
      </c>
      <c r="BA3" t="s">
        <v>435</v>
      </c>
      <c r="BB3" t="s">
        <v>431</v>
      </c>
      <c r="BC3" t="s">
        <v>419</v>
      </c>
      <c r="BD3" t="s">
        <v>236</v>
      </c>
      <c r="BE3" t="s">
        <v>437</v>
      </c>
      <c r="BF3" t="s">
        <v>530</v>
      </c>
      <c r="BG3" t="s">
        <v>433</v>
      </c>
      <c r="BH3" t="s">
        <v>420</v>
      </c>
      <c r="BI3" t="s">
        <v>520</v>
      </c>
      <c r="BJ3" t="s">
        <v>68</v>
      </c>
      <c r="BK3" t="s">
        <v>236</v>
      </c>
      <c r="BL3" t="s">
        <v>236</v>
      </c>
      <c r="BM3" t="s">
        <v>236</v>
      </c>
      <c r="BN3" t="s">
        <v>68</v>
      </c>
      <c r="BO3" t="s">
        <v>236</v>
      </c>
      <c r="BP3" t="s">
        <v>236</v>
      </c>
      <c r="BQ3" t="s">
        <v>236</v>
      </c>
      <c r="BR3" t="s">
        <v>236</v>
      </c>
      <c r="BS3" t="s">
        <v>436</v>
      </c>
      <c r="BT3">
        <v>0</v>
      </c>
      <c r="BU3" s="19"/>
      <c r="BV3" s="19"/>
      <c r="BW3" s="19"/>
      <c r="BX3" s="19"/>
    </row>
    <row r="4" spans="1:77" x14ac:dyDescent="0.15">
      <c r="A4" s="43">
        <v>2022</v>
      </c>
      <c r="B4" s="43">
        <v>12</v>
      </c>
      <c r="C4" s="43">
        <v>1</v>
      </c>
      <c r="D4" s="43">
        <v>20</v>
      </c>
      <c r="E4" s="43" t="s">
        <v>236</v>
      </c>
      <c r="F4" s="43" t="s">
        <v>57</v>
      </c>
      <c r="G4" s="43">
        <v>2017</v>
      </c>
      <c r="H4" s="43">
        <v>12</v>
      </c>
      <c r="I4" s="43" t="s">
        <v>524</v>
      </c>
      <c r="J4" s="43" t="s">
        <v>236</v>
      </c>
      <c r="K4" s="43">
        <v>1982</v>
      </c>
      <c r="L4" s="43">
        <v>12</v>
      </c>
      <c r="M4" s="43">
        <v>1</v>
      </c>
      <c r="N4" s="43" t="s">
        <v>48</v>
      </c>
      <c r="O4" s="43" t="s">
        <v>221</v>
      </c>
      <c r="P4" s="43" t="s">
        <v>224</v>
      </c>
      <c r="Q4" s="43">
        <v>3000</v>
      </c>
      <c r="R4" s="43" t="s">
        <v>57</v>
      </c>
      <c r="S4" s="43" t="s">
        <v>52</v>
      </c>
      <c r="T4" s="43" t="s">
        <v>70</v>
      </c>
      <c r="U4" s="43" t="s">
        <v>236</v>
      </c>
      <c r="V4" s="43">
        <v>1000</v>
      </c>
      <c r="W4" s="43" t="s">
        <v>241</v>
      </c>
      <c r="X4" s="43">
        <v>3000</v>
      </c>
      <c r="Y4" s="43" t="s">
        <v>278</v>
      </c>
      <c r="Z4" s="43">
        <v>110</v>
      </c>
      <c r="AA4" s="43" t="s">
        <v>525</v>
      </c>
      <c r="AB4" s="43" t="s">
        <v>236</v>
      </c>
      <c r="AC4" s="43" t="s">
        <v>236</v>
      </c>
      <c r="AD4" s="43" t="s">
        <v>236</v>
      </c>
      <c r="AE4" s="43" t="s">
        <v>68</v>
      </c>
      <c r="AF4" s="43" t="s">
        <v>236</v>
      </c>
      <c r="AG4" s="43" t="s">
        <v>236</v>
      </c>
      <c r="AH4" s="43" t="s">
        <v>236</v>
      </c>
      <c r="AI4" s="43" t="s">
        <v>236</v>
      </c>
      <c r="AJ4" t="s">
        <v>519</v>
      </c>
      <c r="AK4">
        <v>12</v>
      </c>
      <c r="AL4">
        <v>1</v>
      </c>
      <c r="AM4" t="s">
        <v>85</v>
      </c>
      <c r="AN4" t="s">
        <v>236</v>
      </c>
      <c r="AO4" t="s">
        <v>529</v>
      </c>
      <c r="AP4" t="s">
        <v>112</v>
      </c>
      <c r="AQ4">
        <v>12</v>
      </c>
      <c r="AR4" t="s">
        <v>524</v>
      </c>
      <c r="AS4" t="s">
        <v>236</v>
      </c>
      <c r="AT4" t="s">
        <v>145</v>
      </c>
      <c r="AU4" s="4">
        <v>12</v>
      </c>
      <c r="AV4">
        <v>1</v>
      </c>
      <c r="AW4" t="s">
        <v>432</v>
      </c>
      <c r="AX4" t="s">
        <v>221</v>
      </c>
      <c r="AY4" t="s">
        <v>224</v>
      </c>
      <c r="AZ4">
        <v>1</v>
      </c>
      <c r="BA4" t="s">
        <v>435</v>
      </c>
      <c r="BB4" t="s">
        <v>431</v>
      </c>
      <c r="BC4" t="s">
        <v>419</v>
      </c>
      <c r="BD4" t="s">
        <v>236</v>
      </c>
      <c r="BE4" t="s">
        <v>437</v>
      </c>
      <c r="BF4" t="s">
        <v>530</v>
      </c>
      <c r="BG4" t="s">
        <v>433</v>
      </c>
      <c r="BH4" t="s">
        <v>420</v>
      </c>
      <c r="BI4" t="s">
        <v>520</v>
      </c>
      <c r="BJ4" t="s">
        <v>68</v>
      </c>
      <c r="BK4" t="s">
        <v>236</v>
      </c>
      <c r="BL4" t="s">
        <v>236</v>
      </c>
      <c r="BM4" t="s">
        <v>236</v>
      </c>
      <c r="BN4" t="s">
        <v>68</v>
      </c>
      <c r="BO4" t="s">
        <v>236</v>
      </c>
      <c r="BP4" t="s">
        <v>236</v>
      </c>
      <c r="BQ4" t="s">
        <v>236</v>
      </c>
      <c r="BR4" t="s">
        <v>236</v>
      </c>
      <c r="BS4" t="s">
        <v>436</v>
      </c>
      <c r="BT4">
        <v>0</v>
      </c>
      <c r="BU4" s="19"/>
      <c r="BV4" s="19"/>
      <c r="BW4" s="19"/>
      <c r="BX4" s="19"/>
    </row>
    <row r="5" spans="1:77" x14ac:dyDescent="0.15">
      <c r="A5" s="43">
        <v>2022</v>
      </c>
      <c r="B5" s="43">
        <v>12</v>
      </c>
      <c r="C5" s="43">
        <v>1</v>
      </c>
      <c r="D5" s="43">
        <v>20</v>
      </c>
      <c r="E5" s="43" t="s">
        <v>236</v>
      </c>
      <c r="F5" s="43" t="s">
        <v>57</v>
      </c>
      <c r="G5" s="43">
        <v>2017</v>
      </c>
      <c r="H5" s="43">
        <v>12</v>
      </c>
      <c r="I5" s="43" t="s">
        <v>524</v>
      </c>
      <c r="J5" s="43" t="s">
        <v>236</v>
      </c>
      <c r="K5" s="43">
        <v>1977</v>
      </c>
      <c r="L5" s="43">
        <v>12</v>
      </c>
      <c r="M5" s="43">
        <v>1</v>
      </c>
      <c r="N5" s="43" t="s">
        <v>48</v>
      </c>
      <c r="O5" s="43" t="s">
        <v>221</v>
      </c>
      <c r="P5" s="43" t="s">
        <v>224</v>
      </c>
      <c r="Q5" s="43">
        <v>3000</v>
      </c>
      <c r="R5" s="43" t="s">
        <v>57</v>
      </c>
      <c r="S5" s="43" t="s">
        <v>52</v>
      </c>
      <c r="T5" s="43" t="s">
        <v>70</v>
      </c>
      <c r="U5" s="43" t="s">
        <v>236</v>
      </c>
      <c r="V5" s="43">
        <v>1000</v>
      </c>
      <c r="W5" s="43" t="s">
        <v>241</v>
      </c>
      <c r="X5" s="43">
        <v>3000</v>
      </c>
      <c r="Y5" s="43" t="s">
        <v>278</v>
      </c>
      <c r="Z5" s="43">
        <v>110</v>
      </c>
      <c r="AA5" s="43" t="s">
        <v>525</v>
      </c>
      <c r="AB5" s="43" t="s">
        <v>236</v>
      </c>
      <c r="AC5" s="43" t="s">
        <v>236</v>
      </c>
      <c r="AD5" s="43" t="s">
        <v>236</v>
      </c>
      <c r="AE5" s="43" t="s">
        <v>68</v>
      </c>
      <c r="AF5" s="43" t="s">
        <v>236</v>
      </c>
      <c r="AG5" s="43" t="s">
        <v>236</v>
      </c>
      <c r="AH5" s="43" t="s">
        <v>236</v>
      </c>
      <c r="AI5" s="43" t="s">
        <v>236</v>
      </c>
      <c r="AJ5" t="s">
        <v>519</v>
      </c>
      <c r="AK5">
        <v>12</v>
      </c>
      <c r="AL5">
        <v>1</v>
      </c>
      <c r="AM5" t="s">
        <v>85</v>
      </c>
      <c r="AN5" t="s">
        <v>236</v>
      </c>
      <c r="AO5" t="s">
        <v>529</v>
      </c>
      <c r="AP5" t="s">
        <v>112</v>
      </c>
      <c r="AQ5">
        <v>12</v>
      </c>
      <c r="AR5" t="s">
        <v>524</v>
      </c>
      <c r="AS5" t="s">
        <v>236</v>
      </c>
      <c r="AT5" t="s">
        <v>150</v>
      </c>
      <c r="AU5" s="4">
        <v>12</v>
      </c>
      <c r="AV5">
        <v>1</v>
      </c>
      <c r="AW5" t="s">
        <v>432</v>
      </c>
      <c r="AX5" t="s">
        <v>221</v>
      </c>
      <c r="AY5" t="s">
        <v>224</v>
      </c>
      <c r="AZ5">
        <v>1</v>
      </c>
      <c r="BA5" t="s">
        <v>435</v>
      </c>
      <c r="BB5" t="s">
        <v>431</v>
      </c>
      <c r="BC5" t="s">
        <v>419</v>
      </c>
      <c r="BD5" t="s">
        <v>236</v>
      </c>
      <c r="BE5" t="s">
        <v>437</v>
      </c>
      <c r="BF5" t="s">
        <v>530</v>
      </c>
      <c r="BG5" t="s">
        <v>433</v>
      </c>
      <c r="BH5" t="s">
        <v>420</v>
      </c>
      <c r="BI5" t="s">
        <v>520</v>
      </c>
      <c r="BJ5" t="s">
        <v>68</v>
      </c>
      <c r="BK5" t="s">
        <v>236</v>
      </c>
      <c r="BL5" t="s">
        <v>236</v>
      </c>
      <c r="BM5" t="s">
        <v>236</v>
      </c>
      <c r="BN5" t="s">
        <v>68</v>
      </c>
      <c r="BO5" t="s">
        <v>236</v>
      </c>
      <c r="BP5" t="s">
        <v>236</v>
      </c>
      <c r="BQ5" t="s">
        <v>236</v>
      </c>
      <c r="BR5" t="s">
        <v>236</v>
      </c>
      <c r="BS5" t="s">
        <v>436</v>
      </c>
      <c r="BT5">
        <v>0</v>
      </c>
      <c r="BU5" s="19"/>
      <c r="BV5" s="19"/>
      <c r="BW5" s="19"/>
      <c r="BX5" s="19"/>
    </row>
    <row r="6" spans="1:77" x14ac:dyDescent="0.15">
      <c r="A6" s="43">
        <v>2022</v>
      </c>
      <c r="B6" s="43">
        <v>12</v>
      </c>
      <c r="C6" s="43">
        <v>1</v>
      </c>
      <c r="D6" s="43">
        <v>20</v>
      </c>
      <c r="E6" s="43" t="s">
        <v>236</v>
      </c>
      <c r="F6" s="43" t="s">
        <v>57</v>
      </c>
      <c r="G6" s="43">
        <v>2017</v>
      </c>
      <c r="H6" s="43">
        <v>12</v>
      </c>
      <c r="I6" s="43" t="s">
        <v>524</v>
      </c>
      <c r="J6" s="43" t="s">
        <v>236</v>
      </c>
      <c r="K6" s="43">
        <v>1972</v>
      </c>
      <c r="L6" s="43">
        <v>12</v>
      </c>
      <c r="M6" s="43">
        <v>1</v>
      </c>
      <c r="N6" s="43" t="s">
        <v>48</v>
      </c>
      <c r="O6" s="43" t="s">
        <v>221</v>
      </c>
      <c r="P6" s="43" t="s">
        <v>224</v>
      </c>
      <c r="Q6" s="43">
        <v>3000</v>
      </c>
      <c r="R6" s="43" t="s">
        <v>57</v>
      </c>
      <c r="S6" s="43" t="s">
        <v>52</v>
      </c>
      <c r="T6" s="43" t="s">
        <v>70</v>
      </c>
      <c r="U6" s="43" t="s">
        <v>236</v>
      </c>
      <c r="V6" s="43">
        <v>1000</v>
      </c>
      <c r="W6" s="43" t="s">
        <v>241</v>
      </c>
      <c r="X6" s="43">
        <v>3000</v>
      </c>
      <c r="Y6" s="43" t="s">
        <v>278</v>
      </c>
      <c r="Z6" s="43">
        <v>110</v>
      </c>
      <c r="AA6" s="43" t="s">
        <v>525</v>
      </c>
      <c r="AB6" s="43" t="s">
        <v>236</v>
      </c>
      <c r="AC6" s="43" t="s">
        <v>236</v>
      </c>
      <c r="AD6" s="43" t="s">
        <v>236</v>
      </c>
      <c r="AE6" s="43" t="s">
        <v>68</v>
      </c>
      <c r="AF6" s="43" t="s">
        <v>236</v>
      </c>
      <c r="AG6" s="43" t="s">
        <v>236</v>
      </c>
      <c r="AH6" s="43" t="s">
        <v>236</v>
      </c>
      <c r="AI6" s="43" t="s">
        <v>236</v>
      </c>
      <c r="AJ6" t="s">
        <v>519</v>
      </c>
      <c r="AK6">
        <v>12</v>
      </c>
      <c r="AL6">
        <v>1</v>
      </c>
      <c r="AM6" t="s">
        <v>85</v>
      </c>
      <c r="AN6" t="s">
        <v>236</v>
      </c>
      <c r="AO6" t="s">
        <v>529</v>
      </c>
      <c r="AP6" t="s">
        <v>112</v>
      </c>
      <c r="AQ6">
        <v>12</v>
      </c>
      <c r="AR6" t="s">
        <v>524</v>
      </c>
      <c r="AS6" t="s">
        <v>236</v>
      </c>
      <c r="AT6" t="s">
        <v>155</v>
      </c>
      <c r="AU6" s="4">
        <v>12</v>
      </c>
      <c r="AV6">
        <v>1</v>
      </c>
      <c r="AW6" t="s">
        <v>432</v>
      </c>
      <c r="AX6" t="s">
        <v>221</v>
      </c>
      <c r="AY6" t="s">
        <v>224</v>
      </c>
      <c r="AZ6">
        <v>1</v>
      </c>
      <c r="BA6" t="s">
        <v>435</v>
      </c>
      <c r="BB6" t="s">
        <v>431</v>
      </c>
      <c r="BC6" t="s">
        <v>419</v>
      </c>
      <c r="BD6" t="s">
        <v>236</v>
      </c>
      <c r="BE6" t="s">
        <v>437</v>
      </c>
      <c r="BF6" t="s">
        <v>530</v>
      </c>
      <c r="BG6" t="s">
        <v>433</v>
      </c>
      <c r="BH6" t="s">
        <v>420</v>
      </c>
      <c r="BI6" t="s">
        <v>520</v>
      </c>
      <c r="BJ6" t="s">
        <v>68</v>
      </c>
      <c r="BK6" t="s">
        <v>236</v>
      </c>
      <c r="BL6" t="s">
        <v>236</v>
      </c>
      <c r="BM6" t="s">
        <v>236</v>
      </c>
      <c r="BN6" t="s">
        <v>68</v>
      </c>
      <c r="BO6" t="s">
        <v>236</v>
      </c>
      <c r="BP6" t="s">
        <v>236</v>
      </c>
      <c r="BQ6" t="s">
        <v>236</v>
      </c>
      <c r="BR6" t="s">
        <v>236</v>
      </c>
      <c r="BS6" t="s">
        <v>436</v>
      </c>
      <c r="BT6">
        <v>0</v>
      </c>
      <c r="BU6" s="19"/>
      <c r="BV6" s="19"/>
      <c r="BW6" s="19"/>
      <c r="BX6" s="19"/>
    </row>
    <row r="7" spans="1:77" x14ac:dyDescent="0.15">
      <c r="A7" s="43">
        <v>2022</v>
      </c>
      <c r="B7" s="43">
        <v>12</v>
      </c>
      <c r="C7" s="43">
        <v>1</v>
      </c>
      <c r="D7" s="43">
        <v>20</v>
      </c>
      <c r="E7" s="43" t="s">
        <v>236</v>
      </c>
      <c r="F7" s="43" t="s">
        <v>57</v>
      </c>
      <c r="G7" s="43">
        <v>2017</v>
      </c>
      <c r="H7" s="43">
        <v>12</v>
      </c>
      <c r="I7" s="43" t="s">
        <v>524</v>
      </c>
      <c r="J7" s="43" t="s">
        <v>236</v>
      </c>
      <c r="K7" s="43">
        <v>1962</v>
      </c>
      <c r="L7" s="43">
        <v>12</v>
      </c>
      <c r="M7" s="43">
        <v>1</v>
      </c>
      <c r="N7" s="43" t="s">
        <v>48</v>
      </c>
      <c r="O7" s="43" t="s">
        <v>221</v>
      </c>
      <c r="P7" s="43" t="s">
        <v>224</v>
      </c>
      <c r="Q7" s="43">
        <v>3000</v>
      </c>
      <c r="R7" s="43" t="s">
        <v>57</v>
      </c>
      <c r="S7" s="43" t="s">
        <v>52</v>
      </c>
      <c r="T7" s="43" t="s">
        <v>70</v>
      </c>
      <c r="U7" s="43" t="s">
        <v>236</v>
      </c>
      <c r="V7" s="43">
        <v>1000</v>
      </c>
      <c r="W7" s="43" t="s">
        <v>241</v>
      </c>
      <c r="X7" s="43">
        <v>3000</v>
      </c>
      <c r="Y7" s="43" t="s">
        <v>278</v>
      </c>
      <c r="Z7" s="43">
        <v>110</v>
      </c>
      <c r="AA7" s="43" t="s">
        <v>525</v>
      </c>
      <c r="AB7" s="43" t="s">
        <v>236</v>
      </c>
      <c r="AC7" s="43" t="s">
        <v>236</v>
      </c>
      <c r="AD7" s="43" t="s">
        <v>236</v>
      </c>
      <c r="AE7" s="43" t="s">
        <v>68</v>
      </c>
      <c r="AF7" s="43" t="s">
        <v>236</v>
      </c>
      <c r="AG7" s="43" t="s">
        <v>236</v>
      </c>
      <c r="AH7" s="43" t="s">
        <v>236</v>
      </c>
      <c r="AI7" s="43" t="s">
        <v>236</v>
      </c>
      <c r="AJ7" t="s">
        <v>519</v>
      </c>
      <c r="AK7">
        <v>12</v>
      </c>
      <c r="AL7">
        <v>1</v>
      </c>
      <c r="AM7" t="s">
        <v>85</v>
      </c>
      <c r="AN7" t="s">
        <v>236</v>
      </c>
      <c r="AO7" t="s">
        <v>529</v>
      </c>
      <c r="AP7" t="s">
        <v>112</v>
      </c>
      <c r="AQ7">
        <v>12</v>
      </c>
      <c r="AR7" t="s">
        <v>524</v>
      </c>
      <c r="AS7" t="s">
        <v>236</v>
      </c>
      <c r="AT7" t="s">
        <v>165</v>
      </c>
      <c r="AU7" s="4">
        <v>12</v>
      </c>
      <c r="AV7">
        <v>1</v>
      </c>
      <c r="AW7" t="s">
        <v>432</v>
      </c>
      <c r="AX7" t="s">
        <v>221</v>
      </c>
      <c r="AY7" t="s">
        <v>224</v>
      </c>
      <c r="AZ7">
        <v>1</v>
      </c>
      <c r="BA7" t="s">
        <v>435</v>
      </c>
      <c r="BB7" t="s">
        <v>431</v>
      </c>
      <c r="BC7" t="s">
        <v>419</v>
      </c>
      <c r="BD7" t="s">
        <v>236</v>
      </c>
      <c r="BE7" t="s">
        <v>437</v>
      </c>
      <c r="BF7" t="s">
        <v>530</v>
      </c>
      <c r="BG7" t="s">
        <v>433</v>
      </c>
      <c r="BH7" t="s">
        <v>420</v>
      </c>
      <c r="BI7" t="s">
        <v>520</v>
      </c>
      <c r="BJ7" t="s">
        <v>68</v>
      </c>
      <c r="BK7" t="s">
        <v>236</v>
      </c>
      <c r="BL7" t="s">
        <v>236</v>
      </c>
      <c r="BM7" t="s">
        <v>236</v>
      </c>
      <c r="BN7" t="s">
        <v>68</v>
      </c>
      <c r="BO7" t="s">
        <v>236</v>
      </c>
      <c r="BP7" t="s">
        <v>236</v>
      </c>
      <c r="BQ7" t="s">
        <v>236</v>
      </c>
      <c r="BR7" t="s">
        <v>236</v>
      </c>
      <c r="BS7" t="s">
        <v>436</v>
      </c>
      <c r="BT7">
        <v>0</v>
      </c>
      <c r="BU7" s="19"/>
      <c r="BV7" s="19"/>
      <c r="BW7" s="19"/>
      <c r="BX7" s="19"/>
    </row>
    <row r="8" spans="1:77" x14ac:dyDescent="0.15">
      <c r="A8" s="43">
        <v>2022</v>
      </c>
      <c r="B8" s="43">
        <v>12</v>
      </c>
      <c r="C8" s="43">
        <v>1</v>
      </c>
      <c r="D8" s="43">
        <v>20</v>
      </c>
      <c r="E8" s="43" t="s">
        <v>236</v>
      </c>
      <c r="F8" s="43" t="s">
        <v>57</v>
      </c>
      <c r="G8" s="43">
        <v>2017</v>
      </c>
      <c r="H8" s="43">
        <v>12</v>
      </c>
      <c r="I8" s="43" t="s">
        <v>524</v>
      </c>
      <c r="J8" s="43" t="s">
        <v>236</v>
      </c>
      <c r="K8" s="43">
        <v>1952</v>
      </c>
      <c r="L8" s="43">
        <v>12</v>
      </c>
      <c r="M8" s="43">
        <v>1</v>
      </c>
      <c r="N8" s="43" t="s">
        <v>48</v>
      </c>
      <c r="O8" s="43" t="s">
        <v>221</v>
      </c>
      <c r="P8" s="43" t="s">
        <v>224</v>
      </c>
      <c r="Q8" s="43">
        <v>3000</v>
      </c>
      <c r="R8" s="43" t="s">
        <v>57</v>
      </c>
      <c r="S8" s="43" t="s">
        <v>52</v>
      </c>
      <c r="T8" s="43" t="s">
        <v>70</v>
      </c>
      <c r="U8" s="43" t="s">
        <v>236</v>
      </c>
      <c r="V8" s="43">
        <v>1000</v>
      </c>
      <c r="W8" s="43" t="s">
        <v>241</v>
      </c>
      <c r="X8" s="43">
        <v>3000</v>
      </c>
      <c r="Y8" s="43" t="s">
        <v>278</v>
      </c>
      <c r="Z8" s="43">
        <v>110</v>
      </c>
      <c r="AA8" s="43" t="s">
        <v>525</v>
      </c>
      <c r="AB8" s="43" t="s">
        <v>236</v>
      </c>
      <c r="AC8" s="43" t="s">
        <v>236</v>
      </c>
      <c r="AD8" s="43" t="s">
        <v>236</v>
      </c>
      <c r="AE8" s="43" t="s">
        <v>68</v>
      </c>
      <c r="AF8" s="43" t="s">
        <v>236</v>
      </c>
      <c r="AG8" s="43" t="s">
        <v>236</v>
      </c>
      <c r="AH8" s="43" t="s">
        <v>236</v>
      </c>
      <c r="AI8" s="43" t="s">
        <v>236</v>
      </c>
      <c r="AJ8" t="s">
        <v>519</v>
      </c>
      <c r="AK8">
        <v>12</v>
      </c>
      <c r="AL8">
        <v>1</v>
      </c>
      <c r="AM8" t="s">
        <v>85</v>
      </c>
      <c r="AN8" t="s">
        <v>236</v>
      </c>
      <c r="AO8" t="s">
        <v>529</v>
      </c>
      <c r="AP8" t="s">
        <v>112</v>
      </c>
      <c r="AQ8">
        <v>12</v>
      </c>
      <c r="AR8" t="s">
        <v>524</v>
      </c>
      <c r="AS8" t="s">
        <v>236</v>
      </c>
      <c r="AT8" t="s">
        <v>175</v>
      </c>
      <c r="AU8" s="4">
        <v>12</v>
      </c>
      <c r="AV8">
        <v>1</v>
      </c>
      <c r="AW8" t="s">
        <v>432</v>
      </c>
      <c r="AX8" t="s">
        <v>221</v>
      </c>
      <c r="AY8" t="s">
        <v>224</v>
      </c>
      <c r="AZ8">
        <v>1</v>
      </c>
      <c r="BA8" t="s">
        <v>435</v>
      </c>
      <c r="BB8" t="s">
        <v>431</v>
      </c>
      <c r="BC8" t="s">
        <v>419</v>
      </c>
      <c r="BD8" t="s">
        <v>236</v>
      </c>
      <c r="BE8" t="s">
        <v>437</v>
      </c>
      <c r="BF8" t="s">
        <v>530</v>
      </c>
      <c r="BG8" t="s">
        <v>433</v>
      </c>
      <c r="BH8" t="s">
        <v>420</v>
      </c>
      <c r="BI8" t="s">
        <v>520</v>
      </c>
      <c r="BJ8" t="s">
        <v>68</v>
      </c>
      <c r="BK8" t="s">
        <v>236</v>
      </c>
      <c r="BL8" t="s">
        <v>236</v>
      </c>
      <c r="BM8" t="s">
        <v>236</v>
      </c>
      <c r="BN8" t="s">
        <v>68</v>
      </c>
      <c r="BO8" t="s">
        <v>236</v>
      </c>
      <c r="BP8" t="s">
        <v>236</v>
      </c>
      <c r="BQ8" t="s">
        <v>236</v>
      </c>
      <c r="BR8" t="s">
        <v>236</v>
      </c>
      <c r="BS8" t="s">
        <v>436</v>
      </c>
      <c r="BT8">
        <v>0</v>
      </c>
      <c r="BU8" s="19"/>
      <c r="BV8" s="19"/>
      <c r="BW8" s="19"/>
      <c r="BX8" s="19"/>
    </row>
    <row r="9" spans="1:77" x14ac:dyDescent="0.15">
      <c r="A9" s="43">
        <v>2022</v>
      </c>
      <c r="B9" s="43">
        <v>12</v>
      </c>
      <c r="C9" s="43">
        <v>1</v>
      </c>
      <c r="D9" s="43">
        <v>20</v>
      </c>
      <c r="E9" s="43" t="s">
        <v>236</v>
      </c>
      <c r="F9" s="43" t="s">
        <v>57</v>
      </c>
      <c r="G9" s="43">
        <v>2017</v>
      </c>
      <c r="H9" s="43">
        <v>12</v>
      </c>
      <c r="I9" s="43" t="s">
        <v>524</v>
      </c>
      <c r="J9" s="43" t="s">
        <v>236</v>
      </c>
      <c r="K9" s="43">
        <v>1992</v>
      </c>
      <c r="L9" s="43">
        <v>12</v>
      </c>
      <c r="M9" s="43">
        <v>1</v>
      </c>
      <c r="N9" s="43" t="s">
        <v>48</v>
      </c>
      <c r="O9" s="43" t="s">
        <v>221</v>
      </c>
      <c r="P9" s="43" t="s">
        <v>224</v>
      </c>
      <c r="Q9" s="43">
        <v>7000</v>
      </c>
      <c r="R9" s="43" t="s">
        <v>57</v>
      </c>
      <c r="S9" s="43" t="s">
        <v>52</v>
      </c>
      <c r="T9" s="43" t="s">
        <v>70</v>
      </c>
      <c r="U9" s="43" t="s">
        <v>236</v>
      </c>
      <c r="V9" s="43">
        <v>1000</v>
      </c>
      <c r="W9" s="43" t="s">
        <v>241</v>
      </c>
      <c r="X9" s="43">
        <v>3000</v>
      </c>
      <c r="Y9" s="43" t="s">
        <v>278</v>
      </c>
      <c r="Z9" s="43">
        <v>110</v>
      </c>
      <c r="AA9" s="43" t="s">
        <v>525</v>
      </c>
      <c r="AB9" s="43" t="s">
        <v>236</v>
      </c>
      <c r="AC9" s="43" t="s">
        <v>236</v>
      </c>
      <c r="AD9" s="43" t="s">
        <v>236</v>
      </c>
      <c r="AE9" s="43" t="s">
        <v>68</v>
      </c>
      <c r="AF9" s="43" t="s">
        <v>236</v>
      </c>
      <c r="AG9" s="43" t="s">
        <v>236</v>
      </c>
      <c r="AH9" s="43" t="s">
        <v>236</v>
      </c>
      <c r="AI9" s="43" t="s">
        <v>236</v>
      </c>
      <c r="AJ9" t="s">
        <v>519</v>
      </c>
      <c r="AK9">
        <v>12</v>
      </c>
      <c r="AL9">
        <v>1</v>
      </c>
      <c r="AM9" t="s">
        <v>85</v>
      </c>
      <c r="AN9" t="s">
        <v>236</v>
      </c>
      <c r="AO9" t="s">
        <v>529</v>
      </c>
      <c r="AP9" t="s">
        <v>112</v>
      </c>
      <c r="AQ9">
        <v>12</v>
      </c>
      <c r="AR9" t="s">
        <v>524</v>
      </c>
      <c r="AS9" t="s">
        <v>236</v>
      </c>
      <c r="AT9" t="s">
        <v>137</v>
      </c>
      <c r="AU9">
        <v>12</v>
      </c>
      <c r="AV9">
        <v>1</v>
      </c>
      <c r="AW9" t="s">
        <v>432</v>
      </c>
      <c r="AX9" t="s">
        <v>221</v>
      </c>
      <c r="AY9" t="s">
        <v>224</v>
      </c>
      <c r="AZ9">
        <v>3</v>
      </c>
      <c r="BA9" t="s">
        <v>435</v>
      </c>
      <c r="BB9" t="s">
        <v>431</v>
      </c>
      <c r="BC9" t="s">
        <v>419</v>
      </c>
      <c r="BD9" t="s">
        <v>236</v>
      </c>
      <c r="BE9" t="s">
        <v>437</v>
      </c>
      <c r="BF9" t="s">
        <v>530</v>
      </c>
      <c r="BG9" t="s">
        <v>433</v>
      </c>
      <c r="BH9" t="s">
        <v>420</v>
      </c>
      <c r="BI9" t="s">
        <v>520</v>
      </c>
      <c r="BJ9" t="s">
        <v>68</v>
      </c>
      <c r="BK9" t="s">
        <v>236</v>
      </c>
      <c r="BL9" t="s">
        <v>236</v>
      </c>
      <c r="BM9" t="s">
        <v>236</v>
      </c>
      <c r="BN9" t="s">
        <v>68</v>
      </c>
      <c r="BO9" t="s">
        <v>236</v>
      </c>
      <c r="BP9" t="s">
        <v>236</v>
      </c>
      <c r="BQ9" t="s">
        <v>236</v>
      </c>
      <c r="BR9" t="s">
        <v>236</v>
      </c>
      <c r="BS9" t="s">
        <v>436</v>
      </c>
      <c r="BT9">
        <v>0</v>
      </c>
    </row>
    <row r="10" spans="1:77" x14ac:dyDescent="0.15">
      <c r="A10" s="43">
        <v>2022</v>
      </c>
      <c r="B10" s="43">
        <v>12</v>
      </c>
      <c r="C10" s="43">
        <v>1</v>
      </c>
      <c r="D10" s="43">
        <v>20</v>
      </c>
      <c r="E10" s="43" t="s">
        <v>236</v>
      </c>
      <c r="F10" s="43" t="s">
        <v>57</v>
      </c>
      <c r="G10" s="43">
        <v>2017</v>
      </c>
      <c r="H10" s="43">
        <v>12</v>
      </c>
      <c r="I10" s="43" t="s">
        <v>524</v>
      </c>
      <c r="J10" s="43" t="s">
        <v>236</v>
      </c>
      <c r="K10" s="43">
        <v>1987</v>
      </c>
      <c r="L10" s="43">
        <v>12</v>
      </c>
      <c r="M10" s="43">
        <v>1</v>
      </c>
      <c r="N10" s="43" t="s">
        <v>48</v>
      </c>
      <c r="O10" s="43" t="s">
        <v>221</v>
      </c>
      <c r="P10" s="43" t="s">
        <v>224</v>
      </c>
      <c r="Q10" s="43">
        <v>7000</v>
      </c>
      <c r="R10" s="43" t="s">
        <v>57</v>
      </c>
      <c r="S10" s="43" t="s">
        <v>52</v>
      </c>
      <c r="T10" s="43" t="s">
        <v>70</v>
      </c>
      <c r="U10" s="43" t="s">
        <v>236</v>
      </c>
      <c r="V10" s="43">
        <v>1000</v>
      </c>
      <c r="W10" s="43" t="s">
        <v>241</v>
      </c>
      <c r="X10" s="43">
        <v>3000</v>
      </c>
      <c r="Y10" s="43" t="s">
        <v>278</v>
      </c>
      <c r="Z10" s="43">
        <v>110</v>
      </c>
      <c r="AA10" s="43" t="s">
        <v>525</v>
      </c>
      <c r="AB10" s="43" t="s">
        <v>236</v>
      </c>
      <c r="AC10" s="43" t="s">
        <v>236</v>
      </c>
      <c r="AD10" s="43" t="s">
        <v>236</v>
      </c>
      <c r="AE10" s="43" t="s">
        <v>68</v>
      </c>
      <c r="AF10" s="43" t="s">
        <v>236</v>
      </c>
      <c r="AG10" s="43" t="s">
        <v>236</v>
      </c>
      <c r="AH10" s="43" t="s">
        <v>236</v>
      </c>
      <c r="AI10" s="43" t="s">
        <v>236</v>
      </c>
      <c r="AJ10" t="s">
        <v>519</v>
      </c>
      <c r="AK10">
        <v>12</v>
      </c>
      <c r="AL10">
        <v>1</v>
      </c>
      <c r="AM10" t="s">
        <v>85</v>
      </c>
      <c r="AN10" t="s">
        <v>236</v>
      </c>
      <c r="AO10" t="s">
        <v>529</v>
      </c>
      <c r="AP10" t="s">
        <v>112</v>
      </c>
      <c r="AQ10">
        <v>12</v>
      </c>
      <c r="AR10" t="s">
        <v>524</v>
      </c>
      <c r="AS10" t="s">
        <v>236</v>
      </c>
      <c r="AT10" t="s">
        <v>140</v>
      </c>
      <c r="AU10">
        <v>12</v>
      </c>
      <c r="AV10">
        <v>1</v>
      </c>
      <c r="AW10" t="s">
        <v>432</v>
      </c>
      <c r="AX10" t="s">
        <v>221</v>
      </c>
      <c r="AY10" t="s">
        <v>224</v>
      </c>
      <c r="AZ10">
        <v>3</v>
      </c>
      <c r="BA10" t="s">
        <v>435</v>
      </c>
      <c r="BB10" t="s">
        <v>431</v>
      </c>
      <c r="BC10" t="s">
        <v>419</v>
      </c>
      <c r="BD10" t="s">
        <v>236</v>
      </c>
      <c r="BE10" t="s">
        <v>437</v>
      </c>
      <c r="BF10" t="s">
        <v>530</v>
      </c>
      <c r="BG10" t="s">
        <v>433</v>
      </c>
      <c r="BH10" t="s">
        <v>420</v>
      </c>
      <c r="BI10" t="s">
        <v>520</v>
      </c>
      <c r="BJ10" t="s">
        <v>68</v>
      </c>
      <c r="BK10" t="s">
        <v>236</v>
      </c>
      <c r="BL10" t="s">
        <v>236</v>
      </c>
      <c r="BM10" t="s">
        <v>236</v>
      </c>
      <c r="BN10" t="s">
        <v>68</v>
      </c>
      <c r="BO10" t="s">
        <v>236</v>
      </c>
      <c r="BP10" t="s">
        <v>236</v>
      </c>
      <c r="BQ10" t="s">
        <v>236</v>
      </c>
      <c r="BR10" t="s">
        <v>236</v>
      </c>
      <c r="BS10" t="s">
        <v>436</v>
      </c>
      <c r="BT10">
        <v>0</v>
      </c>
    </row>
    <row r="11" spans="1:77" x14ac:dyDescent="0.15">
      <c r="A11" s="43">
        <v>2022</v>
      </c>
      <c r="B11" s="43">
        <v>12</v>
      </c>
      <c r="C11" s="43">
        <v>1</v>
      </c>
      <c r="D11" s="43">
        <v>20</v>
      </c>
      <c r="E11" s="43" t="s">
        <v>236</v>
      </c>
      <c r="F11" s="43" t="s">
        <v>57</v>
      </c>
      <c r="G11" s="43">
        <v>2017</v>
      </c>
      <c r="H11" s="43">
        <v>12</v>
      </c>
      <c r="I11" s="43" t="s">
        <v>524</v>
      </c>
      <c r="J11" s="43" t="s">
        <v>236</v>
      </c>
      <c r="K11" s="43">
        <v>1982</v>
      </c>
      <c r="L11" s="43">
        <v>12</v>
      </c>
      <c r="M11" s="43">
        <v>1</v>
      </c>
      <c r="N11" s="43" t="s">
        <v>48</v>
      </c>
      <c r="O11" s="43" t="s">
        <v>221</v>
      </c>
      <c r="P11" s="43" t="s">
        <v>224</v>
      </c>
      <c r="Q11" s="43">
        <v>7000</v>
      </c>
      <c r="R11" s="43" t="s">
        <v>57</v>
      </c>
      <c r="S11" s="43" t="s">
        <v>52</v>
      </c>
      <c r="T11" s="43" t="s">
        <v>70</v>
      </c>
      <c r="U11" s="43" t="s">
        <v>236</v>
      </c>
      <c r="V11" s="43">
        <v>1000</v>
      </c>
      <c r="W11" s="43" t="s">
        <v>241</v>
      </c>
      <c r="X11" s="43">
        <v>3000</v>
      </c>
      <c r="Y11" s="43" t="s">
        <v>278</v>
      </c>
      <c r="Z11" s="43">
        <v>110</v>
      </c>
      <c r="AA11" s="43" t="s">
        <v>525</v>
      </c>
      <c r="AB11" s="43" t="s">
        <v>236</v>
      </c>
      <c r="AC11" s="43" t="s">
        <v>236</v>
      </c>
      <c r="AD11" s="43" t="s">
        <v>236</v>
      </c>
      <c r="AE11" s="43" t="s">
        <v>68</v>
      </c>
      <c r="AF11" s="43" t="s">
        <v>236</v>
      </c>
      <c r="AG11" s="43" t="s">
        <v>236</v>
      </c>
      <c r="AH11" s="43" t="s">
        <v>236</v>
      </c>
      <c r="AI11" s="43" t="s">
        <v>236</v>
      </c>
      <c r="AJ11" t="s">
        <v>519</v>
      </c>
      <c r="AK11">
        <v>12</v>
      </c>
      <c r="AL11">
        <v>1</v>
      </c>
      <c r="AM11" t="s">
        <v>85</v>
      </c>
      <c r="AN11" t="s">
        <v>236</v>
      </c>
      <c r="AO11" t="s">
        <v>529</v>
      </c>
      <c r="AP11" t="s">
        <v>112</v>
      </c>
      <c r="AQ11">
        <v>12</v>
      </c>
      <c r="AR11" t="s">
        <v>524</v>
      </c>
      <c r="AS11" t="s">
        <v>236</v>
      </c>
      <c r="AT11" t="s">
        <v>145</v>
      </c>
      <c r="AU11">
        <v>12</v>
      </c>
      <c r="AV11">
        <v>1</v>
      </c>
      <c r="AW11" t="s">
        <v>432</v>
      </c>
      <c r="AX11" t="s">
        <v>221</v>
      </c>
      <c r="AY11" t="s">
        <v>224</v>
      </c>
      <c r="AZ11">
        <v>3</v>
      </c>
      <c r="BA11" t="s">
        <v>435</v>
      </c>
      <c r="BB11" t="s">
        <v>431</v>
      </c>
      <c r="BC11" t="s">
        <v>419</v>
      </c>
      <c r="BD11" t="s">
        <v>236</v>
      </c>
      <c r="BE11" t="s">
        <v>437</v>
      </c>
      <c r="BF11" t="s">
        <v>530</v>
      </c>
      <c r="BG11" t="s">
        <v>433</v>
      </c>
      <c r="BH11" t="s">
        <v>420</v>
      </c>
      <c r="BI11" t="s">
        <v>520</v>
      </c>
      <c r="BJ11" t="s">
        <v>68</v>
      </c>
      <c r="BK11" t="s">
        <v>236</v>
      </c>
      <c r="BL11" t="s">
        <v>236</v>
      </c>
      <c r="BM11" t="s">
        <v>236</v>
      </c>
      <c r="BN11" t="s">
        <v>68</v>
      </c>
      <c r="BO11" t="s">
        <v>236</v>
      </c>
      <c r="BP11" t="s">
        <v>236</v>
      </c>
      <c r="BQ11" t="s">
        <v>236</v>
      </c>
      <c r="BR11" t="s">
        <v>236</v>
      </c>
      <c r="BS11" t="s">
        <v>436</v>
      </c>
      <c r="BT11">
        <v>0</v>
      </c>
    </row>
    <row r="12" spans="1:77" x14ac:dyDescent="0.15">
      <c r="A12" s="43">
        <v>2022</v>
      </c>
      <c r="B12" s="43">
        <v>12</v>
      </c>
      <c r="C12" s="43">
        <v>1</v>
      </c>
      <c r="D12" s="43">
        <v>20</v>
      </c>
      <c r="E12" s="43" t="s">
        <v>236</v>
      </c>
      <c r="F12" s="43" t="s">
        <v>57</v>
      </c>
      <c r="G12" s="43">
        <v>2017</v>
      </c>
      <c r="H12" s="43">
        <v>12</v>
      </c>
      <c r="I12" s="43" t="s">
        <v>524</v>
      </c>
      <c r="J12" s="43" t="s">
        <v>236</v>
      </c>
      <c r="K12" s="43">
        <v>1977</v>
      </c>
      <c r="L12" s="43">
        <v>12</v>
      </c>
      <c r="M12" s="43">
        <v>1</v>
      </c>
      <c r="N12" s="43" t="s">
        <v>48</v>
      </c>
      <c r="O12" s="43" t="s">
        <v>221</v>
      </c>
      <c r="P12" s="43" t="s">
        <v>224</v>
      </c>
      <c r="Q12" s="43">
        <v>7000</v>
      </c>
      <c r="R12" s="43" t="s">
        <v>57</v>
      </c>
      <c r="S12" s="43" t="s">
        <v>52</v>
      </c>
      <c r="T12" s="43" t="s">
        <v>70</v>
      </c>
      <c r="U12" s="43" t="s">
        <v>236</v>
      </c>
      <c r="V12" s="43">
        <v>1000</v>
      </c>
      <c r="W12" s="43" t="s">
        <v>241</v>
      </c>
      <c r="X12" s="43">
        <v>3000</v>
      </c>
      <c r="Y12" s="43" t="s">
        <v>278</v>
      </c>
      <c r="Z12" s="43">
        <v>110</v>
      </c>
      <c r="AA12" s="43" t="s">
        <v>525</v>
      </c>
      <c r="AB12" s="43" t="s">
        <v>236</v>
      </c>
      <c r="AC12" s="43" t="s">
        <v>236</v>
      </c>
      <c r="AD12" s="43" t="s">
        <v>236</v>
      </c>
      <c r="AE12" s="43" t="s">
        <v>68</v>
      </c>
      <c r="AF12" s="43" t="s">
        <v>236</v>
      </c>
      <c r="AG12" s="43" t="s">
        <v>236</v>
      </c>
      <c r="AH12" s="43" t="s">
        <v>236</v>
      </c>
      <c r="AI12" s="43" t="s">
        <v>236</v>
      </c>
      <c r="AJ12" t="s">
        <v>519</v>
      </c>
      <c r="AK12">
        <v>12</v>
      </c>
      <c r="AL12">
        <v>1</v>
      </c>
      <c r="AM12" t="s">
        <v>85</v>
      </c>
      <c r="AN12" t="s">
        <v>236</v>
      </c>
      <c r="AO12" t="s">
        <v>529</v>
      </c>
      <c r="AP12" t="s">
        <v>112</v>
      </c>
      <c r="AQ12">
        <v>12</v>
      </c>
      <c r="AR12" t="s">
        <v>524</v>
      </c>
      <c r="AS12" t="s">
        <v>236</v>
      </c>
      <c r="AT12" t="s">
        <v>150</v>
      </c>
      <c r="AU12">
        <v>12</v>
      </c>
      <c r="AV12">
        <v>1</v>
      </c>
      <c r="AW12" t="s">
        <v>432</v>
      </c>
      <c r="AX12" t="s">
        <v>221</v>
      </c>
      <c r="AY12" t="s">
        <v>224</v>
      </c>
      <c r="AZ12">
        <v>3</v>
      </c>
      <c r="BA12" t="s">
        <v>435</v>
      </c>
      <c r="BB12" t="s">
        <v>431</v>
      </c>
      <c r="BC12" t="s">
        <v>419</v>
      </c>
      <c r="BD12" t="s">
        <v>236</v>
      </c>
      <c r="BE12" t="s">
        <v>437</v>
      </c>
      <c r="BF12" t="s">
        <v>530</v>
      </c>
      <c r="BG12" t="s">
        <v>433</v>
      </c>
      <c r="BH12" t="s">
        <v>420</v>
      </c>
      <c r="BI12" t="s">
        <v>520</v>
      </c>
      <c r="BJ12" t="s">
        <v>68</v>
      </c>
      <c r="BK12" t="s">
        <v>236</v>
      </c>
      <c r="BL12" t="s">
        <v>236</v>
      </c>
      <c r="BM12" t="s">
        <v>236</v>
      </c>
      <c r="BN12" t="s">
        <v>68</v>
      </c>
      <c r="BO12" t="s">
        <v>236</v>
      </c>
      <c r="BP12" t="s">
        <v>236</v>
      </c>
      <c r="BQ12" t="s">
        <v>236</v>
      </c>
      <c r="BR12" t="s">
        <v>236</v>
      </c>
      <c r="BS12" t="s">
        <v>436</v>
      </c>
      <c r="BT12">
        <v>0</v>
      </c>
    </row>
    <row r="13" spans="1:77" x14ac:dyDescent="0.15">
      <c r="A13" s="43">
        <v>2022</v>
      </c>
      <c r="B13" s="43">
        <v>12</v>
      </c>
      <c r="C13" s="43">
        <v>1</v>
      </c>
      <c r="D13" s="43">
        <v>20</v>
      </c>
      <c r="E13" s="43" t="s">
        <v>236</v>
      </c>
      <c r="F13" s="43" t="s">
        <v>57</v>
      </c>
      <c r="G13" s="43">
        <v>2017</v>
      </c>
      <c r="H13" s="43">
        <v>12</v>
      </c>
      <c r="I13" s="43" t="s">
        <v>524</v>
      </c>
      <c r="J13" s="43" t="s">
        <v>236</v>
      </c>
      <c r="K13" s="43">
        <v>1972</v>
      </c>
      <c r="L13" s="43">
        <v>12</v>
      </c>
      <c r="M13" s="43">
        <v>1</v>
      </c>
      <c r="N13" s="43" t="s">
        <v>48</v>
      </c>
      <c r="O13" s="43" t="s">
        <v>221</v>
      </c>
      <c r="P13" s="43" t="s">
        <v>224</v>
      </c>
      <c r="Q13" s="43">
        <v>7000</v>
      </c>
      <c r="R13" s="43" t="s">
        <v>57</v>
      </c>
      <c r="S13" s="43" t="s">
        <v>52</v>
      </c>
      <c r="T13" s="43" t="s">
        <v>70</v>
      </c>
      <c r="U13" s="43" t="s">
        <v>236</v>
      </c>
      <c r="V13" s="43">
        <v>1000</v>
      </c>
      <c r="W13" s="43" t="s">
        <v>241</v>
      </c>
      <c r="X13" s="43">
        <v>3000</v>
      </c>
      <c r="Y13" s="43" t="s">
        <v>278</v>
      </c>
      <c r="Z13" s="43">
        <v>110</v>
      </c>
      <c r="AA13" s="43" t="s">
        <v>525</v>
      </c>
      <c r="AB13" s="43" t="s">
        <v>236</v>
      </c>
      <c r="AC13" s="43" t="s">
        <v>236</v>
      </c>
      <c r="AD13" s="43" t="s">
        <v>236</v>
      </c>
      <c r="AE13" s="43" t="s">
        <v>68</v>
      </c>
      <c r="AF13" s="43" t="s">
        <v>236</v>
      </c>
      <c r="AG13" s="43" t="s">
        <v>236</v>
      </c>
      <c r="AH13" s="43" t="s">
        <v>236</v>
      </c>
      <c r="AI13" s="43" t="s">
        <v>236</v>
      </c>
      <c r="AJ13" t="s">
        <v>519</v>
      </c>
      <c r="AK13">
        <v>12</v>
      </c>
      <c r="AL13">
        <v>1</v>
      </c>
      <c r="AM13" t="s">
        <v>85</v>
      </c>
      <c r="AN13" t="s">
        <v>236</v>
      </c>
      <c r="AO13" t="s">
        <v>529</v>
      </c>
      <c r="AP13" t="s">
        <v>112</v>
      </c>
      <c r="AQ13">
        <v>12</v>
      </c>
      <c r="AR13" t="s">
        <v>524</v>
      </c>
      <c r="AS13" t="s">
        <v>236</v>
      </c>
      <c r="AT13" t="s">
        <v>155</v>
      </c>
      <c r="AU13">
        <v>12</v>
      </c>
      <c r="AV13">
        <v>1</v>
      </c>
      <c r="AW13" t="s">
        <v>432</v>
      </c>
      <c r="AX13" t="s">
        <v>221</v>
      </c>
      <c r="AY13" t="s">
        <v>224</v>
      </c>
      <c r="AZ13">
        <v>3</v>
      </c>
      <c r="BA13" t="s">
        <v>435</v>
      </c>
      <c r="BB13" t="s">
        <v>431</v>
      </c>
      <c r="BC13" t="s">
        <v>419</v>
      </c>
      <c r="BD13" t="s">
        <v>236</v>
      </c>
      <c r="BE13" t="s">
        <v>437</v>
      </c>
      <c r="BF13" t="s">
        <v>530</v>
      </c>
      <c r="BG13" t="s">
        <v>433</v>
      </c>
      <c r="BH13" t="s">
        <v>420</v>
      </c>
      <c r="BI13" t="s">
        <v>520</v>
      </c>
      <c r="BJ13" t="s">
        <v>68</v>
      </c>
      <c r="BK13" t="s">
        <v>236</v>
      </c>
      <c r="BL13" t="s">
        <v>236</v>
      </c>
      <c r="BM13" t="s">
        <v>236</v>
      </c>
      <c r="BN13" t="s">
        <v>68</v>
      </c>
      <c r="BO13" t="s">
        <v>236</v>
      </c>
      <c r="BP13" t="s">
        <v>236</v>
      </c>
      <c r="BQ13" t="s">
        <v>236</v>
      </c>
      <c r="BR13" t="s">
        <v>236</v>
      </c>
      <c r="BS13" t="s">
        <v>436</v>
      </c>
      <c r="BT13">
        <v>0</v>
      </c>
    </row>
    <row r="14" spans="1:77" x14ac:dyDescent="0.15">
      <c r="A14" s="43">
        <v>2022</v>
      </c>
      <c r="B14" s="43">
        <v>12</v>
      </c>
      <c r="C14" s="43">
        <v>1</v>
      </c>
      <c r="D14" s="43">
        <v>20</v>
      </c>
      <c r="E14" s="43" t="s">
        <v>236</v>
      </c>
      <c r="F14" s="43" t="s">
        <v>57</v>
      </c>
      <c r="G14" s="43">
        <v>2017</v>
      </c>
      <c r="H14" s="43">
        <v>12</v>
      </c>
      <c r="I14" s="43" t="s">
        <v>524</v>
      </c>
      <c r="J14" s="43" t="s">
        <v>236</v>
      </c>
      <c r="K14" s="43">
        <v>1962</v>
      </c>
      <c r="L14" s="43">
        <v>12</v>
      </c>
      <c r="M14" s="43">
        <v>1</v>
      </c>
      <c r="N14" s="43" t="s">
        <v>48</v>
      </c>
      <c r="O14" s="43" t="s">
        <v>221</v>
      </c>
      <c r="P14" s="43" t="s">
        <v>224</v>
      </c>
      <c r="Q14" s="43">
        <v>7000</v>
      </c>
      <c r="R14" s="43" t="s">
        <v>57</v>
      </c>
      <c r="S14" s="43" t="s">
        <v>52</v>
      </c>
      <c r="T14" s="43" t="s">
        <v>70</v>
      </c>
      <c r="U14" s="43" t="s">
        <v>236</v>
      </c>
      <c r="V14" s="43">
        <v>1000</v>
      </c>
      <c r="W14" s="43" t="s">
        <v>241</v>
      </c>
      <c r="X14" s="43">
        <v>3000</v>
      </c>
      <c r="Y14" s="43" t="s">
        <v>278</v>
      </c>
      <c r="Z14" s="43">
        <v>110</v>
      </c>
      <c r="AA14" s="43" t="s">
        <v>525</v>
      </c>
      <c r="AB14" s="43" t="s">
        <v>236</v>
      </c>
      <c r="AC14" s="43" t="s">
        <v>236</v>
      </c>
      <c r="AD14" s="43" t="s">
        <v>236</v>
      </c>
      <c r="AE14" s="43" t="s">
        <v>68</v>
      </c>
      <c r="AF14" s="43" t="s">
        <v>236</v>
      </c>
      <c r="AG14" s="43" t="s">
        <v>236</v>
      </c>
      <c r="AH14" s="43" t="s">
        <v>236</v>
      </c>
      <c r="AI14" s="43" t="s">
        <v>236</v>
      </c>
      <c r="AJ14" t="s">
        <v>519</v>
      </c>
      <c r="AK14">
        <v>12</v>
      </c>
      <c r="AL14">
        <v>1</v>
      </c>
      <c r="AM14" t="s">
        <v>85</v>
      </c>
      <c r="AN14" t="s">
        <v>236</v>
      </c>
      <c r="AO14" t="s">
        <v>529</v>
      </c>
      <c r="AP14" t="s">
        <v>112</v>
      </c>
      <c r="AQ14">
        <v>12</v>
      </c>
      <c r="AR14" t="s">
        <v>524</v>
      </c>
      <c r="AS14" t="s">
        <v>236</v>
      </c>
      <c r="AT14" t="s">
        <v>165</v>
      </c>
      <c r="AU14">
        <v>12</v>
      </c>
      <c r="AV14">
        <v>1</v>
      </c>
      <c r="AW14" t="s">
        <v>432</v>
      </c>
      <c r="AX14" t="s">
        <v>221</v>
      </c>
      <c r="AY14" t="s">
        <v>224</v>
      </c>
      <c r="AZ14">
        <v>3</v>
      </c>
      <c r="BA14" t="s">
        <v>435</v>
      </c>
      <c r="BB14" t="s">
        <v>431</v>
      </c>
      <c r="BC14" t="s">
        <v>419</v>
      </c>
      <c r="BD14" t="s">
        <v>236</v>
      </c>
      <c r="BE14" t="s">
        <v>437</v>
      </c>
      <c r="BF14" t="s">
        <v>530</v>
      </c>
      <c r="BG14" t="s">
        <v>433</v>
      </c>
      <c r="BH14" t="s">
        <v>420</v>
      </c>
      <c r="BI14" t="s">
        <v>520</v>
      </c>
      <c r="BJ14" t="s">
        <v>68</v>
      </c>
      <c r="BK14" t="s">
        <v>236</v>
      </c>
      <c r="BL14" t="s">
        <v>236</v>
      </c>
      <c r="BM14" t="s">
        <v>236</v>
      </c>
      <c r="BN14" t="s">
        <v>68</v>
      </c>
      <c r="BO14" t="s">
        <v>236</v>
      </c>
      <c r="BP14" t="s">
        <v>236</v>
      </c>
      <c r="BQ14" t="s">
        <v>236</v>
      </c>
      <c r="BR14" t="s">
        <v>236</v>
      </c>
      <c r="BS14" t="s">
        <v>436</v>
      </c>
      <c r="BT14">
        <v>0</v>
      </c>
    </row>
    <row r="15" spans="1:77" x14ac:dyDescent="0.15">
      <c r="A15" s="43">
        <v>2022</v>
      </c>
      <c r="B15" s="43">
        <v>12</v>
      </c>
      <c r="C15" s="43">
        <v>1</v>
      </c>
      <c r="D15" s="43">
        <v>20</v>
      </c>
      <c r="E15" s="43" t="s">
        <v>236</v>
      </c>
      <c r="F15" s="43" t="s">
        <v>57</v>
      </c>
      <c r="G15" s="43">
        <v>2017</v>
      </c>
      <c r="H15" s="43">
        <v>12</v>
      </c>
      <c r="I15" s="43" t="s">
        <v>524</v>
      </c>
      <c r="J15" s="43" t="s">
        <v>236</v>
      </c>
      <c r="K15" s="43">
        <v>1952</v>
      </c>
      <c r="L15" s="43">
        <v>12</v>
      </c>
      <c r="M15" s="43">
        <v>1</v>
      </c>
      <c r="N15" s="43" t="s">
        <v>48</v>
      </c>
      <c r="O15" s="43" t="s">
        <v>221</v>
      </c>
      <c r="P15" s="43" t="s">
        <v>224</v>
      </c>
      <c r="Q15" s="43">
        <v>7000</v>
      </c>
      <c r="R15" s="43" t="s">
        <v>57</v>
      </c>
      <c r="S15" s="43" t="s">
        <v>52</v>
      </c>
      <c r="T15" s="43" t="s">
        <v>70</v>
      </c>
      <c r="U15" s="43" t="s">
        <v>236</v>
      </c>
      <c r="V15" s="43">
        <v>1000</v>
      </c>
      <c r="W15" s="43" t="s">
        <v>241</v>
      </c>
      <c r="X15" s="43">
        <v>3000</v>
      </c>
      <c r="Y15" s="43" t="s">
        <v>278</v>
      </c>
      <c r="Z15" s="43">
        <v>110</v>
      </c>
      <c r="AA15" s="43" t="s">
        <v>525</v>
      </c>
      <c r="AB15" s="43" t="s">
        <v>236</v>
      </c>
      <c r="AC15" s="43" t="s">
        <v>236</v>
      </c>
      <c r="AD15" s="43" t="s">
        <v>236</v>
      </c>
      <c r="AE15" s="43" t="s">
        <v>68</v>
      </c>
      <c r="AF15" s="43" t="s">
        <v>236</v>
      </c>
      <c r="AG15" s="43" t="s">
        <v>236</v>
      </c>
      <c r="AH15" s="43" t="s">
        <v>236</v>
      </c>
      <c r="AI15" s="43" t="s">
        <v>236</v>
      </c>
      <c r="AJ15" t="s">
        <v>519</v>
      </c>
      <c r="AK15">
        <v>12</v>
      </c>
      <c r="AL15">
        <v>1</v>
      </c>
      <c r="AM15" t="s">
        <v>85</v>
      </c>
      <c r="AN15" t="s">
        <v>236</v>
      </c>
      <c r="AO15" t="s">
        <v>529</v>
      </c>
      <c r="AP15" t="s">
        <v>112</v>
      </c>
      <c r="AQ15">
        <v>12</v>
      </c>
      <c r="AR15" t="s">
        <v>524</v>
      </c>
      <c r="AS15" t="s">
        <v>236</v>
      </c>
      <c r="AT15" t="s">
        <v>175</v>
      </c>
      <c r="AU15">
        <v>12</v>
      </c>
      <c r="AV15">
        <v>1</v>
      </c>
      <c r="AW15" t="s">
        <v>432</v>
      </c>
      <c r="AX15" t="s">
        <v>221</v>
      </c>
      <c r="AY15" t="s">
        <v>224</v>
      </c>
      <c r="AZ15">
        <v>3</v>
      </c>
      <c r="BA15" t="s">
        <v>435</v>
      </c>
      <c r="BB15" t="s">
        <v>431</v>
      </c>
      <c r="BC15" t="s">
        <v>419</v>
      </c>
      <c r="BD15" t="s">
        <v>236</v>
      </c>
      <c r="BE15" t="s">
        <v>437</v>
      </c>
      <c r="BF15" t="s">
        <v>530</v>
      </c>
      <c r="BG15" t="s">
        <v>433</v>
      </c>
      <c r="BH15" t="s">
        <v>420</v>
      </c>
      <c r="BI15" t="s">
        <v>520</v>
      </c>
      <c r="BJ15" t="s">
        <v>68</v>
      </c>
      <c r="BK15" t="s">
        <v>236</v>
      </c>
      <c r="BL15" t="s">
        <v>236</v>
      </c>
      <c r="BM15" t="s">
        <v>236</v>
      </c>
      <c r="BN15" t="s">
        <v>68</v>
      </c>
      <c r="BO15" t="s">
        <v>236</v>
      </c>
      <c r="BP15" t="s">
        <v>236</v>
      </c>
      <c r="BQ15" t="s">
        <v>236</v>
      </c>
      <c r="BR15" t="s">
        <v>236</v>
      </c>
      <c r="BS15" t="s">
        <v>436</v>
      </c>
      <c r="BT15">
        <v>0</v>
      </c>
    </row>
    <row r="16" spans="1:77" x14ac:dyDescent="0.15">
      <c r="A16" s="43">
        <v>2022</v>
      </c>
      <c r="B16" s="43">
        <v>12</v>
      </c>
      <c r="C16" s="43">
        <v>1</v>
      </c>
      <c r="D16" s="43">
        <v>20</v>
      </c>
      <c r="E16" s="43" t="s">
        <v>236</v>
      </c>
      <c r="F16" s="43" t="s">
        <v>57</v>
      </c>
      <c r="G16" s="43">
        <v>2017</v>
      </c>
      <c r="H16" s="43">
        <v>12</v>
      </c>
      <c r="I16" s="43" t="s">
        <v>524</v>
      </c>
      <c r="J16" s="43" t="s">
        <v>236</v>
      </c>
      <c r="K16" s="43">
        <v>1992</v>
      </c>
      <c r="L16" s="43">
        <v>12</v>
      </c>
      <c r="M16" s="43">
        <v>1</v>
      </c>
      <c r="N16" s="43" t="s">
        <v>48</v>
      </c>
      <c r="O16" s="43" t="s">
        <v>221</v>
      </c>
      <c r="P16" s="43" t="s">
        <v>295</v>
      </c>
      <c r="Q16" s="43">
        <v>3000</v>
      </c>
      <c r="R16" s="43" t="s">
        <v>57</v>
      </c>
      <c r="S16" s="43" t="s">
        <v>52</v>
      </c>
      <c r="T16" s="43" t="s">
        <v>70</v>
      </c>
      <c r="U16" s="43" t="s">
        <v>236</v>
      </c>
      <c r="V16" s="43">
        <v>1000</v>
      </c>
      <c r="W16" s="43" t="s">
        <v>241</v>
      </c>
      <c r="X16" s="43">
        <v>3000</v>
      </c>
      <c r="Y16" s="43" t="s">
        <v>278</v>
      </c>
      <c r="Z16" s="43">
        <v>110</v>
      </c>
      <c r="AA16" s="43" t="s">
        <v>525</v>
      </c>
      <c r="AB16" s="43" t="s">
        <v>236</v>
      </c>
      <c r="AC16" s="43" t="s">
        <v>236</v>
      </c>
      <c r="AD16" s="43" t="s">
        <v>236</v>
      </c>
      <c r="AE16" s="43" t="s">
        <v>68</v>
      </c>
      <c r="AF16" s="43" t="s">
        <v>236</v>
      </c>
      <c r="AG16" s="43" t="s">
        <v>236</v>
      </c>
      <c r="AH16" s="43" t="s">
        <v>236</v>
      </c>
      <c r="AI16" s="43" t="s">
        <v>236</v>
      </c>
      <c r="AJ16" t="s">
        <v>519</v>
      </c>
      <c r="AK16">
        <v>12</v>
      </c>
      <c r="AL16">
        <v>1</v>
      </c>
      <c r="AM16" t="s">
        <v>85</v>
      </c>
      <c r="AN16" t="s">
        <v>236</v>
      </c>
      <c r="AO16" t="s">
        <v>529</v>
      </c>
      <c r="AP16" t="s">
        <v>112</v>
      </c>
      <c r="AQ16">
        <v>12</v>
      </c>
      <c r="AR16" t="s">
        <v>524</v>
      </c>
      <c r="AS16" t="s">
        <v>236</v>
      </c>
      <c r="AT16" t="s">
        <v>137</v>
      </c>
      <c r="AU16">
        <v>12</v>
      </c>
      <c r="AV16">
        <v>1</v>
      </c>
      <c r="AW16" t="s">
        <v>432</v>
      </c>
      <c r="AX16" t="s">
        <v>221</v>
      </c>
      <c r="AY16" t="s">
        <v>295</v>
      </c>
      <c r="AZ16">
        <v>1</v>
      </c>
      <c r="BA16" t="s">
        <v>435</v>
      </c>
      <c r="BB16" t="s">
        <v>431</v>
      </c>
      <c r="BC16" t="s">
        <v>419</v>
      </c>
      <c r="BD16" t="s">
        <v>236</v>
      </c>
      <c r="BE16" t="s">
        <v>437</v>
      </c>
      <c r="BF16" t="s">
        <v>530</v>
      </c>
      <c r="BG16" t="s">
        <v>433</v>
      </c>
      <c r="BH16" t="s">
        <v>420</v>
      </c>
      <c r="BI16" t="s">
        <v>520</v>
      </c>
      <c r="BJ16" t="s">
        <v>68</v>
      </c>
      <c r="BK16" t="s">
        <v>236</v>
      </c>
      <c r="BL16" t="s">
        <v>236</v>
      </c>
      <c r="BM16" t="s">
        <v>236</v>
      </c>
      <c r="BN16" t="s">
        <v>68</v>
      </c>
      <c r="BO16" t="s">
        <v>236</v>
      </c>
      <c r="BP16" t="s">
        <v>236</v>
      </c>
      <c r="BQ16" t="s">
        <v>236</v>
      </c>
      <c r="BR16" t="s">
        <v>236</v>
      </c>
      <c r="BS16" t="s">
        <v>436</v>
      </c>
      <c r="BT16">
        <v>0</v>
      </c>
    </row>
    <row r="17" spans="1:72" x14ac:dyDescent="0.15">
      <c r="A17" s="43">
        <v>2022</v>
      </c>
      <c r="B17" s="43">
        <v>12</v>
      </c>
      <c r="C17" s="43">
        <v>1</v>
      </c>
      <c r="D17" s="43">
        <v>20</v>
      </c>
      <c r="E17" s="43" t="s">
        <v>236</v>
      </c>
      <c r="F17" s="43" t="s">
        <v>57</v>
      </c>
      <c r="G17" s="43">
        <v>2017</v>
      </c>
      <c r="H17" s="43">
        <v>12</v>
      </c>
      <c r="I17" s="43" t="s">
        <v>524</v>
      </c>
      <c r="J17" s="43" t="s">
        <v>236</v>
      </c>
      <c r="K17" s="43">
        <v>1987</v>
      </c>
      <c r="L17" s="43">
        <v>12</v>
      </c>
      <c r="M17" s="43">
        <v>1</v>
      </c>
      <c r="N17" s="43" t="s">
        <v>48</v>
      </c>
      <c r="O17" s="43" t="s">
        <v>221</v>
      </c>
      <c r="P17" s="43" t="s">
        <v>295</v>
      </c>
      <c r="Q17" s="43">
        <v>3000</v>
      </c>
      <c r="R17" s="43" t="s">
        <v>57</v>
      </c>
      <c r="S17" s="43" t="s">
        <v>52</v>
      </c>
      <c r="T17" s="43" t="s">
        <v>70</v>
      </c>
      <c r="U17" s="43" t="s">
        <v>236</v>
      </c>
      <c r="V17" s="43">
        <v>1000</v>
      </c>
      <c r="W17" s="43" t="s">
        <v>241</v>
      </c>
      <c r="X17" s="43">
        <v>3000</v>
      </c>
      <c r="Y17" s="43" t="s">
        <v>278</v>
      </c>
      <c r="Z17" s="43">
        <v>110</v>
      </c>
      <c r="AA17" s="43" t="s">
        <v>525</v>
      </c>
      <c r="AB17" s="43" t="s">
        <v>236</v>
      </c>
      <c r="AC17" s="43" t="s">
        <v>236</v>
      </c>
      <c r="AD17" s="43" t="s">
        <v>236</v>
      </c>
      <c r="AE17" s="43" t="s">
        <v>68</v>
      </c>
      <c r="AF17" s="43" t="s">
        <v>236</v>
      </c>
      <c r="AG17" s="43" t="s">
        <v>236</v>
      </c>
      <c r="AH17" s="43" t="s">
        <v>236</v>
      </c>
      <c r="AI17" s="43" t="s">
        <v>236</v>
      </c>
      <c r="AJ17" t="s">
        <v>519</v>
      </c>
      <c r="AK17">
        <v>12</v>
      </c>
      <c r="AL17">
        <v>1</v>
      </c>
      <c r="AM17" t="s">
        <v>85</v>
      </c>
      <c r="AN17" t="s">
        <v>236</v>
      </c>
      <c r="AO17" t="s">
        <v>529</v>
      </c>
      <c r="AP17" t="s">
        <v>112</v>
      </c>
      <c r="AQ17">
        <v>12</v>
      </c>
      <c r="AR17" t="s">
        <v>524</v>
      </c>
      <c r="AS17" t="s">
        <v>236</v>
      </c>
      <c r="AT17" t="s">
        <v>140</v>
      </c>
      <c r="AU17">
        <v>12</v>
      </c>
      <c r="AV17">
        <v>1</v>
      </c>
      <c r="AW17" t="s">
        <v>432</v>
      </c>
      <c r="AX17" t="s">
        <v>221</v>
      </c>
      <c r="AY17" t="s">
        <v>295</v>
      </c>
      <c r="AZ17">
        <v>1</v>
      </c>
      <c r="BA17" t="s">
        <v>435</v>
      </c>
      <c r="BB17" t="s">
        <v>431</v>
      </c>
      <c r="BC17" t="s">
        <v>419</v>
      </c>
      <c r="BD17" t="s">
        <v>236</v>
      </c>
      <c r="BE17" t="s">
        <v>437</v>
      </c>
      <c r="BF17" t="s">
        <v>530</v>
      </c>
      <c r="BG17" t="s">
        <v>433</v>
      </c>
      <c r="BH17" t="s">
        <v>420</v>
      </c>
      <c r="BI17" t="s">
        <v>520</v>
      </c>
      <c r="BJ17" t="s">
        <v>68</v>
      </c>
      <c r="BK17" t="s">
        <v>236</v>
      </c>
      <c r="BL17" t="s">
        <v>236</v>
      </c>
      <c r="BM17" t="s">
        <v>236</v>
      </c>
      <c r="BN17" t="s">
        <v>68</v>
      </c>
      <c r="BO17" t="s">
        <v>236</v>
      </c>
      <c r="BP17" t="s">
        <v>236</v>
      </c>
      <c r="BQ17" t="s">
        <v>236</v>
      </c>
      <c r="BR17" t="s">
        <v>236</v>
      </c>
      <c r="BS17" t="s">
        <v>436</v>
      </c>
      <c r="BT17">
        <v>0</v>
      </c>
    </row>
    <row r="18" spans="1:72" x14ac:dyDescent="0.15">
      <c r="A18" s="43">
        <v>2022</v>
      </c>
      <c r="B18" s="43">
        <v>12</v>
      </c>
      <c r="C18" s="43">
        <v>1</v>
      </c>
      <c r="D18" s="43">
        <v>20</v>
      </c>
      <c r="E18" s="43" t="s">
        <v>236</v>
      </c>
      <c r="F18" s="43" t="s">
        <v>57</v>
      </c>
      <c r="G18" s="43">
        <v>2017</v>
      </c>
      <c r="H18" s="43">
        <v>12</v>
      </c>
      <c r="I18" s="43" t="s">
        <v>524</v>
      </c>
      <c r="J18" s="43" t="s">
        <v>236</v>
      </c>
      <c r="K18" s="43">
        <v>1982</v>
      </c>
      <c r="L18" s="43">
        <v>12</v>
      </c>
      <c r="M18" s="43">
        <v>1</v>
      </c>
      <c r="N18" s="43" t="s">
        <v>48</v>
      </c>
      <c r="O18" s="43" t="s">
        <v>221</v>
      </c>
      <c r="P18" s="43" t="s">
        <v>295</v>
      </c>
      <c r="Q18" s="43">
        <v>3000</v>
      </c>
      <c r="R18" s="43" t="s">
        <v>57</v>
      </c>
      <c r="S18" s="43" t="s">
        <v>52</v>
      </c>
      <c r="T18" s="43" t="s">
        <v>70</v>
      </c>
      <c r="U18" s="43" t="s">
        <v>236</v>
      </c>
      <c r="V18" s="43">
        <v>1000</v>
      </c>
      <c r="W18" s="43" t="s">
        <v>241</v>
      </c>
      <c r="X18" s="43">
        <v>3000</v>
      </c>
      <c r="Y18" s="43" t="s">
        <v>278</v>
      </c>
      <c r="Z18" s="43">
        <v>110</v>
      </c>
      <c r="AA18" s="43" t="s">
        <v>525</v>
      </c>
      <c r="AB18" s="43" t="s">
        <v>236</v>
      </c>
      <c r="AC18" s="43" t="s">
        <v>236</v>
      </c>
      <c r="AD18" s="43" t="s">
        <v>236</v>
      </c>
      <c r="AE18" s="43" t="s">
        <v>68</v>
      </c>
      <c r="AF18" s="43" t="s">
        <v>236</v>
      </c>
      <c r="AG18" s="43" t="s">
        <v>236</v>
      </c>
      <c r="AH18" s="43" t="s">
        <v>236</v>
      </c>
      <c r="AI18" s="43" t="s">
        <v>236</v>
      </c>
      <c r="AJ18" t="s">
        <v>519</v>
      </c>
      <c r="AK18">
        <v>12</v>
      </c>
      <c r="AL18">
        <v>1</v>
      </c>
      <c r="AM18" t="s">
        <v>85</v>
      </c>
      <c r="AN18" t="s">
        <v>236</v>
      </c>
      <c r="AO18" t="s">
        <v>529</v>
      </c>
      <c r="AP18" t="s">
        <v>112</v>
      </c>
      <c r="AQ18">
        <v>12</v>
      </c>
      <c r="AR18" t="s">
        <v>524</v>
      </c>
      <c r="AS18" t="s">
        <v>236</v>
      </c>
      <c r="AT18" t="s">
        <v>145</v>
      </c>
      <c r="AU18">
        <v>12</v>
      </c>
      <c r="AV18">
        <v>1</v>
      </c>
      <c r="AW18" t="s">
        <v>432</v>
      </c>
      <c r="AX18" t="s">
        <v>221</v>
      </c>
      <c r="AY18" t="s">
        <v>295</v>
      </c>
      <c r="AZ18">
        <v>1</v>
      </c>
      <c r="BA18" t="s">
        <v>435</v>
      </c>
      <c r="BB18" t="s">
        <v>431</v>
      </c>
      <c r="BC18" t="s">
        <v>419</v>
      </c>
      <c r="BD18" t="s">
        <v>236</v>
      </c>
      <c r="BE18" t="s">
        <v>437</v>
      </c>
      <c r="BF18" t="s">
        <v>530</v>
      </c>
      <c r="BG18" t="s">
        <v>433</v>
      </c>
      <c r="BH18" t="s">
        <v>420</v>
      </c>
      <c r="BI18" t="s">
        <v>520</v>
      </c>
      <c r="BJ18" t="s">
        <v>68</v>
      </c>
      <c r="BK18" t="s">
        <v>236</v>
      </c>
      <c r="BL18" t="s">
        <v>236</v>
      </c>
      <c r="BM18" t="s">
        <v>236</v>
      </c>
      <c r="BN18" t="s">
        <v>68</v>
      </c>
      <c r="BO18" t="s">
        <v>236</v>
      </c>
      <c r="BP18" t="s">
        <v>236</v>
      </c>
      <c r="BQ18" t="s">
        <v>236</v>
      </c>
      <c r="BR18" t="s">
        <v>236</v>
      </c>
      <c r="BS18" t="s">
        <v>436</v>
      </c>
      <c r="BT18">
        <v>0</v>
      </c>
    </row>
    <row r="19" spans="1:72" x14ac:dyDescent="0.15">
      <c r="A19" s="43">
        <v>2022</v>
      </c>
      <c r="B19" s="43">
        <v>12</v>
      </c>
      <c r="C19" s="43">
        <v>1</v>
      </c>
      <c r="D19" s="43">
        <v>20</v>
      </c>
      <c r="E19" s="43" t="s">
        <v>236</v>
      </c>
      <c r="F19" s="43" t="s">
        <v>57</v>
      </c>
      <c r="G19" s="43">
        <v>2017</v>
      </c>
      <c r="H19" s="43">
        <v>12</v>
      </c>
      <c r="I19" s="43" t="s">
        <v>524</v>
      </c>
      <c r="J19" s="43" t="s">
        <v>236</v>
      </c>
      <c r="K19" s="43">
        <v>1977</v>
      </c>
      <c r="L19" s="43">
        <v>12</v>
      </c>
      <c r="M19" s="43">
        <v>1</v>
      </c>
      <c r="N19" s="43" t="s">
        <v>48</v>
      </c>
      <c r="O19" s="43" t="s">
        <v>221</v>
      </c>
      <c r="P19" s="43" t="s">
        <v>295</v>
      </c>
      <c r="Q19" s="43">
        <v>3000</v>
      </c>
      <c r="R19" s="43" t="s">
        <v>57</v>
      </c>
      <c r="S19" s="43" t="s">
        <v>52</v>
      </c>
      <c r="T19" s="43" t="s">
        <v>70</v>
      </c>
      <c r="U19" s="43" t="s">
        <v>236</v>
      </c>
      <c r="V19" s="43">
        <v>1000</v>
      </c>
      <c r="W19" s="43" t="s">
        <v>241</v>
      </c>
      <c r="X19" s="43">
        <v>3000</v>
      </c>
      <c r="Y19" s="43" t="s">
        <v>278</v>
      </c>
      <c r="Z19" s="43">
        <v>110</v>
      </c>
      <c r="AA19" s="43" t="s">
        <v>525</v>
      </c>
      <c r="AB19" s="43" t="s">
        <v>236</v>
      </c>
      <c r="AC19" s="43" t="s">
        <v>236</v>
      </c>
      <c r="AD19" s="43" t="s">
        <v>236</v>
      </c>
      <c r="AE19" s="43" t="s">
        <v>68</v>
      </c>
      <c r="AF19" s="43" t="s">
        <v>236</v>
      </c>
      <c r="AG19" s="43" t="s">
        <v>236</v>
      </c>
      <c r="AH19" s="43" t="s">
        <v>236</v>
      </c>
      <c r="AI19" s="43" t="s">
        <v>236</v>
      </c>
      <c r="AJ19" t="s">
        <v>519</v>
      </c>
      <c r="AK19">
        <v>12</v>
      </c>
      <c r="AL19">
        <v>1</v>
      </c>
      <c r="AM19" t="s">
        <v>85</v>
      </c>
      <c r="AN19" t="s">
        <v>236</v>
      </c>
      <c r="AO19" t="s">
        <v>529</v>
      </c>
      <c r="AP19" t="s">
        <v>112</v>
      </c>
      <c r="AQ19">
        <v>12</v>
      </c>
      <c r="AR19" t="s">
        <v>524</v>
      </c>
      <c r="AS19" t="s">
        <v>236</v>
      </c>
      <c r="AT19" t="s">
        <v>150</v>
      </c>
      <c r="AU19">
        <v>12</v>
      </c>
      <c r="AV19">
        <v>1</v>
      </c>
      <c r="AW19" t="s">
        <v>432</v>
      </c>
      <c r="AX19" t="s">
        <v>221</v>
      </c>
      <c r="AY19" t="s">
        <v>295</v>
      </c>
      <c r="AZ19">
        <v>1</v>
      </c>
      <c r="BA19" t="s">
        <v>435</v>
      </c>
      <c r="BB19" t="s">
        <v>431</v>
      </c>
      <c r="BC19" t="s">
        <v>419</v>
      </c>
      <c r="BD19" t="s">
        <v>236</v>
      </c>
      <c r="BE19" t="s">
        <v>437</v>
      </c>
      <c r="BF19" t="s">
        <v>530</v>
      </c>
      <c r="BG19" t="s">
        <v>433</v>
      </c>
      <c r="BH19" t="s">
        <v>420</v>
      </c>
      <c r="BI19" t="s">
        <v>520</v>
      </c>
      <c r="BJ19" t="s">
        <v>68</v>
      </c>
      <c r="BK19" t="s">
        <v>236</v>
      </c>
      <c r="BL19" t="s">
        <v>236</v>
      </c>
      <c r="BM19" t="s">
        <v>236</v>
      </c>
      <c r="BN19" t="s">
        <v>68</v>
      </c>
      <c r="BO19" t="s">
        <v>236</v>
      </c>
      <c r="BP19" t="s">
        <v>236</v>
      </c>
      <c r="BQ19" t="s">
        <v>236</v>
      </c>
      <c r="BR19" t="s">
        <v>236</v>
      </c>
      <c r="BS19" t="s">
        <v>436</v>
      </c>
      <c r="BT19">
        <v>0</v>
      </c>
    </row>
    <row r="20" spans="1:72" x14ac:dyDescent="0.15">
      <c r="A20" s="43">
        <v>2022</v>
      </c>
      <c r="B20" s="43">
        <v>12</v>
      </c>
      <c r="C20" s="43">
        <v>1</v>
      </c>
      <c r="D20" s="43">
        <v>20</v>
      </c>
      <c r="E20" s="43" t="s">
        <v>236</v>
      </c>
      <c r="F20" s="43" t="s">
        <v>57</v>
      </c>
      <c r="G20" s="43">
        <v>2017</v>
      </c>
      <c r="H20" s="43">
        <v>12</v>
      </c>
      <c r="I20" s="43" t="s">
        <v>524</v>
      </c>
      <c r="J20" s="43" t="s">
        <v>236</v>
      </c>
      <c r="K20" s="43">
        <v>1972</v>
      </c>
      <c r="L20" s="43">
        <v>12</v>
      </c>
      <c r="M20" s="43">
        <v>1</v>
      </c>
      <c r="N20" s="43" t="s">
        <v>48</v>
      </c>
      <c r="O20" s="43" t="s">
        <v>221</v>
      </c>
      <c r="P20" s="43" t="s">
        <v>295</v>
      </c>
      <c r="Q20" s="43">
        <v>3000</v>
      </c>
      <c r="R20" s="43" t="s">
        <v>57</v>
      </c>
      <c r="S20" s="43" t="s">
        <v>52</v>
      </c>
      <c r="T20" s="43" t="s">
        <v>70</v>
      </c>
      <c r="U20" s="43" t="s">
        <v>236</v>
      </c>
      <c r="V20" s="43">
        <v>1000</v>
      </c>
      <c r="W20" s="43" t="s">
        <v>241</v>
      </c>
      <c r="X20" s="43">
        <v>3000</v>
      </c>
      <c r="Y20" s="43" t="s">
        <v>278</v>
      </c>
      <c r="Z20" s="43">
        <v>110</v>
      </c>
      <c r="AA20" s="43" t="s">
        <v>525</v>
      </c>
      <c r="AB20" s="43" t="s">
        <v>236</v>
      </c>
      <c r="AC20" s="43" t="s">
        <v>236</v>
      </c>
      <c r="AD20" s="43" t="s">
        <v>236</v>
      </c>
      <c r="AE20" s="43" t="s">
        <v>68</v>
      </c>
      <c r="AF20" s="43" t="s">
        <v>236</v>
      </c>
      <c r="AG20" s="43" t="s">
        <v>236</v>
      </c>
      <c r="AH20" s="43" t="s">
        <v>236</v>
      </c>
      <c r="AI20" s="43" t="s">
        <v>236</v>
      </c>
      <c r="AJ20" t="s">
        <v>519</v>
      </c>
      <c r="AK20">
        <v>12</v>
      </c>
      <c r="AL20">
        <v>1</v>
      </c>
      <c r="AM20" t="s">
        <v>85</v>
      </c>
      <c r="AN20" t="s">
        <v>236</v>
      </c>
      <c r="AO20" t="s">
        <v>529</v>
      </c>
      <c r="AP20" t="s">
        <v>112</v>
      </c>
      <c r="AQ20">
        <v>12</v>
      </c>
      <c r="AR20" t="s">
        <v>524</v>
      </c>
      <c r="AS20" t="s">
        <v>236</v>
      </c>
      <c r="AT20" t="s">
        <v>155</v>
      </c>
      <c r="AU20">
        <v>12</v>
      </c>
      <c r="AV20">
        <v>1</v>
      </c>
      <c r="AW20" t="s">
        <v>432</v>
      </c>
      <c r="AX20" t="s">
        <v>221</v>
      </c>
      <c r="AY20" t="s">
        <v>295</v>
      </c>
      <c r="AZ20">
        <v>1</v>
      </c>
      <c r="BA20" t="s">
        <v>435</v>
      </c>
      <c r="BB20" t="s">
        <v>431</v>
      </c>
      <c r="BC20" t="s">
        <v>419</v>
      </c>
      <c r="BD20" t="s">
        <v>236</v>
      </c>
      <c r="BE20" t="s">
        <v>437</v>
      </c>
      <c r="BF20" t="s">
        <v>530</v>
      </c>
      <c r="BG20" t="s">
        <v>433</v>
      </c>
      <c r="BH20" t="s">
        <v>420</v>
      </c>
      <c r="BI20" t="s">
        <v>520</v>
      </c>
      <c r="BJ20" t="s">
        <v>68</v>
      </c>
      <c r="BK20" t="s">
        <v>236</v>
      </c>
      <c r="BL20" t="s">
        <v>236</v>
      </c>
      <c r="BM20" t="s">
        <v>236</v>
      </c>
      <c r="BN20" t="s">
        <v>68</v>
      </c>
      <c r="BO20" t="s">
        <v>236</v>
      </c>
      <c r="BP20" t="s">
        <v>236</v>
      </c>
      <c r="BQ20" t="s">
        <v>236</v>
      </c>
      <c r="BR20" t="s">
        <v>236</v>
      </c>
      <c r="BS20" t="s">
        <v>436</v>
      </c>
      <c r="BT20">
        <v>0</v>
      </c>
    </row>
    <row r="21" spans="1:72" x14ac:dyDescent="0.15">
      <c r="A21" s="43">
        <v>2022</v>
      </c>
      <c r="B21" s="43">
        <v>12</v>
      </c>
      <c r="C21" s="43">
        <v>1</v>
      </c>
      <c r="D21" s="43">
        <v>20</v>
      </c>
      <c r="E21" s="43" t="s">
        <v>236</v>
      </c>
      <c r="F21" s="43" t="s">
        <v>57</v>
      </c>
      <c r="G21" s="43">
        <v>2017</v>
      </c>
      <c r="H21" s="43">
        <v>12</v>
      </c>
      <c r="I21" s="43" t="s">
        <v>524</v>
      </c>
      <c r="J21" s="43" t="s">
        <v>236</v>
      </c>
      <c r="K21" s="43">
        <v>1962</v>
      </c>
      <c r="L21" s="43">
        <v>12</v>
      </c>
      <c r="M21" s="43">
        <v>1</v>
      </c>
      <c r="N21" s="43" t="s">
        <v>48</v>
      </c>
      <c r="O21" s="43" t="s">
        <v>221</v>
      </c>
      <c r="P21" s="43" t="s">
        <v>295</v>
      </c>
      <c r="Q21" s="43">
        <v>3000</v>
      </c>
      <c r="R21" s="43" t="s">
        <v>57</v>
      </c>
      <c r="S21" s="43" t="s">
        <v>52</v>
      </c>
      <c r="T21" s="43" t="s">
        <v>70</v>
      </c>
      <c r="U21" s="43" t="s">
        <v>236</v>
      </c>
      <c r="V21" s="43">
        <v>1000</v>
      </c>
      <c r="W21" s="43" t="s">
        <v>241</v>
      </c>
      <c r="X21" s="43">
        <v>3000</v>
      </c>
      <c r="Y21" s="43" t="s">
        <v>278</v>
      </c>
      <c r="Z21" s="43">
        <v>110</v>
      </c>
      <c r="AA21" s="43" t="s">
        <v>525</v>
      </c>
      <c r="AB21" s="43" t="s">
        <v>236</v>
      </c>
      <c r="AC21" s="43" t="s">
        <v>236</v>
      </c>
      <c r="AD21" s="43" t="s">
        <v>236</v>
      </c>
      <c r="AE21" s="43" t="s">
        <v>68</v>
      </c>
      <c r="AF21" s="43" t="s">
        <v>236</v>
      </c>
      <c r="AG21" s="43" t="s">
        <v>236</v>
      </c>
      <c r="AH21" s="43" t="s">
        <v>236</v>
      </c>
      <c r="AI21" s="43" t="s">
        <v>236</v>
      </c>
      <c r="AJ21" t="s">
        <v>519</v>
      </c>
      <c r="AK21">
        <v>12</v>
      </c>
      <c r="AL21">
        <v>1</v>
      </c>
      <c r="AM21" t="s">
        <v>85</v>
      </c>
      <c r="AN21" t="s">
        <v>236</v>
      </c>
      <c r="AO21" t="s">
        <v>529</v>
      </c>
      <c r="AP21" t="s">
        <v>112</v>
      </c>
      <c r="AQ21">
        <v>12</v>
      </c>
      <c r="AR21" t="s">
        <v>524</v>
      </c>
      <c r="AS21" t="s">
        <v>236</v>
      </c>
      <c r="AT21" t="s">
        <v>165</v>
      </c>
      <c r="AU21">
        <v>12</v>
      </c>
      <c r="AV21">
        <v>1</v>
      </c>
      <c r="AW21" t="s">
        <v>432</v>
      </c>
      <c r="AX21" t="s">
        <v>221</v>
      </c>
      <c r="AY21" t="s">
        <v>295</v>
      </c>
      <c r="AZ21">
        <v>1</v>
      </c>
      <c r="BA21" t="s">
        <v>435</v>
      </c>
      <c r="BB21" t="s">
        <v>431</v>
      </c>
      <c r="BC21" t="s">
        <v>419</v>
      </c>
      <c r="BD21" t="s">
        <v>236</v>
      </c>
      <c r="BE21" t="s">
        <v>437</v>
      </c>
      <c r="BF21" t="s">
        <v>530</v>
      </c>
      <c r="BG21" t="s">
        <v>433</v>
      </c>
      <c r="BH21" t="s">
        <v>420</v>
      </c>
      <c r="BI21" t="s">
        <v>520</v>
      </c>
      <c r="BJ21" t="s">
        <v>68</v>
      </c>
      <c r="BK21" t="s">
        <v>236</v>
      </c>
      <c r="BL21" t="s">
        <v>236</v>
      </c>
      <c r="BM21" t="s">
        <v>236</v>
      </c>
      <c r="BN21" t="s">
        <v>68</v>
      </c>
      <c r="BO21" t="s">
        <v>236</v>
      </c>
      <c r="BP21" t="s">
        <v>236</v>
      </c>
      <c r="BQ21" t="s">
        <v>236</v>
      </c>
      <c r="BR21" t="s">
        <v>236</v>
      </c>
      <c r="BS21" t="s">
        <v>436</v>
      </c>
      <c r="BT21">
        <v>0</v>
      </c>
    </row>
    <row r="22" spans="1:72" x14ac:dyDescent="0.15">
      <c r="A22" s="43">
        <v>2022</v>
      </c>
      <c r="B22" s="43">
        <v>12</v>
      </c>
      <c r="C22" s="43">
        <v>1</v>
      </c>
      <c r="D22" s="43">
        <v>20</v>
      </c>
      <c r="E22" s="43" t="s">
        <v>236</v>
      </c>
      <c r="F22" s="43" t="s">
        <v>57</v>
      </c>
      <c r="G22" s="43">
        <v>2017</v>
      </c>
      <c r="H22" s="43">
        <v>12</v>
      </c>
      <c r="I22" s="43" t="s">
        <v>524</v>
      </c>
      <c r="J22" s="43" t="s">
        <v>236</v>
      </c>
      <c r="K22" s="43">
        <v>1952</v>
      </c>
      <c r="L22" s="43">
        <v>12</v>
      </c>
      <c r="M22" s="43">
        <v>1</v>
      </c>
      <c r="N22" s="43" t="s">
        <v>48</v>
      </c>
      <c r="O22" s="43" t="s">
        <v>221</v>
      </c>
      <c r="P22" s="43" t="s">
        <v>295</v>
      </c>
      <c r="Q22" s="43">
        <v>3000</v>
      </c>
      <c r="R22" s="43" t="s">
        <v>57</v>
      </c>
      <c r="S22" s="43" t="s">
        <v>52</v>
      </c>
      <c r="T22" s="43" t="s">
        <v>70</v>
      </c>
      <c r="U22" s="43" t="s">
        <v>236</v>
      </c>
      <c r="V22" s="43">
        <v>1000</v>
      </c>
      <c r="W22" s="43" t="s">
        <v>241</v>
      </c>
      <c r="X22" s="43">
        <v>3000</v>
      </c>
      <c r="Y22" s="43" t="s">
        <v>278</v>
      </c>
      <c r="Z22" s="43">
        <v>110</v>
      </c>
      <c r="AA22" s="43" t="s">
        <v>525</v>
      </c>
      <c r="AB22" s="43" t="s">
        <v>236</v>
      </c>
      <c r="AC22" s="43" t="s">
        <v>236</v>
      </c>
      <c r="AD22" s="43" t="s">
        <v>236</v>
      </c>
      <c r="AE22" s="43" t="s">
        <v>68</v>
      </c>
      <c r="AF22" s="43" t="s">
        <v>236</v>
      </c>
      <c r="AG22" s="43" t="s">
        <v>236</v>
      </c>
      <c r="AH22" s="43" t="s">
        <v>236</v>
      </c>
      <c r="AI22" s="43" t="s">
        <v>236</v>
      </c>
      <c r="AJ22" t="s">
        <v>519</v>
      </c>
      <c r="AK22">
        <v>12</v>
      </c>
      <c r="AL22">
        <v>1</v>
      </c>
      <c r="AM22" t="s">
        <v>85</v>
      </c>
      <c r="AN22" t="s">
        <v>236</v>
      </c>
      <c r="AO22" t="s">
        <v>529</v>
      </c>
      <c r="AP22" t="s">
        <v>112</v>
      </c>
      <c r="AQ22">
        <v>12</v>
      </c>
      <c r="AR22" t="s">
        <v>524</v>
      </c>
      <c r="AS22" t="s">
        <v>236</v>
      </c>
      <c r="AT22" t="s">
        <v>175</v>
      </c>
      <c r="AU22">
        <v>12</v>
      </c>
      <c r="AV22">
        <v>1</v>
      </c>
      <c r="AW22" t="s">
        <v>432</v>
      </c>
      <c r="AX22" t="s">
        <v>221</v>
      </c>
      <c r="AY22" t="s">
        <v>295</v>
      </c>
      <c r="AZ22">
        <v>1</v>
      </c>
      <c r="BA22" t="s">
        <v>435</v>
      </c>
      <c r="BB22" t="s">
        <v>431</v>
      </c>
      <c r="BC22" t="s">
        <v>419</v>
      </c>
      <c r="BD22" t="s">
        <v>236</v>
      </c>
      <c r="BE22" t="s">
        <v>437</v>
      </c>
      <c r="BF22" t="s">
        <v>530</v>
      </c>
      <c r="BG22" t="s">
        <v>433</v>
      </c>
      <c r="BH22" t="s">
        <v>420</v>
      </c>
      <c r="BI22" t="s">
        <v>520</v>
      </c>
      <c r="BJ22" t="s">
        <v>68</v>
      </c>
      <c r="BK22" t="s">
        <v>236</v>
      </c>
      <c r="BL22" t="s">
        <v>236</v>
      </c>
      <c r="BM22" t="s">
        <v>236</v>
      </c>
      <c r="BN22" t="s">
        <v>68</v>
      </c>
      <c r="BO22" t="s">
        <v>236</v>
      </c>
      <c r="BP22" t="s">
        <v>236</v>
      </c>
      <c r="BQ22" t="s">
        <v>236</v>
      </c>
      <c r="BR22" t="s">
        <v>236</v>
      </c>
      <c r="BS22" t="s">
        <v>436</v>
      </c>
      <c r="BT22">
        <v>0</v>
      </c>
    </row>
    <row r="23" spans="1:72" x14ac:dyDescent="0.15">
      <c r="A23" s="43">
        <v>2022</v>
      </c>
      <c r="B23" s="43">
        <v>12</v>
      </c>
      <c r="C23" s="43">
        <v>1</v>
      </c>
      <c r="D23" s="43">
        <v>20</v>
      </c>
      <c r="E23" s="43" t="s">
        <v>236</v>
      </c>
      <c r="F23" s="43" t="s">
        <v>57</v>
      </c>
      <c r="G23" s="43">
        <v>2017</v>
      </c>
      <c r="H23" s="43">
        <v>12</v>
      </c>
      <c r="I23" s="43" t="s">
        <v>524</v>
      </c>
      <c r="J23" s="43" t="s">
        <v>236</v>
      </c>
      <c r="K23" s="43">
        <v>1992</v>
      </c>
      <c r="L23" s="43">
        <v>12</v>
      </c>
      <c r="M23" s="43">
        <v>1</v>
      </c>
      <c r="N23" s="43" t="s">
        <v>48</v>
      </c>
      <c r="O23" s="43" t="s">
        <v>221</v>
      </c>
      <c r="P23" s="43" t="s">
        <v>295</v>
      </c>
      <c r="Q23" s="43">
        <v>7000</v>
      </c>
      <c r="R23" s="43" t="s">
        <v>57</v>
      </c>
      <c r="S23" s="43" t="s">
        <v>52</v>
      </c>
      <c r="T23" s="43" t="s">
        <v>70</v>
      </c>
      <c r="U23" s="43" t="s">
        <v>236</v>
      </c>
      <c r="V23" s="43">
        <v>1000</v>
      </c>
      <c r="W23" s="43" t="s">
        <v>241</v>
      </c>
      <c r="X23" s="43">
        <v>3000</v>
      </c>
      <c r="Y23" s="43" t="s">
        <v>278</v>
      </c>
      <c r="Z23" s="43">
        <v>110</v>
      </c>
      <c r="AA23" s="43" t="s">
        <v>525</v>
      </c>
      <c r="AB23" s="43" t="s">
        <v>236</v>
      </c>
      <c r="AC23" s="43" t="s">
        <v>236</v>
      </c>
      <c r="AD23" s="43" t="s">
        <v>236</v>
      </c>
      <c r="AE23" s="43" t="s">
        <v>68</v>
      </c>
      <c r="AF23" s="43" t="s">
        <v>236</v>
      </c>
      <c r="AG23" s="43" t="s">
        <v>236</v>
      </c>
      <c r="AH23" s="43" t="s">
        <v>236</v>
      </c>
      <c r="AI23" s="43" t="s">
        <v>236</v>
      </c>
      <c r="AJ23" t="s">
        <v>519</v>
      </c>
      <c r="AK23">
        <v>12</v>
      </c>
      <c r="AL23">
        <v>1</v>
      </c>
      <c r="AM23" t="s">
        <v>85</v>
      </c>
      <c r="AN23" t="s">
        <v>236</v>
      </c>
      <c r="AO23" t="s">
        <v>529</v>
      </c>
      <c r="AP23" t="s">
        <v>112</v>
      </c>
      <c r="AQ23">
        <v>12</v>
      </c>
      <c r="AR23" t="s">
        <v>524</v>
      </c>
      <c r="AS23" t="s">
        <v>236</v>
      </c>
      <c r="AT23" t="s">
        <v>137</v>
      </c>
      <c r="AU23">
        <v>12</v>
      </c>
      <c r="AV23">
        <v>1</v>
      </c>
      <c r="AW23" t="s">
        <v>432</v>
      </c>
      <c r="AX23" t="s">
        <v>221</v>
      </c>
      <c r="AY23" t="s">
        <v>295</v>
      </c>
      <c r="AZ23">
        <v>3</v>
      </c>
      <c r="BA23" t="s">
        <v>435</v>
      </c>
      <c r="BB23" t="s">
        <v>431</v>
      </c>
      <c r="BC23" t="s">
        <v>419</v>
      </c>
      <c r="BD23" t="s">
        <v>236</v>
      </c>
      <c r="BE23" t="s">
        <v>437</v>
      </c>
      <c r="BF23" t="s">
        <v>530</v>
      </c>
      <c r="BG23" t="s">
        <v>433</v>
      </c>
      <c r="BH23" t="s">
        <v>420</v>
      </c>
      <c r="BI23" t="s">
        <v>520</v>
      </c>
      <c r="BJ23" t="s">
        <v>68</v>
      </c>
      <c r="BK23" t="s">
        <v>236</v>
      </c>
      <c r="BL23" t="s">
        <v>236</v>
      </c>
      <c r="BM23" t="s">
        <v>236</v>
      </c>
      <c r="BN23" t="s">
        <v>68</v>
      </c>
      <c r="BO23" t="s">
        <v>236</v>
      </c>
      <c r="BP23" t="s">
        <v>236</v>
      </c>
      <c r="BQ23" t="s">
        <v>236</v>
      </c>
      <c r="BR23" t="s">
        <v>236</v>
      </c>
      <c r="BS23" t="s">
        <v>436</v>
      </c>
      <c r="BT23">
        <v>0</v>
      </c>
    </row>
    <row r="24" spans="1:72" x14ac:dyDescent="0.15">
      <c r="A24" s="43">
        <v>2022</v>
      </c>
      <c r="B24" s="43">
        <v>12</v>
      </c>
      <c r="C24" s="43">
        <v>1</v>
      </c>
      <c r="D24" s="43">
        <v>20</v>
      </c>
      <c r="E24" s="43" t="s">
        <v>236</v>
      </c>
      <c r="F24" s="43" t="s">
        <v>57</v>
      </c>
      <c r="G24" s="43">
        <v>2017</v>
      </c>
      <c r="H24" s="43">
        <v>12</v>
      </c>
      <c r="I24" s="43" t="s">
        <v>524</v>
      </c>
      <c r="J24" s="43" t="s">
        <v>236</v>
      </c>
      <c r="K24" s="43">
        <v>1987</v>
      </c>
      <c r="L24" s="43">
        <v>12</v>
      </c>
      <c r="M24" s="43">
        <v>1</v>
      </c>
      <c r="N24" s="43" t="s">
        <v>48</v>
      </c>
      <c r="O24" s="43" t="s">
        <v>221</v>
      </c>
      <c r="P24" s="43" t="s">
        <v>295</v>
      </c>
      <c r="Q24" s="43">
        <v>7000</v>
      </c>
      <c r="R24" s="43" t="s">
        <v>57</v>
      </c>
      <c r="S24" s="43" t="s">
        <v>52</v>
      </c>
      <c r="T24" s="43" t="s">
        <v>70</v>
      </c>
      <c r="U24" s="43" t="s">
        <v>236</v>
      </c>
      <c r="V24" s="43">
        <v>1000</v>
      </c>
      <c r="W24" s="43" t="s">
        <v>241</v>
      </c>
      <c r="X24" s="43">
        <v>3000</v>
      </c>
      <c r="Y24" s="43" t="s">
        <v>278</v>
      </c>
      <c r="Z24" s="43">
        <v>110</v>
      </c>
      <c r="AA24" s="43" t="s">
        <v>525</v>
      </c>
      <c r="AB24" s="43" t="s">
        <v>236</v>
      </c>
      <c r="AC24" s="43" t="s">
        <v>236</v>
      </c>
      <c r="AD24" s="43" t="s">
        <v>236</v>
      </c>
      <c r="AE24" s="43" t="s">
        <v>68</v>
      </c>
      <c r="AF24" s="43" t="s">
        <v>236</v>
      </c>
      <c r="AG24" s="43" t="s">
        <v>236</v>
      </c>
      <c r="AH24" s="43" t="s">
        <v>236</v>
      </c>
      <c r="AI24" s="43" t="s">
        <v>236</v>
      </c>
      <c r="AJ24" t="s">
        <v>519</v>
      </c>
      <c r="AK24">
        <v>12</v>
      </c>
      <c r="AL24">
        <v>1</v>
      </c>
      <c r="AM24" t="s">
        <v>85</v>
      </c>
      <c r="AN24" t="s">
        <v>236</v>
      </c>
      <c r="AO24" t="s">
        <v>529</v>
      </c>
      <c r="AP24" t="s">
        <v>112</v>
      </c>
      <c r="AQ24">
        <v>12</v>
      </c>
      <c r="AR24" t="s">
        <v>524</v>
      </c>
      <c r="AS24" t="s">
        <v>236</v>
      </c>
      <c r="AT24" t="s">
        <v>140</v>
      </c>
      <c r="AU24">
        <v>12</v>
      </c>
      <c r="AV24">
        <v>1</v>
      </c>
      <c r="AW24" t="s">
        <v>432</v>
      </c>
      <c r="AX24" t="s">
        <v>221</v>
      </c>
      <c r="AY24" t="s">
        <v>295</v>
      </c>
      <c r="AZ24">
        <v>3</v>
      </c>
      <c r="BA24" t="s">
        <v>435</v>
      </c>
      <c r="BB24" t="s">
        <v>431</v>
      </c>
      <c r="BC24" t="s">
        <v>419</v>
      </c>
      <c r="BD24" t="s">
        <v>236</v>
      </c>
      <c r="BE24" t="s">
        <v>437</v>
      </c>
      <c r="BF24" t="s">
        <v>530</v>
      </c>
      <c r="BG24" t="s">
        <v>433</v>
      </c>
      <c r="BH24" t="s">
        <v>420</v>
      </c>
      <c r="BI24" t="s">
        <v>520</v>
      </c>
      <c r="BJ24" t="s">
        <v>68</v>
      </c>
      <c r="BK24" t="s">
        <v>236</v>
      </c>
      <c r="BL24" t="s">
        <v>236</v>
      </c>
      <c r="BM24" t="s">
        <v>236</v>
      </c>
      <c r="BN24" t="s">
        <v>68</v>
      </c>
      <c r="BO24" t="s">
        <v>236</v>
      </c>
      <c r="BP24" t="s">
        <v>236</v>
      </c>
      <c r="BQ24" t="s">
        <v>236</v>
      </c>
      <c r="BR24" t="s">
        <v>236</v>
      </c>
      <c r="BS24" t="s">
        <v>436</v>
      </c>
      <c r="BT24">
        <v>0</v>
      </c>
    </row>
    <row r="25" spans="1:72" x14ac:dyDescent="0.15">
      <c r="A25" s="43">
        <v>2022</v>
      </c>
      <c r="B25" s="43">
        <v>12</v>
      </c>
      <c r="C25" s="43">
        <v>1</v>
      </c>
      <c r="D25" s="43">
        <v>20</v>
      </c>
      <c r="E25" s="43" t="s">
        <v>236</v>
      </c>
      <c r="F25" s="43" t="s">
        <v>57</v>
      </c>
      <c r="G25" s="43">
        <v>2017</v>
      </c>
      <c r="H25" s="43">
        <v>12</v>
      </c>
      <c r="I25" s="43" t="s">
        <v>524</v>
      </c>
      <c r="J25" s="43" t="s">
        <v>236</v>
      </c>
      <c r="K25" s="43">
        <v>1982</v>
      </c>
      <c r="L25" s="43">
        <v>12</v>
      </c>
      <c r="M25" s="43">
        <v>1</v>
      </c>
      <c r="N25" s="43" t="s">
        <v>48</v>
      </c>
      <c r="O25" s="43" t="s">
        <v>221</v>
      </c>
      <c r="P25" s="43" t="s">
        <v>295</v>
      </c>
      <c r="Q25" s="43">
        <v>7000</v>
      </c>
      <c r="R25" s="43" t="s">
        <v>57</v>
      </c>
      <c r="S25" s="43" t="s">
        <v>52</v>
      </c>
      <c r="T25" s="43" t="s">
        <v>70</v>
      </c>
      <c r="U25" s="43" t="s">
        <v>236</v>
      </c>
      <c r="V25" s="43">
        <v>1000</v>
      </c>
      <c r="W25" s="43" t="s">
        <v>241</v>
      </c>
      <c r="X25" s="43">
        <v>3000</v>
      </c>
      <c r="Y25" s="43" t="s">
        <v>278</v>
      </c>
      <c r="Z25" s="43">
        <v>110</v>
      </c>
      <c r="AA25" s="43" t="s">
        <v>525</v>
      </c>
      <c r="AB25" s="43" t="s">
        <v>236</v>
      </c>
      <c r="AC25" s="43" t="s">
        <v>236</v>
      </c>
      <c r="AD25" s="43" t="s">
        <v>236</v>
      </c>
      <c r="AE25" s="43" t="s">
        <v>68</v>
      </c>
      <c r="AF25" s="43" t="s">
        <v>236</v>
      </c>
      <c r="AG25" s="43" t="s">
        <v>236</v>
      </c>
      <c r="AH25" s="43" t="s">
        <v>236</v>
      </c>
      <c r="AI25" s="43" t="s">
        <v>236</v>
      </c>
      <c r="AJ25" t="s">
        <v>519</v>
      </c>
      <c r="AK25">
        <v>12</v>
      </c>
      <c r="AL25">
        <v>1</v>
      </c>
      <c r="AM25" t="s">
        <v>85</v>
      </c>
      <c r="AN25" t="s">
        <v>236</v>
      </c>
      <c r="AO25" t="s">
        <v>529</v>
      </c>
      <c r="AP25" t="s">
        <v>112</v>
      </c>
      <c r="AQ25">
        <v>12</v>
      </c>
      <c r="AR25" t="s">
        <v>524</v>
      </c>
      <c r="AS25" t="s">
        <v>236</v>
      </c>
      <c r="AT25" t="s">
        <v>145</v>
      </c>
      <c r="AU25">
        <v>12</v>
      </c>
      <c r="AV25">
        <v>1</v>
      </c>
      <c r="AW25" t="s">
        <v>432</v>
      </c>
      <c r="AX25" t="s">
        <v>221</v>
      </c>
      <c r="AY25" t="s">
        <v>295</v>
      </c>
      <c r="AZ25">
        <v>3</v>
      </c>
      <c r="BA25" t="s">
        <v>435</v>
      </c>
      <c r="BB25" t="s">
        <v>431</v>
      </c>
      <c r="BC25" t="s">
        <v>419</v>
      </c>
      <c r="BD25" t="s">
        <v>236</v>
      </c>
      <c r="BE25" t="s">
        <v>437</v>
      </c>
      <c r="BF25" t="s">
        <v>530</v>
      </c>
      <c r="BG25" t="s">
        <v>433</v>
      </c>
      <c r="BH25" t="s">
        <v>420</v>
      </c>
      <c r="BI25" t="s">
        <v>520</v>
      </c>
      <c r="BJ25" t="s">
        <v>68</v>
      </c>
      <c r="BK25" t="s">
        <v>236</v>
      </c>
      <c r="BL25" t="s">
        <v>236</v>
      </c>
      <c r="BM25" t="s">
        <v>236</v>
      </c>
      <c r="BN25" t="s">
        <v>68</v>
      </c>
      <c r="BO25" t="s">
        <v>236</v>
      </c>
      <c r="BP25" t="s">
        <v>236</v>
      </c>
      <c r="BQ25" t="s">
        <v>236</v>
      </c>
      <c r="BR25" t="s">
        <v>236</v>
      </c>
      <c r="BS25" t="s">
        <v>436</v>
      </c>
      <c r="BT25">
        <v>0</v>
      </c>
    </row>
    <row r="26" spans="1:72" x14ac:dyDescent="0.15">
      <c r="A26" s="43">
        <v>2022</v>
      </c>
      <c r="B26" s="43">
        <v>12</v>
      </c>
      <c r="C26" s="43">
        <v>1</v>
      </c>
      <c r="D26" s="43">
        <v>20</v>
      </c>
      <c r="E26" s="43" t="s">
        <v>236</v>
      </c>
      <c r="F26" s="43" t="s">
        <v>57</v>
      </c>
      <c r="G26" s="43">
        <v>2017</v>
      </c>
      <c r="H26" s="43">
        <v>12</v>
      </c>
      <c r="I26" s="43" t="s">
        <v>524</v>
      </c>
      <c r="J26" s="43" t="s">
        <v>236</v>
      </c>
      <c r="K26" s="43">
        <v>1977</v>
      </c>
      <c r="L26" s="43">
        <v>12</v>
      </c>
      <c r="M26" s="43">
        <v>1</v>
      </c>
      <c r="N26" s="43" t="s">
        <v>48</v>
      </c>
      <c r="O26" s="43" t="s">
        <v>221</v>
      </c>
      <c r="P26" s="43" t="s">
        <v>295</v>
      </c>
      <c r="Q26" s="43">
        <v>7000</v>
      </c>
      <c r="R26" s="43" t="s">
        <v>57</v>
      </c>
      <c r="S26" s="43" t="s">
        <v>52</v>
      </c>
      <c r="T26" s="43" t="s">
        <v>70</v>
      </c>
      <c r="U26" s="43" t="s">
        <v>236</v>
      </c>
      <c r="V26" s="43">
        <v>1000</v>
      </c>
      <c r="W26" s="43" t="s">
        <v>241</v>
      </c>
      <c r="X26" s="43">
        <v>3000</v>
      </c>
      <c r="Y26" s="43" t="s">
        <v>278</v>
      </c>
      <c r="Z26" s="43">
        <v>110</v>
      </c>
      <c r="AA26" s="43" t="s">
        <v>525</v>
      </c>
      <c r="AB26" s="43" t="s">
        <v>236</v>
      </c>
      <c r="AC26" s="43" t="s">
        <v>236</v>
      </c>
      <c r="AD26" s="43" t="s">
        <v>236</v>
      </c>
      <c r="AE26" s="43" t="s">
        <v>68</v>
      </c>
      <c r="AF26" s="43" t="s">
        <v>236</v>
      </c>
      <c r="AG26" s="43" t="s">
        <v>236</v>
      </c>
      <c r="AH26" s="43" t="s">
        <v>236</v>
      </c>
      <c r="AI26" s="43" t="s">
        <v>236</v>
      </c>
      <c r="AJ26" t="s">
        <v>519</v>
      </c>
      <c r="AK26">
        <v>12</v>
      </c>
      <c r="AL26">
        <v>1</v>
      </c>
      <c r="AM26" t="s">
        <v>85</v>
      </c>
      <c r="AN26" t="s">
        <v>236</v>
      </c>
      <c r="AO26" t="s">
        <v>529</v>
      </c>
      <c r="AP26" t="s">
        <v>112</v>
      </c>
      <c r="AQ26">
        <v>12</v>
      </c>
      <c r="AR26" t="s">
        <v>524</v>
      </c>
      <c r="AS26" t="s">
        <v>236</v>
      </c>
      <c r="AT26" t="s">
        <v>150</v>
      </c>
      <c r="AU26">
        <v>12</v>
      </c>
      <c r="AV26">
        <v>1</v>
      </c>
      <c r="AW26" t="s">
        <v>432</v>
      </c>
      <c r="AX26" t="s">
        <v>221</v>
      </c>
      <c r="AY26" t="s">
        <v>295</v>
      </c>
      <c r="AZ26">
        <v>3</v>
      </c>
      <c r="BA26" t="s">
        <v>435</v>
      </c>
      <c r="BB26" t="s">
        <v>431</v>
      </c>
      <c r="BC26" t="s">
        <v>419</v>
      </c>
      <c r="BD26" t="s">
        <v>236</v>
      </c>
      <c r="BE26" t="s">
        <v>437</v>
      </c>
      <c r="BF26" t="s">
        <v>530</v>
      </c>
      <c r="BG26" t="s">
        <v>433</v>
      </c>
      <c r="BH26" t="s">
        <v>420</v>
      </c>
      <c r="BI26" t="s">
        <v>520</v>
      </c>
      <c r="BJ26" t="s">
        <v>68</v>
      </c>
      <c r="BK26" t="s">
        <v>236</v>
      </c>
      <c r="BL26" t="s">
        <v>236</v>
      </c>
      <c r="BM26" t="s">
        <v>236</v>
      </c>
      <c r="BN26" t="s">
        <v>68</v>
      </c>
      <c r="BO26" t="s">
        <v>236</v>
      </c>
      <c r="BP26" t="s">
        <v>236</v>
      </c>
      <c r="BQ26" t="s">
        <v>236</v>
      </c>
      <c r="BR26" t="s">
        <v>236</v>
      </c>
      <c r="BS26" t="s">
        <v>436</v>
      </c>
      <c r="BT26">
        <v>0</v>
      </c>
    </row>
    <row r="27" spans="1:72" x14ac:dyDescent="0.15">
      <c r="A27" s="43">
        <v>2022</v>
      </c>
      <c r="B27" s="43">
        <v>12</v>
      </c>
      <c r="C27" s="43">
        <v>1</v>
      </c>
      <c r="D27" s="43">
        <v>20</v>
      </c>
      <c r="E27" s="43" t="s">
        <v>236</v>
      </c>
      <c r="F27" s="43" t="s">
        <v>57</v>
      </c>
      <c r="G27" s="43">
        <v>2017</v>
      </c>
      <c r="H27" s="43">
        <v>12</v>
      </c>
      <c r="I27" s="43" t="s">
        <v>524</v>
      </c>
      <c r="J27" s="43" t="s">
        <v>236</v>
      </c>
      <c r="K27" s="43">
        <v>1972</v>
      </c>
      <c r="L27" s="43">
        <v>12</v>
      </c>
      <c r="M27" s="43">
        <v>1</v>
      </c>
      <c r="N27" s="43" t="s">
        <v>48</v>
      </c>
      <c r="O27" s="43" t="s">
        <v>221</v>
      </c>
      <c r="P27" s="43" t="s">
        <v>295</v>
      </c>
      <c r="Q27" s="43">
        <v>7000</v>
      </c>
      <c r="R27" s="43" t="s">
        <v>57</v>
      </c>
      <c r="S27" s="43" t="s">
        <v>52</v>
      </c>
      <c r="T27" s="43" t="s">
        <v>70</v>
      </c>
      <c r="U27" s="43" t="s">
        <v>236</v>
      </c>
      <c r="V27" s="43">
        <v>1000</v>
      </c>
      <c r="W27" s="43" t="s">
        <v>241</v>
      </c>
      <c r="X27" s="43">
        <v>3000</v>
      </c>
      <c r="Y27" s="43" t="s">
        <v>278</v>
      </c>
      <c r="Z27" s="43">
        <v>110</v>
      </c>
      <c r="AA27" s="43" t="s">
        <v>525</v>
      </c>
      <c r="AB27" s="43" t="s">
        <v>236</v>
      </c>
      <c r="AC27" s="43" t="s">
        <v>236</v>
      </c>
      <c r="AD27" s="43" t="s">
        <v>236</v>
      </c>
      <c r="AE27" s="43" t="s">
        <v>68</v>
      </c>
      <c r="AF27" s="43" t="s">
        <v>236</v>
      </c>
      <c r="AG27" s="43" t="s">
        <v>236</v>
      </c>
      <c r="AH27" s="43" t="s">
        <v>236</v>
      </c>
      <c r="AI27" s="43" t="s">
        <v>236</v>
      </c>
      <c r="AJ27" t="s">
        <v>519</v>
      </c>
      <c r="AK27">
        <v>12</v>
      </c>
      <c r="AL27">
        <v>1</v>
      </c>
      <c r="AM27" t="s">
        <v>85</v>
      </c>
      <c r="AN27" t="s">
        <v>236</v>
      </c>
      <c r="AO27" t="s">
        <v>529</v>
      </c>
      <c r="AP27" t="s">
        <v>112</v>
      </c>
      <c r="AQ27">
        <v>12</v>
      </c>
      <c r="AR27" t="s">
        <v>524</v>
      </c>
      <c r="AS27" t="s">
        <v>236</v>
      </c>
      <c r="AT27" t="s">
        <v>155</v>
      </c>
      <c r="AU27">
        <v>12</v>
      </c>
      <c r="AV27">
        <v>1</v>
      </c>
      <c r="AW27" t="s">
        <v>432</v>
      </c>
      <c r="AX27" t="s">
        <v>221</v>
      </c>
      <c r="AY27" t="s">
        <v>295</v>
      </c>
      <c r="AZ27">
        <v>3</v>
      </c>
      <c r="BA27" t="s">
        <v>435</v>
      </c>
      <c r="BB27" t="s">
        <v>431</v>
      </c>
      <c r="BC27" t="s">
        <v>419</v>
      </c>
      <c r="BD27" t="s">
        <v>236</v>
      </c>
      <c r="BE27" t="s">
        <v>437</v>
      </c>
      <c r="BF27" t="s">
        <v>530</v>
      </c>
      <c r="BG27" t="s">
        <v>433</v>
      </c>
      <c r="BH27" t="s">
        <v>420</v>
      </c>
      <c r="BI27" t="s">
        <v>520</v>
      </c>
      <c r="BJ27" t="s">
        <v>68</v>
      </c>
      <c r="BK27" t="s">
        <v>236</v>
      </c>
      <c r="BL27" t="s">
        <v>236</v>
      </c>
      <c r="BM27" t="s">
        <v>236</v>
      </c>
      <c r="BN27" t="s">
        <v>68</v>
      </c>
      <c r="BO27" t="s">
        <v>236</v>
      </c>
      <c r="BP27" t="s">
        <v>236</v>
      </c>
      <c r="BQ27" t="s">
        <v>236</v>
      </c>
      <c r="BR27" t="s">
        <v>236</v>
      </c>
      <c r="BS27" t="s">
        <v>436</v>
      </c>
      <c r="BT27">
        <v>0</v>
      </c>
    </row>
    <row r="28" spans="1:72" x14ac:dyDescent="0.15">
      <c r="A28" s="43">
        <v>2022</v>
      </c>
      <c r="B28" s="43">
        <v>12</v>
      </c>
      <c r="C28" s="43">
        <v>1</v>
      </c>
      <c r="D28" s="43">
        <v>20</v>
      </c>
      <c r="E28" s="43" t="s">
        <v>236</v>
      </c>
      <c r="F28" s="43" t="s">
        <v>57</v>
      </c>
      <c r="G28" s="43">
        <v>2017</v>
      </c>
      <c r="H28" s="43">
        <v>12</v>
      </c>
      <c r="I28" s="43" t="s">
        <v>524</v>
      </c>
      <c r="J28" s="43" t="s">
        <v>236</v>
      </c>
      <c r="K28" s="43">
        <v>1962</v>
      </c>
      <c r="L28" s="43">
        <v>12</v>
      </c>
      <c r="M28" s="43">
        <v>1</v>
      </c>
      <c r="N28" s="43" t="s">
        <v>48</v>
      </c>
      <c r="O28" s="43" t="s">
        <v>221</v>
      </c>
      <c r="P28" s="43" t="s">
        <v>295</v>
      </c>
      <c r="Q28" s="43">
        <v>7000</v>
      </c>
      <c r="R28" s="43" t="s">
        <v>57</v>
      </c>
      <c r="S28" s="43" t="s">
        <v>52</v>
      </c>
      <c r="T28" s="43" t="s">
        <v>70</v>
      </c>
      <c r="U28" s="43" t="s">
        <v>236</v>
      </c>
      <c r="V28" s="43">
        <v>1000</v>
      </c>
      <c r="W28" s="43" t="s">
        <v>241</v>
      </c>
      <c r="X28" s="43">
        <v>3000</v>
      </c>
      <c r="Y28" s="43" t="s">
        <v>278</v>
      </c>
      <c r="Z28" s="43">
        <v>110</v>
      </c>
      <c r="AA28" s="43" t="s">
        <v>525</v>
      </c>
      <c r="AB28" s="43" t="s">
        <v>236</v>
      </c>
      <c r="AC28" s="43" t="s">
        <v>236</v>
      </c>
      <c r="AD28" s="43" t="s">
        <v>236</v>
      </c>
      <c r="AE28" s="43" t="s">
        <v>68</v>
      </c>
      <c r="AF28" s="43" t="s">
        <v>236</v>
      </c>
      <c r="AG28" s="43" t="s">
        <v>236</v>
      </c>
      <c r="AH28" s="43" t="s">
        <v>236</v>
      </c>
      <c r="AI28" s="43" t="s">
        <v>236</v>
      </c>
      <c r="AJ28" t="s">
        <v>519</v>
      </c>
      <c r="AK28">
        <v>12</v>
      </c>
      <c r="AL28">
        <v>1</v>
      </c>
      <c r="AM28" t="s">
        <v>85</v>
      </c>
      <c r="AN28" t="s">
        <v>236</v>
      </c>
      <c r="AO28" t="s">
        <v>529</v>
      </c>
      <c r="AP28" t="s">
        <v>112</v>
      </c>
      <c r="AQ28">
        <v>12</v>
      </c>
      <c r="AR28" t="s">
        <v>524</v>
      </c>
      <c r="AS28" t="s">
        <v>236</v>
      </c>
      <c r="AT28" t="s">
        <v>165</v>
      </c>
      <c r="AU28">
        <v>12</v>
      </c>
      <c r="AV28">
        <v>1</v>
      </c>
      <c r="AW28" t="s">
        <v>432</v>
      </c>
      <c r="AX28" t="s">
        <v>221</v>
      </c>
      <c r="AY28" t="s">
        <v>295</v>
      </c>
      <c r="AZ28">
        <v>3</v>
      </c>
      <c r="BA28" t="s">
        <v>435</v>
      </c>
      <c r="BB28" t="s">
        <v>431</v>
      </c>
      <c r="BC28" t="s">
        <v>419</v>
      </c>
      <c r="BD28" t="s">
        <v>236</v>
      </c>
      <c r="BE28" t="s">
        <v>437</v>
      </c>
      <c r="BF28" t="s">
        <v>530</v>
      </c>
      <c r="BG28" t="s">
        <v>433</v>
      </c>
      <c r="BH28" t="s">
        <v>420</v>
      </c>
      <c r="BI28" t="s">
        <v>520</v>
      </c>
      <c r="BJ28" t="s">
        <v>68</v>
      </c>
      <c r="BK28" t="s">
        <v>236</v>
      </c>
      <c r="BL28" t="s">
        <v>236</v>
      </c>
      <c r="BM28" t="s">
        <v>236</v>
      </c>
      <c r="BN28" t="s">
        <v>68</v>
      </c>
      <c r="BO28" t="s">
        <v>236</v>
      </c>
      <c r="BP28" t="s">
        <v>236</v>
      </c>
      <c r="BQ28" t="s">
        <v>236</v>
      </c>
      <c r="BR28" t="s">
        <v>236</v>
      </c>
      <c r="BS28" t="s">
        <v>436</v>
      </c>
      <c r="BT28">
        <v>0</v>
      </c>
    </row>
    <row r="29" spans="1:72" x14ac:dyDescent="0.15">
      <c r="A29" s="43">
        <v>2022</v>
      </c>
      <c r="B29" s="43">
        <v>12</v>
      </c>
      <c r="C29" s="43">
        <v>1</v>
      </c>
      <c r="D29" s="43">
        <v>20</v>
      </c>
      <c r="E29" s="43" t="s">
        <v>236</v>
      </c>
      <c r="F29" s="43" t="s">
        <v>57</v>
      </c>
      <c r="G29" s="43">
        <v>2017</v>
      </c>
      <c r="H29" s="43">
        <v>12</v>
      </c>
      <c r="I29" s="43" t="s">
        <v>524</v>
      </c>
      <c r="J29" s="43" t="s">
        <v>236</v>
      </c>
      <c r="K29" s="43">
        <v>1952</v>
      </c>
      <c r="L29" s="43">
        <v>12</v>
      </c>
      <c r="M29" s="43">
        <v>1</v>
      </c>
      <c r="N29" s="43" t="s">
        <v>48</v>
      </c>
      <c r="O29" s="43" t="s">
        <v>221</v>
      </c>
      <c r="P29" s="43" t="s">
        <v>295</v>
      </c>
      <c r="Q29" s="43">
        <v>7000</v>
      </c>
      <c r="R29" s="43" t="s">
        <v>57</v>
      </c>
      <c r="S29" s="43" t="s">
        <v>52</v>
      </c>
      <c r="T29" s="43" t="s">
        <v>70</v>
      </c>
      <c r="U29" s="43" t="s">
        <v>236</v>
      </c>
      <c r="V29" s="43">
        <v>1000</v>
      </c>
      <c r="W29" s="43" t="s">
        <v>241</v>
      </c>
      <c r="X29" s="43">
        <v>3000</v>
      </c>
      <c r="Y29" s="43" t="s">
        <v>278</v>
      </c>
      <c r="Z29" s="43">
        <v>110</v>
      </c>
      <c r="AA29" s="43" t="s">
        <v>525</v>
      </c>
      <c r="AB29" s="43" t="s">
        <v>236</v>
      </c>
      <c r="AC29" s="43" t="s">
        <v>236</v>
      </c>
      <c r="AD29" s="43" t="s">
        <v>236</v>
      </c>
      <c r="AE29" s="43" t="s">
        <v>68</v>
      </c>
      <c r="AF29" s="43" t="s">
        <v>236</v>
      </c>
      <c r="AG29" s="43" t="s">
        <v>236</v>
      </c>
      <c r="AH29" s="43" t="s">
        <v>236</v>
      </c>
      <c r="AI29" s="43" t="s">
        <v>236</v>
      </c>
      <c r="AJ29" t="s">
        <v>519</v>
      </c>
      <c r="AK29">
        <v>12</v>
      </c>
      <c r="AL29">
        <v>1</v>
      </c>
      <c r="AM29" t="s">
        <v>85</v>
      </c>
      <c r="AN29" t="s">
        <v>236</v>
      </c>
      <c r="AO29" t="s">
        <v>529</v>
      </c>
      <c r="AP29" t="s">
        <v>112</v>
      </c>
      <c r="AQ29">
        <v>12</v>
      </c>
      <c r="AR29" t="s">
        <v>524</v>
      </c>
      <c r="AS29" t="s">
        <v>236</v>
      </c>
      <c r="AT29" t="s">
        <v>175</v>
      </c>
      <c r="AU29">
        <v>12</v>
      </c>
      <c r="AV29">
        <v>1</v>
      </c>
      <c r="AW29" t="s">
        <v>432</v>
      </c>
      <c r="AX29" t="s">
        <v>221</v>
      </c>
      <c r="AY29" t="s">
        <v>295</v>
      </c>
      <c r="AZ29">
        <v>3</v>
      </c>
      <c r="BA29" t="s">
        <v>435</v>
      </c>
      <c r="BB29" t="s">
        <v>431</v>
      </c>
      <c r="BC29" t="s">
        <v>419</v>
      </c>
      <c r="BD29" t="s">
        <v>236</v>
      </c>
      <c r="BE29" t="s">
        <v>437</v>
      </c>
      <c r="BF29" t="s">
        <v>530</v>
      </c>
      <c r="BG29" t="s">
        <v>433</v>
      </c>
      <c r="BH29" t="s">
        <v>420</v>
      </c>
      <c r="BI29" t="s">
        <v>520</v>
      </c>
      <c r="BJ29" t="s">
        <v>68</v>
      </c>
      <c r="BK29" t="s">
        <v>236</v>
      </c>
      <c r="BL29" t="s">
        <v>236</v>
      </c>
      <c r="BM29" t="s">
        <v>236</v>
      </c>
      <c r="BN29" t="s">
        <v>68</v>
      </c>
      <c r="BO29" t="s">
        <v>236</v>
      </c>
      <c r="BP29" t="s">
        <v>236</v>
      </c>
      <c r="BQ29" t="s">
        <v>236</v>
      </c>
      <c r="BR29" t="s">
        <v>236</v>
      </c>
      <c r="BS29" t="s">
        <v>436</v>
      </c>
      <c r="BT29">
        <v>0</v>
      </c>
    </row>
    <row r="30" spans="1:72" x14ac:dyDescent="0.15">
      <c r="A30" s="43">
        <v>2022</v>
      </c>
      <c r="B30" s="43">
        <v>12</v>
      </c>
      <c r="C30" s="43">
        <v>1</v>
      </c>
      <c r="D30" s="43">
        <v>17</v>
      </c>
      <c r="E30" s="43" t="s">
        <v>236</v>
      </c>
      <c r="F30" s="43" t="s">
        <v>57</v>
      </c>
      <c r="G30" s="43">
        <v>2017</v>
      </c>
      <c r="H30" s="43">
        <v>12</v>
      </c>
      <c r="I30" s="43" t="s">
        <v>524</v>
      </c>
      <c r="J30" s="43" t="s">
        <v>236</v>
      </c>
      <c r="K30" s="43">
        <v>1992</v>
      </c>
      <c r="L30" s="43">
        <v>12</v>
      </c>
      <c r="M30" s="43">
        <v>1</v>
      </c>
      <c r="N30" s="43" t="s">
        <v>48</v>
      </c>
      <c r="O30" s="43" t="s">
        <v>221</v>
      </c>
      <c r="P30" s="43" t="s">
        <v>224</v>
      </c>
      <c r="Q30" s="43">
        <v>3000</v>
      </c>
      <c r="R30" s="43" t="s">
        <v>57</v>
      </c>
      <c r="S30" s="43" t="s">
        <v>52</v>
      </c>
      <c r="T30" s="43" t="s">
        <v>70</v>
      </c>
      <c r="U30" s="43" t="s">
        <v>236</v>
      </c>
      <c r="V30" s="43">
        <v>1000</v>
      </c>
      <c r="W30" s="43" t="s">
        <v>241</v>
      </c>
      <c r="X30" s="43">
        <v>3000</v>
      </c>
      <c r="Y30" s="43" t="s">
        <v>278</v>
      </c>
      <c r="Z30" s="43">
        <v>110</v>
      </c>
      <c r="AA30" s="43" t="s">
        <v>525</v>
      </c>
      <c r="AB30" s="43" t="s">
        <v>236</v>
      </c>
      <c r="AC30" s="43" t="s">
        <v>236</v>
      </c>
      <c r="AD30" s="43" t="s">
        <v>236</v>
      </c>
      <c r="AE30" s="43" t="s">
        <v>68</v>
      </c>
      <c r="AF30" s="43" t="s">
        <v>236</v>
      </c>
      <c r="AG30" s="43" t="s">
        <v>236</v>
      </c>
      <c r="AH30" s="43" t="s">
        <v>236</v>
      </c>
      <c r="AI30" s="43" t="s">
        <v>236</v>
      </c>
      <c r="AJ30" t="s">
        <v>519</v>
      </c>
      <c r="AK30">
        <v>12</v>
      </c>
      <c r="AL30">
        <v>1</v>
      </c>
      <c r="AM30" t="s">
        <v>88</v>
      </c>
      <c r="AN30" t="s">
        <v>236</v>
      </c>
      <c r="AO30" t="s">
        <v>529</v>
      </c>
      <c r="AP30" t="s">
        <v>112</v>
      </c>
      <c r="AQ30">
        <v>12</v>
      </c>
      <c r="AR30" t="s">
        <v>524</v>
      </c>
      <c r="AS30" t="s">
        <v>236</v>
      </c>
      <c r="AT30" t="s">
        <v>137</v>
      </c>
      <c r="AU30">
        <v>12</v>
      </c>
      <c r="AV30">
        <v>1</v>
      </c>
      <c r="AW30" t="s">
        <v>432</v>
      </c>
      <c r="AX30" t="s">
        <v>221</v>
      </c>
      <c r="AY30" t="s">
        <v>224</v>
      </c>
      <c r="AZ30">
        <v>1</v>
      </c>
      <c r="BA30" t="s">
        <v>435</v>
      </c>
      <c r="BB30" t="s">
        <v>431</v>
      </c>
      <c r="BC30" t="s">
        <v>419</v>
      </c>
      <c r="BD30" t="s">
        <v>236</v>
      </c>
      <c r="BE30" t="s">
        <v>437</v>
      </c>
      <c r="BF30" t="s">
        <v>530</v>
      </c>
      <c r="BG30" t="s">
        <v>433</v>
      </c>
      <c r="BH30" t="s">
        <v>420</v>
      </c>
      <c r="BI30" t="s">
        <v>520</v>
      </c>
      <c r="BJ30" t="s">
        <v>68</v>
      </c>
      <c r="BK30" t="s">
        <v>236</v>
      </c>
      <c r="BL30" t="s">
        <v>236</v>
      </c>
      <c r="BM30" t="s">
        <v>236</v>
      </c>
      <c r="BN30" t="s">
        <v>68</v>
      </c>
      <c r="BO30" t="s">
        <v>236</v>
      </c>
      <c r="BP30" t="s">
        <v>236</v>
      </c>
      <c r="BQ30" t="s">
        <v>236</v>
      </c>
      <c r="BR30" t="s">
        <v>236</v>
      </c>
      <c r="BS30" t="s">
        <v>436</v>
      </c>
      <c r="BT30">
        <v>0</v>
      </c>
    </row>
    <row r="31" spans="1:72" x14ac:dyDescent="0.15">
      <c r="A31" s="43">
        <v>2022</v>
      </c>
      <c r="B31" s="43">
        <v>12</v>
      </c>
      <c r="C31" s="43">
        <v>1</v>
      </c>
      <c r="D31" s="43">
        <v>17</v>
      </c>
      <c r="E31" s="43" t="s">
        <v>236</v>
      </c>
      <c r="F31" s="43" t="s">
        <v>57</v>
      </c>
      <c r="G31" s="43">
        <v>2017</v>
      </c>
      <c r="H31" s="43">
        <v>12</v>
      </c>
      <c r="I31" s="43" t="s">
        <v>524</v>
      </c>
      <c r="J31" s="43" t="s">
        <v>236</v>
      </c>
      <c r="K31" s="43">
        <v>1987</v>
      </c>
      <c r="L31" s="43">
        <v>12</v>
      </c>
      <c r="M31" s="43">
        <v>1</v>
      </c>
      <c r="N31" s="43" t="s">
        <v>48</v>
      </c>
      <c r="O31" s="43" t="s">
        <v>221</v>
      </c>
      <c r="P31" s="43" t="s">
        <v>224</v>
      </c>
      <c r="Q31" s="43">
        <v>3000</v>
      </c>
      <c r="R31" s="43" t="s">
        <v>57</v>
      </c>
      <c r="S31" s="43" t="s">
        <v>52</v>
      </c>
      <c r="T31" s="43" t="s">
        <v>70</v>
      </c>
      <c r="U31" s="43" t="s">
        <v>236</v>
      </c>
      <c r="V31" s="43">
        <v>1000</v>
      </c>
      <c r="W31" s="43" t="s">
        <v>241</v>
      </c>
      <c r="X31" s="43">
        <v>3000</v>
      </c>
      <c r="Y31" s="43" t="s">
        <v>278</v>
      </c>
      <c r="Z31" s="43">
        <v>110</v>
      </c>
      <c r="AA31" s="43" t="s">
        <v>525</v>
      </c>
      <c r="AB31" s="43" t="s">
        <v>236</v>
      </c>
      <c r="AC31" s="43" t="s">
        <v>236</v>
      </c>
      <c r="AD31" s="43" t="s">
        <v>236</v>
      </c>
      <c r="AE31" s="43" t="s">
        <v>68</v>
      </c>
      <c r="AF31" s="43" t="s">
        <v>236</v>
      </c>
      <c r="AG31" s="43" t="s">
        <v>236</v>
      </c>
      <c r="AH31" s="43" t="s">
        <v>236</v>
      </c>
      <c r="AI31" s="43" t="s">
        <v>236</v>
      </c>
      <c r="AJ31" t="s">
        <v>519</v>
      </c>
      <c r="AK31">
        <v>12</v>
      </c>
      <c r="AL31">
        <v>1</v>
      </c>
      <c r="AM31" t="s">
        <v>88</v>
      </c>
      <c r="AN31" t="s">
        <v>236</v>
      </c>
      <c r="AO31" t="s">
        <v>529</v>
      </c>
      <c r="AP31" t="s">
        <v>112</v>
      </c>
      <c r="AQ31">
        <v>12</v>
      </c>
      <c r="AR31" t="s">
        <v>524</v>
      </c>
      <c r="AS31" t="s">
        <v>236</v>
      </c>
      <c r="AT31" t="s">
        <v>140</v>
      </c>
      <c r="AU31">
        <v>12</v>
      </c>
      <c r="AV31">
        <v>1</v>
      </c>
      <c r="AW31" t="s">
        <v>432</v>
      </c>
      <c r="AX31" t="s">
        <v>221</v>
      </c>
      <c r="AY31" t="s">
        <v>224</v>
      </c>
      <c r="AZ31">
        <v>1</v>
      </c>
      <c r="BA31" t="s">
        <v>435</v>
      </c>
      <c r="BB31" t="s">
        <v>431</v>
      </c>
      <c r="BC31" t="s">
        <v>419</v>
      </c>
      <c r="BD31" t="s">
        <v>236</v>
      </c>
      <c r="BE31" t="s">
        <v>437</v>
      </c>
      <c r="BF31" t="s">
        <v>530</v>
      </c>
      <c r="BG31" t="s">
        <v>433</v>
      </c>
      <c r="BH31" t="s">
        <v>420</v>
      </c>
      <c r="BI31" t="s">
        <v>520</v>
      </c>
      <c r="BJ31" t="s">
        <v>68</v>
      </c>
      <c r="BK31" t="s">
        <v>236</v>
      </c>
      <c r="BL31" t="s">
        <v>236</v>
      </c>
      <c r="BM31" t="s">
        <v>236</v>
      </c>
      <c r="BN31" t="s">
        <v>68</v>
      </c>
      <c r="BO31" t="s">
        <v>236</v>
      </c>
      <c r="BP31" t="s">
        <v>236</v>
      </c>
      <c r="BQ31" t="s">
        <v>236</v>
      </c>
      <c r="BR31" t="s">
        <v>236</v>
      </c>
      <c r="BS31" t="s">
        <v>436</v>
      </c>
      <c r="BT31">
        <v>0</v>
      </c>
    </row>
    <row r="32" spans="1:72" x14ac:dyDescent="0.15">
      <c r="A32" s="43">
        <v>2022</v>
      </c>
      <c r="B32" s="43">
        <v>12</v>
      </c>
      <c r="C32" s="43">
        <v>1</v>
      </c>
      <c r="D32" s="43">
        <v>17</v>
      </c>
      <c r="E32" s="43" t="s">
        <v>236</v>
      </c>
      <c r="F32" s="43" t="s">
        <v>57</v>
      </c>
      <c r="G32" s="43">
        <v>2017</v>
      </c>
      <c r="H32" s="43">
        <v>12</v>
      </c>
      <c r="I32" s="43" t="s">
        <v>524</v>
      </c>
      <c r="J32" s="43" t="s">
        <v>236</v>
      </c>
      <c r="K32" s="43">
        <v>1982</v>
      </c>
      <c r="L32" s="43">
        <v>12</v>
      </c>
      <c r="M32" s="43">
        <v>1</v>
      </c>
      <c r="N32" s="43" t="s">
        <v>48</v>
      </c>
      <c r="O32" s="43" t="s">
        <v>221</v>
      </c>
      <c r="P32" s="43" t="s">
        <v>224</v>
      </c>
      <c r="Q32" s="43">
        <v>3000</v>
      </c>
      <c r="R32" s="43" t="s">
        <v>57</v>
      </c>
      <c r="S32" s="43" t="s">
        <v>52</v>
      </c>
      <c r="T32" s="43" t="s">
        <v>70</v>
      </c>
      <c r="U32" s="43" t="s">
        <v>236</v>
      </c>
      <c r="V32" s="43">
        <v>1000</v>
      </c>
      <c r="W32" s="43" t="s">
        <v>241</v>
      </c>
      <c r="X32" s="43">
        <v>3000</v>
      </c>
      <c r="Y32" s="43" t="s">
        <v>278</v>
      </c>
      <c r="Z32" s="43">
        <v>110</v>
      </c>
      <c r="AA32" s="43" t="s">
        <v>525</v>
      </c>
      <c r="AB32" s="43" t="s">
        <v>236</v>
      </c>
      <c r="AC32" s="43" t="s">
        <v>236</v>
      </c>
      <c r="AD32" s="43" t="s">
        <v>236</v>
      </c>
      <c r="AE32" s="43" t="s">
        <v>68</v>
      </c>
      <c r="AF32" s="43" t="s">
        <v>236</v>
      </c>
      <c r="AG32" s="43" t="s">
        <v>236</v>
      </c>
      <c r="AH32" s="43" t="s">
        <v>236</v>
      </c>
      <c r="AI32" s="43" t="s">
        <v>236</v>
      </c>
      <c r="AJ32" t="s">
        <v>519</v>
      </c>
      <c r="AK32">
        <v>12</v>
      </c>
      <c r="AL32">
        <v>1</v>
      </c>
      <c r="AM32" t="s">
        <v>88</v>
      </c>
      <c r="AN32" t="s">
        <v>236</v>
      </c>
      <c r="AO32" t="s">
        <v>529</v>
      </c>
      <c r="AP32" t="s">
        <v>112</v>
      </c>
      <c r="AQ32">
        <v>12</v>
      </c>
      <c r="AR32" t="s">
        <v>524</v>
      </c>
      <c r="AS32" t="s">
        <v>236</v>
      </c>
      <c r="AT32" t="s">
        <v>145</v>
      </c>
      <c r="AU32">
        <v>12</v>
      </c>
      <c r="AV32">
        <v>1</v>
      </c>
      <c r="AW32" t="s">
        <v>432</v>
      </c>
      <c r="AX32" t="s">
        <v>221</v>
      </c>
      <c r="AY32" t="s">
        <v>224</v>
      </c>
      <c r="AZ32">
        <v>1</v>
      </c>
      <c r="BA32" t="s">
        <v>435</v>
      </c>
      <c r="BB32" t="s">
        <v>431</v>
      </c>
      <c r="BC32" t="s">
        <v>419</v>
      </c>
      <c r="BD32" t="s">
        <v>236</v>
      </c>
      <c r="BE32" t="s">
        <v>437</v>
      </c>
      <c r="BF32" t="s">
        <v>530</v>
      </c>
      <c r="BG32" t="s">
        <v>433</v>
      </c>
      <c r="BH32" t="s">
        <v>420</v>
      </c>
      <c r="BI32" t="s">
        <v>520</v>
      </c>
      <c r="BJ32" t="s">
        <v>68</v>
      </c>
      <c r="BK32" t="s">
        <v>236</v>
      </c>
      <c r="BL32" t="s">
        <v>236</v>
      </c>
      <c r="BM32" t="s">
        <v>236</v>
      </c>
      <c r="BN32" t="s">
        <v>68</v>
      </c>
      <c r="BO32" t="s">
        <v>236</v>
      </c>
      <c r="BP32" t="s">
        <v>236</v>
      </c>
      <c r="BQ32" t="s">
        <v>236</v>
      </c>
      <c r="BR32" t="s">
        <v>236</v>
      </c>
      <c r="BS32" t="s">
        <v>436</v>
      </c>
      <c r="BT32">
        <v>0</v>
      </c>
    </row>
    <row r="33" spans="1:72" x14ac:dyDescent="0.15">
      <c r="A33" s="43">
        <v>2022</v>
      </c>
      <c r="B33" s="43">
        <v>12</v>
      </c>
      <c r="C33" s="43">
        <v>1</v>
      </c>
      <c r="D33" s="43">
        <v>17</v>
      </c>
      <c r="E33" s="43" t="s">
        <v>236</v>
      </c>
      <c r="F33" s="43" t="s">
        <v>57</v>
      </c>
      <c r="G33" s="43">
        <v>2017</v>
      </c>
      <c r="H33" s="43">
        <v>12</v>
      </c>
      <c r="I33" s="43" t="s">
        <v>524</v>
      </c>
      <c r="J33" s="43" t="s">
        <v>236</v>
      </c>
      <c r="K33" s="43">
        <v>1977</v>
      </c>
      <c r="L33" s="43">
        <v>12</v>
      </c>
      <c r="M33" s="43">
        <v>1</v>
      </c>
      <c r="N33" s="43" t="s">
        <v>48</v>
      </c>
      <c r="O33" s="43" t="s">
        <v>221</v>
      </c>
      <c r="P33" s="43" t="s">
        <v>224</v>
      </c>
      <c r="Q33" s="43">
        <v>3000</v>
      </c>
      <c r="R33" s="43" t="s">
        <v>57</v>
      </c>
      <c r="S33" s="43" t="s">
        <v>52</v>
      </c>
      <c r="T33" s="43" t="s">
        <v>70</v>
      </c>
      <c r="U33" s="43" t="s">
        <v>236</v>
      </c>
      <c r="V33" s="43">
        <v>1000</v>
      </c>
      <c r="W33" s="43" t="s">
        <v>241</v>
      </c>
      <c r="X33" s="43">
        <v>3000</v>
      </c>
      <c r="Y33" s="43" t="s">
        <v>278</v>
      </c>
      <c r="Z33" s="43">
        <v>110</v>
      </c>
      <c r="AA33" s="43" t="s">
        <v>525</v>
      </c>
      <c r="AB33" s="43" t="s">
        <v>236</v>
      </c>
      <c r="AC33" s="43" t="s">
        <v>236</v>
      </c>
      <c r="AD33" s="43" t="s">
        <v>236</v>
      </c>
      <c r="AE33" s="43" t="s">
        <v>68</v>
      </c>
      <c r="AF33" s="43" t="s">
        <v>236</v>
      </c>
      <c r="AG33" s="43" t="s">
        <v>236</v>
      </c>
      <c r="AH33" s="43" t="s">
        <v>236</v>
      </c>
      <c r="AI33" s="43" t="s">
        <v>236</v>
      </c>
      <c r="AJ33" t="s">
        <v>519</v>
      </c>
      <c r="AK33">
        <v>12</v>
      </c>
      <c r="AL33">
        <v>1</v>
      </c>
      <c r="AM33" t="s">
        <v>88</v>
      </c>
      <c r="AN33" t="s">
        <v>236</v>
      </c>
      <c r="AO33" t="s">
        <v>529</v>
      </c>
      <c r="AP33" t="s">
        <v>112</v>
      </c>
      <c r="AQ33">
        <v>12</v>
      </c>
      <c r="AR33" t="s">
        <v>524</v>
      </c>
      <c r="AS33" t="s">
        <v>236</v>
      </c>
      <c r="AT33" t="s">
        <v>150</v>
      </c>
      <c r="AU33">
        <v>12</v>
      </c>
      <c r="AV33">
        <v>1</v>
      </c>
      <c r="AW33" t="s">
        <v>432</v>
      </c>
      <c r="AX33" t="s">
        <v>221</v>
      </c>
      <c r="AY33" t="s">
        <v>224</v>
      </c>
      <c r="AZ33">
        <v>1</v>
      </c>
      <c r="BA33" t="s">
        <v>435</v>
      </c>
      <c r="BB33" t="s">
        <v>431</v>
      </c>
      <c r="BC33" t="s">
        <v>419</v>
      </c>
      <c r="BD33" t="s">
        <v>236</v>
      </c>
      <c r="BE33" t="s">
        <v>437</v>
      </c>
      <c r="BF33" t="s">
        <v>530</v>
      </c>
      <c r="BG33" t="s">
        <v>433</v>
      </c>
      <c r="BH33" t="s">
        <v>420</v>
      </c>
      <c r="BI33" t="s">
        <v>520</v>
      </c>
      <c r="BJ33" t="s">
        <v>68</v>
      </c>
      <c r="BK33" t="s">
        <v>236</v>
      </c>
      <c r="BL33" t="s">
        <v>236</v>
      </c>
      <c r="BM33" t="s">
        <v>236</v>
      </c>
      <c r="BN33" t="s">
        <v>68</v>
      </c>
      <c r="BO33" t="s">
        <v>236</v>
      </c>
      <c r="BP33" t="s">
        <v>236</v>
      </c>
      <c r="BQ33" t="s">
        <v>236</v>
      </c>
      <c r="BR33" t="s">
        <v>236</v>
      </c>
      <c r="BS33" t="s">
        <v>436</v>
      </c>
      <c r="BT33">
        <v>0</v>
      </c>
    </row>
    <row r="34" spans="1:72" x14ac:dyDescent="0.15">
      <c r="A34" s="43">
        <v>2022</v>
      </c>
      <c r="B34" s="43">
        <v>12</v>
      </c>
      <c r="C34" s="43">
        <v>1</v>
      </c>
      <c r="D34" s="43">
        <v>17</v>
      </c>
      <c r="E34" s="43" t="s">
        <v>236</v>
      </c>
      <c r="F34" s="43" t="s">
        <v>57</v>
      </c>
      <c r="G34" s="43">
        <v>2017</v>
      </c>
      <c r="H34" s="43">
        <v>12</v>
      </c>
      <c r="I34" s="43" t="s">
        <v>524</v>
      </c>
      <c r="J34" s="43" t="s">
        <v>236</v>
      </c>
      <c r="K34" s="43">
        <v>1972</v>
      </c>
      <c r="L34" s="43">
        <v>12</v>
      </c>
      <c r="M34" s="43">
        <v>1</v>
      </c>
      <c r="N34" s="43" t="s">
        <v>48</v>
      </c>
      <c r="O34" s="43" t="s">
        <v>221</v>
      </c>
      <c r="P34" s="43" t="s">
        <v>224</v>
      </c>
      <c r="Q34" s="43">
        <v>3000</v>
      </c>
      <c r="R34" s="43" t="s">
        <v>57</v>
      </c>
      <c r="S34" s="43" t="s">
        <v>52</v>
      </c>
      <c r="T34" s="43" t="s">
        <v>70</v>
      </c>
      <c r="U34" s="43" t="s">
        <v>236</v>
      </c>
      <c r="V34" s="43">
        <v>1000</v>
      </c>
      <c r="W34" s="43" t="s">
        <v>241</v>
      </c>
      <c r="X34" s="43">
        <v>3000</v>
      </c>
      <c r="Y34" s="43" t="s">
        <v>278</v>
      </c>
      <c r="Z34" s="43">
        <v>110</v>
      </c>
      <c r="AA34" s="43" t="s">
        <v>525</v>
      </c>
      <c r="AB34" s="43" t="s">
        <v>236</v>
      </c>
      <c r="AC34" s="43" t="s">
        <v>236</v>
      </c>
      <c r="AD34" s="43" t="s">
        <v>236</v>
      </c>
      <c r="AE34" s="43" t="s">
        <v>68</v>
      </c>
      <c r="AF34" s="43" t="s">
        <v>236</v>
      </c>
      <c r="AG34" s="43" t="s">
        <v>236</v>
      </c>
      <c r="AH34" s="43" t="s">
        <v>236</v>
      </c>
      <c r="AI34" s="43" t="s">
        <v>236</v>
      </c>
      <c r="AJ34" t="s">
        <v>519</v>
      </c>
      <c r="AK34">
        <v>12</v>
      </c>
      <c r="AL34">
        <v>1</v>
      </c>
      <c r="AM34" t="s">
        <v>88</v>
      </c>
      <c r="AN34" t="s">
        <v>236</v>
      </c>
      <c r="AO34" t="s">
        <v>529</v>
      </c>
      <c r="AP34" t="s">
        <v>112</v>
      </c>
      <c r="AQ34">
        <v>12</v>
      </c>
      <c r="AR34" t="s">
        <v>524</v>
      </c>
      <c r="AS34" t="s">
        <v>236</v>
      </c>
      <c r="AT34" t="s">
        <v>155</v>
      </c>
      <c r="AU34">
        <v>12</v>
      </c>
      <c r="AV34">
        <v>1</v>
      </c>
      <c r="AW34" t="s">
        <v>432</v>
      </c>
      <c r="AX34" t="s">
        <v>221</v>
      </c>
      <c r="AY34" t="s">
        <v>224</v>
      </c>
      <c r="AZ34">
        <v>1</v>
      </c>
      <c r="BA34" t="s">
        <v>435</v>
      </c>
      <c r="BB34" t="s">
        <v>431</v>
      </c>
      <c r="BC34" t="s">
        <v>419</v>
      </c>
      <c r="BD34" t="s">
        <v>236</v>
      </c>
      <c r="BE34" t="s">
        <v>437</v>
      </c>
      <c r="BF34" t="s">
        <v>530</v>
      </c>
      <c r="BG34" t="s">
        <v>433</v>
      </c>
      <c r="BH34" t="s">
        <v>420</v>
      </c>
      <c r="BI34" t="s">
        <v>520</v>
      </c>
      <c r="BJ34" t="s">
        <v>68</v>
      </c>
      <c r="BK34" t="s">
        <v>236</v>
      </c>
      <c r="BL34" t="s">
        <v>236</v>
      </c>
      <c r="BM34" t="s">
        <v>236</v>
      </c>
      <c r="BN34" t="s">
        <v>68</v>
      </c>
      <c r="BO34" t="s">
        <v>236</v>
      </c>
      <c r="BP34" t="s">
        <v>236</v>
      </c>
      <c r="BQ34" t="s">
        <v>236</v>
      </c>
      <c r="BR34" t="s">
        <v>236</v>
      </c>
      <c r="BS34" t="s">
        <v>436</v>
      </c>
      <c r="BT34">
        <v>0</v>
      </c>
    </row>
    <row r="35" spans="1:72" x14ac:dyDescent="0.15">
      <c r="A35" s="43">
        <v>2022</v>
      </c>
      <c r="B35" s="43">
        <v>12</v>
      </c>
      <c r="C35" s="43">
        <v>1</v>
      </c>
      <c r="D35" s="43">
        <v>17</v>
      </c>
      <c r="E35" s="43" t="s">
        <v>236</v>
      </c>
      <c r="F35" s="43" t="s">
        <v>57</v>
      </c>
      <c r="G35" s="43">
        <v>2017</v>
      </c>
      <c r="H35" s="43">
        <v>12</v>
      </c>
      <c r="I35" s="43" t="s">
        <v>524</v>
      </c>
      <c r="J35" s="43" t="s">
        <v>236</v>
      </c>
      <c r="K35" s="43">
        <v>1962</v>
      </c>
      <c r="L35" s="43">
        <v>12</v>
      </c>
      <c r="M35" s="43">
        <v>1</v>
      </c>
      <c r="N35" s="43" t="s">
        <v>48</v>
      </c>
      <c r="O35" s="43" t="s">
        <v>221</v>
      </c>
      <c r="P35" s="43" t="s">
        <v>224</v>
      </c>
      <c r="Q35" s="43">
        <v>3000</v>
      </c>
      <c r="R35" s="43" t="s">
        <v>57</v>
      </c>
      <c r="S35" s="43" t="s">
        <v>52</v>
      </c>
      <c r="T35" s="43" t="s">
        <v>70</v>
      </c>
      <c r="U35" s="43" t="s">
        <v>236</v>
      </c>
      <c r="V35" s="43">
        <v>1000</v>
      </c>
      <c r="W35" s="43" t="s">
        <v>241</v>
      </c>
      <c r="X35" s="43">
        <v>3000</v>
      </c>
      <c r="Y35" s="43" t="s">
        <v>278</v>
      </c>
      <c r="Z35" s="43">
        <v>110</v>
      </c>
      <c r="AA35" s="43" t="s">
        <v>525</v>
      </c>
      <c r="AB35" s="43" t="s">
        <v>236</v>
      </c>
      <c r="AC35" s="43" t="s">
        <v>236</v>
      </c>
      <c r="AD35" s="43" t="s">
        <v>236</v>
      </c>
      <c r="AE35" s="43" t="s">
        <v>68</v>
      </c>
      <c r="AF35" s="43" t="s">
        <v>236</v>
      </c>
      <c r="AG35" s="43" t="s">
        <v>236</v>
      </c>
      <c r="AH35" s="43" t="s">
        <v>236</v>
      </c>
      <c r="AI35" s="43" t="s">
        <v>236</v>
      </c>
      <c r="AJ35" t="s">
        <v>519</v>
      </c>
      <c r="AK35">
        <v>12</v>
      </c>
      <c r="AL35">
        <v>1</v>
      </c>
      <c r="AM35" t="s">
        <v>88</v>
      </c>
      <c r="AN35" t="s">
        <v>236</v>
      </c>
      <c r="AO35" t="s">
        <v>529</v>
      </c>
      <c r="AP35" t="s">
        <v>112</v>
      </c>
      <c r="AQ35">
        <v>12</v>
      </c>
      <c r="AR35" t="s">
        <v>524</v>
      </c>
      <c r="AS35" t="s">
        <v>236</v>
      </c>
      <c r="AT35" t="s">
        <v>165</v>
      </c>
      <c r="AU35">
        <v>12</v>
      </c>
      <c r="AV35">
        <v>1</v>
      </c>
      <c r="AW35" t="s">
        <v>432</v>
      </c>
      <c r="AX35" t="s">
        <v>221</v>
      </c>
      <c r="AY35" t="s">
        <v>224</v>
      </c>
      <c r="AZ35">
        <v>1</v>
      </c>
      <c r="BA35" t="s">
        <v>435</v>
      </c>
      <c r="BB35" t="s">
        <v>431</v>
      </c>
      <c r="BC35" t="s">
        <v>419</v>
      </c>
      <c r="BD35" t="s">
        <v>236</v>
      </c>
      <c r="BE35" t="s">
        <v>437</v>
      </c>
      <c r="BF35" t="s">
        <v>530</v>
      </c>
      <c r="BG35" t="s">
        <v>433</v>
      </c>
      <c r="BH35" t="s">
        <v>420</v>
      </c>
      <c r="BI35" t="s">
        <v>520</v>
      </c>
      <c r="BJ35" t="s">
        <v>68</v>
      </c>
      <c r="BK35" t="s">
        <v>236</v>
      </c>
      <c r="BL35" t="s">
        <v>236</v>
      </c>
      <c r="BM35" t="s">
        <v>236</v>
      </c>
      <c r="BN35" t="s">
        <v>68</v>
      </c>
      <c r="BO35" t="s">
        <v>236</v>
      </c>
      <c r="BP35" t="s">
        <v>236</v>
      </c>
      <c r="BQ35" t="s">
        <v>236</v>
      </c>
      <c r="BR35" t="s">
        <v>236</v>
      </c>
      <c r="BS35" t="s">
        <v>436</v>
      </c>
      <c r="BT35">
        <v>0</v>
      </c>
    </row>
    <row r="36" spans="1:72" x14ac:dyDescent="0.15">
      <c r="A36" s="43">
        <v>2022</v>
      </c>
      <c r="B36" s="43">
        <v>12</v>
      </c>
      <c r="C36" s="43">
        <v>1</v>
      </c>
      <c r="D36" s="43">
        <v>17</v>
      </c>
      <c r="E36" s="43" t="s">
        <v>236</v>
      </c>
      <c r="F36" s="43" t="s">
        <v>57</v>
      </c>
      <c r="G36" s="43">
        <v>2017</v>
      </c>
      <c r="H36" s="43">
        <v>12</v>
      </c>
      <c r="I36" s="43" t="s">
        <v>524</v>
      </c>
      <c r="J36" s="43" t="s">
        <v>236</v>
      </c>
      <c r="K36" s="43">
        <v>1952</v>
      </c>
      <c r="L36" s="43">
        <v>12</v>
      </c>
      <c r="M36" s="43">
        <v>1</v>
      </c>
      <c r="N36" s="43" t="s">
        <v>48</v>
      </c>
      <c r="O36" s="43" t="s">
        <v>221</v>
      </c>
      <c r="P36" s="43" t="s">
        <v>224</v>
      </c>
      <c r="Q36" s="43">
        <v>3000</v>
      </c>
      <c r="R36" s="43" t="s">
        <v>57</v>
      </c>
      <c r="S36" s="43" t="s">
        <v>52</v>
      </c>
      <c r="T36" s="43" t="s">
        <v>70</v>
      </c>
      <c r="U36" s="43" t="s">
        <v>236</v>
      </c>
      <c r="V36" s="43">
        <v>1000</v>
      </c>
      <c r="W36" s="43" t="s">
        <v>241</v>
      </c>
      <c r="X36" s="43">
        <v>3000</v>
      </c>
      <c r="Y36" s="43" t="s">
        <v>278</v>
      </c>
      <c r="Z36" s="43">
        <v>110</v>
      </c>
      <c r="AA36" s="43" t="s">
        <v>525</v>
      </c>
      <c r="AB36" s="43" t="s">
        <v>236</v>
      </c>
      <c r="AC36" s="43" t="s">
        <v>236</v>
      </c>
      <c r="AD36" s="43" t="s">
        <v>236</v>
      </c>
      <c r="AE36" s="43" t="s">
        <v>68</v>
      </c>
      <c r="AF36" s="43" t="s">
        <v>236</v>
      </c>
      <c r="AG36" s="43" t="s">
        <v>236</v>
      </c>
      <c r="AH36" s="43" t="s">
        <v>236</v>
      </c>
      <c r="AI36" s="43" t="s">
        <v>236</v>
      </c>
      <c r="AJ36" t="s">
        <v>519</v>
      </c>
      <c r="AK36">
        <v>12</v>
      </c>
      <c r="AL36">
        <v>1</v>
      </c>
      <c r="AM36" t="s">
        <v>88</v>
      </c>
      <c r="AN36" t="s">
        <v>236</v>
      </c>
      <c r="AO36" t="s">
        <v>529</v>
      </c>
      <c r="AP36" t="s">
        <v>112</v>
      </c>
      <c r="AQ36">
        <v>12</v>
      </c>
      <c r="AR36" t="s">
        <v>524</v>
      </c>
      <c r="AS36" t="s">
        <v>236</v>
      </c>
      <c r="AT36" t="s">
        <v>175</v>
      </c>
      <c r="AU36">
        <v>12</v>
      </c>
      <c r="AV36">
        <v>1</v>
      </c>
      <c r="AW36" t="s">
        <v>432</v>
      </c>
      <c r="AX36" t="s">
        <v>221</v>
      </c>
      <c r="AY36" t="s">
        <v>224</v>
      </c>
      <c r="AZ36">
        <v>1</v>
      </c>
      <c r="BA36" t="s">
        <v>435</v>
      </c>
      <c r="BB36" t="s">
        <v>431</v>
      </c>
      <c r="BC36" t="s">
        <v>419</v>
      </c>
      <c r="BD36" t="s">
        <v>236</v>
      </c>
      <c r="BE36" t="s">
        <v>437</v>
      </c>
      <c r="BF36" t="s">
        <v>530</v>
      </c>
      <c r="BG36" t="s">
        <v>433</v>
      </c>
      <c r="BH36" t="s">
        <v>420</v>
      </c>
      <c r="BI36" t="s">
        <v>520</v>
      </c>
      <c r="BJ36" t="s">
        <v>68</v>
      </c>
      <c r="BK36" t="s">
        <v>236</v>
      </c>
      <c r="BL36" t="s">
        <v>236</v>
      </c>
      <c r="BM36" t="s">
        <v>236</v>
      </c>
      <c r="BN36" t="s">
        <v>68</v>
      </c>
      <c r="BO36" t="s">
        <v>236</v>
      </c>
      <c r="BP36" t="s">
        <v>236</v>
      </c>
      <c r="BQ36" t="s">
        <v>236</v>
      </c>
      <c r="BR36" t="s">
        <v>236</v>
      </c>
      <c r="BS36" t="s">
        <v>436</v>
      </c>
      <c r="BT36">
        <v>0</v>
      </c>
    </row>
    <row r="37" spans="1:72" x14ac:dyDescent="0.15">
      <c r="A37" s="43">
        <v>2022</v>
      </c>
      <c r="B37" s="43">
        <v>12</v>
      </c>
      <c r="C37" s="43">
        <v>1</v>
      </c>
      <c r="D37" s="43">
        <v>17</v>
      </c>
      <c r="E37" s="43" t="s">
        <v>236</v>
      </c>
      <c r="F37" s="43" t="s">
        <v>57</v>
      </c>
      <c r="G37" s="43">
        <v>2017</v>
      </c>
      <c r="H37" s="43">
        <v>12</v>
      </c>
      <c r="I37" s="43" t="s">
        <v>524</v>
      </c>
      <c r="J37" s="43" t="s">
        <v>236</v>
      </c>
      <c r="K37" s="43">
        <v>1992</v>
      </c>
      <c r="L37" s="43">
        <v>12</v>
      </c>
      <c r="M37" s="43">
        <v>1</v>
      </c>
      <c r="N37" s="43" t="s">
        <v>48</v>
      </c>
      <c r="O37" s="43" t="s">
        <v>221</v>
      </c>
      <c r="P37" s="43" t="s">
        <v>224</v>
      </c>
      <c r="Q37" s="43">
        <v>7000</v>
      </c>
      <c r="R37" s="43" t="s">
        <v>57</v>
      </c>
      <c r="S37" s="43" t="s">
        <v>52</v>
      </c>
      <c r="T37" s="43" t="s">
        <v>70</v>
      </c>
      <c r="U37" s="43" t="s">
        <v>236</v>
      </c>
      <c r="V37" s="43">
        <v>1000</v>
      </c>
      <c r="W37" s="43" t="s">
        <v>241</v>
      </c>
      <c r="X37" s="43">
        <v>3000</v>
      </c>
      <c r="Y37" s="43" t="s">
        <v>278</v>
      </c>
      <c r="Z37" s="43">
        <v>110</v>
      </c>
      <c r="AA37" s="43" t="s">
        <v>525</v>
      </c>
      <c r="AB37" s="43" t="s">
        <v>236</v>
      </c>
      <c r="AC37" s="43" t="s">
        <v>236</v>
      </c>
      <c r="AD37" s="43" t="s">
        <v>236</v>
      </c>
      <c r="AE37" s="43" t="s">
        <v>68</v>
      </c>
      <c r="AF37" s="43" t="s">
        <v>236</v>
      </c>
      <c r="AG37" s="43" t="s">
        <v>236</v>
      </c>
      <c r="AH37" s="43" t="s">
        <v>236</v>
      </c>
      <c r="AI37" s="43" t="s">
        <v>236</v>
      </c>
      <c r="AJ37" t="s">
        <v>519</v>
      </c>
      <c r="AK37">
        <v>12</v>
      </c>
      <c r="AL37">
        <v>1</v>
      </c>
      <c r="AM37" t="s">
        <v>88</v>
      </c>
      <c r="AN37" t="s">
        <v>236</v>
      </c>
      <c r="AO37" t="s">
        <v>529</v>
      </c>
      <c r="AP37" t="s">
        <v>112</v>
      </c>
      <c r="AQ37">
        <v>12</v>
      </c>
      <c r="AR37" t="s">
        <v>524</v>
      </c>
      <c r="AS37" t="s">
        <v>236</v>
      </c>
      <c r="AT37" t="s">
        <v>137</v>
      </c>
      <c r="AU37">
        <v>12</v>
      </c>
      <c r="AV37">
        <v>1</v>
      </c>
      <c r="AW37" t="s">
        <v>432</v>
      </c>
      <c r="AX37" t="s">
        <v>221</v>
      </c>
      <c r="AY37" t="s">
        <v>224</v>
      </c>
      <c r="AZ37">
        <v>3</v>
      </c>
      <c r="BA37" t="s">
        <v>435</v>
      </c>
      <c r="BB37" t="s">
        <v>431</v>
      </c>
      <c r="BC37" t="s">
        <v>419</v>
      </c>
      <c r="BD37" t="s">
        <v>236</v>
      </c>
      <c r="BE37" t="s">
        <v>437</v>
      </c>
      <c r="BF37" t="s">
        <v>530</v>
      </c>
      <c r="BG37" t="s">
        <v>433</v>
      </c>
      <c r="BH37" t="s">
        <v>420</v>
      </c>
      <c r="BI37" t="s">
        <v>520</v>
      </c>
      <c r="BJ37" t="s">
        <v>68</v>
      </c>
      <c r="BK37" t="s">
        <v>236</v>
      </c>
      <c r="BL37" t="s">
        <v>236</v>
      </c>
      <c r="BM37" t="s">
        <v>236</v>
      </c>
      <c r="BN37" t="s">
        <v>68</v>
      </c>
      <c r="BO37" t="s">
        <v>236</v>
      </c>
      <c r="BP37" t="s">
        <v>236</v>
      </c>
      <c r="BQ37" t="s">
        <v>236</v>
      </c>
      <c r="BR37" t="s">
        <v>236</v>
      </c>
      <c r="BS37" t="s">
        <v>436</v>
      </c>
      <c r="BT37">
        <v>0</v>
      </c>
    </row>
    <row r="38" spans="1:72" x14ac:dyDescent="0.15">
      <c r="A38" s="43">
        <v>2022</v>
      </c>
      <c r="B38" s="43">
        <v>12</v>
      </c>
      <c r="C38" s="43">
        <v>1</v>
      </c>
      <c r="D38" s="43">
        <v>17</v>
      </c>
      <c r="E38" s="43" t="s">
        <v>236</v>
      </c>
      <c r="F38" s="43" t="s">
        <v>57</v>
      </c>
      <c r="G38" s="43">
        <v>2017</v>
      </c>
      <c r="H38" s="43">
        <v>12</v>
      </c>
      <c r="I38" s="43" t="s">
        <v>524</v>
      </c>
      <c r="J38" s="43" t="s">
        <v>236</v>
      </c>
      <c r="K38" s="43">
        <v>1987</v>
      </c>
      <c r="L38" s="43">
        <v>12</v>
      </c>
      <c r="M38" s="43">
        <v>1</v>
      </c>
      <c r="N38" s="43" t="s">
        <v>48</v>
      </c>
      <c r="O38" s="43" t="s">
        <v>221</v>
      </c>
      <c r="P38" s="43" t="s">
        <v>224</v>
      </c>
      <c r="Q38" s="43">
        <v>7000</v>
      </c>
      <c r="R38" s="43" t="s">
        <v>57</v>
      </c>
      <c r="S38" s="43" t="s">
        <v>52</v>
      </c>
      <c r="T38" s="43" t="s">
        <v>70</v>
      </c>
      <c r="U38" s="43" t="s">
        <v>236</v>
      </c>
      <c r="V38" s="43">
        <v>1000</v>
      </c>
      <c r="W38" s="43" t="s">
        <v>241</v>
      </c>
      <c r="X38" s="43">
        <v>3000</v>
      </c>
      <c r="Y38" s="43" t="s">
        <v>278</v>
      </c>
      <c r="Z38" s="43">
        <v>110</v>
      </c>
      <c r="AA38" s="43" t="s">
        <v>525</v>
      </c>
      <c r="AB38" s="43" t="s">
        <v>236</v>
      </c>
      <c r="AC38" s="43" t="s">
        <v>236</v>
      </c>
      <c r="AD38" s="43" t="s">
        <v>236</v>
      </c>
      <c r="AE38" s="43" t="s">
        <v>68</v>
      </c>
      <c r="AF38" s="43" t="s">
        <v>236</v>
      </c>
      <c r="AG38" s="43" t="s">
        <v>236</v>
      </c>
      <c r="AH38" s="43" t="s">
        <v>236</v>
      </c>
      <c r="AI38" s="43" t="s">
        <v>236</v>
      </c>
      <c r="AJ38" t="s">
        <v>519</v>
      </c>
      <c r="AK38">
        <v>12</v>
      </c>
      <c r="AL38">
        <v>1</v>
      </c>
      <c r="AM38" t="s">
        <v>88</v>
      </c>
      <c r="AN38" t="s">
        <v>236</v>
      </c>
      <c r="AO38" t="s">
        <v>529</v>
      </c>
      <c r="AP38" t="s">
        <v>112</v>
      </c>
      <c r="AQ38">
        <v>12</v>
      </c>
      <c r="AR38" t="s">
        <v>524</v>
      </c>
      <c r="AS38" t="s">
        <v>236</v>
      </c>
      <c r="AT38" t="s">
        <v>140</v>
      </c>
      <c r="AU38">
        <v>12</v>
      </c>
      <c r="AV38">
        <v>1</v>
      </c>
      <c r="AW38" t="s">
        <v>432</v>
      </c>
      <c r="AX38" t="s">
        <v>221</v>
      </c>
      <c r="AY38" t="s">
        <v>224</v>
      </c>
      <c r="AZ38">
        <v>3</v>
      </c>
      <c r="BA38" t="s">
        <v>435</v>
      </c>
      <c r="BB38" t="s">
        <v>431</v>
      </c>
      <c r="BC38" t="s">
        <v>419</v>
      </c>
      <c r="BD38" t="s">
        <v>236</v>
      </c>
      <c r="BE38" t="s">
        <v>437</v>
      </c>
      <c r="BF38" t="s">
        <v>530</v>
      </c>
      <c r="BG38" t="s">
        <v>433</v>
      </c>
      <c r="BH38" t="s">
        <v>420</v>
      </c>
      <c r="BI38" t="s">
        <v>520</v>
      </c>
      <c r="BJ38" t="s">
        <v>68</v>
      </c>
      <c r="BK38" t="s">
        <v>236</v>
      </c>
      <c r="BL38" t="s">
        <v>236</v>
      </c>
      <c r="BM38" t="s">
        <v>236</v>
      </c>
      <c r="BN38" t="s">
        <v>68</v>
      </c>
      <c r="BO38" t="s">
        <v>236</v>
      </c>
      <c r="BP38" t="s">
        <v>236</v>
      </c>
      <c r="BQ38" t="s">
        <v>236</v>
      </c>
      <c r="BR38" t="s">
        <v>236</v>
      </c>
      <c r="BS38" t="s">
        <v>436</v>
      </c>
      <c r="BT38">
        <v>0</v>
      </c>
    </row>
    <row r="39" spans="1:72" x14ac:dyDescent="0.15">
      <c r="A39" s="43">
        <v>2022</v>
      </c>
      <c r="B39" s="43">
        <v>12</v>
      </c>
      <c r="C39" s="43">
        <v>1</v>
      </c>
      <c r="D39" s="43">
        <v>17</v>
      </c>
      <c r="E39" s="43" t="s">
        <v>236</v>
      </c>
      <c r="F39" s="43" t="s">
        <v>57</v>
      </c>
      <c r="G39" s="43">
        <v>2017</v>
      </c>
      <c r="H39" s="43">
        <v>12</v>
      </c>
      <c r="I39" s="43" t="s">
        <v>524</v>
      </c>
      <c r="J39" s="43" t="s">
        <v>236</v>
      </c>
      <c r="K39" s="43">
        <v>1982</v>
      </c>
      <c r="L39" s="43">
        <v>12</v>
      </c>
      <c r="M39" s="43">
        <v>1</v>
      </c>
      <c r="N39" s="43" t="s">
        <v>48</v>
      </c>
      <c r="O39" s="43" t="s">
        <v>221</v>
      </c>
      <c r="P39" s="43" t="s">
        <v>224</v>
      </c>
      <c r="Q39" s="43">
        <v>7000</v>
      </c>
      <c r="R39" s="43" t="s">
        <v>57</v>
      </c>
      <c r="S39" s="43" t="s">
        <v>52</v>
      </c>
      <c r="T39" s="43" t="s">
        <v>70</v>
      </c>
      <c r="U39" s="43" t="s">
        <v>236</v>
      </c>
      <c r="V39" s="43">
        <v>1000</v>
      </c>
      <c r="W39" s="43" t="s">
        <v>241</v>
      </c>
      <c r="X39" s="43">
        <v>3000</v>
      </c>
      <c r="Y39" s="43" t="s">
        <v>278</v>
      </c>
      <c r="Z39" s="43">
        <v>110</v>
      </c>
      <c r="AA39" s="43" t="s">
        <v>525</v>
      </c>
      <c r="AB39" s="43" t="s">
        <v>236</v>
      </c>
      <c r="AC39" s="43" t="s">
        <v>236</v>
      </c>
      <c r="AD39" s="43" t="s">
        <v>236</v>
      </c>
      <c r="AE39" s="43" t="s">
        <v>68</v>
      </c>
      <c r="AF39" s="43" t="s">
        <v>236</v>
      </c>
      <c r="AG39" s="43" t="s">
        <v>236</v>
      </c>
      <c r="AH39" s="43" t="s">
        <v>236</v>
      </c>
      <c r="AI39" s="43" t="s">
        <v>236</v>
      </c>
      <c r="AJ39" t="s">
        <v>519</v>
      </c>
      <c r="AK39">
        <v>12</v>
      </c>
      <c r="AL39">
        <v>1</v>
      </c>
      <c r="AM39" t="s">
        <v>88</v>
      </c>
      <c r="AN39" t="s">
        <v>236</v>
      </c>
      <c r="AO39" t="s">
        <v>529</v>
      </c>
      <c r="AP39" t="s">
        <v>112</v>
      </c>
      <c r="AQ39">
        <v>12</v>
      </c>
      <c r="AR39" t="s">
        <v>524</v>
      </c>
      <c r="AS39" t="s">
        <v>236</v>
      </c>
      <c r="AT39" t="s">
        <v>145</v>
      </c>
      <c r="AU39">
        <v>12</v>
      </c>
      <c r="AV39">
        <v>1</v>
      </c>
      <c r="AW39" t="s">
        <v>432</v>
      </c>
      <c r="AX39" t="s">
        <v>221</v>
      </c>
      <c r="AY39" t="s">
        <v>224</v>
      </c>
      <c r="AZ39">
        <v>3</v>
      </c>
      <c r="BA39" t="s">
        <v>435</v>
      </c>
      <c r="BB39" t="s">
        <v>431</v>
      </c>
      <c r="BC39" t="s">
        <v>419</v>
      </c>
      <c r="BD39" t="s">
        <v>236</v>
      </c>
      <c r="BE39" t="s">
        <v>437</v>
      </c>
      <c r="BF39" t="s">
        <v>530</v>
      </c>
      <c r="BG39" t="s">
        <v>433</v>
      </c>
      <c r="BH39" t="s">
        <v>420</v>
      </c>
      <c r="BI39" t="s">
        <v>520</v>
      </c>
      <c r="BJ39" t="s">
        <v>68</v>
      </c>
      <c r="BK39" t="s">
        <v>236</v>
      </c>
      <c r="BL39" t="s">
        <v>236</v>
      </c>
      <c r="BM39" t="s">
        <v>236</v>
      </c>
      <c r="BN39" t="s">
        <v>68</v>
      </c>
      <c r="BO39" t="s">
        <v>236</v>
      </c>
      <c r="BP39" t="s">
        <v>236</v>
      </c>
      <c r="BQ39" t="s">
        <v>236</v>
      </c>
      <c r="BR39" t="s">
        <v>236</v>
      </c>
      <c r="BS39" t="s">
        <v>436</v>
      </c>
      <c r="BT39">
        <v>0</v>
      </c>
    </row>
    <row r="40" spans="1:72" x14ac:dyDescent="0.15">
      <c r="A40" s="43">
        <v>2022</v>
      </c>
      <c r="B40" s="43">
        <v>12</v>
      </c>
      <c r="C40" s="43">
        <v>1</v>
      </c>
      <c r="D40" s="43">
        <v>17</v>
      </c>
      <c r="E40" s="43" t="s">
        <v>236</v>
      </c>
      <c r="F40" s="43" t="s">
        <v>57</v>
      </c>
      <c r="G40" s="43">
        <v>2017</v>
      </c>
      <c r="H40" s="43">
        <v>12</v>
      </c>
      <c r="I40" s="43" t="s">
        <v>524</v>
      </c>
      <c r="J40" s="43" t="s">
        <v>236</v>
      </c>
      <c r="K40" s="43">
        <v>1977</v>
      </c>
      <c r="L40" s="43">
        <v>12</v>
      </c>
      <c r="M40" s="43">
        <v>1</v>
      </c>
      <c r="N40" s="43" t="s">
        <v>48</v>
      </c>
      <c r="O40" s="43" t="s">
        <v>221</v>
      </c>
      <c r="P40" s="43" t="s">
        <v>224</v>
      </c>
      <c r="Q40" s="43">
        <v>7000</v>
      </c>
      <c r="R40" s="43" t="s">
        <v>57</v>
      </c>
      <c r="S40" s="43" t="s">
        <v>52</v>
      </c>
      <c r="T40" s="43" t="s">
        <v>70</v>
      </c>
      <c r="U40" s="43" t="s">
        <v>236</v>
      </c>
      <c r="V40" s="43">
        <v>1000</v>
      </c>
      <c r="W40" s="43" t="s">
        <v>241</v>
      </c>
      <c r="X40" s="43">
        <v>3000</v>
      </c>
      <c r="Y40" s="43" t="s">
        <v>278</v>
      </c>
      <c r="Z40" s="43">
        <v>110</v>
      </c>
      <c r="AA40" s="43" t="s">
        <v>525</v>
      </c>
      <c r="AB40" s="43" t="s">
        <v>236</v>
      </c>
      <c r="AC40" s="43" t="s">
        <v>236</v>
      </c>
      <c r="AD40" s="43" t="s">
        <v>236</v>
      </c>
      <c r="AE40" s="43" t="s">
        <v>68</v>
      </c>
      <c r="AF40" s="43" t="s">
        <v>236</v>
      </c>
      <c r="AG40" s="43" t="s">
        <v>236</v>
      </c>
      <c r="AH40" s="43" t="s">
        <v>236</v>
      </c>
      <c r="AI40" s="43" t="s">
        <v>236</v>
      </c>
      <c r="AJ40" t="s">
        <v>519</v>
      </c>
      <c r="AK40">
        <v>12</v>
      </c>
      <c r="AL40">
        <v>1</v>
      </c>
      <c r="AM40" t="s">
        <v>88</v>
      </c>
      <c r="AN40" t="s">
        <v>236</v>
      </c>
      <c r="AO40" t="s">
        <v>529</v>
      </c>
      <c r="AP40" t="s">
        <v>112</v>
      </c>
      <c r="AQ40">
        <v>12</v>
      </c>
      <c r="AR40" t="s">
        <v>524</v>
      </c>
      <c r="AS40" t="s">
        <v>236</v>
      </c>
      <c r="AT40" t="s">
        <v>150</v>
      </c>
      <c r="AU40">
        <v>12</v>
      </c>
      <c r="AV40">
        <v>1</v>
      </c>
      <c r="AW40" t="s">
        <v>432</v>
      </c>
      <c r="AX40" t="s">
        <v>221</v>
      </c>
      <c r="AY40" t="s">
        <v>224</v>
      </c>
      <c r="AZ40">
        <v>3</v>
      </c>
      <c r="BA40" t="s">
        <v>435</v>
      </c>
      <c r="BB40" t="s">
        <v>431</v>
      </c>
      <c r="BC40" t="s">
        <v>419</v>
      </c>
      <c r="BD40" t="s">
        <v>236</v>
      </c>
      <c r="BE40" t="s">
        <v>437</v>
      </c>
      <c r="BF40" t="s">
        <v>530</v>
      </c>
      <c r="BG40" t="s">
        <v>433</v>
      </c>
      <c r="BH40" t="s">
        <v>420</v>
      </c>
      <c r="BI40" t="s">
        <v>520</v>
      </c>
      <c r="BJ40" t="s">
        <v>68</v>
      </c>
      <c r="BK40" t="s">
        <v>236</v>
      </c>
      <c r="BL40" t="s">
        <v>236</v>
      </c>
      <c r="BM40" t="s">
        <v>236</v>
      </c>
      <c r="BN40" t="s">
        <v>68</v>
      </c>
      <c r="BO40" t="s">
        <v>236</v>
      </c>
      <c r="BP40" t="s">
        <v>236</v>
      </c>
      <c r="BQ40" t="s">
        <v>236</v>
      </c>
      <c r="BR40" t="s">
        <v>236</v>
      </c>
      <c r="BS40" t="s">
        <v>436</v>
      </c>
      <c r="BT40">
        <v>0</v>
      </c>
    </row>
    <row r="41" spans="1:72" x14ac:dyDescent="0.15">
      <c r="A41" s="43">
        <v>2022</v>
      </c>
      <c r="B41" s="43">
        <v>12</v>
      </c>
      <c r="C41" s="43">
        <v>1</v>
      </c>
      <c r="D41" s="43">
        <v>17</v>
      </c>
      <c r="E41" s="43" t="s">
        <v>236</v>
      </c>
      <c r="F41" s="43" t="s">
        <v>57</v>
      </c>
      <c r="G41" s="43">
        <v>2017</v>
      </c>
      <c r="H41" s="43">
        <v>12</v>
      </c>
      <c r="I41" s="43" t="s">
        <v>524</v>
      </c>
      <c r="J41" s="43" t="s">
        <v>236</v>
      </c>
      <c r="K41" s="43">
        <v>1972</v>
      </c>
      <c r="L41" s="43">
        <v>12</v>
      </c>
      <c r="M41" s="43">
        <v>1</v>
      </c>
      <c r="N41" s="43" t="s">
        <v>48</v>
      </c>
      <c r="O41" s="43" t="s">
        <v>221</v>
      </c>
      <c r="P41" s="43" t="s">
        <v>224</v>
      </c>
      <c r="Q41" s="43">
        <v>7000</v>
      </c>
      <c r="R41" s="43" t="s">
        <v>57</v>
      </c>
      <c r="S41" s="43" t="s">
        <v>52</v>
      </c>
      <c r="T41" s="43" t="s">
        <v>70</v>
      </c>
      <c r="U41" s="43" t="s">
        <v>236</v>
      </c>
      <c r="V41" s="43">
        <v>1000</v>
      </c>
      <c r="W41" s="43" t="s">
        <v>241</v>
      </c>
      <c r="X41" s="43">
        <v>3000</v>
      </c>
      <c r="Y41" s="43" t="s">
        <v>278</v>
      </c>
      <c r="Z41" s="43">
        <v>110</v>
      </c>
      <c r="AA41" s="43" t="s">
        <v>525</v>
      </c>
      <c r="AB41" s="43" t="s">
        <v>236</v>
      </c>
      <c r="AC41" s="43" t="s">
        <v>236</v>
      </c>
      <c r="AD41" s="43" t="s">
        <v>236</v>
      </c>
      <c r="AE41" s="43" t="s">
        <v>68</v>
      </c>
      <c r="AF41" s="43" t="s">
        <v>236</v>
      </c>
      <c r="AG41" s="43" t="s">
        <v>236</v>
      </c>
      <c r="AH41" s="43" t="s">
        <v>236</v>
      </c>
      <c r="AI41" s="43" t="s">
        <v>236</v>
      </c>
      <c r="AJ41" t="s">
        <v>519</v>
      </c>
      <c r="AK41">
        <v>12</v>
      </c>
      <c r="AL41">
        <v>1</v>
      </c>
      <c r="AM41" t="s">
        <v>88</v>
      </c>
      <c r="AN41" t="s">
        <v>236</v>
      </c>
      <c r="AO41" t="s">
        <v>529</v>
      </c>
      <c r="AP41" t="s">
        <v>112</v>
      </c>
      <c r="AQ41">
        <v>12</v>
      </c>
      <c r="AR41" t="s">
        <v>524</v>
      </c>
      <c r="AS41" t="s">
        <v>236</v>
      </c>
      <c r="AT41" t="s">
        <v>155</v>
      </c>
      <c r="AU41">
        <v>12</v>
      </c>
      <c r="AV41">
        <v>1</v>
      </c>
      <c r="AW41" t="s">
        <v>432</v>
      </c>
      <c r="AX41" t="s">
        <v>221</v>
      </c>
      <c r="AY41" t="s">
        <v>224</v>
      </c>
      <c r="AZ41">
        <v>3</v>
      </c>
      <c r="BA41" t="s">
        <v>435</v>
      </c>
      <c r="BB41" t="s">
        <v>431</v>
      </c>
      <c r="BC41" t="s">
        <v>419</v>
      </c>
      <c r="BD41" t="s">
        <v>236</v>
      </c>
      <c r="BE41" t="s">
        <v>437</v>
      </c>
      <c r="BF41" t="s">
        <v>530</v>
      </c>
      <c r="BG41" t="s">
        <v>433</v>
      </c>
      <c r="BH41" t="s">
        <v>420</v>
      </c>
      <c r="BI41" t="s">
        <v>520</v>
      </c>
      <c r="BJ41" t="s">
        <v>68</v>
      </c>
      <c r="BK41" t="s">
        <v>236</v>
      </c>
      <c r="BL41" t="s">
        <v>236</v>
      </c>
      <c r="BM41" t="s">
        <v>236</v>
      </c>
      <c r="BN41" t="s">
        <v>68</v>
      </c>
      <c r="BO41" t="s">
        <v>236</v>
      </c>
      <c r="BP41" t="s">
        <v>236</v>
      </c>
      <c r="BQ41" t="s">
        <v>236</v>
      </c>
      <c r="BR41" t="s">
        <v>236</v>
      </c>
      <c r="BS41" t="s">
        <v>436</v>
      </c>
      <c r="BT41">
        <v>0</v>
      </c>
    </row>
    <row r="42" spans="1:72" x14ac:dyDescent="0.15">
      <c r="A42" s="43">
        <v>2022</v>
      </c>
      <c r="B42" s="43">
        <v>12</v>
      </c>
      <c r="C42" s="43">
        <v>1</v>
      </c>
      <c r="D42" s="43">
        <v>17</v>
      </c>
      <c r="E42" s="43" t="s">
        <v>236</v>
      </c>
      <c r="F42" s="43" t="s">
        <v>57</v>
      </c>
      <c r="G42" s="43">
        <v>2017</v>
      </c>
      <c r="H42" s="43">
        <v>12</v>
      </c>
      <c r="I42" s="43" t="s">
        <v>524</v>
      </c>
      <c r="J42" s="43" t="s">
        <v>236</v>
      </c>
      <c r="K42" s="43">
        <v>1962</v>
      </c>
      <c r="L42" s="43">
        <v>12</v>
      </c>
      <c r="M42" s="43">
        <v>1</v>
      </c>
      <c r="N42" s="43" t="s">
        <v>48</v>
      </c>
      <c r="O42" s="43" t="s">
        <v>221</v>
      </c>
      <c r="P42" s="43" t="s">
        <v>224</v>
      </c>
      <c r="Q42" s="43">
        <v>7000</v>
      </c>
      <c r="R42" s="43" t="s">
        <v>57</v>
      </c>
      <c r="S42" s="43" t="s">
        <v>52</v>
      </c>
      <c r="T42" s="43" t="s">
        <v>70</v>
      </c>
      <c r="U42" s="43" t="s">
        <v>236</v>
      </c>
      <c r="V42" s="43">
        <v>1000</v>
      </c>
      <c r="W42" s="43" t="s">
        <v>241</v>
      </c>
      <c r="X42" s="43">
        <v>3000</v>
      </c>
      <c r="Y42" s="43" t="s">
        <v>278</v>
      </c>
      <c r="Z42" s="43">
        <v>110</v>
      </c>
      <c r="AA42" s="43" t="s">
        <v>525</v>
      </c>
      <c r="AB42" s="43" t="s">
        <v>236</v>
      </c>
      <c r="AC42" s="43" t="s">
        <v>236</v>
      </c>
      <c r="AD42" s="43" t="s">
        <v>236</v>
      </c>
      <c r="AE42" s="43" t="s">
        <v>68</v>
      </c>
      <c r="AF42" s="43" t="s">
        <v>236</v>
      </c>
      <c r="AG42" s="43" t="s">
        <v>236</v>
      </c>
      <c r="AH42" s="43" t="s">
        <v>236</v>
      </c>
      <c r="AI42" s="43" t="s">
        <v>236</v>
      </c>
      <c r="AJ42" t="s">
        <v>519</v>
      </c>
      <c r="AK42">
        <v>12</v>
      </c>
      <c r="AL42">
        <v>1</v>
      </c>
      <c r="AM42" t="s">
        <v>88</v>
      </c>
      <c r="AN42" t="s">
        <v>236</v>
      </c>
      <c r="AO42" t="s">
        <v>529</v>
      </c>
      <c r="AP42" t="s">
        <v>112</v>
      </c>
      <c r="AQ42">
        <v>12</v>
      </c>
      <c r="AR42" t="s">
        <v>524</v>
      </c>
      <c r="AS42" t="s">
        <v>236</v>
      </c>
      <c r="AT42" t="s">
        <v>165</v>
      </c>
      <c r="AU42">
        <v>12</v>
      </c>
      <c r="AV42">
        <v>1</v>
      </c>
      <c r="AW42" t="s">
        <v>432</v>
      </c>
      <c r="AX42" t="s">
        <v>221</v>
      </c>
      <c r="AY42" t="s">
        <v>224</v>
      </c>
      <c r="AZ42">
        <v>3</v>
      </c>
      <c r="BA42" t="s">
        <v>435</v>
      </c>
      <c r="BB42" t="s">
        <v>431</v>
      </c>
      <c r="BC42" t="s">
        <v>419</v>
      </c>
      <c r="BD42" t="s">
        <v>236</v>
      </c>
      <c r="BE42" t="s">
        <v>437</v>
      </c>
      <c r="BF42" t="s">
        <v>530</v>
      </c>
      <c r="BG42" t="s">
        <v>433</v>
      </c>
      <c r="BH42" t="s">
        <v>420</v>
      </c>
      <c r="BI42" t="s">
        <v>520</v>
      </c>
      <c r="BJ42" t="s">
        <v>68</v>
      </c>
      <c r="BK42" t="s">
        <v>236</v>
      </c>
      <c r="BL42" t="s">
        <v>236</v>
      </c>
      <c r="BM42" t="s">
        <v>236</v>
      </c>
      <c r="BN42" t="s">
        <v>68</v>
      </c>
      <c r="BO42" t="s">
        <v>236</v>
      </c>
      <c r="BP42" t="s">
        <v>236</v>
      </c>
      <c r="BQ42" t="s">
        <v>236</v>
      </c>
      <c r="BR42" t="s">
        <v>236</v>
      </c>
      <c r="BS42" t="s">
        <v>436</v>
      </c>
      <c r="BT42">
        <v>0</v>
      </c>
    </row>
    <row r="43" spans="1:72" x14ac:dyDescent="0.15">
      <c r="A43" s="43">
        <v>2022</v>
      </c>
      <c r="B43" s="43">
        <v>12</v>
      </c>
      <c r="C43" s="43">
        <v>1</v>
      </c>
      <c r="D43" s="43">
        <v>17</v>
      </c>
      <c r="E43" s="43" t="s">
        <v>236</v>
      </c>
      <c r="F43" s="43" t="s">
        <v>57</v>
      </c>
      <c r="G43" s="43">
        <v>2017</v>
      </c>
      <c r="H43" s="43">
        <v>12</v>
      </c>
      <c r="I43" s="43" t="s">
        <v>524</v>
      </c>
      <c r="J43" s="43" t="s">
        <v>236</v>
      </c>
      <c r="K43" s="43">
        <v>1952</v>
      </c>
      <c r="L43" s="43">
        <v>12</v>
      </c>
      <c r="M43" s="43">
        <v>1</v>
      </c>
      <c r="N43" s="43" t="s">
        <v>48</v>
      </c>
      <c r="O43" s="43" t="s">
        <v>221</v>
      </c>
      <c r="P43" s="43" t="s">
        <v>224</v>
      </c>
      <c r="Q43" s="43">
        <v>7000</v>
      </c>
      <c r="R43" s="43" t="s">
        <v>57</v>
      </c>
      <c r="S43" s="43" t="s">
        <v>52</v>
      </c>
      <c r="T43" s="43" t="s">
        <v>70</v>
      </c>
      <c r="U43" s="43" t="s">
        <v>236</v>
      </c>
      <c r="V43" s="43">
        <v>1000</v>
      </c>
      <c r="W43" s="43" t="s">
        <v>241</v>
      </c>
      <c r="X43" s="43">
        <v>3000</v>
      </c>
      <c r="Y43" s="43" t="s">
        <v>278</v>
      </c>
      <c r="Z43" s="43">
        <v>110</v>
      </c>
      <c r="AA43" s="43" t="s">
        <v>525</v>
      </c>
      <c r="AB43" s="43" t="s">
        <v>236</v>
      </c>
      <c r="AC43" s="43" t="s">
        <v>236</v>
      </c>
      <c r="AD43" s="43" t="s">
        <v>236</v>
      </c>
      <c r="AE43" s="43" t="s">
        <v>68</v>
      </c>
      <c r="AF43" s="43" t="s">
        <v>236</v>
      </c>
      <c r="AG43" s="43" t="s">
        <v>236</v>
      </c>
      <c r="AH43" s="43" t="s">
        <v>236</v>
      </c>
      <c r="AI43" s="43" t="s">
        <v>236</v>
      </c>
      <c r="AJ43" t="s">
        <v>519</v>
      </c>
      <c r="AK43">
        <v>12</v>
      </c>
      <c r="AL43">
        <v>1</v>
      </c>
      <c r="AM43" t="s">
        <v>88</v>
      </c>
      <c r="AN43" t="s">
        <v>236</v>
      </c>
      <c r="AO43" t="s">
        <v>529</v>
      </c>
      <c r="AP43" t="s">
        <v>112</v>
      </c>
      <c r="AQ43">
        <v>12</v>
      </c>
      <c r="AR43" t="s">
        <v>524</v>
      </c>
      <c r="AS43" t="s">
        <v>236</v>
      </c>
      <c r="AT43" t="s">
        <v>175</v>
      </c>
      <c r="AU43">
        <v>12</v>
      </c>
      <c r="AV43">
        <v>1</v>
      </c>
      <c r="AW43" t="s">
        <v>432</v>
      </c>
      <c r="AX43" t="s">
        <v>221</v>
      </c>
      <c r="AY43" t="s">
        <v>224</v>
      </c>
      <c r="AZ43">
        <v>3</v>
      </c>
      <c r="BA43" t="s">
        <v>435</v>
      </c>
      <c r="BB43" t="s">
        <v>431</v>
      </c>
      <c r="BC43" t="s">
        <v>419</v>
      </c>
      <c r="BD43" t="s">
        <v>236</v>
      </c>
      <c r="BE43" t="s">
        <v>437</v>
      </c>
      <c r="BF43" t="s">
        <v>530</v>
      </c>
      <c r="BG43" t="s">
        <v>433</v>
      </c>
      <c r="BH43" t="s">
        <v>420</v>
      </c>
      <c r="BI43" t="s">
        <v>520</v>
      </c>
      <c r="BJ43" t="s">
        <v>68</v>
      </c>
      <c r="BK43" t="s">
        <v>236</v>
      </c>
      <c r="BL43" t="s">
        <v>236</v>
      </c>
      <c r="BM43" t="s">
        <v>236</v>
      </c>
      <c r="BN43" t="s">
        <v>68</v>
      </c>
      <c r="BO43" t="s">
        <v>236</v>
      </c>
      <c r="BP43" t="s">
        <v>236</v>
      </c>
      <c r="BQ43" t="s">
        <v>236</v>
      </c>
      <c r="BR43" t="s">
        <v>236</v>
      </c>
      <c r="BS43" t="s">
        <v>436</v>
      </c>
      <c r="BT43">
        <v>0</v>
      </c>
    </row>
    <row r="44" spans="1:72" x14ac:dyDescent="0.15">
      <c r="A44" s="43">
        <v>2022</v>
      </c>
      <c r="B44" s="43">
        <v>12</v>
      </c>
      <c r="C44" s="43">
        <v>1</v>
      </c>
      <c r="D44" s="43">
        <v>17</v>
      </c>
      <c r="E44" s="43" t="s">
        <v>236</v>
      </c>
      <c r="F44" s="43" t="s">
        <v>57</v>
      </c>
      <c r="G44" s="43">
        <v>2017</v>
      </c>
      <c r="H44" s="43">
        <v>12</v>
      </c>
      <c r="I44" s="43" t="s">
        <v>524</v>
      </c>
      <c r="J44" s="43" t="s">
        <v>236</v>
      </c>
      <c r="K44" s="43">
        <v>1992</v>
      </c>
      <c r="L44" s="43">
        <v>12</v>
      </c>
      <c r="M44" s="43">
        <v>1</v>
      </c>
      <c r="N44" s="43" t="s">
        <v>48</v>
      </c>
      <c r="O44" s="43" t="s">
        <v>221</v>
      </c>
      <c r="P44" s="43" t="s">
        <v>295</v>
      </c>
      <c r="Q44" s="43">
        <v>3000</v>
      </c>
      <c r="R44" s="43" t="s">
        <v>57</v>
      </c>
      <c r="S44" s="43" t="s">
        <v>52</v>
      </c>
      <c r="T44" s="43" t="s">
        <v>70</v>
      </c>
      <c r="U44" s="43" t="s">
        <v>236</v>
      </c>
      <c r="V44" s="43">
        <v>1000</v>
      </c>
      <c r="W44" s="43" t="s">
        <v>241</v>
      </c>
      <c r="X44" s="43">
        <v>3000</v>
      </c>
      <c r="Y44" s="43" t="s">
        <v>278</v>
      </c>
      <c r="Z44" s="43">
        <v>110</v>
      </c>
      <c r="AA44" s="43" t="s">
        <v>525</v>
      </c>
      <c r="AB44" s="43" t="s">
        <v>236</v>
      </c>
      <c r="AC44" s="43" t="s">
        <v>236</v>
      </c>
      <c r="AD44" s="43" t="s">
        <v>236</v>
      </c>
      <c r="AE44" s="43" t="s">
        <v>68</v>
      </c>
      <c r="AF44" s="43" t="s">
        <v>236</v>
      </c>
      <c r="AG44" s="43" t="s">
        <v>236</v>
      </c>
      <c r="AH44" s="43" t="s">
        <v>236</v>
      </c>
      <c r="AI44" s="43" t="s">
        <v>236</v>
      </c>
      <c r="AJ44" t="s">
        <v>519</v>
      </c>
      <c r="AK44">
        <v>12</v>
      </c>
      <c r="AL44">
        <v>1</v>
      </c>
      <c r="AM44" t="s">
        <v>88</v>
      </c>
      <c r="AN44" t="s">
        <v>236</v>
      </c>
      <c r="AO44" t="s">
        <v>529</v>
      </c>
      <c r="AP44" t="s">
        <v>112</v>
      </c>
      <c r="AQ44">
        <v>12</v>
      </c>
      <c r="AR44" t="s">
        <v>524</v>
      </c>
      <c r="AS44" t="s">
        <v>236</v>
      </c>
      <c r="AT44" t="s">
        <v>137</v>
      </c>
      <c r="AU44">
        <v>12</v>
      </c>
      <c r="AV44">
        <v>1</v>
      </c>
      <c r="AW44" t="s">
        <v>432</v>
      </c>
      <c r="AX44" t="s">
        <v>221</v>
      </c>
      <c r="AY44" t="s">
        <v>295</v>
      </c>
      <c r="AZ44">
        <v>1</v>
      </c>
      <c r="BA44" t="s">
        <v>435</v>
      </c>
      <c r="BB44" t="s">
        <v>431</v>
      </c>
      <c r="BC44" t="s">
        <v>419</v>
      </c>
      <c r="BD44" t="s">
        <v>236</v>
      </c>
      <c r="BE44" t="s">
        <v>437</v>
      </c>
      <c r="BF44" t="s">
        <v>530</v>
      </c>
      <c r="BG44" t="s">
        <v>433</v>
      </c>
      <c r="BH44" t="s">
        <v>420</v>
      </c>
      <c r="BI44" t="s">
        <v>520</v>
      </c>
      <c r="BJ44" t="s">
        <v>68</v>
      </c>
      <c r="BK44" t="s">
        <v>236</v>
      </c>
      <c r="BL44" t="s">
        <v>236</v>
      </c>
      <c r="BM44" t="s">
        <v>236</v>
      </c>
      <c r="BN44" t="s">
        <v>68</v>
      </c>
      <c r="BO44" t="s">
        <v>236</v>
      </c>
      <c r="BP44" t="s">
        <v>236</v>
      </c>
      <c r="BQ44" t="s">
        <v>236</v>
      </c>
      <c r="BR44" t="s">
        <v>236</v>
      </c>
      <c r="BS44" t="s">
        <v>436</v>
      </c>
      <c r="BT44">
        <v>0</v>
      </c>
    </row>
    <row r="45" spans="1:72" x14ac:dyDescent="0.15">
      <c r="A45" s="43">
        <v>2022</v>
      </c>
      <c r="B45" s="43">
        <v>12</v>
      </c>
      <c r="C45" s="43">
        <v>1</v>
      </c>
      <c r="D45" s="43">
        <v>17</v>
      </c>
      <c r="E45" s="43" t="s">
        <v>236</v>
      </c>
      <c r="F45" s="43" t="s">
        <v>57</v>
      </c>
      <c r="G45" s="43">
        <v>2017</v>
      </c>
      <c r="H45" s="43">
        <v>12</v>
      </c>
      <c r="I45" s="43" t="s">
        <v>524</v>
      </c>
      <c r="J45" s="43" t="s">
        <v>236</v>
      </c>
      <c r="K45" s="43">
        <v>1987</v>
      </c>
      <c r="L45" s="43">
        <v>12</v>
      </c>
      <c r="M45" s="43">
        <v>1</v>
      </c>
      <c r="N45" s="43" t="s">
        <v>48</v>
      </c>
      <c r="O45" s="43" t="s">
        <v>221</v>
      </c>
      <c r="P45" s="43" t="s">
        <v>295</v>
      </c>
      <c r="Q45" s="43">
        <v>3000</v>
      </c>
      <c r="R45" s="43" t="s">
        <v>57</v>
      </c>
      <c r="S45" s="43" t="s">
        <v>52</v>
      </c>
      <c r="T45" s="43" t="s">
        <v>70</v>
      </c>
      <c r="U45" s="43" t="s">
        <v>236</v>
      </c>
      <c r="V45" s="43">
        <v>1000</v>
      </c>
      <c r="W45" s="43" t="s">
        <v>241</v>
      </c>
      <c r="X45" s="43">
        <v>3000</v>
      </c>
      <c r="Y45" s="43" t="s">
        <v>278</v>
      </c>
      <c r="Z45" s="43">
        <v>110</v>
      </c>
      <c r="AA45" s="43" t="s">
        <v>525</v>
      </c>
      <c r="AB45" s="43" t="s">
        <v>236</v>
      </c>
      <c r="AC45" s="43" t="s">
        <v>236</v>
      </c>
      <c r="AD45" s="43" t="s">
        <v>236</v>
      </c>
      <c r="AE45" s="43" t="s">
        <v>68</v>
      </c>
      <c r="AF45" s="43" t="s">
        <v>236</v>
      </c>
      <c r="AG45" s="43" t="s">
        <v>236</v>
      </c>
      <c r="AH45" s="43" t="s">
        <v>236</v>
      </c>
      <c r="AI45" s="43" t="s">
        <v>236</v>
      </c>
      <c r="AJ45" t="s">
        <v>519</v>
      </c>
      <c r="AK45">
        <v>12</v>
      </c>
      <c r="AL45">
        <v>1</v>
      </c>
      <c r="AM45" t="s">
        <v>88</v>
      </c>
      <c r="AN45" t="s">
        <v>236</v>
      </c>
      <c r="AO45" t="s">
        <v>529</v>
      </c>
      <c r="AP45" t="s">
        <v>112</v>
      </c>
      <c r="AQ45">
        <v>12</v>
      </c>
      <c r="AR45" t="s">
        <v>524</v>
      </c>
      <c r="AS45" t="s">
        <v>236</v>
      </c>
      <c r="AT45" t="s">
        <v>140</v>
      </c>
      <c r="AU45">
        <v>12</v>
      </c>
      <c r="AV45">
        <v>1</v>
      </c>
      <c r="AW45" t="s">
        <v>432</v>
      </c>
      <c r="AX45" t="s">
        <v>221</v>
      </c>
      <c r="AY45" t="s">
        <v>295</v>
      </c>
      <c r="AZ45">
        <v>1</v>
      </c>
      <c r="BA45" t="s">
        <v>435</v>
      </c>
      <c r="BB45" t="s">
        <v>431</v>
      </c>
      <c r="BC45" t="s">
        <v>419</v>
      </c>
      <c r="BD45" t="s">
        <v>236</v>
      </c>
      <c r="BE45" t="s">
        <v>437</v>
      </c>
      <c r="BF45" t="s">
        <v>530</v>
      </c>
      <c r="BG45" t="s">
        <v>433</v>
      </c>
      <c r="BH45" t="s">
        <v>420</v>
      </c>
      <c r="BI45" t="s">
        <v>520</v>
      </c>
      <c r="BJ45" t="s">
        <v>68</v>
      </c>
      <c r="BK45" t="s">
        <v>236</v>
      </c>
      <c r="BL45" t="s">
        <v>236</v>
      </c>
      <c r="BM45" t="s">
        <v>236</v>
      </c>
      <c r="BN45" t="s">
        <v>68</v>
      </c>
      <c r="BO45" t="s">
        <v>236</v>
      </c>
      <c r="BP45" t="s">
        <v>236</v>
      </c>
      <c r="BQ45" t="s">
        <v>236</v>
      </c>
      <c r="BR45" t="s">
        <v>236</v>
      </c>
      <c r="BS45" t="s">
        <v>436</v>
      </c>
      <c r="BT45">
        <v>0</v>
      </c>
    </row>
    <row r="46" spans="1:72" x14ac:dyDescent="0.15">
      <c r="A46" s="43">
        <v>2022</v>
      </c>
      <c r="B46" s="43">
        <v>12</v>
      </c>
      <c r="C46" s="43">
        <v>1</v>
      </c>
      <c r="D46" s="43">
        <v>17</v>
      </c>
      <c r="E46" s="43" t="s">
        <v>236</v>
      </c>
      <c r="F46" s="43" t="s">
        <v>57</v>
      </c>
      <c r="G46" s="43">
        <v>2017</v>
      </c>
      <c r="H46" s="43">
        <v>12</v>
      </c>
      <c r="I46" s="43" t="s">
        <v>524</v>
      </c>
      <c r="J46" s="43" t="s">
        <v>236</v>
      </c>
      <c r="K46" s="43">
        <v>1982</v>
      </c>
      <c r="L46" s="43">
        <v>12</v>
      </c>
      <c r="M46" s="43">
        <v>1</v>
      </c>
      <c r="N46" s="43" t="s">
        <v>48</v>
      </c>
      <c r="O46" s="43" t="s">
        <v>221</v>
      </c>
      <c r="P46" s="43" t="s">
        <v>295</v>
      </c>
      <c r="Q46" s="43">
        <v>3000</v>
      </c>
      <c r="R46" s="43" t="s">
        <v>57</v>
      </c>
      <c r="S46" s="43" t="s">
        <v>52</v>
      </c>
      <c r="T46" s="43" t="s">
        <v>70</v>
      </c>
      <c r="U46" s="43" t="s">
        <v>236</v>
      </c>
      <c r="V46" s="43">
        <v>1000</v>
      </c>
      <c r="W46" s="43" t="s">
        <v>241</v>
      </c>
      <c r="X46" s="43">
        <v>3000</v>
      </c>
      <c r="Y46" s="43" t="s">
        <v>278</v>
      </c>
      <c r="Z46" s="43">
        <v>110</v>
      </c>
      <c r="AA46" s="43" t="s">
        <v>525</v>
      </c>
      <c r="AB46" s="43" t="s">
        <v>236</v>
      </c>
      <c r="AC46" s="43" t="s">
        <v>236</v>
      </c>
      <c r="AD46" s="43" t="s">
        <v>236</v>
      </c>
      <c r="AE46" s="43" t="s">
        <v>68</v>
      </c>
      <c r="AF46" s="43" t="s">
        <v>236</v>
      </c>
      <c r="AG46" s="43" t="s">
        <v>236</v>
      </c>
      <c r="AH46" s="43" t="s">
        <v>236</v>
      </c>
      <c r="AI46" s="43" t="s">
        <v>236</v>
      </c>
      <c r="AJ46" t="s">
        <v>519</v>
      </c>
      <c r="AK46">
        <v>12</v>
      </c>
      <c r="AL46">
        <v>1</v>
      </c>
      <c r="AM46" t="s">
        <v>88</v>
      </c>
      <c r="AN46" t="s">
        <v>236</v>
      </c>
      <c r="AO46" t="s">
        <v>529</v>
      </c>
      <c r="AP46" t="s">
        <v>112</v>
      </c>
      <c r="AQ46">
        <v>12</v>
      </c>
      <c r="AR46" t="s">
        <v>524</v>
      </c>
      <c r="AS46" t="s">
        <v>236</v>
      </c>
      <c r="AT46" t="s">
        <v>145</v>
      </c>
      <c r="AU46">
        <v>12</v>
      </c>
      <c r="AV46">
        <v>1</v>
      </c>
      <c r="AW46" t="s">
        <v>432</v>
      </c>
      <c r="AX46" t="s">
        <v>221</v>
      </c>
      <c r="AY46" t="s">
        <v>295</v>
      </c>
      <c r="AZ46">
        <v>1</v>
      </c>
      <c r="BA46" t="s">
        <v>435</v>
      </c>
      <c r="BB46" t="s">
        <v>431</v>
      </c>
      <c r="BC46" t="s">
        <v>419</v>
      </c>
      <c r="BD46" t="s">
        <v>236</v>
      </c>
      <c r="BE46" t="s">
        <v>437</v>
      </c>
      <c r="BF46" t="s">
        <v>530</v>
      </c>
      <c r="BG46" t="s">
        <v>433</v>
      </c>
      <c r="BH46" t="s">
        <v>420</v>
      </c>
      <c r="BI46" t="s">
        <v>520</v>
      </c>
      <c r="BJ46" t="s">
        <v>68</v>
      </c>
      <c r="BK46" t="s">
        <v>236</v>
      </c>
      <c r="BL46" t="s">
        <v>236</v>
      </c>
      <c r="BM46" t="s">
        <v>236</v>
      </c>
      <c r="BN46" t="s">
        <v>68</v>
      </c>
      <c r="BO46" t="s">
        <v>236</v>
      </c>
      <c r="BP46" t="s">
        <v>236</v>
      </c>
      <c r="BQ46" t="s">
        <v>236</v>
      </c>
      <c r="BR46" t="s">
        <v>236</v>
      </c>
      <c r="BS46" t="s">
        <v>436</v>
      </c>
      <c r="BT46">
        <v>0</v>
      </c>
    </row>
    <row r="47" spans="1:72" x14ac:dyDescent="0.15">
      <c r="A47" s="43">
        <v>2022</v>
      </c>
      <c r="B47" s="43">
        <v>12</v>
      </c>
      <c r="C47" s="43">
        <v>1</v>
      </c>
      <c r="D47" s="43">
        <v>17</v>
      </c>
      <c r="E47" s="43" t="s">
        <v>236</v>
      </c>
      <c r="F47" s="43" t="s">
        <v>57</v>
      </c>
      <c r="G47" s="43">
        <v>2017</v>
      </c>
      <c r="H47" s="43">
        <v>12</v>
      </c>
      <c r="I47" s="43" t="s">
        <v>524</v>
      </c>
      <c r="J47" s="43" t="s">
        <v>236</v>
      </c>
      <c r="K47" s="43">
        <v>1977</v>
      </c>
      <c r="L47" s="43">
        <v>12</v>
      </c>
      <c r="M47" s="43">
        <v>1</v>
      </c>
      <c r="N47" s="43" t="s">
        <v>48</v>
      </c>
      <c r="O47" s="43" t="s">
        <v>221</v>
      </c>
      <c r="P47" s="43" t="s">
        <v>295</v>
      </c>
      <c r="Q47" s="43">
        <v>3000</v>
      </c>
      <c r="R47" s="43" t="s">
        <v>57</v>
      </c>
      <c r="S47" s="43" t="s">
        <v>52</v>
      </c>
      <c r="T47" s="43" t="s">
        <v>70</v>
      </c>
      <c r="U47" s="43" t="s">
        <v>236</v>
      </c>
      <c r="V47" s="43">
        <v>1000</v>
      </c>
      <c r="W47" s="43" t="s">
        <v>241</v>
      </c>
      <c r="X47" s="43">
        <v>3000</v>
      </c>
      <c r="Y47" s="43" t="s">
        <v>278</v>
      </c>
      <c r="Z47" s="43">
        <v>110</v>
      </c>
      <c r="AA47" s="43" t="s">
        <v>525</v>
      </c>
      <c r="AB47" s="43" t="s">
        <v>236</v>
      </c>
      <c r="AC47" s="43" t="s">
        <v>236</v>
      </c>
      <c r="AD47" s="43" t="s">
        <v>236</v>
      </c>
      <c r="AE47" s="43" t="s">
        <v>68</v>
      </c>
      <c r="AF47" s="43" t="s">
        <v>236</v>
      </c>
      <c r="AG47" s="43" t="s">
        <v>236</v>
      </c>
      <c r="AH47" s="43" t="s">
        <v>236</v>
      </c>
      <c r="AI47" s="43" t="s">
        <v>236</v>
      </c>
      <c r="AJ47" t="s">
        <v>519</v>
      </c>
      <c r="AK47">
        <v>12</v>
      </c>
      <c r="AL47">
        <v>1</v>
      </c>
      <c r="AM47" t="s">
        <v>88</v>
      </c>
      <c r="AN47" t="s">
        <v>236</v>
      </c>
      <c r="AO47" t="s">
        <v>529</v>
      </c>
      <c r="AP47" t="s">
        <v>112</v>
      </c>
      <c r="AQ47">
        <v>12</v>
      </c>
      <c r="AR47" t="s">
        <v>524</v>
      </c>
      <c r="AS47" t="s">
        <v>236</v>
      </c>
      <c r="AT47" t="s">
        <v>150</v>
      </c>
      <c r="AU47">
        <v>12</v>
      </c>
      <c r="AV47">
        <v>1</v>
      </c>
      <c r="AW47" t="s">
        <v>432</v>
      </c>
      <c r="AX47" t="s">
        <v>221</v>
      </c>
      <c r="AY47" t="s">
        <v>295</v>
      </c>
      <c r="AZ47">
        <v>1</v>
      </c>
      <c r="BA47" t="s">
        <v>435</v>
      </c>
      <c r="BB47" t="s">
        <v>431</v>
      </c>
      <c r="BC47" t="s">
        <v>419</v>
      </c>
      <c r="BD47" t="s">
        <v>236</v>
      </c>
      <c r="BE47" t="s">
        <v>437</v>
      </c>
      <c r="BF47" t="s">
        <v>530</v>
      </c>
      <c r="BG47" t="s">
        <v>433</v>
      </c>
      <c r="BH47" t="s">
        <v>420</v>
      </c>
      <c r="BI47" t="s">
        <v>520</v>
      </c>
      <c r="BJ47" t="s">
        <v>68</v>
      </c>
      <c r="BK47" t="s">
        <v>236</v>
      </c>
      <c r="BL47" t="s">
        <v>236</v>
      </c>
      <c r="BM47" t="s">
        <v>236</v>
      </c>
      <c r="BN47" t="s">
        <v>68</v>
      </c>
      <c r="BO47" t="s">
        <v>236</v>
      </c>
      <c r="BP47" t="s">
        <v>236</v>
      </c>
      <c r="BQ47" t="s">
        <v>236</v>
      </c>
      <c r="BR47" t="s">
        <v>236</v>
      </c>
      <c r="BS47" t="s">
        <v>436</v>
      </c>
      <c r="BT47">
        <v>0</v>
      </c>
    </row>
    <row r="48" spans="1:72" x14ac:dyDescent="0.15">
      <c r="A48" s="43">
        <v>2022</v>
      </c>
      <c r="B48" s="43">
        <v>12</v>
      </c>
      <c r="C48" s="43">
        <v>1</v>
      </c>
      <c r="D48" s="43">
        <v>17</v>
      </c>
      <c r="E48" s="43" t="s">
        <v>236</v>
      </c>
      <c r="F48" s="43" t="s">
        <v>57</v>
      </c>
      <c r="G48" s="43">
        <v>2017</v>
      </c>
      <c r="H48" s="43">
        <v>12</v>
      </c>
      <c r="I48" s="43" t="s">
        <v>524</v>
      </c>
      <c r="J48" s="43" t="s">
        <v>236</v>
      </c>
      <c r="K48" s="43">
        <v>1972</v>
      </c>
      <c r="L48" s="43">
        <v>12</v>
      </c>
      <c r="M48" s="43">
        <v>1</v>
      </c>
      <c r="N48" s="43" t="s">
        <v>48</v>
      </c>
      <c r="O48" s="43" t="s">
        <v>221</v>
      </c>
      <c r="P48" s="43" t="s">
        <v>295</v>
      </c>
      <c r="Q48" s="43">
        <v>3000</v>
      </c>
      <c r="R48" s="43" t="s">
        <v>57</v>
      </c>
      <c r="S48" s="43" t="s">
        <v>52</v>
      </c>
      <c r="T48" s="43" t="s">
        <v>70</v>
      </c>
      <c r="U48" s="43" t="s">
        <v>236</v>
      </c>
      <c r="V48" s="43">
        <v>1000</v>
      </c>
      <c r="W48" s="43" t="s">
        <v>241</v>
      </c>
      <c r="X48" s="43">
        <v>3000</v>
      </c>
      <c r="Y48" s="43" t="s">
        <v>278</v>
      </c>
      <c r="Z48" s="43">
        <v>110</v>
      </c>
      <c r="AA48" s="43" t="s">
        <v>525</v>
      </c>
      <c r="AB48" s="43" t="s">
        <v>236</v>
      </c>
      <c r="AC48" s="43" t="s">
        <v>236</v>
      </c>
      <c r="AD48" s="43" t="s">
        <v>236</v>
      </c>
      <c r="AE48" s="43" t="s">
        <v>68</v>
      </c>
      <c r="AF48" s="43" t="s">
        <v>236</v>
      </c>
      <c r="AG48" s="43" t="s">
        <v>236</v>
      </c>
      <c r="AH48" s="43" t="s">
        <v>236</v>
      </c>
      <c r="AI48" s="43" t="s">
        <v>236</v>
      </c>
      <c r="AJ48" t="s">
        <v>519</v>
      </c>
      <c r="AK48">
        <v>12</v>
      </c>
      <c r="AL48">
        <v>1</v>
      </c>
      <c r="AM48" t="s">
        <v>88</v>
      </c>
      <c r="AN48" t="s">
        <v>236</v>
      </c>
      <c r="AO48" t="s">
        <v>529</v>
      </c>
      <c r="AP48" t="s">
        <v>112</v>
      </c>
      <c r="AQ48">
        <v>12</v>
      </c>
      <c r="AR48" t="s">
        <v>524</v>
      </c>
      <c r="AS48" t="s">
        <v>236</v>
      </c>
      <c r="AT48" t="s">
        <v>155</v>
      </c>
      <c r="AU48">
        <v>12</v>
      </c>
      <c r="AV48">
        <v>1</v>
      </c>
      <c r="AW48" t="s">
        <v>432</v>
      </c>
      <c r="AX48" t="s">
        <v>221</v>
      </c>
      <c r="AY48" t="s">
        <v>295</v>
      </c>
      <c r="AZ48">
        <v>1</v>
      </c>
      <c r="BA48" t="s">
        <v>435</v>
      </c>
      <c r="BB48" t="s">
        <v>431</v>
      </c>
      <c r="BC48" t="s">
        <v>419</v>
      </c>
      <c r="BD48" t="s">
        <v>236</v>
      </c>
      <c r="BE48" t="s">
        <v>437</v>
      </c>
      <c r="BF48" t="s">
        <v>530</v>
      </c>
      <c r="BG48" t="s">
        <v>433</v>
      </c>
      <c r="BH48" t="s">
        <v>420</v>
      </c>
      <c r="BI48" t="s">
        <v>520</v>
      </c>
      <c r="BJ48" t="s">
        <v>68</v>
      </c>
      <c r="BK48" t="s">
        <v>236</v>
      </c>
      <c r="BL48" t="s">
        <v>236</v>
      </c>
      <c r="BM48" t="s">
        <v>236</v>
      </c>
      <c r="BN48" t="s">
        <v>68</v>
      </c>
      <c r="BO48" t="s">
        <v>236</v>
      </c>
      <c r="BP48" t="s">
        <v>236</v>
      </c>
      <c r="BQ48" t="s">
        <v>236</v>
      </c>
      <c r="BR48" t="s">
        <v>236</v>
      </c>
      <c r="BS48" t="s">
        <v>436</v>
      </c>
      <c r="BT48">
        <v>0</v>
      </c>
    </row>
    <row r="49" spans="1:72" x14ac:dyDescent="0.15">
      <c r="A49" s="43">
        <v>2022</v>
      </c>
      <c r="B49" s="43">
        <v>12</v>
      </c>
      <c r="C49" s="43">
        <v>1</v>
      </c>
      <c r="D49" s="43">
        <v>17</v>
      </c>
      <c r="E49" s="43" t="s">
        <v>236</v>
      </c>
      <c r="F49" s="43" t="s">
        <v>57</v>
      </c>
      <c r="G49" s="43">
        <v>2017</v>
      </c>
      <c r="H49" s="43">
        <v>12</v>
      </c>
      <c r="I49" s="43" t="s">
        <v>524</v>
      </c>
      <c r="J49" s="43" t="s">
        <v>236</v>
      </c>
      <c r="K49" s="43">
        <v>1962</v>
      </c>
      <c r="L49" s="43">
        <v>12</v>
      </c>
      <c r="M49" s="43">
        <v>1</v>
      </c>
      <c r="N49" s="43" t="s">
        <v>48</v>
      </c>
      <c r="O49" s="43" t="s">
        <v>221</v>
      </c>
      <c r="P49" s="43" t="s">
        <v>295</v>
      </c>
      <c r="Q49" s="43">
        <v>3000</v>
      </c>
      <c r="R49" s="43" t="s">
        <v>57</v>
      </c>
      <c r="S49" s="43" t="s">
        <v>52</v>
      </c>
      <c r="T49" s="43" t="s">
        <v>70</v>
      </c>
      <c r="U49" s="43" t="s">
        <v>236</v>
      </c>
      <c r="V49" s="43">
        <v>1000</v>
      </c>
      <c r="W49" s="43" t="s">
        <v>241</v>
      </c>
      <c r="X49" s="43">
        <v>3000</v>
      </c>
      <c r="Y49" s="43" t="s">
        <v>278</v>
      </c>
      <c r="Z49" s="43">
        <v>110</v>
      </c>
      <c r="AA49" s="43" t="s">
        <v>525</v>
      </c>
      <c r="AB49" s="43" t="s">
        <v>236</v>
      </c>
      <c r="AC49" s="43" t="s">
        <v>236</v>
      </c>
      <c r="AD49" s="43" t="s">
        <v>236</v>
      </c>
      <c r="AE49" s="43" t="s">
        <v>68</v>
      </c>
      <c r="AF49" s="43" t="s">
        <v>236</v>
      </c>
      <c r="AG49" s="43" t="s">
        <v>236</v>
      </c>
      <c r="AH49" s="43" t="s">
        <v>236</v>
      </c>
      <c r="AI49" s="43" t="s">
        <v>236</v>
      </c>
      <c r="AJ49" t="s">
        <v>519</v>
      </c>
      <c r="AK49">
        <v>12</v>
      </c>
      <c r="AL49">
        <v>1</v>
      </c>
      <c r="AM49" t="s">
        <v>88</v>
      </c>
      <c r="AN49" t="s">
        <v>236</v>
      </c>
      <c r="AO49" t="s">
        <v>529</v>
      </c>
      <c r="AP49" t="s">
        <v>112</v>
      </c>
      <c r="AQ49">
        <v>12</v>
      </c>
      <c r="AR49" t="s">
        <v>524</v>
      </c>
      <c r="AS49" t="s">
        <v>236</v>
      </c>
      <c r="AT49" t="s">
        <v>165</v>
      </c>
      <c r="AU49">
        <v>12</v>
      </c>
      <c r="AV49">
        <v>1</v>
      </c>
      <c r="AW49" t="s">
        <v>432</v>
      </c>
      <c r="AX49" t="s">
        <v>221</v>
      </c>
      <c r="AY49" t="s">
        <v>295</v>
      </c>
      <c r="AZ49">
        <v>1</v>
      </c>
      <c r="BA49" t="s">
        <v>435</v>
      </c>
      <c r="BB49" t="s">
        <v>431</v>
      </c>
      <c r="BC49" t="s">
        <v>419</v>
      </c>
      <c r="BD49" t="s">
        <v>236</v>
      </c>
      <c r="BE49" t="s">
        <v>437</v>
      </c>
      <c r="BF49" t="s">
        <v>530</v>
      </c>
      <c r="BG49" t="s">
        <v>433</v>
      </c>
      <c r="BH49" t="s">
        <v>420</v>
      </c>
      <c r="BI49" t="s">
        <v>520</v>
      </c>
      <c r="BJ49" t="s">
        <v>68</v>
      </c>
      <c r="BK49" t="s">
        <v>236</v>
      </c>
      <c r="BL49" t="s">
        <v>236</v>
      </c>
      <c r="BM49" t="s">
        <v>236</v>
      </c>
      <c r="BN49" t="s">
        <v>68</v>
      </c>
      <c r="BO49" t="s">
        <v>236</v>
      </c>
      <c r="BP49" t="s">
        <v>236</v>
      </c>
      <c r="BQ49" t="s">
        <v>236</v>
      </c>
      <c r="BR49" t="s">
        <v>236</v>
      </c>
      <c r="BS49" t="s">
        <v>436</v>
      </c>
      <c r="BT49">
        <v>0</v>
      </c>
    </row>
    <row r="50" spans="1:72" x14ac:dyDescent="0.15">
      <c r="A50" s="43">
        <v>2022</v>
      </c>
      <c r="B50" s="8">
        <v>12</v>
      </c>
      <c r="C50" s="8">
        <v>1</v>
      </c>
      <c r="D50" s="8">
        <v>17</v>
      </c>
      <c r="E50" s="8" t="s">
        <v>236</v>
      </c>
      <c r="F50" s="8" t="s">
        <v>57</v>
      </c>
      <c r="G50" s="8">
        <v>2017</v>
      </c>
      <c r="H50" s="8">
        <v>12</v>
      </c>
      <c r="I50" s="8" t="s">
        <v>524</v>
      </c>
      <c r="J50" s="8" t="s">
        <v>236</v>
      </c>
      <c r="K50" s="8">
        <v>1952</v>
      </c>
      <c r="L50" s="17">
        <v>12</v>
      </c>
      <c r="M50" s="8">
        <v>1</v>
      </c>
      <c r="N50" s="8" t="s">
        <v>48</v>
      </c>
      <c r="O50" s="8" t="s">
        <v>221</v>
      </c>
      <c r="P50" s="8" t="s">
        <v>295</v>
      </c>
      <c r="Q50" s="8">
        <v>3000</v>
      </c>
      <c r="R50" s="8" t="s">
        <v>57</v>
      </c>
      <c r="S50" s="8" t="s">
        <v>52</v>
      </c>
      <c r="T50" s="8" t="s">
        <v>70</v>
      </c>
      <c r="U50" s="8" t="s">
        <v>236</v>
      </c>
      <c r="V50" s="8">
        <v>1000</v>
      </c>
      <c r="W50" s="8" t="s">
        <v>241</v>
      </c>
      <c r="X50" s="8">
        <v>3000</v>
      </c>
      <c r="Y50" s="8" t="s">
        <v>278</v>
      </c>
      <c r="Z50" s="8">
        <v>110</v>
      </c>
      <c r="AA50" s="8" t="s">
        <v>525</v>
      </c>
      <c r="AB50" s="8" t="s">
        <v>236</v>
      </c>
      <c r="AC50" s="8" t="s">
        <v>236</v>
      </c>
      <c r="AD50" s="8" t="s">
        <v>236</v>
      </c>
      <c r="AE50" s="8" t="s">
        <v>68</v>
      </c>
      <c r="AF50" s="8" t="s">
        <v>236</v>
      </c>
      <c r="AG50" s="8" t="s">
        <v>236</v>
      </c>
      <c r="AH50" s="8" t="s">
        <v>236</v>
      </c>
      <c r="AI50" s="8" t="s">
        <v>236</v>
      </c>
      <c r="AJ50" t="s">
        <v>519</v>
      </c>
      <c r="AK50">
        <v>12</v>
      </c>
      <c r="AL50">
        <v>1</v>
      </c>
      <c r="AM50" t="s">
        <v>88</v>
      </c>
      <c r="AN50" t="s">
        <v>236</v>
      </c>
      <c r="AO50" t="s">
        <v>529</v>
      </c>
      <c r="AP50" t="s">
        <v>112</v>
      </c>
      <c r="AQ50">
        <v>12</v>
      </c>
      <c r="AR50" t="s">
        <v>524</v>
      </c>
      <c r="AS50" t="s">
        <v>236</v>
      </c>
      <c r="AT50" t="s">
        <v>175</v>
      </c>
      <c r="AU50">
        <v>12</v>
      </c>
      <c r="AV50">
        <v>1</v>
      </c>
      <c r="AW50" t="s">
        <v>432</v>
      </c>
      <c r="AX50" t="s">
        <v>221</v>
      </c>
      <c r="AY50" t="s">
        <v>295</v>
      </c>
      <c r="AZ50">
        <v>1</v>
      </c>
      <c r="BA50" t="s">
        <v>435</v>
      </c>
      <c r="BB50" t="s">
        <v>431</v>
      </c>
      <c r="BC50" t="s">
        <v>419</v>
      </c>
      <c r="BD50" t="s">
        <v>236</v>
      </c>
      <c r="BE50" t="s">
        <v>437</v>
      </c>
      <c r="BF50" t="s">
        <v>530</v>
      </c>
      <c r="BG50" t="s">
        <v>433</v>
      </c>
      <c r="BH50" t="s">
        <v>420</v>
      </c>
      <c r="BI50" t="s">
        <v>520</v>
      </c>
      <c r="BJ50" t="s">
        <v>68</v>
      </c>
      <c r="BK50" t="s">
        <v>236</v>
      </c>
      <c r="BL50" t="s">
        <v>236</v>
      </c>
      <c r="BM50" t="s">
        <v>236</v>
      </c>
      <c r="BN50" t="s">
        <v>68</v>
      </c>
      <c r="BO50" t="s">
        <v>236</v>
      </c>
      <c r="BP50" t="s">
        <v>236</v>
      </c>
      <c r="BQ50" t="s">
        <v>236</v>
      </c>
      <c r="BR50" t="s">
        <v>236</v>
      </c>
      <c r="BS50" t="s">
        <v>436</v>
      </c>
      <c r="BT50">
        <v>0</v>
      </c>
    </row>
    <row r="51" spans="1:72" x14ac:dyDescent="0.15">
      <c r="A51" s="43">
        <v>2022</v>
      </c>
      <c r="B51" s="8">
        <v>12</v>
      </c>
      <c r="C51" s="8">
        <v>1</v>
      </c>
      <c r="D51" s="8">
        <v>17</v>
      </c>
      <c r="E51" s="8" t="s">
        <v>236</v>
      </c>
      <c r="F51" s="8" t="s">
        <v>57</v>
      </c>
      <c r="G51" s="8">
        <v>2017</v>
      </c>
      <c r="H51" s="8">
        <v>12</v>
      </c>
      <c r="I51" s="8" t="s">
        <v>524</v>
      </c>
      <c r="J51" s="8" t="s">
        <v>236</v>
      </c>
      <c r="K51" s="8">
        <v>1992</v>
      </c>
      <c r="L51" s="17">
        <v>12</v>
      </c>
      <c r="M51" s="8">
        <v>1</v>
      </c>
      <c r="N51" s="8" t="s">
        <v>48</v>
      </c>
      <c r="O51" s="8" t="s">
        <v>221</v>
      </c>
      <c r="P51" s="8" t="s">
        <v>295</v>
      </c>
      <c r="Q51" s="8">
        <v>7000</v>
      </c>
      <c r="R51" s="8" t="s">
        <v>57</v>
      </c>
      <c r="S51" s="8" t="s">
        <v>52</v>
      </c>
      <c r="T51" s="8" t="s">
        <v>70</v>
      </c>
      <c r="U51" s="8" t="s">
        <v>236</v>
      </c>
      <c r="V51" s="8">
        <v>1000</v>
      </c>
      <c r="W51" s="8" t="s">
        <v>241</v>
      </c>
      <c r="X51" s="8">
        <v>3000</v>
      </c>
      <c r="Y51" s="8" t="s">
        <v>278</v>
      </c>
      <c r="Z51" s="8">
        <v>110</v>
      </c>
      <c r="AA51" s="8" t="s">
        <v>525</v>
      </c>
      <c r="AB51" s="8" t="s">
        <v>236</v>
      </c>
      <c r="AC51" s="8" t="s">
        <v>236</v>
      </c>
      <c r="AD51" s="8" t="s">
        <v>236</v>
      </c>
      <c r="AE51" s="8" t="s">
        <v>68</v>
      </c>
      <c r="AF51" s="8" t="s">
        <v>236</v>
      </c>
      <c r="AG51" s="8" t="s">
        <v>236</v>
      </c>
      <c r="AH51" s="8" t="s">
        <v>236</v>
      </c>
      <c r="AI51" s="8" t="s">
        <v>236</v>
      </c>
      <c r="AJ51" t="s">
        <v>519</v>
      </c>
      <c r="AK51">
        <v>12</v>
      </c>
      <c r="AL51">
        <v>1</v>
      </c>
      <c r="AM51" t="s">
        <v>88</v>
      </c>
      <c r="AN51" t="s">
        <v>236</v>
      </c>
      <c r="AO51" t="s">
        <v>529</v>
      </c>
      <c r="AP51" t="s">
        <v>112</v>
      </c>
      <c r="AQ51">
        <v>12</v>
      </c>
      <c r="AR51" t="s">
        <v>524</v>
      </c>
      <c r="AS51" t="s">
        <v>236</v>
      </c>
      <c r="AT51" t="s">
        <v>137</v>
      </c>
      <c r="AU51">
        <v>12</v>
      </c>
      <c r="AV51">
        <v>1</v>
      </c>
      <c r="AW51" t="s">
        <v>432</v>
      </c>
      <c r="AX51" t="s">
        <v>221</v>
      </c>
      <c r="AY51" t="s">
        <v>295</v>
      </c>
      <c r="AZ51">
        <v>3</v>
      </c>
      <c r="BA51" t="s">
        <v>435</v>
      </c>
      <c r="BB51" t="s">
        <v>431</v>
      </c>
      <c r="BC51" t="s">
        <v>419</v>
      </c>
      <c r="BD51" t="s">
        <v>236</v>
      </c>
      <c r="BE51" t="s">
        <v>437</v>
      </c>
      <c r="BF51" t="s">
        <v>530</v>
      </c>
      <c r="BG51" t="s">
        <v>433</v>
      </c>
      <c r="BH51" t="s">
        <v>420</v>
      </c>
      <c r="BI51" t="s">
        <v>520</v>
      </c>
      <c r="BJ51" t="s">
        <v>68</v>
      </c>
      <c r="BK51" t="s">
        <v>236</v>
      </c>
      <c r="BL51" t="s">
        <v>236</v>
      </c>
      <c r="BM51" t="s">
        <v>236</v>
      </c>
      <c r="BN51" t="s">
        <v>68</v>
      </c>
      <c r="BO51" t="s">
        <v>236</v>
      </c>
      <c r="BP51" t="s">
        <v>236</v>
      </c>
      <c r="BQ51" t="s">
        <v>236</v>
      </c>
      <c r="BR51" t="s">
        <v>236</v>
      </c>
      <c r="BS51" t="s">
        <v>436</v>
      </c>
      <c r="BT51">
        <v>0</v>
      </c>
    </row>
    <row r="52" spans="1:72" x14ac:dyDescent="0.15">
      <c r="A52" s="43">
        <v>2022</v>
      </c>
      <c r="B52" s="8">
        <v>12</v>
      </c>
      <c r="C52" s="8">
        <v>1</v>
      </c>
      <c r="D52" s="8">
        <v>17</v>
      </c>
      <c r="E52" s="8" t="s">
        <v>236</v>
      </c>
      <c r="F52" s="8" t="s">
        <v>57</v>
      </c>
      <c r="G52" s="8">
        <v>2017</v>
      </c>
      <c r="H52" s="8">
        <v>12</v>
      </c>
      <c r="I52" s="8" t="s">
        <v>524</v>
      </c>
      <c r="J52" s="8" t="s">
        <v>236</v>
      </c>
      <c r="K52" s="8">
        <v>1987</v>
      </c>
      <c r="L52" s="17">
        <v>12</v>
      </c>
      <c r="M52" s="8">
        <v>1</v>
      </c>
      <c r="N52" s="8" t="s">
        <v>48</v>
      </c>
      <c r="O52" s="8" t="s">
        <v>221</v>
      </c>
      <c r="P52" s="8" t="s">
        <v>295</v>
      </c>
      <c r="Q52" s="8">
        <v>7000</v>
      </c>
      <c r="R52" s="8" t="s">
        <v>57</v>
      </c>
      <c r="S52" s="8" t="s">
        <v>52</v>
      </c>
      <c r="T52" s="8" t="s">
        <v>70</v>
      </c>
      <c r="U52" s="8" t="s">
        <v>236</v>
      </c>
      <c r="V52" s="8">
        <v>1000</v>
      </c>
      <c r="W52" s="8" t="s">
        <v>241</v>
      </c>
      <c r="X52" s="8">
        <v>3000</v>
      </c>
      <c r="Y52" s="8" t="s">
        <v>278</v>
      </c>
      <c r="Z52" s="8">
        <v>110</v>
      </c>
      <c r="AA52" s="8" t="s">
        <v>525</v>
      </c>
      <c r="AB52" s="8" t="s">
        <v>236</v>
      </c>
      <c r="AC52" s="8" t="s">
        <v>236</v>
      </c>
      <c r="AD52" s="8" t="s">
        <v>236</v>
      </c>
      <c r="AE52" s="8" t="s">
        <v>68</v>
      </c>
      <c r="AF52" s="8" t="s">
        <v>236</v>
      </c>
      <c r="AG52" s="8" t="s">
        <v>236</v>
      </c>
      <c r="AH52" s="8" t="s">
        <v>236</v>
      </c>
      <c r="AI52" s="8" t="s">
        <v>236</v>
      </c>
      <c r="AJ52" t="s">
        <v>519</v>
      </c>
      <c r="AK52">
        <v>12</v>
      </c>
      <c r="AL52">
        <v>1</v>
      </c>
      <c r="AM52" t="s">
        <v>88</v>
      </c>
      <c r="AN52" t="s">
        <v>236</v>
      </c>
      <c r="AO52" t="s">
        <v>529</v>
      </c>
      <c r="AP52" t="s">
        <v>112</v>
      </c>
      <c r="AQ52">
        <v>12</v>
      </c>
      <c r="AR52" t="s">
        <v>524</v>
      </c>
      <c r="AS52" t="s">
        <v>236</v>
      </c>
      <c r="AT52" t="s">
        <v>140</v>
      </c>
      <c r="AU52">
        <v>12</v>
      </c>
      <c r="AV52">
        <v>1</v>
      </c>
      <c r="AW52" t="s">
        <v>432</v>
      </c>
      <c r="AX52" t="s">
        <v>221</v>
      </c>
      <c r="AY52" t="s">
        <v>295</v>
      </c>
      <c r="AZ52">
        <v>3</v>
      </c>
      <c r="BA52" t="s">
        <v>435</v>
      </c>
      <c r="BB52" t="s">
        <v>431</v>
      </c>
      <c r="BC52" t="s">
        <v>419</v>
      </c>
      <c r="BD52" t="s">
        <v>236</v>
      </c>
      <c r="BE52" t="s">
        <v>437</v>
      </c>
      <c r="BF52" t="s">
        <v>530</v>
      </c>
      <c r="BG52" t="s">
        <v>433</v>
      </c>
      <c r="BH52" t="s">
        <v>420</v>
      </c>
      <c r="BI52" t="s">
        <v>520</v>
      </c>
      <c r="BJ52" t="s">
        <v>68</v>
      </c>
      <c r="BK52" t="s">
        <v>236</v>
      </c>
      <c r="BL52" t="s">
        <v>236</v>
      </c>
      <c r="BM52" t="s">
        <v>236</v>
      </c>
      <c r="BN52" t="s">
        <v>68</v>
      </c>
      <c r="BO52" t="s">
        <v>236</v>
      </c>
      <c r="BP52" t="s">
        <v>236</v>
      </c>
      <c r="BQ52" t="s">
        <v>236</v>
      </c>
      <c r="BR52" t="s">
        <v>236</v>
      </c>
      <c r="BS52" t="s">
        <v>436</v>
      </c>
      <c r="BT52">
        <v>0</v>
      </c>
    </row>
    <row r="53" spans="1:72" x14ac:dyDescent="0.15">
      <c r="A53" s="43">
        <v>2022</v>
      </c>
      <c r="B53" s="8">
        <v>12</v>
      </c>
      <c r="C53" s="8">
        <v>1</v>
      </c>
      <c r="D53" s="8">
        <v>17</v>
      </c>
      <c r="E53" s="8" t="s">
        <v>236</v>
      </c>
      <c r="F53" s="8" t="s">
        <v>57</v>
      </c>
      <c r="G53" s="8">
        <v>2017</v>
      </c>
      <c r="H53" s="8">
        <v>12</v>
      </c>
      <c r="I53" s="8" t="s">
        <v>524</v>
      </c>
      <c r="J53" s="8" t="s">
        <v>236</v>
      </c>
      <c r="K53" s="8">
        <v>1982</v>
      </c>
      <c r="L53" s="17">
        <v>12</v>
      </c>
      <c r="M53" s="8">
        <v>1</v>
      </c>
      <c r="N53" s="8" t="s">
        <v>48</v>
      </c>
      <c r="O53" s="8" t="s">
        <v>221</v>
      </c>
      <c r="P53" s="8" t="s">
        <v>295</v>
      </c>
      <c r="Q53" s="8">
        <v>7000</v>
      </c>
      <c r="R53" s="8" t="s">
        <v>57</v>
      </c>
      <c r="S53" s="8" t="s">
        <v>52</v>
      </c>
      <c r="T53" s="8" t="s">
        <v>70</v>
      </c>
      <c r="U53" s="8" t="s">
        <v>236</v>
      </c>
      <c r="V53" s="8">
        <v>1000</v>
      </c>
      <c r="W53" s="8" t="s">
        <v>241</v>
      </c>
      <c r="X53" s="8">
        <v>3000</v>
      </c>
      <c r="Y53" s="8" t="s">
        <v>278</v>
      </c>
      <c r="Z53" s="8">
        <v>110</v>
      </c>
      <c r="AA53" s="8" t="s">
        <v>525</v>
      </c>
      <c r="AB53" s="8" t="s">
        <v>236</v>
      </c>
      <c r="AC53" s="8" t="s">
        <v>236</v>
      </c>
      <c r="AD53" s="8" t="s">
        <v>236</v>
      </c>
      <c r="AE53" s="8" t="s">
        <v>68</v>
      </c>
      <c r="AF53" s="8" t="s">
        <v>236</v>
      </c>
      <c r="AG53" s="8" t="s">
        <v>236</v>
      </c>
      <c r="AH53" s="8" t="s">
        <v>236</v>
      </c>
      <c r="AI53" s="8" t="s">
        <v>236</v>
      </c>
      <c r="AJ53" t="s">
        <v>519</v>
      </c>
      <c r="AK53">
        <v>12</v>
      </c>
      <c r="AL53">
        <v>1</v>
      </c>
      <c r="AM53" t="s">
        <v>88</v>
      </c>
      <c r="AN53" t="s">
        <v>236</v>
      </c>
      <c r="AO53" t="s">
        <v>529</v>
      </c>
      <c r="AP53" t="s">
        <v>112</v>
      </c>
      <c r="AQ53">
        <v>12</v>
      </c>
      <c r="AR53" t="s">
        <v>524</v>
      </c>
      <c r="AS53" t="s">
        <v>236</v>
      </c>
      <c r="AT53" t="s">
        <v>145</v>
      </c>
      <c r="AU53">
        <v>12</v>
      </c>
      <c r="AV53">
        <v>1</v>
      </c>
      <c r="AW53" t="s">
        <v>432</v>
      </c>
      <c r="AX53" t="s">
        <v>221</v>
      </c>
      <c r="AY53" t="s">
        <v>295</v>
      </c>
      <c r="AZ53">
        <v>3</v>
      </c>
      <c r="BA53" t="s">
        <v>435</v>
      </c>
      <c r="BB53" t="s">
        <v>431</v>
      </c>
      <c r="BC53" t="s">
        <v>419</v>
      </c>
      <c r="BD53" t="s">
        <v>236</v>
      </c>
      <c r="BE53" t="s">
        <v>437</v>
      </c>
      <c r="BF53" t="s">
        <v>530</v>
      </c>
      <c r="BG53" t="s">
        <v>433</v>
      </c>
      <c r="BH53" t="s">
        <v>420</v>
      </c>
      <c r="BI53" t="s">
        <v>520</v>
      </c>
      <c r="BJ53" t="s">
        <v>68</v>
      </c>
      <c r="BK53" t="s">
        <v>236</v>
      </c>
      <c r="BL53" t="s">
        <v>236</v>
      </c>
      <c r="BM53" t="s">
        <v>236</v>
      </c>
      <c r="BN53" t="s">
        <v>68</v>
      </c>
      <c r="BO53" t="s">
        <v>236</v>
      </c>
      <c r="BP53" t="s">
        <v>236</v>
      </c>
      <c r="BQ53" t="s">
        <v>236</v>
      </c>
      <c r="BR53" t="s">
        <v>236</v>
      </c>
      <c r="BS53" t="s">
        <v>436</v>
      </c>
      <c r="BT53">
        <v>0</v>
      </c>
    </row>
    <row r="54" spans="1:72" x14ac:dyDescent="0.15">
      <c r="A54" s="43">
        <v>2022</v>
      </c>
      <c r="B54" s="8">
        <v>12</v>
      </c>
      <c r="C54" s="8">
        <v>1</v>
      </c>
      <c r="D54" s="8">
        <v>17</v>
      </c>
      <c r="E54" s="8" t="s">
        <v>236</v>
      </c>
      <c r="F54" s="8" t="s">
        <v>57</v>
      </c>
      <c r="G54" s="8">
        <v>2017</v>
      </c>
      <c r="H54" s="8">
        <v>12</v>
      </c>
      <c r="I54" s="8" t="s">
        <v>524</v>
      </c>
      <c r="J54" s="8" t="s">
        <v>236</v>
      </c>
      <c r="K54" s="8">
        <v>1977</v>
      </c>
      <c r="L54" s="17">
        <v>12</v>
      </c>
      <c r="M54" s="8">
        <v>1</v>
      </c>
      <c r="N54" s="8" t="s">
        <v>48</v>
      </c>
      <c r="O54" s="8" t="s">
        <v>221</v>
      </c>
      <c r="P54" s="8" t="s">
        <v>295</v>
      </c>
      <c r="Q54" s="8">
        <v>7000</v>
      </c>
      <c r="R54" s="8" t="s">
        <v>57</v>
      </c>
      <c r="S54" s="8" t="s">
        <v>52</v>
      </c>
      <c r="T54" s="8" t="s">
        <v>70</v>
      </c>
      <c r="U54" s="8" t="s">
        <v>236</v>
      </c>
      <c r="V54" s="8">
        <v>1000</v>
      </c>
      <c r="W54" s="8" t="s">
        <v>241</v>
      </c>
      <c r="X54" s="8">
        <v>3000</v>
      </c>
      <c r="Y54" s="8" t="s">
        <v>278</v>
      </c>
      <c r="Z54" s="8">
        <v>110</v>
      </c>
      <c r="AA54" s="8" t="s">
        <v>525</v>
      </c>
      <c r="AB54" s="8" t="s">
        <v>236</v>
      </c>
      <c r="AC54" s="8" t="s">
        <v>236</v>
      </c>
      <c r="AD54" s="8" t="s">
        <v>236</v>
      </c>
      <c r="AE54" s="8" t="s">
        <v>68</v>
      </c>
      <c r="AF54" s="8" t="s">
        <v>236</v>
      </c>
      <c r="AG54" s="8" t="s">
        <v>236</v>
      </c>
      <c r="AH54" s="8" t="s">
        <v>236</v>
      </c>
      <c r="AI54" s="8" t="s">
        <v>236</v>
      </c>
      <c r="AJ54" t="s">
        <v>519</v>
      </c>
      <c r="AK54">
        <v>12</v>
      </c>
      <c r="AL54">
        <v>1</v>
      </c>
      <c r="AM54" t="s">
        <v>88</v>
      </c>
      <c r="AN54" t="s">
        <v>236</v>
      </c>
      <c r="AO54" t="s">
        <v>529</v>
      </c>
      <c r="AP54" t="s">
        <v>112</v>
      </c>
      <c r="AQ54">
        <v>12</v>
      </c>
      <c r="AR54" t="s">
        <v>524</v>
      </c>
      <c r="AS54" t="s">
        <v>236</v>
      </c>
      <c r="AT54" t="s">
        <v>150</v>
      </c>
      <c r="AU54">
        <v>12</v>
      </c>
      <c r="AV54">
        <v>1</v>
      </c>
      <c r="AW54" t="s">
        <v>432</v>
      </c>
      <c r="AX54" t="s">
        <v>221</v>
      </c>
      <c r="AY54" t="s">
        <v>295</v>
      </c>
      <c r="AZ54">
        <v>3</v>
      </c>
      <c r="BA54" t="s">
        <v>435</v>
      </c>
      <c r="BB54" t="s">
        <v>431</v>
      </c>
      <c r="BC54" t="s">
        <v>419</v>
      </c>
      <c r="BD54" t="s">
        <v>236</v>
      </c>
      <c r="BE54" t="s">
        <v>437</v>
      </c>
      <c r="BF54" t="s">
        <v>530</v>
      </c>
      <c r="BG54" t="s">
        <v>433</v>
      </c>
      <c r="BH54" t="s">
        <v>420</v>
      </c>
      <c r="BI54" t="s">
        <v>520</v>
      </c>
      <c r="BJ54" t="s">
        <v>68</v>
      </c>
      <c r="BK54" t="s">
        <v>236</v>
      </c>
      <c r="BL54" t="s">
        <v>236</v>
      </c>
      <c r="BM54" t="s">
        <v>236</v>
      </c>
      <c r="BN54" t="s">
        <v>68</v>
      </c>
      <c r="BO54" t="s">
        <v>236</v>
      </c>
      <c r="BP54" t="s">
        <v>236</v>
      </c>
      <c r="BQ54" t="s">
        <v>236</v>
      </c>
      <c r="BR54" t="s">
        <v>236</v>
      </c>
      <c r="BS54" t="s">
        <v>436</v>
      </c>
      <c r="BT54">
        <v>0</v>
      </c>
    </row>
    <row r="55" spans="1:72" x14ac:dyDescent="0.15">
      <c r="A55" s="43">
        <v>2022</v>
      </c>
      <c r="B55" s="8">
        <v>12</v>
      </c>
      <c r="C55" s="8">
        <v>1</v>
      </c>
      <c r="D55" s="8">
        <v>17</v>
      </c>
      <c r="E55" s="8" t="s">
        <v>236</v>
      </c>
      <c r="F55" s="8" t="s">
        <v>57</v>
      </c>
      <c r="G55" s="8">
        <v>2017</v>
      </c>
      <c r="H55" s="8">
        <v>12</v>
      </c>
      <c r="I55" s="8" t="s">
        <v>524</v>
      </c>
      <c r="J55" s="8" t="s">
        <v>236</v>
      </c>
      <c r="K55" s="8">
        <v>1972</v>
      </c>
      <c r="L55" s="17">
        <v>12</v>
      </c>
      <c r="M55" s="8">
        <v>1</v>
      </c>
      <c r="N55" s="8" t="s">
        <v>48</v>
      </c>
      <c r="O55" s="8" t="s">
        <v>221</v>
      </c>
      <c r="P55" s="8" t="s">
        <v>295</v>
      </c>
      <c r="Q55" s="8">
        <v>7000</v>
      </c>
      <c r="R55" s="8" t="s">
        <v>57</v>
      </c>
      <c r="S55" s="8" t="s">
        <v>52</v>
      </c>
      <c r="T55" s="8" t="s">
        <v>70</v>
      </c>
      <c r="U55" s="8" t="s">
        <v>236</v>
      </c>
      <c r="V55" s="8">
        <v>1000</v>
      </c>
      <c r="W55" s="8" t="s">
        <v>241</v>
      </c>
      <c r="X55" s="8">
        <v>3000</v>
      </c>
      <c r="Y55" s="8" t="s">
        <v>278</v>
      </c>
      <c r="Z55" s="8">
        <v>110</v>
      </c>
      <c r="AA55" s="8" t="s">
        <v>525</v>
      </c>
      <c r="AB55" s="8" t="s">
        <v>236</v>
      </c>
      <c r="AC55" s="8" t="s">
        <v>236</v>
      </c>
      <c r="AD55" s="8" t="s">
        <v>236</v>
      </c>
      <c r="AE55" s="8" t="s">
        <v>68</v>
      </c>
      <c r="AF55" s="8" t="s">
        <v>236</v>
      </c>
      <c r="AG55" s="8" t="s">
        <v>236</v>
      </c>
      <c r="AH55" s="8" t="s">
        <v>236</v>
      </c>
      <c r="AI55" s="8" t="s">
        <v>236</v>
      </c>
      <c r="AJ55" t="s">
        <v>519</v>
      </c>
      <c r="AK55">
        <v>12</v>
      </c>
      <c r="AL55">
        <v>1</v>
      </c>
      <c r="AM55" t="s">
        <v>88</v>
      </c>
      <c r="AN55" t="s">
        <v>236</v>
      </c>
      <c r="AO55" t="s">
        <v>529</v>
      </c>
      <c r="AP55" t="s">
        <v>112</v>
      </c>
      <c r="AQ55">
        <v>12</v>
      </c>
      <c r="AR55" t="s">
        <v>524</v>
      </c>
      <c r="AS55" t="s">
        <v>236</v>
      </c>
      <c r="AT55" t="s">
        <v>155</v>
      </c>
      <c r="AU55">
        <v>12</v>
      </c>
      <c r="AV55">
        <v>1</v>
      </c>
      <c r="AW55" t="s">
        <v>432</v>
      </c>
      <c r="AX55" t="s">
        <v>221</v>
      </c>
      <c r="AY55" t="s">
        <v>295</v>
      </c>
      <c r="AZ55">
        <v>3</v>
      </c>
      <c r="BA55" t="s">
        <v>435</v>
      </c>
      <c r="BB55" t="s">
        <v>431</v>
      </c>
      <c r="BC55" t="s">
        <v>419</v>
      </c>
      <c r="BD55" t="s">
        <v>236</v>
      </c>
      <c r="BE55" t="s">
        <v>437</v>
      </c>
      <c r="BF55" t="s">
        <v>530</v>
      </c>
      <c r="BG55" t="s">
        <v>433</v>
      </c>
      <c r="BH55" t="s">
        <v>420</v>
      </c>
      <c r="BI55" t="s">
        <v>520</v>
      </c>
      <c r="BJ55" t="s">
        <v>68</v>
      </c>
      <c r="BK55" t="s">
        <v>236</v>
      </c>
      <c r="BL55" t="s">
        <v>236</v>
      </c>
      <c r="BM55" t="s">
        <v>236</v>
      </c>
      <c r="BN55" t="s">
        <v>68</v>
      </c>
      <c r="BO55" t="s">
        <v>236</v>
      </c>
      <c r="BP55" t="s">
        <v>236</v>
      </c>
      <c r="BQ55" t="s">
        <v>236</v>
      </c>
      <c r="BR55" t="s">
        <v>236</v>
      </c>
      <c r="BS55" t="s">
        <v>436</v>
      </c>
      <c r="BT55">
        <v>0</v>
      </c>
    </row>
    <row r="56" spans="1:72" x14ac:dyDescent="0.15">
      <c r="A56" s="43">
        <v>2022</v>
      </c>
      <c r="B56" s="8">
        <v>12</v>
      </c>
      <c r="C56" s="8">
        <v>1</v>
      </c>
      <c r="D56" s="8">
        <v>17</v>
      </c>
      <c r="E56" s="8" t="s">
        <v>236</v>
      </c>
      <c r="F56" s="8" t="s">
        <v>57</v>
      </c>
      <c r="G56" s="8">
        <v>2017</v>
      </c>
      <c r="H56" s="8">
        <v>12</v>
      </c>
      <c r="I56" s="8" t="s">
        <v>524</v>
      </c>
      <c r="J56" s="8" t="s">
        <v>236</v>
      </c>
      <c r="K56" s="8">
        <v>1962</v>
      </c>
      <c r="L56" s="17">
        <v>12</v>
      </c>
      <c r="M56" s="8">
        <v>1</v>
      </c>
      <c r="N56" s="8" t="s">
        <v>48</v>
      </c>
      <c r="O56" s="8" t="s">
        <v>221</v>
      </c>
      <c r="P56" s="8" t="s">
        <v>295</v>
      </c>
      <c r="Q56" s="8">
        <v>7000</v>
      </c>
      <c r="R56" s="8" t="s">
        <v>57</v>
      </c>
      <c r="S56" s="8" t="s">
        <v>52</v>
      </c>
      <c r="T56" s="8" t="s">
        <v>70</v>
      </c>
      <c r="U56" s="8" t="s">
        <v>236</v>
      </c>
      <c r="V56" s="8">
        <v>1000</v>
      </c>
      <c r="W56" s="8" t="s">
        <v>241</v>
      </c>
      <c r="X56" s="8">
        <v>3000</v>
      </c>
      <c r="Y56" s="8" t="s">
        <v>278</v>
      </c>
      <c r="Z56" s="8">
        <v>110</v>
      </c>
      <c r="AA56" s="8" t="s">
        <v>525</v>
      </c>
      <c r="AB56" s="8" t="s">
        <v>236</v>
      </c>
      <c r="AC56" s="8" t="s">
        <v>236</v>
      </c>
      <c r="AD56" s="8" t="s">
        <v>236</v>
      </c>
      <c r="AE56" s="8" t="s">
        <v>68</v>
      </c>
      <c r="AF56" s="8" t="s">
        <v>236</v>
      </c>
      <c r="AG56" s="8" t="s">
        <v>236</v>
      </c>
      <c r="AH56" s="8" t="s">
        <v>236</v>
      </c>
      <c r="AI56" s="8" t="s">
        <v>236</v>
      </c>
      <c r="AJ56" t="s">
        <v>519</v>
      </c>
      <c r="AK56">
        <v>12</v>
      </c>
      <c r="AL56">
        <v>1</v>
      </c>
      <c r="AM56" t="s">
        <v>88</v>
      </c>
      <c r="AN56" t="s">
        <v>236</v>
      </c>
      <c r="AO56" t="s">
        <v>529</v>
      </c>
      <c r="AP56" t="s">
        <v>112</v>
      </c>
      <c r="AQ56">
        <v>12</v>
      </c>
      <c r="AR56" t="s">
        <v>524</v>
      </c>
      <c r="AS56" t="s">
        <v>236</v>
      </c>
      <c r="AT56" t="s">
        <v>165</v>
      </c>
      <c r="AU56">
        <v>12</v>
      </c>
      <c r="AV56">
        <v>1</v>
      </c>
      <c r="AW56" t="s">
        <v>432</v>
      </c>
      <c r="AX56" t="s">
        <v>221</v>
      </c>
      <c r="AY56" t="s">
        <v>295</v>
      </c>
      <c r="AZ56">
        <v>3</v>
      </c>
      <c r="BA56" t="s">
        <v>435</v>
      </c>
      <c r="BB56" t="s">
        <v>431</v>
      </c>
      <c r="BC56" t="s">
        <v>419</v>
      </c>
      <c r="BD56" t="s">
        <v>236</v>
      </c>
      <c r="BE56" t="s">
        <v>437</v>
      </c>
      <c r="BF56" t="s">
        <v>530</v>
      </c>
      <c r="BG56" t="s">
        <v>433</v>
      </c>
      <c r="BH56" t="s">
        <v>420</v>
      </c>
      <c r="BI56" t="s">
        <v>520</v>
      </c>
      <c r="BJ56" t="s">
        <v>68</v>
      </c>
      <c r="BK56" t="s">
        <v>236</v>
      </c>
      <c r="BL56" t="s">
        <v>236</v>
      </c>
      <c r="BM56" t="s">
        <v>236</v>
      </c>
      <c r="BN56" t="s">
        <v>68</v>
      </c>
      <c r="BO56" t="s">
        <v>236</v>
      </c>
      <c r="BP56" t="s">
        <v>236</v>
      </c>
      <c r="BQ56" t="s">
        <v>236</v>
      </c>
      <c r="BR56" t="s">
        <v>236</v>
      </c>
      <c r="BS56" t="s">
        <v>436</v>
      </c>
      <c r="BT56">
        <v>0</v>
      </c>
    </row>
    <row r="57" spans="1:72" x14ac:dyDescent="0.15">
      <c r="A57" s="43">
        <v>2022</v>
      </c>
      <c r="B57" s="8">
        <v>12</v>
      </c>
      <c r="C57" s="8">
        <v>1</v>
      </c>
      <c r="D57" s="8">
        <v>17</v>
      </c>
      <c r="E57" s="8" t="s">
        <v>236</v>
      </c>
      <c r="F57" s="8" t="s">
        <v>57</v>
      </c>
      <c r="G57" s="8">
        <v>2017</v>
      </c>
      <c r="H57" s="8">
        <v>12</v>
      </c>
      <c r="I57" s="8" t="s">
        <v>524</v>
      </c>
      <c r="J57" s="8" t="s">
        <v>236</v>
      </c>
      <c r="K57" s="8">
        <v>1952</v>
      </c>
      <c r="L57" s="17">
        <v>12</v>
      </c>
      <c r="M57" s="8">
        <v>1</v>
      </c>
      <c r="N57" s="8" t="s">
        <v>48</v>
      </c>
      <c r="O57" s="8" t="s">
        <v>221</v>
      </c>
      <c r="P57" s="8" t="s">
        <v>295</v>
      </c>
      <c r="Q57" s="8">
        <v>7000</v>
      </c>
      <c r="R57" s="8" t="s">
        <v>57</v>
      </c>
      <c r="S57" s="8" t="s">
        <v>52</v>
      </c>
      <c r="T57" s="8" t="s">
        <v>70</v>
      </c>
      <c r="U57" s="8" t="s">
        <v>236</v>
      </c>
      <c r="V57" s="8">
        <v>1000</v>
      </c>
      <c r="W57" s="8" t="s">
        <v>241</v>
      </c>
      <c r="X57" s="8">
        <v>3000</v>
      </c>
      <c r="Y57" s="8" t="s">
        <v>278</v>
      </c>
      <c r="Z57" s="8">
        <v>110</v>
      </c>
      <c r="AA57" s="8" t="s">
        <v>525</v>
      </c>
      <c r="AB57" s="8" t="s">
        <v>236</v>
      </c>
      <c r="AC57" s="8" t="s">
        <v>236</v>
      </c>
      <c r="AD57" s="8" t="s">
        <v>236</v>
      </c>
      <c r="AE57" s="8" t="s">
        <v>68</v>
      </c>
      <c r="AF57" s="8" t="s">
        <v>236</v>
      </c>
      <c r="AG57" s="8" t="s">
        <v>236</v>
      </c>
      <c r="AH57" s="8" t="s">
        <v>236</v>
      </c>
      <c r="AI57" s="8" t="s">
        <v>236</v>
      </c>
      <c r="AJ57" t="s">
        <v>519</v>
      </c>
      <c r="AK57">
        <v>12</v>
      </c>
      <c r="AL57">
        <v>1</v>
      </c>
      <c r="AM57" t="s">
        <v>88</v>
      </c>
      <c r="AN57" t="s">
        <v>236</v>
      </c>
      <c r="AO57" t="s">
        <v>529</v>
      </c>
      <c r="AP57" t="s">
        <v>112</v>
      </c>
      <c r="AQ57">
        <v>12</v>
      </c>
      <c r="AR57" t="s">
        <v>524</v>
      </c>
      <c r="AS57" t="s">
        <v>236</v>
      </c>
      <c r="AT57" t="s">
        <v>175</v>
      </c>
      <c r="AU57">
        <v>12</v>
      </c>
      <c r="AV57">
        <v>1</v>
      </c>
      <c r="AW57" t="s">
        <v>432</v>
      </c>
      <c r="AX57" t="s">
        <v>221</v>
      </c>
      <c r="AY57" t="s">
        <v>295</v>
      </c>
      <c r="AZ57">
        <v>3</v>
      </c>
      <c r="BA57" t="s">
        <v>435</v>
      </c>
      <c r="BB57" t="s">
        <v>431</v>
      </c>
      <c r="BC57" t="s">
        <v>419</v>
      </c>
      <c r="BD57" t="s">
        <v>236</v>
      </c>
      <c r="BE57" t="s">
        <v>437</v>
      </c>
      <c r="BF57" t="s">
        <v>530</v>
      </c>
      <c r="BG57" t="s">
        <v>433</v>
      </c>
      <c r="BH57" t="s">
        <v>420</v>
      </c>
      <c r="BI57" t="s">
        <v>520</v>
      </c>
      <c r="BJ57" t="s">
        <v>68</v>
      </c>
      <c r="BK57" t="s">
        <v>236</v>
      </c>
      <c r="BL57" t="s">
        <v>236</v>
      </c>
      <c r="BM57" t="s">
        <v>236</v>
      </c>
      <c r="BN57" t="s">
        <v>68</v>
      </c>
      <c r="BO57" t="s">
        <v>236</v>
      </c>
      <c r="BP57" t="s">
        <v>236</v>
      </c>
      <c r="BQ57" t="s">
        <v>236</v>
      </c>
      <c r="BR57" t="s">
        <v>236</v>
      </c>
      <c r="BS57" t="s">
        <v>436</v>
      </c>
      <c r="BT57">
        <v>0</v>
      </c>
    </row>
    <row r="58" spans="1:72" x14ac:dyDescent="0.15">
      <c r="A58" s="43">
        <v>2022</v>
      </c>
      <c r="B58" s="8">
        <v>12</v>
      </c>
      <c r="C58" s="8">
        <v>1</v>
      </c>
      <c r="D58" s="8">
        <v>10</v>
      </c>
      <c r="E58" s="8" t="s">
        <v>236</v>
      </c>
      <c r="F58" s="8" t="s">
        <v>57</v>
      </c>
      <c r="G58" s="8">
        <v>2017</v>
      </c>
      <c r="H58" s="8">
        <v>12</v>
      </c>
      <c r="I58" s="8" t="s">
        <v>524</v>
      </c>
      <c r="J58" s="8" t="s">
        <v>236</v>
      </c>
      <c r="K58" s="8">
        <v>1992</v>
      </c>
      <c r="L58" s="17">
        <v>12</v>
      </c>
      <c r="M58" s="8">
        <v>1</v>
      </c>
      <c r="N58" s="8" t="s">
        <v>48</v>
      </c>
      <c r="O58" s="8" t="s">
        <v>221</v>
      </c>
      <c r="P58" s="8" t="s">
        <v>224</v>
      </c>
      <c r="Q58" s="8">
        <v>3000</v>
      </c>
      <c r="R58" s="8" t="s">
        <v>57</v>
      </c>
      <c r="S58" s="8" t="s">
        <v>52</v>
      </c>
      <c r="T58" s="8" t="s">
        <v>70</v>
      </c>
      <c r="U58" s="8" t="s">
        <v>236</v>
      </c>
      <c r="V58" s="8">
        <v>1000</v>
      </c>
      <c r="W58" s="8" t="s">
        <v>241</v>
      </c>
      <c r="X58" s="8">
        <v>3000</v>
      </c>
      <c r="Y58" s="8" t="s">
        <v>278</v>
      </c>
      <c r="Z58" s="8">
        <v>110</v>
      </c>
      <c r="AA58" s="8" t="s">
        <v>525</v>
      </c>
      <c r="AB58" s="8" t="s">
        <v>236</v>
      </c>
      <c r="AC58" s="8" t="s">
        <v>236</v>
      </c>
      <c r="AD58" s="8" t="s">
        <v>236</v>
      </c>
      <c r="AE58" s="8" t="s">
        <v>68</v>
      </c>
      <c r="AF58" s="8" t="s">
        <v>236</v>
      </c>
      <c r="AG58" s="8" t="s">
        <v>236</v>
      </c>
      <c r="AH58" s="8" t="s">
        <v>236</v>
      </c>
      <c r="AI58" s="8" t="s">
        <v>236</v>
      </c>
      <c r="AJ58" t="s">
        <v>519</v>
      </c>
      <c r="AK58">
        <v>12</v>
      </c>
      <c r="AL58">
        <v>1</v>
      </c>
      <c r="AM58" t="s">
        <v>95</v>
      </c>
      <c r="AN58" t="s">
        <v>236</v>
      </c>
      <c r="AO58" t="s">
        <v>529</v>
      </c>
      <c r="AP58" t="s">
        <v>112</v>
      </c>
      <c r="AQ58">
        <v>12</v>
      </c>
      <c r="AR58" t="s">
        <v>524</v>
      </c>
      <c r="AS58" t="s">
        <v>236</v>
      </c>
      <c r="AT58" t="s">
        <v>137</v>
      </c>
      <c r="AU58">
        <v>12</v>
      </c>
      <c r="AV58">
        <v>1</v>
      </c>
      <c r="AW58" t="s">
        <v>432</v>
      </c>
      <c r="AX58" t="s">
        <v>221</v>
      </c>
      <c r="AY58" t="s">
        <v>224</v>
      </c>
      <c r="AZ58">
        <v>1</v>
      </c>
      <c r="BA58" t="s">
        <v>435</v>
      </c>
      <c r="BB58" t="s">
        <v>431</v>
      </c>
      <c r="BC58" t="s">
        <v>419</v>
      </c>
      <c r="BD58" t="s">
        <v>236</v>
      </c>
      <c r="BE58" t="s">
        <v>437</v>
      </c>
      <c r="BF58" t="s">
        <v>530</v>
      </c>
      <c r="BG58" t="s">
        <v>433</v>
      </c>
      <c r="BH58" t="s">
        <v>420</v>
      </c>
      <c r="BI58" t="s">
        <v>520</v>
      </c>
      <c r="BJ58" t="s">
        <v>68</v>
      </c>
      <c r="BK58" t="s">
        <v>236</v>
      </c>
      <c r="BL58" t="s">
        <v>236</v>
      </c>
      <c r="BM58" t="s">
        <v>236</v>
      </c>
      <c r="BN58" t="s">
        <v>68</v>
      </c>
      <c r="BO58" t="s">
        <v>236</v>
      </c>
      <c r="BP58" t="s">
        <v>236</v>
      </c>
      <c r="BQ58" t="s">
        <v>236</v>
      </c>
      <c r="BR58" t="s">
        <v>236</v>
      </c>
      <c r="BS58" t="s">
        <v>436</v>
      </c>
      <c r="BT58">
        <v>0</v>
      </c>
    </row>
    <row r="59" spans="1:72" x14ac:dyDescent="0.15">
      <c r="A59" s="43">
        <v>2022</v>
      </c>
      <c r="B59" s="8">
        <v>12</v>
      </c>
      <c r="C59" s="8">
        <v>1</v>
      </c>
      <c r="D59" s="8">
        <v>10</v>
      </c>
      <c r="E59" s="8" t="s">
        <v>236</v>
      </c>
      <c r="F59" s="8" t="s">
        <v>57</v>
      </c>
      <c r="G59" s="8">
        <v>2017</v>
      </c>
      <c r="H59" s="8">
        <v>12</v>
      </c>
      <c r="I59" s="8" t="s">
        <v>524</v>
      </c>
      <c r="J59" s="8" t="s">
        <v>236</v>
      </c>
      <c r="K59" s="8">
        <v>1987</v>
      </c>
      <c r="L59" s="17">
        <v>12</v>
      </c>
      <c r="M59" s="8">
        <v>1</v>
      </c>
      <c r="N59" s="8" t="s">
        <v>48</v>
      </c>
      <c r="O59" s="8" t="s">
        <v>221</v>
      </c>
      <c r="P59" s="8" t="s">
        <v>224</v>
      </c>
      <c r="Q59" s="8">
        <v>3000</v>
      </c>
      <c r="R59" s="8" t="s">
        <v>57</v>
      </c>
      <c r="S59" s="8" t="s">
        <v>52</v>
      </c>
      <c r="T59" s="8" t="s">
        <v>70</v>
      </c>
      <c r="U59" s="8" t="s">
        <v>236</v>
      </c>
      <c r="V59" s="8">
        <v>1000</v>
      </c>
      <c r="W59" s="8" t="s">
        <v>241</v>
      </c>
      <c r="X59" s="8">
        <v>3000</v>
      </c>
      <c r="Y59" s="8" t="s">
        <v>278</v>
      </c>
      <c r="Z59" s="8">
        <v>110</v>
      </c>
      <c r="AA59" s="8" t="s">
        <v>525</v>
      </c>
      <c r="AB59" s="8" t="s">
        <v>236</v>
      </c>
      <c r="AC59" s="8" t="s">
        <v>236</v>
      </c>
      <c r="AD59" s="8" t="s">
        <v>236</v>
      </c>
      <c r="AE59" s="8" t="s">
        <v>68</v>
      </c>
      <c r="AF59" s="8" t="s">
        <v>236</v>
      </c>
      <c r="AG59" s="8" t="s">
        <v>236</v>
      </c>
      <c r="AH59" s="8" t="s">
        <v>236</v>
      </c>
      <c r="AI59" s="8" t="s">
        <v>236</v>
      </c>
      <c r="AJ59" t="s">
        <v>519</v>
      </c>
      <c r="AK59">
        <v>12</v>
      </c>
      <c r="AL59">
        <v>1</v>
      </c>
      <c r="AM59" t="s">
        <v>95</v>
      </c>
      <c r="AN59" t="s">
        <v>236</v>
      </c>
      <c r="AO59" t="s">
        <v>529</v>
      </c>
      <c r="AP59" t="s">
        <v>112</v>
      </c>
      <c r="AQ59">
        <v>12</v>
      </c>
      <c r="AR59" t="s">
        <v>524</v>
      </c>
      <c r="AS59" t="s">
        <v>236</v>
      </c>
      <c r="AT59" t="s">
        <v>140</v>
      </c>
      <c r="AU59">
        <v>12</v>
      </c>
      <c r="AV59">
        <v>1</v>
      </c>
      <c r="AW59" t="s">
        <v>432</v>
      </c>
      <c r="AX59" t="s">
        <v>221</v>
      </c>
      <c r="AY59" t="s">
        <v>224</v>
      </c>
      <c r="AZ59">
        <v>1</v>
      </c>
      <c r="BA59" t="s">
        <v>435</v>
      </c>
      <c r="BB59" t="s">
        <v>431</v>
      </c>
      <c r="BC59" t="s">
        <v>419</v>
      </c>
      <c r="BD59" t="s">
        <v>236</v>
      </c>
      <c r="BE59" t="s">
        <v>437</v>
      </c>
      <c r="BF59" t="s">
        <v>530</v>
      </c>
      <c r="BG59" t="s">
        <v>433</v>
      </c>
      <c r="BH59" t="s">
        <v>420</v>
      </c>
      <c r="BI59" t="s">
        <v>520</v>
      </c>
      <c r="BJ59" t="s">
        <v>68</v>
      </c>
      <c r="BK59" t="s">
        <v>236</v>
      </c>
      <c r="BL59" t="s">
        <v>236</v>
      </c>
      <c r="BM59" t="s">
        <v>236</v>
      </c>
      <c r="BN59" t="s">
        <v>68</v>
      </c>
      <c r="BO59" t="s">
        <v>236</v>
      </c>
      <c r="BP59" t="s">
        <v>236</v>
      </c>
      <c r="BQ59" t="s">
        <v>236</v>
      </c>
      <c r="BR59" t="s">
        <v>236</v>
      </c>
      <c r="BS59" t="s">
        <v>436</v>
      </c>
      <c r="BT59">
        <v>0</v>
      </c>
    </row>
    <row r="60" spans="1:72" x14ac:dyDescent="0.15">
      <c r="A60" s="43">
        <v>2022</v>
      </c>
      <c r="B60" s="8">
        <v>12</v>
      </c>
      <c r="C60" s="8">
        <v>1</v>
      </c>
      <c r="D60" s="8">
        <v>10</v>
      </c>
      <c r="E60" s="8" t="s">
        <v>236</v>
      </c>
      <c r="F60" s="8" t="s">
        <v>57</v>
      </c>
      <c r="G60" s="8">
        <v>2017</v>
      </c>
      <c r="H60" s="8">
        <v>12</v>
      </c>
      <c r="I60" s="8" t="s">
        <v>524</v>
      </c>
      <c r="J60" s="8" t="s">
        <v>236</v>
      </c>
      <c r="K60" s="8">
        <v>1982</v>
      </c>
      <c r="L60" s="17">
        <v>12</v>
      </c>
      <c r="M60" s="8">
        <v>1</v>
      </c>
      <c r="N60" s="8" t="s">
        <v>48</v>
      </c>
      <c r="O60" s="8" t="s">
        <v>221</v>
      </c>
      <c r="P60" s="8" t="s">
        <v>224</v>
      </c>
      <c r="Q60" s="8">
        <v>3000</v>
      </c>
      <c r="R60" s="8" t="s">
        <v>57</v>
      </c>
      <c r="S60" s="8" t="s">
        <v>52</v>
      </c>
      <c r="T60" s="8" t="s">
        <v>70</v>
      </c>
      <c r="U60" s="8" t="s">
        <v>236</v>
      </c>
      <c r="V60" s="8">
        <v>1000</v>
      </c>
      <c r="W60" s="8" t="s">
        <v>241</v>
      </c>
      <c r="X60" s="8">
        <v>3000</v>
      </c>
      <c r="Y60" s="8" t="s">
        <v>278</v>
      </c>
      <c r="Z60" s="8">
        <v>110</v>
      </c>
      <c r="AA60" s="8" t="s">
        <v>525</v>
      </c>
      <c r="AB60" s="8" t="s">
        <v>236</v>
      </c>
      <c r="AC60" s="8" t="s">
        <v>236</v>
      </c>
      <c r="AD60" s="8" t="s">
        <v>236</v>
      </c>
      <c r="AE60" s="8" t="s">
        <v>68</v>
      </c>
      <c r="AF60" s="8" t="s">
        <v>236</v>
      </c>
      <c r="AG60" s="8" t="s">
        <v>236</v>
      </c>
      <c r="AH60" s="8" t="s">
        <v>236</v>
      </c>
      <c r="AI60" s="8" t="s">
        <v>236</v>
      </c>
      <c r="AJ60" t="s">
        <v>519</v>
      </c>
      <c r="AK60">
        <v>12</v>
      </c>
      <c r="AL60">
        <v>1</v>
      </c>
      <c r="AM60" t="s">
        <v>95</v>
      </c>
      <c r="AN60" t="s">
        <v>236</v>
      </c>
      <c r="AO60" t="s">
        <v>529</v>
      </c>
      <c r="AP60" t="s">
        <v>112</v>
      </c>
      <c r="AQ60">
        <v>12</v>
      </c>
      <c r="AR60" t="s">
        <v>524</v>
      </c>
      <c r="AS60" t="s">
        <v>236</v>
      </c>
      <c r="AT60" t="s">
        <v>145</v>
      </c>
      <c r="AU60">
        <v>12</v>
      </c>
      <c r="AV60">
        <v>1</v>
      </c>
      <c r="AW60" t="s">
        <v>432</v>
      </c>
      <c r="AX60" t="s">
        <v>221</v>
      </c>
      <c r="AY60" t="s">
        <v>224</v>
      </c>
      <c r="AZ60">
        <v>1</v>
      </c>
      <c r="BA60" t="s">
        <v>435</v>
      </c>
      <c r="BB60" t="s">
        <v>431</v>
      </c>
      <c r="BC60" t="s">
        <v>419</v>
      </c>
      <c r="BD60" t="s">
        <v>236</v>
      </c>
      <c r="BE60" t="s">
        <v>437</v>
      </c>
      <c r="BF60" t="s">
        <v>530</v>
      </c>
      <c r="BG60" t="s">
        <v>433</v>
      </c>
      <c r="BH60" t="s">
        <v>420</v>
      </c>
      <c r="BI60" t="s">
        <v>520</v>
      </c>
      <c r="BJ60" t="s">
        <v>68</v>
      </c>
      <c r="BK60" t="s">
        <v>236</v>
      </c>
      <c r="BL60" t="s">
        <v>236</v>
      </c>
      <c r="BM60" t="s">
        <v>236</v>
      </c>
      <c r="BN60" t="s">
        <v>68</v>
      </c>
      <c r="BO60" t="s">
        <v>236</v>
      </c>
      <c r="BP60" t="s">
        <v>236</v>
      </c>
      <c r="BQ60" t="s">
        <v>236</v>
      </c>
      <c r="BR60" t="s">
        <v>236</v>
      </c>
      <c r="BS60" t="s">
        <v>436</v>
      </c>
      <c r="BT60">
        <v>0</v>
      </c>
    </row>
    <row r="61" spans="1:72" x14ac:dyDescent="0.15">
      <c r="A61" s="43">
        <v>2022</v>
      </c>
      <c r="B61" s="8">
        <v>12</v>
      </c>
      <c r="C61" s="8">
        <v>1</v>
      </c>
      <c r="D61" s="8">
        <v>10</v>
      </c>
      <c r="E61" s="8" t="s">
        <v>236</v>
      </c>
      <c r="F61" s="8" t="s">
        <v>57</v>
      </c>
      <c r="G61" s="8">
        <v>2017</v>
      </c>
      <c r="H61" s="8">
        <v>12</v>
      </c>
      <c r="I61" s="8" t="s">
        <v>524</v>
      </c>
      <c r="J61" s="8" t="s">
        <v>236</v>
      </c>
      <c r="K61" s="8">
        <v>1977</v>
      </c>
      <c r="L61" s="17">
        <v>12</v>
      </c>
      <c r="M61" s="8">
        <v>1</v>
      </c>
      <c r="N61" s="8" t="s">
        <v>48</v>
      </c>
      <c r="O61" s="8" t="s">
        <v>221</v>
      </c>
      <c r="P61" s="8" t="s">
        <v>224</v>
      </c>
      <c r="Q61" s="8">
        <v>3000</v>
      </c>
      <c r="R61" s="8" t="s">
        <v>57</v>
      </c>
      <c r="S61" s="8" t="s">
        <v>52</v>
      </c>
      <c r="T61" s="8" t="s">
        <v>70</v>
      </c>
      <c r="U61" s="8" t="s">
        <v>236</v>
      </c>
      <c r="V61" s="8">
        <v>1000</v>
      </c>
      <c r="W61" s="8" t="s">
        <v>241</v>
      </c>
      <c r="X61" s="8">
        <v>3000</v>
      </c>
      <c r="Y61" s="8" t="s">
        <v>278</v>
      </c>
      <c r="Z61" s="8">
        <v>110</v>
      </c>
      <c r="AA61" s="8" t="s">
        <v>525</v>
      </c>
      <c r="AB61" s="8" t="s">
        <v>236</v>
      </c>
      <c r="AC61" s="8" t="s">
        <v>236</v>
      </c>
      <c r="AD61" s="8" t="s">
        <v>236</v>
      </c>
      <c r="AE61" s="8" t="s">
        <v>68</v>
      </c>
      <c r="AF61" s="8" t="s">
        <v>236</v>
      </c>
      <c r="AG61" s="8" t="s">
        <v>236</v>
      </c>
      <c r="AH61" s="8" t="s">
        <v>236</v>
      </c>
      <c r="AI61" s="8" t="s">
        <v>236</v>
      </c>
      <c r="AJ61" t="s">
        <v>519</v>
      </c>
      <c r="AK61">
        <v>12</v>
      </c>
      <c r="AL61">
        <v>1</v>
      </c>
      <c r="AM61" t="s">
        <v>95</v>
      </c>
      <c r="AN61" t="s">
        <v>236</v>
      </c>
      <c r="AO61" t="s">
        <v>529</v>
      </c>
      <c r="AP61" t="s">
        <v>112</v>
      </c>
      <c r="AQ61">
        <v>12</v>
      </c>
      <c r="AR61" t="s">
        <v>524</v>
      </c>
      <c r="AS61" t="s">
        <v>236</v>
      </c>
      <c r="AT61" t="s">
        <v>150</v>
      </c>
      <c r="AU61">
        <v>12</v>
      </c>
      <c r="AV61">
        <v>1</v>
      </c>
      <c r="AW61" t="s">
        <v>432</v>
      </c>
      <c r="AX61" t="s">
        <v>221</v>
      </c>
      <c r="AY61" t="s">
        <v>224</v>
      </c>
      <c r="AZ61">
        <v>1</v>
      </c>
      <c r="BA61" t="s">
        <v>435</v>
      </c>
      <c r="BB61" t="s">
        <v>431</v>
      </c>
      <c r="BC61" t="s">
        <v>419</v>
      </c>
      <c r="BD61" t="s">
        <v>236</v>
      </c>
      <c r="BE61" t="s">
        <v>437</v>
      </c>
      <c r="BF61" t="s">
        <v>530</v>
      </c>
      <c r="BG61" t="s">
        <v>433</v>
      </c>
      <c r="BH61" t="s">
        <v>420</v>
      </c>
      <c r="BI61" t="s">
        <v>520</v>
      </c>
      <c r="BJ61" t="s">
        <v>68</v>
      </c>
      <c r="BK61" t="s">
        <v>236</v>
      </c>
      <c r="BL61" t="s">
        <v>236</v>
      </c>
      <c r="BM61" t="s">
        <v>236</v>
      </c>
      <c r="BN61" t="s">
        <v>68</v>
      </c>
      <c r="BO61" t="s">
        <v>236</v>
      </c>
      <c r="BP61" t="s">
        <v>236</v>
      </c>
      <c r="BQ61" t="s">
        <v>236</v>
      </c>
      <c r="BR61" t="s">
        <v>236</v>
      </c>
      <c r="BS61" t="s">
        <v>436</v>
      </c>
      <c r="BT61">
        <v>0</v>
      </c>
    </row>
    <row r="62" spans="1:72" x14ac:dyDescent="0.15">
      <c r="A62" s="43">
        <v>2022</v>
      </c>
      <c r="B62" s="8">
        <v>12</v>
      </c>
      <c r="C62" s="8">
        <v>1</v>
      </c>
      <c r="D62" s="8">
        <v>10</v>
      </c>
      <c r="E62" s="8" t="s">
        <v>236</v>
      </c>
      <c r="F62" s="8" t="s">
        <v>57</v>
      </c>
      <c r="G62" s="8">
        <v>2017</v>
      </c>
      <c r="H62" s="8">
        <v>12</v>
      </c>
      <c r="I62" s="8" t="s">
        <v>524</v>
      </c>
      <c r="J62" s="8" t="s">
        <v>236</v>
      </c>
      <c r="K62" s="8">
        <v>1972</v>
      </c>
      <c r="L62" s="17">
        <v>12</v>
      </c>
      <c r="M62" s="8">
        <v>1</v>
      </c>
      <c r="N62" s="8" t="s">
        <v>48</v>
      </c>
      <c r="O62" s="8" t="s">
        <v>221</v>
      </c>
      <c r="P62" s="8" t="s">
        <v>224</v>
      </c>
      <c r="Q62" s="8">
        <v>3000</v>
      </c>
      <c r="R62" s="8" t="s">
        <v>57</v>
      </c>
      <c r="S62" s="8" t="s">
        <v>52</v>
      </c>
      <c r="T62" s="8" t="s">
        <v>70</v>
      </c>
      <c r="U62" s="8" t="s">
        <v>236</v>
      </c>
      <c r="V62" s="8">
        <v>1000</v>
      </c>
      <c r="W62" s="8" t="s">
        <v>241</v>
      </c>
      <c r="X62" s="8">
        <v>3000</v>
      </c>
      <c r="Y62" s="8" t="s">
        <v>278</v>
      </c>
      <c r="Z62" s="8">
        <v>110</v>
      </c>
      <c r="AA62" s="8" t="s">
        <v>525</v>
      </c>
      <c r="AB62" s="8" t="s">
        <v>236</v>
      </c>
      <c r="AC62" s="8" t="s">
        <v>236</v>
      </c>
      <c r="AD62" s="8" t="s">
        <v>236</v>
      </c>
      <c r="AE62" s="8" t="s">
        <v>68</v>
      </c>
      <c r="AF62" s="8" t="s">
        <v>236</v>
      </c>
      <c r="AG62" s="8" t="s">
        <v>236</v>
      </c>
      <c r="AH62" s="8" t="s">
        <v>236</v>
      </c>
      <c r="AI62" s="8" t="s">
        <v>236</v>
      </c>
      <c r="AJ62" t="s">
        <v>519</v>
      </c>
      <c r="AK62">
        <v>12</v>
      </c>
      <c r="AL62">
        <v>1</v>
      </c>
      <c r="AM62" t="s">
        <v>95</v>
      </c>
      <c r="AN62" t="s">
        <v>236</v>
      </c>
      <c r="AO62" t="s">
        <v>529</v>
      </c>
      <c r="AP62" t="s">
        <v>112</v>
      </c>
      <c r="AQ62">
        <v>12</v>
      </c>
      <c r="AR62" t="s">
        <v>524</v>
      </c>
      <c r="AS62" t="s">
        <v>236</v>
      </c>
      <c r="AT62" t="s">
        <v>155</v>
      </c>
      <c r="AU62">
        <v>12</v>
      </c>
      <c r="AV62">
        <v>1</v>
      </c>
      <c r="AW62" t="s">
        <v>432</v>
      </c>
      <c r="AX62" t="s">
        <v>221</v>
      </c>
      <c r="AY62" t="s">
        <v>224</v>
      </c>
      <c r="AZ62">
        <v>1</v>
      </c>
      <c r="BA62" t="s">
        <v>435</v>
      </c>
      <c r="BB62" t="s">
        <v>431</v>
      </c>
      <c r="BC62" t="s">
        <v>419</v>
      </c>
      <c r="BD62" t="s">
        <v>236</v>
      </c>
      <c r="BE62" t="s">
        <v>437</v>
      </c>
      <c r="BF62" t="s">
        <v>530</v>
      </c>
      <c r="BG62" t="s">
        <v>433</v>
      </c>
      <c r="BH62" t="s">
        <v>420</v>
      </c>
      <c r="BI62" t="s">
        <v>520</v>
      </c>
      <c r="BJ62" t="s">
        <v>68</v>
      </c>
      <c r="BK62" t="s">
        <v>236</v>
      </c>
      <c r="BL62" t="s">
        <v>236</v>
      </c>
      <c r="BM62" t="s">
        <v>236</v>
      </c>
      <c r="BN62" t="s">
        <v>68</v>
      </c>
      <c r="BO62" t="s">
        <v>236</v>
      </c>
      <c r="BP62" t="s">
        <v>236</v>
      </c>
      <c r="BQ62" t="s">
        <v>236</v>
      </c>
      <c r="BR62" t="s">
        <v>236</v>
      </c>
      <c r="BS62" t="s">
        <v>436</v>
      </c>
      <c r="BT62">
        <v>0</v>
      </c>
    </row>
    <row r="63" spans="1:72" x14ac:dyDescent="0.15">
      <c r="A63" s="43">
        <v>2022</v>
      </c>
      <c r="B63" s="8">
        <v>12</v>
      </c>
      <c r="C63" s="8">
        <v>1</v>
      </c>
      <c r="D63" s="8">
        <v>10</v>
      </c>
      <c r="E63" s="8" t="s">
        <v>236</v>
      </c>
      <c r="F63" s="8" t="s">
        <v>57</v>
      </c>
      <c r="G63" s="8">
        <v>2017</v>
      </c>
      <c r="H63" s="8">
        <v>12</v>
      </c>
      <c r="I63" s="8" t="s">
        <v>524</v>
      </c>
      <c r="J63" s="8" t="s">
        <v>236</v>
      </c>
      <c r="K63" s="8">
        <v>1962</v>
      </c>
      <c r="L63" s="17">
        <v>12</v>
      </c>
      <c r="M63" s="8">
        <v>1</v>
      </c>
      <c r="N63" s="8" t="s">
        <v>48</v>
      </c>
      <c r="O63" s="8" t="s">
        <v>221</v>
      </c>
      <c r="P63" s="8" t="s">
        <v>224</v>
      </c>
      <c r="Q63" s="8">
        <v>3000</v>
      </c>
      <c r="R63" s="8" t="s">
        <v>57</v>
      </c>
      <c r="S63" s="8" t="s">
        <v>52</v>
      </c>
      <c r="T63" s="8" t="s">
        <v>70</v>
      </c>
      <c r="U63" s="8" t="s">
        <v>236</v>
      </c>
      <c r="V63" s="8">
        <v>1000</v>
      </c>
      <c r="W63" s="8" t="s">
        <v>241</v>
      </c>
      <c r="X63" s="8">
        <v>3000</v>
      </c>
      <c r="Y63" s="8" t="s">
        <v>278</v>
      </c>
      <c r="Z63" s="8">
        <v>110</v>
      </c>
      <c r="AA63" s="8" t="s">
        <v>525</v>
      </c>
      <c r="AB63" s="8" t="s">
        <v>236</v>
      </c>
      <c r="AC63" s="8" t="s">
        <v>236</v>
      </c>
      <c r="AD63" s="8" t="s">
        <v>236</v>
      </c>
      <c r="AE63" s="8" t="s">
        <v>68</v>
      </c>
      <c r="AF63" s="8" t="s">
        <v>236</v>
      </c>
      <c r="AG63" s="8" t="s">
        <v>236</v>
      </c>
      <c r="AH63" s="8" t="s">
        <v>236</v>
      </c>
      <c r="AI63" s="8" t="s">
        <v>236</v>
      </c>
      <c r="AJ63" t="s">
        <v>519</v>
      </c>
      <c r="AK63">
        <v>12</v>
      </c>
      <c r="AL63">
        <v>1</v>
      </c>
      <c r="AM63" t="s">
        <v>95</v>
      </c>
      <c r="AN63" t="s">
        <v>236</v>
      </c>
      <c r="AO63" t="s">
        <v>529</v>
      </c>
      <c r="AP63" t="s">
        <v>112</v>
      </c>
      <c r="AQ63">
        <v>12</v>
      </c>
      <c r="AR63" t="s">
        <v>524</v>
      </c>
      <c r="AS63" t="s">
        <v>236</v>
      </c>
      <c r="AT63" t="s">
        <v>165</v>
      </c>
      <c r="AU63">
        <v>12</v>
      </c>
      <c r="AV63">
        <v>1</v>
      </c>
      <c r="AW63" t="s">
        <v>432</v>
      </c>
      <c r="AX63" t="s">
        <v>221</v>
      </c>
      <c r="AY63" t="s">
        <v>224</v>
      </c>
      <c r="AZ63">
        <v>1</v>
      </c>
      <c r="BA63" t="s">
        <v>435</v>
      </c>
      <c r="BB63" t="s">
        <v>431</v>
      </c>
      <c r="BC63" t="s">
        <v>419</v>
      </c>
      <c r="BD63" t="s">
        <v>236</v>
      </c>
      <c r="BE63" t="s">
        <v>437</v>
      </c>
      <c r="BF63" t="s">
        <v>530</v>
      </c>
      <c r="BG63" t="s">
        <v>433</v>
      </c>
      <c r="BH63" t="s">
        <v>420</v>
      </c>
      <c r="BI63" t="s">
        <v>520</v>
      </c>
      <c r="BJ63" t="s">
        <v>68</v>
      </c>
      <c r="BK63" t="s">
        <v>236</v>
      </c>
      <c r="BL63" t="s">
        <v>236</v>
      </c>
      <c r="BM63" t="s">
        <v>236</v>
      </c>
      <c r="BN63" t="s">
        <v>68</v>
      </c>
      <c r="BO63" t="s">
        <v>236</v>
      </c>
      <c r="BP63" t="s">
        <v>236</v>
      </c>
      <c r="BQ63" t="s">
        <v>236</v>
      </c>
      <c r="BR63" t="s">
        <v>236</v>
      </c>
      <c r="BS63" t="s">
        <v>436</v>
      </c>
      <c r="BT63">
        <v>0</v>
      </c>
    </row>
    <row r="64" spans="1:72" x14ac:dyDescent="0.15">
      <c r="A64" s="43">
        <v>2022</v>
      </c>
      <c r="B64" s="8">
        <v>12</v>
      </c>
      <c r="C64" s="8">
        <v>1</v>
      </c>
      <c r="D64" s="8">
        <v>10</v>
      </c>
      <c r="E64" s="8" t="s">
        <v>236</v>
      </c>
      <c r="F64" s="8" t="s">
        <v>57</v>
      </c>
      <c r="G64" s="8">
        <v>2017</v>
      </c>
      <c r="H64" s="8">
        <v>12</v>
      </c>
      <c r="I64" s="8" t="s">
        <v>524</v>
      </c>
      <c r="J64" s="8" t="s">
        <v>236</v>
      </c>
      <c r="K64" s="8">
        <v>1952</v>
      </c>
      <c r="L64" s="17">
        <v>12</v>
      </c>
      <c r="M64" s="8">
        <v>1</v>
      </c>
      <c r="N64" s="8" t="s">
        <v>48</v>
      </c>
      <c r="O64" s="8" t="s">
        <v>221</v>
      </c>
      <c r="P64" s="8" t="s">
        <v>224</v>
      </c>
      <c r="Q64" s="8">
        <v>3000</v>
      </c>
      <c r="R64" s="8" t="s">
        <v>57</v>
      </c>
      <c r="S64" s="8" t="s">
        <v>52</v>
      </c>
      <c r="T64" s="8" t="s">
        <v>70</v>
      </c>
      <c r="U64" s="8" t="s">
        <v>236</v>
      </c>
      <c r="V64" s="8">
        <v>1000</v>
      </c>
      <c r="W64" s="8" t="s">
        <v>241</v>
      </c>
      <c r="X64" s="8">
        <v>3000</v>
      </c>
      <c r="Y64" s="8" t="s">
        <v>278</v>
      </c>
      <c r="Z64" s="8">
        <v>110</v>
      </c>
      <c r="AA64" s="8" t="s">
        <v>525</v>
      </c>
      <c r="AB64" s="8" t="s">
        <v>236</v>
      </c>
      <c r="AC64" s="8" t="s">
        <v>236</v>
      </c>
      <c r="AD64" s="8" t="s">
        <v>236</v>
      </c>
      <c r="AE64" s="8" t="s">
        <v>68</v>
      </c>
      <c r="AF64" s="8" t="s">
        <v>236</v>
      </c>
      <c r="AG64" s="8" t="s">
        <v>236</v>
      </c>
      <c r="AH64" s="8" t="s">
        <v>236</v>
      </c>
      <c r="AI64" s="8" t="s">
        <v>236</v>
      </c>
      <c r="AJ64" t="s">
        <v>519</v>
      </c>
      <c r="AK64">
        <v>12</v>
      </c>
      <c r="AL64">
        <v>1</v>
      </c>
      <c r="AM64" t="s">
        <v>95</v>
      </c>
      <c r="AN64" t="s">
        <v>236</v>
      </c>
      <c r="AO64" t="s">
        <v>529</v>
      </c>
      <c r="AP64" t="s">
        <v>112</v>
      </c>
      <c r="AQ64">
        <v>12</v>
      </c>
      <c r="AR64" t="s">
        <v>524</v>
      </c>
      <c r="AS64" t="s">
        <v>236</v>
      </c>
      <c r="AT64" t="s">
        <v>175</v>
      </c>
      <c r="AU64">
        <v>12</v>
      </c>
      <c r="AV64">
        <v>1</v>
      </c>
      <c r="AW64" t="s">
        <v>432</v>
      </c>
      <c r="AX64" t="s">
        <v>221</v>
      </c>
      <c r="AY64" t="s">
        <v>224</v>
      </c>
      <c r="AZ64">
        <v>1</v>
      </c>
      <c r="BA64" t="s">
        <v>435</v>
      </c>
      <c r="BB64" t="s">
        <v>431</v>
      </c>
      <c r="BC64" t="s">
        <v>419</v>
      </c>
      <c r="BD64" t="s">
        <v>236</v>
      </c>
      <c r="BE64" t="s">
        <v>437</v>
      </c>
      <c r="BF64" t="s">
        <v>530</v>
      </c>
      <c r="BG64" t="s">
        <v>433</v>
      </c>
      <c r="BH64" t="s">
        <v>420</v>
      </c>
      <c r="BI64" t="s">
        <v>520</v>
      </c>
      <c r="BJ64" t="s">
        <v>68</v>
      </c>
      <c r="BK64" t="s">
        <v>236</v>
      </c>
      <c r="BL64" t="s">
        <v>236</v>
      </c>
      <c r="BM64" t="s">
        <v>236</v>
      </c>
      <c r="BN64" t="s">
        <v>68</v>
      </c>
      <c r="BO64" t="s">
        <v>236</v>
      </c>
      <c r="BP64" t="s">
        <v>236</v>
      </c>
      <c r="BQ64" t="s">
        <v>236</v>
      </c>
      <c r="BR64" t="s">
        <v>236</v>
      </c>
      <c r="BS64" t="s">
        <v>436</v>
      </c>
      <c r="BT64">
        <v>0</v>
      </c>
    </row>
    <row r="65" spans="1:72" x14ac:dyDescent="0.15">
      <c r="A65" s="43">
        <v>2022</v>
      </c>
      <c r="B65" s="8">
        <v>12</v>
      </c>
      <c r="C65" s="8">
        <v>1</v>
      </c>
      <c r="D65" s="8">
        <v>10</v>
      </c>
      <c r="E65" s="8" t="s">
        <v>236</v>
      </c>
      <c r="F65" s="8" t="s">
        <v>57</v>
      </c>
      <c r="G65" s="8">
        <v>2017</v>
      </c>
      <c r="H65" s="8">
        <v>12</v>
      </c>
      <c r="I65" s="8" t="s">
        <v>524</v>
      </c>
      <c r="J65" s="8" t="s">
        <v>236</v>
      </c>
      <c r="K65" s="8">
        <v>1992</v>
      </c>
      <c r="L65" s="17">
        <v>12</v>
      </c>
      <c r="M65" s="8">
        <v>1</v>
      </c>
      <c r="N65" s="8" t="s">
        <v>48</v>
      </c>
      <c r="O65" s="8" t="s">
        <v>221</v>
      </c>
      <c r="P65" s="8" t="s">
        <v>224</v>
      </c>
      <c r="Q65" s="8">
        <v>7000</v>
      </c>
      <c r="R65" s="8" t="s">
        <v>57</v>
      </c>
      <c r="S65" s="8" t="s">
        <v>52</v>
      </c>
      <c r="T65" s="8" t="s">
        <v>70</v>
      </c>
      <c r="U65" s="8" t="s">
        <v>236</v>
      </c>
      <c r="V65" s="8">
        <v>1000</v>
      </c>
      <c r="W65" s="8" t="s">
        <v>241</v>
      </c>
      <c r="X65" s="8">
        <v>3000</v>
      </c>
      <c r="Y65" s="8" t="s">
        <v>278</v>
      </c>
      <c r="Z65" s="8">
        <v>110</v>
      </c>
      <c r="AA65" s="8" t="s">
        <v>525</v>
      </c>
      <c r="AB65" s="8" t="s">
        <v>236</v>
      </c>
      <c r="AC65" s="8" t="s">
        <v>236</v>
      </c>
      <c r="AD65" s="8" t="s">
        <v>236</v>
      </c>
      <c r="AE65" s="8" t="s">
        <v>68</v>
      </c>
      <c r="AF65" s="8" t="s">
        <v>236</v>
      </c>
      <c r="AG65" s="8" t="s">
        <v>236</v>
      </c>
      <c r="AH65" s="8" t="s">
        <v>236</v>
      </c>
      <c r="AI65" s="8" t="s">
        <v>236</v>
      </c>
      <c r="AJ65" t="s">
        <v>519</v>
      </c>
      <c r="AK65">
        <v>12</v>
      </c>
      <c r="AL65">
        <v>1</v>
      </c>
      <c r="AM65" t="s">
        <v>95</v>
      </c>
      <c r="AN65" t="s">
        <v>236</v>
      </c>
      <c r="AO65" t="s">
        <v>529</v>
      </c>
      <c r="AP65" t="s">
        <v>112</v>
      </c>
      <c r="AQ65">
        <v>12</v>
      </c>
      <c r="AR65" t="s">
        <v>524</v>
      </c>
      <c r="AS65" t="s">
        <v>236</v>
      </c>
      <c r="AT65" t="s">
        <v>137</v>
      </c>
      <c r="AU65">
        <v>12</v>
      </c>
      <c r="AV65">
        <v>1</v>
      </c>
      <c r="AW65" t="s">
        <v>432</v>
      </c>
      <c r="AX65" t="s">
        <v>221</v>
      </c>
      <c r="AY65" t="s">
        <v>224</v>
      </c>
      <c r="AZ65">
        <v>3</v>
      </c>
      <c r="BA65" t="s">
        <v>435</v>
      </c>
      <c r="BB65" t="s">
        <v>431</v>
      </c>
      <c r="BC65" t="s">
        <v>419</v>
      </c>
      <c r="BD65" t="s">
        <v>236</v>
      </c>
      <c r="BE65" t="s">
        <v>437</v>
      </c>
      <c r="BF65" t="s">
        <v>530</v>
      </c>
      <c r="BG65" t="s">
        <v>433</v>
      </c>
      <c r="BH65" t="s">
        <v>420</v>
      </c>
      <c r="BI65" t="s">
        <v>520</v>
      </c>
      <c r="BJ65" t="s">
        <v>68</v>
      </c>
      <c r="BK65" t="s">
        <v>236</v>
      </c>
      <c r="BL65" t="s">
        <v>236</v>
      </c>
      <c r="BM65" t="s">
        <v>236</v>
      </c>
      <c r="BN65" t="s">
        <v>68</v>
      </c>
      <c r="BO65" t="s">
        <v>236</v>
      </c>
      <c r="BP65" t="s">
        <v>236</v>
      </c>
      <c r="BQ65" t="s">
        <v>236</v>
      </c>
      <c r="BR65" t="s">
        <v>236</v>
      </c>
      <c r="BS65" t="s">
        <v>436</v>
      </c>
      <c r="BT65">
        <v>0</v>
      </c>
    </row>
    <row r="66" spans="1:72" x14ac:dyDescent="0.15">
      <c r="A66" s="43">
        <v>2022</v>
      </c>
      <c r="B66" s="8">
        <v>12</v>
      </c>
      <c r="C66" s="8">
        <v>1</v>
      </c>
      <c r="D66" s="8">
        <v>10</v>
      </c>
      <c r="E66" s="8" t="s">
        <v>236</v>
      </c>
      <c r="F66" s="8" t="s">
        <v>57</v>
      </c>
      <c r="G66" s="8">
        <v>2017</v>
      </c>
      <c r="H66" s="8">
        <v>12</v>
      </c>
      <c r="I66" s="8" t="s">
        <v>524</v>
      </c>
      <c r="J66" s="8" t="s">
        <v>236</v>
      </c>
      <c r="K66" s="8">
        <v>1987</v>
      </c>
      <c r="L66" s="17">
        <v>12</v>
      </c>
      <c r="M66" s="8">
        <v>1</v>
      </c>
      <c r="N66" s="8" t="s">
        <v>48</v>
      </c>
      <c r="O66" s="8" t="s">
        <v>221</v>
      </c>
      <c r="P66" s="8" t="s">
        <v>224</v>
      </c>
      <c r="Q66" s="8">
        <v>7000</v>
      </c>
      <c r="R66" s="8" t="s">
        <v>57</v>
      </c>
      <c r="S66" s="8" t="s">
        <v>52</v>
      </c>
      <c r="T66" s="8" t="s">
        <v>70</v>
      </c>
      <c r="U66" s="8" t="s">
        <v>236</v>
      </c>
      <c r="V66" s="8">
        <v>1000</v>
      </c>
      <c r="W66" s="8" t="s">
        <v>241</v>
      </c>
      <c r="X66" s="8">
        <v>3000</v>
      </c>
      <c r="Y66" s="8" t="s">
        <v>278</v>
      </c>
      <c r="Z66" s="8">
        <v>110</v>
      </c>
      <c r="AA66" s="8" t="s">
        <v>525</v>
      </c>
      <c r="AB66" s="8" t="s">
        <v>236</v>
      </c>
      <c r="AC66" s="8" t="s">
        <v>236</v>
      </c>
      <c r="AD66" s="8" t="s">
        <v>236</v>
      </c>
      <c r="AE66" s="8" t="s">
        <v>68</v>
      </c>
      <c r="AF66" s="8" t="s">
        <v>236</v>
      </c>
      <c r="AG66" s="8" t="s">
        <v>236</v>
      </c>
      <c r="AH66" s="8" t="s">
        <v>236</v>
      </c>
      <c r="AI66" s="8" t="s">
        <v>236</v>
      </c>
      <c r="AJ66" t="s">
        <v>519</v>
      </c>
      <c r="AK66">
        <v>12</v>
      </c>
      <c r="AL66">
        <v>1</v>
      </c>
      <c r="AM66" t="s">
        <v>95</v>
      </c>
      <c r="AN66" t="s">
        <v>236</v>
      </c>
      <c r="AO66" t="s">
        <v>529</v>
      </c>
      <c r="AP66" t="s">
        <v>112</v>
      </c>
      <c r="AQ66">
        <v>12</v>
      </c>
      <c r="AR66" t="s">
        <v>524</v>
      </c>
      <c r="AS66" t="s">
        <v>236</v>
      </c>
      <c r="AT66" t="s">
        <v>140</v>
      </c>
      <c r="AU66">
        <v>12</v>
      </c>
      <c r="AV66">
        <v>1</v>
      </c>
      <c r="AW66" t="s">
        <v>432</v>
      </c>
      <c r="AX66" t="s">
        <v>221</v>
      </c>
      <c r="AY66" t="s">
        <v>224</v>
      </c>
      <c r="AZ66">
        <v>3</v>
      </c>
      <c r="BA66" t="s">
        <v>435</v>
      </c>
      <c r="BB66" t="s">
        <v>431</v>
      </c>
      <c r="BC66" t="s">
        <v>419</v>
      </c>
      <c r="BD66" t="s">
        <v>236</v>
      </c>
      <c r="BE66" t="s">
        <v>437</v>
      </c>
      <c r="BF66" t="s">
        <v>530</v>
      </c>
      <c r="BG66" t="s">
        <v>433</v>
      </c>
      <c r="BH66" t="s">
        <v>420</v>
      </c>
      <c r="BI66" t="s">
        <v>520</v>
      </c>
      <c r="BJ66" t="s">
        <v>68</v>
      </c>
      <c r="BK66" t="s">
        <v>236</v>
      </c>
      <c r="BL66" t="s">
        <v>236</v>
      </c>
      <c r="BM66" t="s">
        <v>236</v>
      </c>
      <c r="BN66" t="s">
        <v>68</v>
      </c>
      <c r="BO66" t="s">
        <v>236</v>
      </c>
      <c r="BP66" t="s">
        <v>236</v>
      </c>
      <c r="BQ66" t="s">
        <v>236</v>
      </c>
      <c r="BR66" t="s">
        <v>236</v>
      </c>
      <c r="BS66" t="s">
        <v>436</v>
      </c>
      <c r="BT66">
        <v>0</v>
      </c>
    </row>
    <row r="67" spans="1:72" x14ac:dyDescent="0.15">
      <c r="A67" s="43">
        <v>2022</v>
      </c>
      <c r="B67" s="8">
        <v>12</v>
      </c>
      <c r="C67" s="8">
        <v>1</v>
      </c>
      <c r="D67" s="8">
        <v>10</v>
      </c>
      <c r="E67" s="8" t="s">
        <v>236</v>
      </c>
      <c r="F67" s="8" t="s">
        <v>57</v>
      </c>
      <c r="G67" s="8">
        <v>2017</v>
      </c>
      <c r="H67" s="8">
        <v>12</v>
      </c>
      <c r="I67" s="8" t="s">
        <v>524</v>
      </c>
      <c r="J67" s="8" t="s">
        <v>236</v>
      </c>
      <c r="K67" s="8">
        <v>1982</v>
      </c>
      <c r="L67" s="17">
        <v>12</v>
      </c>
      <c r="M67" s="8">
        <v>1</v>
      </c>
      <c r="N67" s="8" t="s">
        <v>48</v>
      </c>
      <c r="O67" s="8" t="s">
        <v>221</v>
      </c>
      <c r="P67" s="8" t="s">
        <v>224</v>
      </c>
      <c r="Q67" s="8">
        <v>7000</v>
      </c>
      <c r="R67" s="8" t="s">
        <v>57</v>
      </c>
      <c r="S67" s="8" t="s">
        <v>52</v>
      </c>
      <c r="T67" s="8" t="s">
        <v>70</v>
      </c>
      <c r="U67" s="8" t="s">
        <v>236</v>
      </c>
      <c r="V67" s="8">
        <v>1000</v>
      </c>
      <c r="W67" s="8" t="s">
        <v>241</v>
      </c>
      <c r="X67" s="8">
        <v>3000</v>
      </c>
      <c r="Y67" s="8" t="s">
        <v>278</v>
      </c>
      <c r="Z67" s="8">
        <v>110</v>
      </c>
      <c r="AA67" s="8" t="s">
        <v>525</v>
      </c>
      <c r="AB67" s="8" t="s">
        <v>236</v>
      </c>
      <c r="AC67" s="8" t="s">
        <v>236</v>
      </c>
      <c r="AD67" s="8" t="s">
        <v>236</v>
      </c>
      <c r="AE67" s="8" t="s">
        <v>68</v>
      </c>
      <c r="AF67" s="8" t="s">
        <v>236</v>
      </c>
      <c r="AG67" s="8" t="s">
        <v>236</v>
      </c>
      <c r="AH67" s="8" t="s">
        <v>236</v>
      </c>
      <c r="AI67" s="8" t="s">
        <v>236</v>
      </c>
      <c r="AJ67" t="s">
        <v>519</v>
      </c>
      <c r="AK67">
        <v>12</v>
      </c>
      <c r="AL67">
        <v>1</v>
      </c>
      <c r="AM67" t="s">
        <v>95</v>
      </c>
      <c r="AN67" t="s">
        <v>236</v>
      </c>
      <c r="AO67" t="s">
        <v>529</v>
      </c>
      <c r="AP67" t="s">
        <v>112</v>
      </c>
      <c r="AQ67">
        <v>12</v>
      </c>
      <c r="AR67" t="s">
        <v>524</v>
      </c>
      <c r="AS67" t="s">
        <v>236</v>
      </c>
      <c r="AT67" t="s">
        <v>145</v>
      </c>
      <c r="AU67">
        <v>12</v>
      </c>
      <c r="AV67">
        <v>1</v>
      </c>
      <c r="AW67" t="s">
        <v>432</v>
      </c>
      <c r="AX67" t="s">
        <v>221</v>
      </c>
      <c r="AY67" t="s">
        <v>224</v>
      </c>
      <c r="AZ67">
        <v>3</v>
      </c>
      <c r="BA67" t="s">
        <v>435</v>
      </c>
      <c r="BB67" t="s">
        <v>431</v>
      </c>
      <c r="BC67" t="s">
        <v>419</v>
      </c>
      <c r="BD67" t="s">
        <v>236</v>
      </c>
      <c r="BE67" t="s">
        <v>437</v>
      </c>
      <c r="BF67" t="s">
        <v>530</v>
      </c>
      <c r="BG67" t="s">
        <v>433</v>
      </c>
      <c r="BH67" t="s">
        <v>420</v>
      </c>
      <c r="BI67" t="s">
        <v>520</v>
      </c>
      <c r="BJ67" t="s">
        <v>68</v>
      </c>
      <c r="BK67" t="s">
        <v>236</v>
      </c>
      <c r="BL67" t="s">
        <v>236</v>
      </c>
      <c r="BM67" t="s">
        <v>236</v>
      </c>
      <c r="BN67" t="s">
        <v>68</v>
      </c>
      <c r="BO67" t="s">
        <v>236</v>
      </c>
      <c r="BP67" t="s">
        <v>236</v>
      </c>
      <c r="BQ67" t="s">
        <v>236</v>
      </c>
      <c r="BR67" t="s">
        <v>236</v>
      </c>
      <c r="BS67" t="s">
        <v>436</v>
      </c>
      <c r="BT67">
        <v>0</v>
      </c>
    </row>
    <row r="68" spans="1:72" x14ac:dyDescent="0.15">
      <c r="A68" s="43">
        <v>2022</v>
      </c>
      <c r="B68" s="8">
        <v>12</v>
      </c>
      <c r="C68" s="8">
        <v>1</v>
      </c>
      <c r="D68" s="8">
        <v>10</v>
      </c>
      <c r="E68" s="8" t="s">
        <v>236</v>
      </c>
      <c r="F68" s="8" t="s">
        <v>57</v>
      </c>
      <c r="G68" s="8">
        <v>2017</v>
      </c>
      <c r="H68" s="8">
        <v>12</v>
      </c>
      <c r="I68" s="8" t="s">
        <v>524</v>
      </c>
      <c r="J68" s="8" t="s">
        <v>236</v>
      </c>
      <c r="K68" s="8">
        <v>1977</v>
      </c>
      <c r="L68" s="17">
        <v>12</v>
      </c>
      <c r="M68" s="8">
        <v>1</v>
      </c>
      <c r="N68" s="8" t="s">
        <v>48</v>
      </c>
      <c r="O68" s="8" t="s">
        <v>221</v>
      </c>
      <c r="P68" s="8" t="s">
        <v>224</v>
      </c>
      <c r="Q68" s="8">
        <v>7000</v>
      </c>
      <c r="R68" s="8" t="s">
        <v>57</v>
      </c>
      <c r="S68" s="8" t="s">
        <v>52</v>
      </c>
      <c r="T68" s="8" t="s">
        <v>70</v>
      </c>
      <c r="U68" s="8" t="s">
        <v>236</v>
      </c>
      <c r="V68" s="8">
        <v>1000</v>
      </c>
      <c r="W68" s="8" t="s">
        <v>241</v>
      </c>
      <c r="X68" s="8">
        <v>3000</v>
      </c>
      <c r="Y68" s="8" t="s">
        <v>278</v>
      </c>
      <c r="Z68" s="8">
        <v>110</v>
      </c>
      <c r="AA68" s="8" t="s">
        <v>525</v>
      </c>
      <c r="AB68" s="8" t="s">
        <v>236</v>
      </c>
      <c r="AC68" s="8" t="s">
        <v>236</v>
      </c>
      <c r="AD68" s="8" t="s">
        <v>236</v>
      </c>
      <c r="AE68" s="8" t="s">
        <v>68</v>
      </c>
      <c r="AF68" s="8" t="s">
        <v>236</v>
      </c>
      <c r="AG68" s="8" t="s">
        <v>236</v>
      </c>
      <c r="AH68" s="8" t="s">
        <v>236</v>
      </c>
      <c r="AI68" s="8" t="s">
        <v>236</v>
      </c>
      <c r="AJ68" t="s">
        <v>519</v>
      </c>
      <c r="AK68">
        <v>12</v>
      </c>
      <c r="AL68">
        <v>1</v>
      </c>
      <c r="AM68" t="s">
        <v>95</v>
      </c>
      <c r="AN68" t="s">
        <v>236</v>
      </c>
      <c r="AO68" t="s">
        <v>529</v>
      </c>
      <c r="AP68" t="s">
        <v>112</v>
      </c>
      <c r="AQ68">
        <v>12</v>
      </c>
      <c r="AR68" t="s">
        <v>524</v>
      </c>
      <c r="AS68" t="s">
        <v>236</v>
      </c>
      <c r="AT68" t="s">
        <v>150</v>
      </c>
      <c r="AU68">
        <v>12</v>
      </c>
      <c r="AV68">
        <v>1</v>
      </c>
      <c r="AW68" t="s">
        <v>432</v>
      </c>
      <c r="AX68" t="s">
        <v>221</v>
      </c>
      <c r="AY68" t="s">
        <v>224</v>
      </c>
      <c r="AZ68">
        <v>3</v>
      </c>
      <c r="BA68" t="s">
        <v>435</v>
      </c>
      <c r="BB68" t="s">
        <v>431</v>
      </c>
      <c r="BC68" t="s">
        <v>419</v>
      </c>
      <c r="BD68" t="s">
        <v>236</v>
      </c>
      <c r="BE68" t="s">
        <v>437</v>
      </c>
      <c r="BF68" t="s">
        <v>530</v>
      </c>
      <c r="BG68" t="s">
        <v>433</v>
      </c>
      <c r="BH68" t="s">
        <v>420</v>
      </c>
      <c r="BI68" t="s">
        <v>520</v>
      </c>
      <c r="BJ68" t="s">
        <v>68</v>
      </c>
      <c r="BK68" t="s">
        <v>236</v>
      </c>
      <c r="BL68" t="s">
        <v>236</v>
      </c>
      <c r="BM68" t="s">
        <v>236</v>
      </c>
      <c r="BN68" t="s">
        <v>68</v>
      </c>
      <c r="BO68" t="s">
        <v>236</v>
      </c>
      <c r="BP68" t="s">
        <v>236</v>
      </c>
      <c r="BQ68" t="s">
        <v>236</v>
      </c>
      <c r="BR68" t="s">
        <v>236</v>
      </c>
      <c r="BS68" t="s">
        <v>436</v>
      </c>
      <c r="BT68">
        <v>0</v>
      </c>
    </row>
    <row r="69" spans="1:72" x14ac:dyDescent="0.15">
      <c r="A69" s="43">
        <v>2022</v>
      </c>
      <c r="B69" s="8">
        <v>12</v>
      </c>
      <c r="C69" s="8">
        <v>1</v>
      </c>
      <c r="D69" s="8">
        <v>10</v>
      </c>
      <c r="E69" s="8" t="s">
        <v>236</v>
      </c>
      <c r="F69" s="8" t="s">
        <v>57</v>
      </c>
      <c r="G69" s="8">
        <v>2017</v>
      </c>
      <c r="H69" s="8">
        <v>12</v>
      </c>
      <c r="I69" s="8" t="s">
        <v>524</v>
      </c>
      <c r="J69" s="8" t="s">
        <v>236</v>
      </c>
      <c r="K69" s="8">
        <v>1972</v>
      </c>
      <c r="L69" s="17">
        <v>12</v>
      </c>
      <c r="M69" s="8">
        <v>1</v>
      </c>
      <c r="N69" s="8" t="s">
        <v>48</v>
      </c>
      <c r="O69" s="8" t="s">
        <v>221</v>
      </c>
      <c r="P69" s="8" t="s">
        <v>224</v>
      </c>
      <c r="Q69" s="8">
        <v>7000</v>
      </c>
      <c r="R69" s="8" t="s">
        <v>57</v>
      </c>
      <c r="S69" s="8" t="s">
        <v>52</v>
      </c>
      <c r="T69" s="8" t="s">
        <v>70</v>
      </c>
      <c r="U69" s="8" t="s">
        <v>236</v>
      </c>
      <c r="V69" s="8">
        <v>1000</v>
      </c>
      <c r="W69" s="8" t="s">
        <v>241</v>
      </c>
      <c r="X69" s="8">
        <v>3000</v>
      </c>
      <c r="Y69" s="8" t="s">
        <v>278</v>
      </c>
      <c r="Z69" s="8">
        <v>110</v>
      </c>
      <c r="AA69" s="8" t="s">
        <v>525</v>
      </c>
      <c r="AB69" s="8" t="s">
        <v>236</v>
      </c>
      <c r="AC69" s="8" t="s">
        <v>236</v>
      </c>
      <c r="AD69" s="8" t="s">
        <v>236</v>
      </c>
      <c r="AE69" s="8" t="s">
        <v>68</v>
      </c>
      <c r="AF69" s="8" t="s">
        <v>236</v>
      </c>
      <c r="AG69" s="8" t="s">
        <v>236</v>
      </c>
      <c r="AH69" s="8" t="s">
        <v>236</v>
      </c>
      <c r="AI69" s="8" t="s">
        <v>236</v>
      </c>
      <c r="AJ69" t="s">
        <v>519</v>
      </c>
      <c r="AK69">
        <v>12</v>
      </c>
      <c r="AL69">
        <v>1</v>
      </c>
      <c r="AM69" t="s">
        <v>95</v>
      </c>
      <c r="AN69" t="s">
        <v>236</v>
      </c>
      <c r="AO69" t="s">
        <v>529</v>
      </c>
      <c r="AP69" t="s">
        <v>112</v>
      </c>
      <c r="AQ69">
        <v>12</v>
      </c>
      <c r="AR69" t="s">
        <v>524</v>
      </c>
      <c r="AS69" t="s">
        <v>236</v>
      </c>
      <c r="AT69" t="s">
        <v>155</v>
      </c>
      <c r="AU69">
        <v>12</v>
      </c>
      <c r="AV69">
        <v>1</v>
      </c>
      <c r="AW69" t="s">
        <v>432</v>
      </c>
      <c r="AX69" t="s">
        <v>221</v>
      </c>
      <c r="AY69" t="s">
        <v>224</v>
      </c>
      <c r="AZ69">
        <v>3</v>
      </c>
      <c r="BA69" t="s">
        <v>435</v>
      </c>
      <c r="BB69" t="s">
        <v>431</v>
      </c>
      <c r="BC69" t="s">
        <v>419</v>
      </c>
      <c r="BD69" t="s">
        <v>236</v>
      </c>
      <c r="BE69" t="s">
        <v>437</v>
      </c>
      <c r="BF69" t="s">
        <v>530</v>
      </c>
      <c r="BG69" t="s">
        <v>433</v>
      </c>
      <c r="BH69" t="s">
        <v>420</v>
      </c>
      <c r="BI69" t="s">
        <v>520</v>
      </c>
      <c r="BJ69" t="s">
        <v>68</v>
      </c>
      <c r="BK69" t="s">
        <v>236</v>
      </c>
      <c r="BL69" t="s">
        <v>236</v>
      </c>
      <c r="BM69" t="s">
        <v>236</v>
      </c>
      <c r="BN69" t="s">
        <v>68</v>
      </c>
      <c r="BO69" t="s">
        <v>236</v>
      </c>
      <c r="BP69" t="s">
        <v>236</v>
      </c>
      <c r="BQ69" t="s">
        <v>236</v>
      </c>
      <c r="BR69" t="s">
        <v>236</v>
      </c>
      <c r="BS69" t="s">
        <v>436</v>
      </c>
      <c r="BT69">
        <v>0</v>
      </c>
    </row>
    <row r="70" spans="1:72" x14ac:dyDescent="0.15">
      <c r="A70" s="43">
        <v>2022</v>
      </c>
      <c r="B70" s="8">
        <v>12</v>
      </c>
      <c r="C70" s="8">
        <v>1</v>
      </c>
      <c r="D70" s="8">
        <v>10</v>
      </c>
      <c r="E70" s="8" t="s">
        <v>236</v>
      </c>
      <c r="F70" s="8" t="s">
        <v>57</v>
      </c>
      <c r="G70" s="8">
        <v>2017</v>
      </c>
      <c r="H70" s="8">
        <v>12</v>
      </c>
      <c r="I70" s="8" t="s">
        <v>524</v>
      </c>
      <c r="J70" s="8" t="s">
        <v>236</v>
      </c>
      <c r="K70" s="8">
        <v>1962</v>
      </c>
      <c r="L70" s="17">
        <v>12</v>
      </c>
      <c r="M70" s="8">
        <v>1</v>
      </c>
      <c r="N70" s="8" t="s">
        <v>48</v>
      </c>
      <c r="O70" s="8" t="s">
        <v>221</v>
      </c>
      <c r="P70" s="8" t="s">
        <v>224</v>
      </c>
      <c r="Q70" s="8">
        <v>7000</v>
      </c>
      <c r="R70" s="8" t="s">
        <v>57</v>
      </c>
      <c r="S70" s="8" t="s">
        <v>52</v>
      </c>
      <c r="T70" s="8" t="s">
        <v>70</v>
      </c>
      <c r="U70" s="8" t="s">
        <v>236</v>
      </c>
      <c r="V70" s="8">
        <v>1000</v>
      </c>
      <c r="W70" s="8" t="s">
        <v>241</v>
      </c>
      <c r="X70" s="8">
        <v>3000</v>
      </c>
      <c r="Y70" s="8" t="s">
        <v>278</v>
      </c>
      <c r="Z70" s="8">
        <v>110</v>
      </c>
      <c r="AA70" s="8" t="s">
        <v>525</v>
      </c>
      <c r="AB70" s="8" t="s">
        <v>236</v>
      </c>
      <c r="AC70" s="8" t="s">
        <v>236</v>
      </c>
      <c r="AD70" s="8" t="s">
        <v>236</v>
      </c>
      <c r="AE70" s="8" t="s">
        <v>68</v>
      </c>
      <c r="AF70" s="8" t="s">
        <v>236</v>
      </c>
      <c r="AG70" s="8" t="s">
        <v>236</v>
      </c>
      <c r="AH70" s="8" t="s">
        <v>236</v>
      </c>
      <c r="AI70" s="8" t="s">
        <v>236</v>
      </c>
      <c r="AJ70" t="s">
        <v>519</v>
      </c>
      <c r="AK70">
        <v>12</v>
      </c>
      <c r="AL70">
        <v>1</v>
      </c>
      <c r="AM70" t="s">
        <v>95</v>
      </c>
      <c r="AN70" t="s">
        <v>236</v>
      </c>
      <c r="AO70" t="s">
        <v>529</v>
      </c>
      <c r="AP70" t="s">
        <v>112</v>
      </c>
      <c r="AQ70">
        <v>12</v>
      </c>
      <c r="AR70" t="s">
        <v>524</v>
      </c>
      <c r="AS70" t="s">
        <v>236</v>
      </c>
      <c r="AT70" t="s">
        <v>165</v>
      </c>
      <c r="AU70">
        <v>12</v>
      </c>
      <c r="AV70">
        <v>1</v>
      </c>
      <c r="AW70" t="s">
        <v>432</v>
      </c>
      <c r="AX70" t="s">
        <v>221</v>
      </c>
      <c r="AY70" t="s">
        <v>224</v>
      </c>
      <c r="AZ70">
        <v>3</v>
      </c>
      <c r="BA70" t="s">
        <v>435</v>
      </c>
      <c r="BB70" t="s">
        <v>431</v>
      </c>
      <c r="BC70" t="s">
        <v>419</v>
      </c>
      <c r="BD70" t="s">
        <v>236</v>
      </c>
      <c r="BE70" t="s">
        <v>437</v>
      </c>
      <c r="BF70" t="s">
        <v>530</v>
      </c>
      <c r="BG70" t="s">
        <v>433</v>
      </c>
      <c r="BH70" t="s">
        <v>420</v>
      </c>
      <c r="BI70" t="s">
        <v>520</v>
      </c>
      <c r="BJ70" t="s">
        <v>68</v>
      </c>
      <c r="BK70" t="s">
        <v>236</v>
      </c>
      <c r="BL70" t="s">
        <v>236</v>
      </c>
      <c r="BM70" t="s">
        <v>236</v>
      </c>
      <c r="BN70" t="s">
        <v>68</v>
      </c>
      <c r="BO70" t="s">
        <v>236</v>
      </c>
      <c r="BP70" t="s">
        <v>236</v>
      </c>
      <c r="BQ70" t="s">
        <v>236</v>
      </c>
      <c r="BR70" t="s">
        <v>236</v>
      </c>
      <c r="BS70" t="s">
        <v>436</v>
      </c>
      <c r="BT70">
        <v>0</v>
      </c>
    </row>
    <row r="71" spans="1:72" x14ac:dyDescent="0.15">
      <c r="A71" s="43">
        <v>2022</v>
      </c>
      <c r="B71" s="8">
        <v>12</v>
      </c>
      <c r="C71" s="8">
        <v>1</v>
      </c>
      <c r="D71" s="8">
        <v>10</v>
      </c>
      <c r="E71" s="8" t="s">
        <v>236</v>
      </c>
      <c r="F71" s="8" t="s">
        <v>57</v>
      </c>
      <c r="G71" s="8">
        <v>2017</v>
      </c>
      <c r="H71" s="8">
        <v>12</v>
      </c>
      <c r="I71" s="8" t="s">
        <v>524</v>
      </c>
      <c r="J71" s="8" t="s">
        <v>236</v>
      </c>
      <c r="K71" s="8">
        <v>1952</v>
      </c>
      <c r="L71" s="17">
        <v>12</v>
      </c>
      <c r="M71" s="8">
        <v>1</v>
      </c>
      <c r="N71" s="8" t="s">
        <v>48</v>
      </c>
      <c r="O71" s="8" t="s">
        <v>221</v>
      </c>
      <c r="P71" s="8" t="s">
        <v>224</v>
      </c>
      <c r="Q71" s="8">
        <v>7000</v>
      </c>
      <c r="R71" s="8" t="s">
        <v>57</v>
      </c>
      <c r="S71" s="8" t="s">
        <v>52</v>
      </c>
      <c r="T71" s="8" t="s">
        <v>70</v>
      </c>
      <c r="U71" s="8" t="s">
        <v>236</v>
      </c>
      <c r="V71" s="8">
        <v>1000</v>
      </c>
      <c r="W71" s="8" t="s">
        <v>241</v>
      </c>
      <c r="X71" s="8">
        <v>3000</v>
      </c>
      <c r="Y71" s="8" t="s">
        <v>278</v>
      </c>
      <c r="Z71" s="8">
        <v>110</v>
      </c>
      <c r="AA71" s="8" t="s">
        <v>525</v>
      </c>
      <c r="AB71" s="8" t="s">
        <v>236</v>
      </c>
      <c r="AC71" s="8" t="s">
        <v>236</v>
      </c>
      <c r="AD71" s="8" t="s">
        <v>236</v>
      </c>
      <c r="AE71" s="8" t="s">
        <v>68</v>
      </c>
      <c r="AF71" s="8" t="s">
        <v>236</v>
      </c>
      <c r="AG71" s="8" t="s">
        <v>236</v>
      </c>
      <c r="AH71" s="8" t="s">
        <v>236</v>
      </c>
      <c r="AI71" s="8" t="s">
        <v>236</v>
      </c>
      <c r="AJ71" t="s">
        <v>519</v>
      </c>
      <c r="AK71">
        <v>12</v>
      </c>
      <c r="AL71">
        <v>1</v>
      </c>
      <c r="AM71" t="s">
        <v>95</v>
      </c>
      <c r="AN71" t="s">
        <v>236</v>
      </c>
      <c r="AO71" t="s">
        <v>529</v>
      </c>
      <c r="AP71" t="s">
        <v>112</v>
      </c>
      <c r="AQ71">
        <v>12</v>
      </c>
      <c r="AR71" t="s">
        <v>524</v>
      </c>
      <c r="AS71" t="s">
        <v>236</v>
      </c>
      <c r="AT71" t="s">
        <v>175</v>
      </c>
      <c r="AU71">
        <v>12</v>
      </c>
      <c r="AV71">
        <v>1</v>
      </c>
      <c r="AW71" t="s">
        <v>432</v>
      </c>
      <c r="AX71" t="s">
        <v>221</v>
      </c>
      <c r="AY71" t="s">
        <v>224</v>
      </c>
      <c r="AZ71">
        <v>3</v>
      </c>
      <c r="BA71" t="s">
        <v>435</v>
      </c>
      <c r="BB71" t="s">
        <v>431</v>
      </c>
      <c r="BC71" t="s">
        <v>419</v>
      </c>
      <c r="BD71" t="s">
        <v>236</v>
      </c>
      <c r="BE71" t="s">
        <v>437</v>
      </c>
      <c r="BF71" t="s">
        <v>530</v>
      </c>
      <c r="BG71" t="s">
        <v>433</v>
      </c>
      <c r="BH71" t="s">
        <v>420</v>
      </c>
      <c r="BI71" t="s">
        <v>520</v>
      </c>
      <c r="BJ71" t="s">
        <v>68</v>
      </c>
      <c r="BK71" t="s">
        <v>236</v>
      </c>
      <c r="BL71" t="s">
        <v>236</v>
      </c>
      <c r="BM71" t="s">
        <v>236</v>
      </c>
      <c r="BN71" t="s">
        <v>68</v>
      </c>
      <c r="BO71" t="s">
        <v>236</v>
      </c>
      <c r="BP71" t="s">
        <v>236</v>
      </c>
      <c r="BQ71" t="s">
        <v>236</v>
      </c>
      <c r="BR71" t="s">
        <v>236</v>
      </c>
      <c r="BS71" t="s">
        <v>436</v>
      </c>
      <c r="BT71">
        <v>0</v>
      </c>
    </row>
    <row r="72" spans="1:72" x14ac:dyDescent="0.15">
      <c r="A72" s="43">
        <v>2022</v>
      </c>
      <c r="B72" s="8">
        <v>12</v>
      </c>
      <c r="C72" s="8">
        <v>1</v>
      </c>
      <c r="D72" s="8">
        <v>10</v>
      </c>
      <c r="E72" s="8" t="s">
        <v>236</v>
      </c>
      <c r="F72" s="8" t="s">
        <v>57</v>
      </c>
      <c r="G72" s="8">
        <v>2017</v>
      </c>
      <c r="H72" s="8">
        <v>12</v>
      </c>
      <c r="I72" s="8" t="s">
        <v>524</v>
      </c>
      <c r="J72" s="8" t="s">
        <v>236</v>
      </c>
      <c r="K72" s="8">
        <v>1992</v>
      </c>
      <c r="L72" s="17">
        <v>12</v>
      </c>
      <c r="M72" s="8">
        <v>1</v>
      </c>
      <c r="N72" s="8" t="s">
        <v>48</v>
      </c>
      <c r="O72" s="8" t="s">
        <v>221</v>
      </c>
      <c r="P72" s="8" t="s">
        <v>295</v>
      </c>
      <c r="Q72" s="8">
        <v>3000</v>
      </c>
      <c r="R72" s="8" t="s">
        <v>57</v>
      </c>
      <c r="S72" s="8" t="s">
        <v>52</v>
      </c>
      <c r="T72" s="8" t="s">
        <v>70</v>
      </c>
      <c r="U72" s="8" t="s">
        <v>236</v>
      </c>
      <c r="V72" s="8">
        <v>1000</v>
      </c>
      <c r="W72" s="8" t="s">
        <v>241</v>
      </c>
      <c r="X72" s="8">
        <v>3000</v>
      </c>
      <c r="Y72" s="8" t="s">
        <v>278</v>
      </c>
      <c r="Z72" s="8">
        <v>110</v>
      </c>
      <c r="AA72" s="8" t="s">
        <v>525</v>
      </c>
      <c r="AB72" s="8" t="s">
        <v>236</v>
      </c>
      <c r="AC72" s="8" t="s">
        <v>236</v>
      </c>
      <c r="AD72" s="8" t="s">
        <v>236</v>
      </c>
      <c r="AE72" s="8" t="s">
        <v>68</v>
      </c>
      <c r="AF72" s="8" t="s">
        <v>236</v>
      </c>
      <c r="AG72" s="8" t="s">
        <v>236</v>
      </c>
      <c r="AH72" s="8" t="s">
        <v>236</v>
      </c>
      <c r="AI72" s="8" t="s">
        <v>236</v>
      </c>
      <c r="AJ72" t="s">
        <v>519</v>
      </c>
      <c r="AK72">
        <v>12</v>
      </c>
      <c r="AL72">
        <v>1</v>
      </c>
      <c r="AM72" t="s">
        <v>95</v>
      </c>
      <c r="AN72" t="s">
        <v>236</v>
      </c>
      <c r="AO72" t="s">
        <v>529</v>
      </c>
      <c r="AP72" t="s">
        <v>112</v>
      </c>
      <c r="AQ72">
        <v>12</v>
      </c>
      <c r="AR72" t="s">
        <v>524</v>
      </c>
      <c r="AS72" t="s">
        <v>236</v>
      </c>
      <c r="AT72" t="s">
        <v>137</v>
      </c>
      <c r="AU72">
        <v>12</v>
      </c>
      <c r="AV72">
        <v>1</v>
      </c>
      <c r="AW72" t="s">
        <v>432</v>
      </c>
      <c r="AX72" t="s">
        <v>221</v>
      </c>
      <c r="AY72" t="s">
        <v>295</v>
      </c>
      <c r="AZ72">
        <v>1</v>
      </c>
      <c r="BA72" t="s">
        <v>435</v>
      </c>
      <c r="BB72" t="s">
        <v>431</v>
      </c>
      <c r="BC72" t="s">
        <v>419</v>
      </c>
      <c r="BD72" t="s">
        <v>236</v>
      </c>
      <c r="BE72" t="s">
        <v>437</v>
      </c>
      <c r="BF72" t="s">
        <v>530</v>
      </c>
      <c r="BG72" t="s">
        <v>433</v>
      </c>
      <c r="BH72" t="s">
        <v>420</v>
      </c>
      <c r="BI72" t="s">
        <v>520</v>
      </c>
      <c r="BJ72" t="s">
        <v>68</v>
      </c>
      <c r="BK72" t="s">
        <v>236</v>
      </c>
      <c r="BL72" t="s">
        <v>236</v>
      </c>
      <c r="BM72" t="s">
        <v>236</v>
      </c>
      <c r="BN72" t="s">
        <v>68</v>
      </c>
      <c r="BO72" t="s">
        <v>236</v>
      </c>
      <c r="BP72" t="s">
        <v>236</v>
      </c>
      <c r="BQ72" t="s">
        <v>236</v>
      </c>
      <c r="BR72" t="s">
        <v>236</v>
      </c>
      <c r="BS72" t="s">
        <v>436</v>
      </c>
      <c r="BT72">
        <v>0</v>
      </c>
    </row>
    <row r="73" spans="1:72" x14ac:dyDescent="0.15">
      <c r="A73" s="43">
        <v>2022</v>
      </c>
      <c r="B73" s="8">
        <v>12</v>
      </c>
      <c r="C73" s="8">
        <v>1</v>
      </c>
      <c r="D73" s="8">
        <v>10</v>
      </c>
      <c r="E73" s="8" t="s">
        <v>236</v>
      </c>
      <c r="F73" s="8" t="s">
        <v>57</v>
      </c>
      <c r="G73" s="8">
        <v>2017</v>
      </c>
      <c r="H73" s="8">
        <v>12</v>
      </c>
      <c r="I73" s="8" t="s">
        <v>524</v>
      </c>
      <c r="J73" s="8" t="s">
        <v>236</v>
      </c>
      <c r="K73" s="8">
        <v>1987</v>
      </c>
      <c r="L73" s="17">
        <v>12</v>
      </c>
      <c r="M73" s="8">
        <v>1</v>
      </c>
      <c r="N73" s="8" t="s">
        <v>48</v>
      </c>
      <c r="O73" s="8" t="s">
        <v>221</v>
      </c>
      <c r="P73" s="8" t="s">
        <v>295</v>
      </c>
      <c r="Q73" s="8">
        <v>3000</v>
      </c>
      <c r="R73" s="8" t="s">
        <v>57</v>
      </c>
      <c r="S73" s="8" t="s">
        <v>52</v>
      </c>
      <c r="T73" s="8" t="s">
        <v>70</v>
      </c>
      <c r="U73" s="8" t="s">
        <v>236</v>
      </c>
      <c r="V73" s="8">
        <v>1000</v>
      </c>
      <c r="W73" s="8" t="s">
        <v>241</v>
      </c>
      <c r="X73" s="8">
        <v>3000</v>
      </c>
      <c r="Y73" s="8" t="s">
        <v>278</v>
      </c>
      <c r="Z73" s="8">
        <v>110</v>
      </c>
      <c r="AA73" s="8" t="s">
        <v>525</v>
      </c>
      <c r="AB73" s="8" t="s">
        <v>236</v>
      </c>
      <c r="AC73" s="8" t="s">
        <v>236</v>
      </c>
      <c r="AD73" s="8" t="s">
        <v>236</v>
      </c>
      <c r="AE73" s="8" t="s">
        <v>68</v>
      </c>
      <c r="AF73" s="8" t="s">
        <v>236</v>
      </c>
      <c r="AG73" s="8" t="s">
        <v>236</v>
      </c>
      <c r="AH73" s="8" t="s">
        <v>236</v>
      </c>
      <c r="AI73" s="8" t="s">
        <v>236</v>
      </c>
      <c r="AJ73" t="s">
        <v>519</v>
      </c>
      <c r="AK73">
        <v>12</v>
      </c>
      <c r="AL73">
        <v>1</v>
      </c>
      <c r="AM73" t="s">
        <v>95</v>
      </c>
      <c r="AN73" t="s">
        <v>236</v>
      </c>
      <c r="AO73" t="s">
        <v>529</v>
      </c>
      <c r="AP73" t="s">
        <v>112</v>
      </c>
      <c r="AQ73">
        <v>12</v>
      </c>
      <c r="AR73" t="s">
        <v>524</v>
      </c>
      <c r="AS73" t="s">
        <v>236</v>
      </c>
      <c r="AT73" t="s">
        <v>140</v>
      </c>
      <c r="AU73">
        <v>12</v>
      </c>
      <c r="AV73">
        <v>1</v>
      </c>
      <c r="AW73" t="s">
        <v>432</v>
      </c>
      <c r="AX73" t="s">
        <v>221</v>
      </c>
      <c r="AY73" t="s">
        <v>295</v>
      </c>
      <c r="AZ73">
        <v>1</v>
      </c>
      <c r="BA73" t="s">
        <v>435</v>
      </c>
      <c r="BB73" t="s">
        <v>431</v>
      </c>
      <c r="BC73" t="s">
        <v>419</v>
      </c>
      <c r="BD73" t="s">
        <v>236</v>
      </c>
      <c r="BE73" t="s">
        <v>437</v>
      </c>
      <c r="BF73" t="s">
        <v>530</v>
      </c>
      <c r="BG73" t="s">
        <v>433</v>
      </c>
      <c r="BH73" t="s">
        <v>420</v>
      </c>
      <c r="BI73" t="s">
        <v>520</v>
      </c>
      <c r="BJ73" t="s">
        <v>68</v>
      </c>
      <c r="BK73" t="s">
        <v>236</v>
      </c>
      <c r="BL73" t="s">
        <v>236</v>
      </c>
      <c r="BM73" t="s">
        <v>236</v>
      </c>
      <c r="BN73" t="s">
        <v>68</v>
      </c>
      <c r="BO73" t="s">
        <v>236</v>
      </c>
      <c r="BP73" t="s">
        <v>236</v>
      </c>
      <c r="BQ73" t="s">
        <v>236</v>
      </c>
      <c r="BR73" t="s">
        <v>236</v>
      </c>
      <c r="BS73" t="s">
        <v>436</v>
      </c>
      <c r="BT73">
        <v>0</v>
      </c>
    </row>
    <row r="74" spans="1:72" x14ac:dyDescent="0.15">
      <c r="A74" s="43">
        <v>2022</v>
      </c>
      <c r="B74" s="8">
        <v>12</v>
      </c>
      <c r="C74" s="8">
        <v>1</v>
      </c>
      <c r="D74" s="8">
        <v>10</v>
      </c>
      <c r="E74" s="8" t="s">
        <v>236</v>
      </c>
      <c r="F74" s="8" t="s">
        <v>57</v>
      </c>
      <c r="G74" s="8">
        <v>2017</v>
      </c>
      <c r="H74" s="8">
        <v>12</v>
      </c>
      <c r="I74" s="8" t="s">
        <v>524</v>
      </c>
      <c r="J74" s="8" t="s">
        <v>236</v>
      </c>
      <c r="K74" s="8">
        <v>1982</v>
      </c>
      <c r="L74" s="17">
        <v>12</v>
      </c>
      <c r="M74" s="8">
        <v>1</v>
      </c>
      <c r="N74" s="8" t="s">
        <v>48</v>
      </c>
      <c r="O74" s="8" t="s">
        <v>221</v>
      </c>
      <c r="P74" s="8" t="s">
        <v>295</v>
      </c>
      <c r="Q74" s="8">
        <v>3000</v>
      </c>
      <c r="R74" s="8" t="s">
        <v>57</v>
      </c>
      <c r="S74" s="8" t="s">
        <v>52</v>
      </c>
      <c r="T74" s="8" t="s">
        <v>70</v>
      </c>
      <c r="U74" s="8" t="s">
        <v>236</v>
      </c>
      <c r="V74" s="8">
        <v>1000</v>
      </c>
      <c r="W74" s="8" t="s">
        <v>241</v>
      </c>
      <c r="X74" s="8">
        <v>3000</v>
      </c>
      <c r="Y74" s="8" t="s">
        <v>278</v>
      </c>
      <c r="Z74" s="8">
        <v>110</v>
      </c>
      <c r="AA74" s="8" t="s">
        <v>525</v>
      </c>
      <c r="AB74" s="8" t="s">
        <v>236</v>
      </c>
      <c r="AC74" s="8" t="s">
        <v>236</v>
      </c>
      <c r="AD74" s="8" t="s">
        <v>236</v>
      </c>
      <c r="AE74" s="8" t="s">
        <v>68</v>
      </c>
      <c r="AF74" s="8" t="s">
        <v>236</v>
      </c>
      <c r="AG74" s="8" t="s">
        <v>236</v>
      </c>
      <c r="AH74" s="8" t="s">
        <v>236</v>
      </c>
      <c r="AI74" s="8" t="s">
        <v>236</v>
      </c>
      <c r="AJ74" t="s">
        <v>519</v>
      </c>
      <c r="AK74">
        <v>12</v>
      </c>
      <c r="AL74">
        <v>1</v>
      </c>
      <c r="AM74" t="s">
        <v>95</v>
      </c>
      <c r="AN74" t="s">
        <v>236</v>
      </c>
      <c r="AO74" t="s">
        <v>529</v>
      </c>
      <c r="AP74" t="s">
        <v>112</v>
      </c>
      <c r="AQ74">
        <v>12</v>
      </c>
      <c r="AR74" t="s">
        <v>524</v>
      </c>
      <c r="AS74" t="s">
        <v>236</v>
      </c>
      <c r="AT74" t="s">
        <v>145</v>
      </c>
      <c r="AU74">
        <v>12</v>
      </c>
      <c r="AV74">
        <v>1</v>
      </c>
      <c r="AW74" t="s">
        <v>432</v>
      </c>
      <c r="AX74" t="s">
        <v>221</v>
      </c>
      <c r="AY74" t="s">
        <v>295</v>
      </c>
      <c r="AZ74">
        <v>1</v>
      </c>
      <c r="BA74" t="s">
        <v>435</v>
      </c>
      <c r="BB74" t="s">
        <v>431</v>
      </c>
      <c r="BC74" t="s">
        <v>419</v>
      </c>
      <c r="BD74" t="s">
        <v>236</v>
      </c>
      <c r="BE74" t="s">
        <v>437</v>
      </c>
      <c r="BF74" t="s">
        <v>530</v>
      </c>
      <c r="BG74" t="s">
        <v>433</v>
      </c>
      <c r="BH74" t="s">
        <v>420</v>
      </c>
      <c r="BI74" t="s">
        <v>520</v>
      </c>
      <c r="BJ74" t="s">
        <v>68</v>
      </c>
      <c r="BK74" t="s">
        <v>236</v>
      </c>
      <c r="BL74" t="s">
        <v>236</v>
      </c>
      <c r="BM74" t="s">
        <v>236</v>
      </c>
      <c r="BN74" t="s">
        <v>68</v>
      </c>
      <c r="BO74" t="s">
        <v>236</v>
      </c>
      <c r="BP74" t="s">
        <v>236</v>
      </c>
      <c r="BQ74" t="s">
        <v>236</v>
      </c>
      <c r="BR74" t="s">
        <v>236</v>
      </c>
      <c r="BS74" t="s">
        <v>436</v>
      </c>
      <c r="BT74">
        <v>0</v>
      </c>
    </row>
    <row r="75" spans="1:72" x14ac:dyDescent="0.15">
      <c r="A75" s="43">
        <v>2022</v>
      </c>
      <c r="B75" s="8">
        <v>12</v>
      </c>
      <c r="C75" s="8">
        <v>1</v>
      </c>
      <c r="D75" s="8">
        <v>10</v>
      </c>
      <c r="E75" s="8" t="s">
        <v>236</v>
      </c>
      <c r="F75" s="8" t="s">
        <v>57</v>
      </c>
      <c r="G75" s="8">
        <v>2017</v>
      </c>
      <c r="H75" s="8">
        <v>12</v>
      </c>
      <c r="I75" s="8" t="s">
        <v>524</v>
      </c>
      <c r="J75" s="8" t="s">
        <v>236</v>
      </c>
      <c r="K75" s="8">
        <v>1977</v>
      </c>
      <c r="L75" s="17">
        <v>12</v>
      </c>
      <c r="M75" s="8">
        <v>1</v>
      </c>
      <c r="N75" s="8" t="s">
        <v>48</v>
      </c>
      <c r="O75" s="8" t="s">
        <v>221</v>
      </c>
      <c r="P75" s="8" t="s">
        <v>295</v>
      </c>
      <c r="Q75" s="8">
        <v>3000</v>
      </c>
      <c r="R75" s="8" t="s">
        <v>57</v>
      </c>
      <c r="S75" s="8" t="s">
        <v>52</v>
      </c>
      <c r="T75" s="8" t="s">
        <v>70</v>
      </c>
      <c r="U75" s="8" t="s">
        <v>236</v>
      </c>
      <c r="V75" s="8">
        <v>1000</v>
      </c>
      <c r="W75" s="8" t="s">
        <v>241</v>
      </c>
      <c r="X75" s="8">
        <v>3000</v>
      </c>
      <c r="Y75" s="8" t="s">
        <v>278</v>
      </c>
      <c r="Z75" s="8">
        <v>110</v>
      </c>
      <c r="AA75" s="8" t="s">
        <v>525</v>
      </c>
      <c r="AB75" s="8" t="s">
        <v>236</v>
      </c>
      <c r="AC75" s="8" t="s">
        <v>236</v>
      </c>
      <c r="AD75" s="8" t="s">
        <v>236</v>
      </c>
      <c r="AE75" s="8" t="s">
        <v>68</v>
      </c>
      <c r="AF75" s="8" t="s">
        <v>236</v>
      </c>
      <c r="AG75" s="8" t="s">
        <v>236</v>
      </c>
      <c r="AH75" s="8" t="s">
        <v>236</v>
      </c>
      <c r="AI75" s="8" t="s">
        <v>236</v>
      </c>
      <c r="AJ75" t="s">
        <v>519</v>
      </c>
      <c r="AK75">
        <v>12</v>
      </c>
      <c r="AL75">
        <v>1</v>
      </c>
      <c r="AM75" t="s">
        <v>95</v>
      </c>
      <c r="AN75" t="s">
        <v>236</v>
      </c>
      <c r="AO75" t="s">
        <v>529</v>
      </c>
      <c r="AP75" t="s">
        <v>112</v>
      </c>
      <c r="AQ75">
        <v>12</v>
      </c>
      <c r="AR75" t="s">
        <v>524</v>
      </c>
      <c r="AS75" t="s">
        <v>236</v>
      </c>
      <c r="AT75" t="s">
        <v>150</v>
      </c>
      <c r="AU75">
        <v>12</v>
      </c>
      <c r="AV75">
        <v>1</v>
      </c>
      <c r="AW75" t="s">
        <v>432</v>
      </c>
      <c r="AX75" t="s">
        <v>221</v>
      </c>
      <c r="AY75" t="s">
        <v>295</v>
      </c>
      <c r="AZ75">
        <v>1</v>
      </c>
      <c r="BA75" t="s">
        <v>435</v>
      </c>
      <c r="BB75" t="s">
        <v>431</v>
      </c>
      <c r="BC75" t="s">
        <v>419</v>
      </c>
      <c r="BD75" t="s">
        <v>236</v>
      </c>
      <c r="BE75" t="s">
        <v>437</v>
      </c>
      <c r="BF75" t="s">
        <v>530</v>
      </c>
      <c r="BG75" t="s">
        <v>433</v>
      </c>
      <c r="BH75" t="s">
        <v>420</v>
      </c>
      <c r="BI75" t="s">
        <v>520</v>
      </c>
      <c r="BJ75" t="s">
        <v>68</v>
      </c>
      <c r="BK75" t="s">
        <v>236</v>
      </c>
      <c r="BL75" t="s">
        <v>236</v>
      </c>
      <c r="BM75" t="s">
        <v>236</v>
      </c>
      <c r="BN75" t="s">
        <v>68</v>
      </c>
      <c r="BO75" t="s">
        <v>236</v>
      </c>
      <c r="BP75" t="s">
        <v>236</v>
      </c>
      <c r="BQ75" t="s">
        <v>236</v>
      </c>
      <c r="BR75" t="s">
        <v>236</v>
      </c>
      <c r="BS75" t="s">
        <v>436</v>
      </c>
      <c r="BT75">
        <v>0</v>
      </c>
    </row>
    <row r="76" spans="1:72" x14ac:dyDescent="0.15">
      <c r="A76" s="43">
        <v>2022</v>
      </c>
      <c r="B76" s="8">
        <v>12</v>
      </c>
      <c r="C76" s="8">
        <v>1</v>
      </c>
      <c r="D76" s="8">
        <v>10</v>
      </c>
      <c r="E76" s="8" t="s">
        <v>236</v>
      </c>
      <c r="F76" s="8" t="s">
        <v>57</v>
      </c>
      <c r="G76" s="8">
        <v>2017</v>
      </c>
      <c r="H76" s="8">
        <v>12</v>
      </c>
      <c r="I76" s="8" t="s">
        <v>524</v>
      </c>
      <c r="J76" s="8" t="s">
        <v>236</v>
      </c>
      <c r="K76" s="8">
        <v>1972</v>
      </c>
      <c r="L76" s="17">
        <v>12</v>
      </c>
      <c r="M76" s="8">
        <v>1</v>
      </c>
      <c r="N76" s="8" t="s">
        <v>48</v>
      </c>
      <c r="O76" s="8" t="s">
        <v>221</v>
      </c>
      <c r="P76" s="8" t="s">
        <v>295</v>
      </c>
      <c r="Q76" s="8">
        <v>3000</v>
      </c>
      <c r="R76" s="8" t="s">
        <v>57</v>
      </c>
      <c r="S76" s="8" t="s">
        <v>52</v>
      </c>
      <c r="T76" s="8" t="s">
        <v>70</v>
      </c>
      <c r="U76" s="8" t="s">
        <v>236</v>
      </c>
      <c r="V76" s="8">
        <v>1000</v>
      </c>
      <c r="W76" s="8" t="s">
        <v>241</v>
      </c>
      <c r="X76" s="8">
        <v>3000</v>
      </c>
      <c r="Y76" s="8" t="s">
        <v>278</v>
      </c>
      <c r="Z76" s="8">
        <v>110</v>
      </c>
      <c r="AA76" s="8" t="s">
        <v>525</v>
      </c>
      <c r="AB76" s="8" t="s">
        <v>236</v>
      </c>
      <c r="AC76" s="8" t="s">
        <v>236</v>
      </c>
      <c r="AD76" s="8" t="s">
        <v>236</v>
      </c>
      <c r="AE76" s="8" t="s">
        <v>68</v>
      </c>
      <c r="AF76" s="8" t="s">
        <v>236</v>
      </c>
      <c r="AG76" s="8" t="s">
        <v>236</v>
      </c>
      <c r="AH76" s="8" t="s">
        <v>236</v>
      </c>
      <c r="AI76" s="8" t="s">
        <v>236</v>
      </c>
      <c r="AJ76" t="s">
        <v>519</v>
      </c>
      <c r="AK76">
        <v>12</v>
      </c>
      <c r="AL76">
        <v>1</v>
      </c>
      <c r="AM76" t="s">
        <v>95</v>
      </c>
      <c r="AN76" t="s">
        <v>236</v>
      </c>
      <c r="AO76" t="s">
        <v>529</v>
      </c>
      <c r="AP76" t="s">
        <v>112</v>
      </c>
      <c r="AQ76">
        <v>12</v>
      </c>
      <c r="AR76" t="s">
        <v>524</v>
      </c>
      <c r="AS76" t="s">
        <v>236</v>
      </c>
      <c r="AT76" t="s">
        <v>155</v>
      </c>
      <c r="AU76">
        <v>12</v>
      </c>
      <c r="AV76">
        <v>1</v>
      </c>
      <c r="AW76" t="s">
        <v>432</v>
      </c>
      <c r="AX76" t="s">
        <v>221</v>
      </c>
      <c r="AY76" t="s">
        <v>295</v>
      </c>
      <c r="AZ76">
        <v>1</v>
      </c>
      <c r="BA76" t="s">
        <v>435</v>
      </c>
      <c r="BB76" t="s">
        <v>431</v>
      </c>
      <c r="BC76" t="s">
        <v>419</v>
      </c>
      <c r="BD76" t="s">
        <v>236</v>
      </c>
      <c r="BE76" t="s">
        <v>437</v>
      </c>
      <c r="BF76" t="s">
        <v>530</v>
      </c>
      <c r="BG76" t="s">
        <v>433</v>
      </c>
      <c r="BH76" t="s">
        <v>420</v>
      </c>
      <c r="BI76" t="s">
        <v>520</v>
      </c>
      <c r="BJ76" t="s">
        <v>68</v>
      </c>
      <c r="BK76" t="s">
        <v>236</v>
      </c>
      <c r="BL76" t="s">
        <v>236</v>
      </c>
      <c r="BM76" t="s">
        <v>236</v>
      </c>
      <c r="BN76" t="s">
        <v>68</v>
      </c>
      <c r="BO76" t="s">
        <v>236</v>
      </c>
      <c r="BP76" t="s">
        <v>236</v>
      </c>
      <c r="BQ76" t="s">
        <v>236</v>
      </c>
      <c r="BR76" t="s">
        <v>236</v>
      </c>
      <c r="BS76" t="s">
        <v>436</v>
      </c>
      <c r="BT76">
        <v>0</v>
      </c>
    </row>
    <row r="77" spans="1:72" x14ac:dyDescent="0.15">
      <c r="A77" s="43">
        <v>2022</v>
      </c>
      <c r="B77" s="8">
        <v>12</v>
      </c>
      <c r="C77" s="8">
        <v>1</v>
      </c>
      <c r="D77" s="8">
        <v>10</v>
      </c>
      <c r="E77" s="8" t="s">
        <v>236</v>
      </c>
      <c r="F77" s="8" t="s">
        <v>57</v>
      </c>
      <c r="G77" s="8">
        <v>2017</v>
      </c>
      <c r="H77" s="8">
        <v>12</v>
      </c>
      <c r="I77" s="8" t="s">
        <v>524</v>
      </c>
      <c r="J77" s="8" t="s">
        <v>236</v>
      </c>
      <c r="K77" s="8">
        <v>1962</v>
      </c>
      <c r="L77" s="17">
        <v>12</v>
      </c>
      <c r="M77" s="8">
        <v>1</v>
      </c>
      <c r="N77" s="8" t="s">
        <v>48</v>
      </c>
      <c r="O77" s="8" t="s">
        <v>221</v>
      </c>
      <c r="P77" s="8" t="s">
        <v>295</v>
      </c>
      <c r="Q77" s="8">
        <v>3000</v>
      </c>
      <c r="R77" s="8" t="s">
        <v>57</v>
      </c>
      <c r="S77" s="8" t="s">
        <v>52</v>
      </c>
      <c r="T77" s="8" t="s">
        <v>70</v>
      </c>
      <c r="U77" s="8" t="s">
        <v>236</v>
      </c>
      <c r="V77" s="8">
        <v>1000</v>
      </c>
      <c r="W77" s="8" t="s">
        <v>241</v>
      </c>
      <c r="X77" s="8">
        <v>3000</v>
      </c>
      <c r="Y77" s="8" t="s">
        <v>278</v>
      </c>
      <c r="Z77" s="8">
        <v>110</v>
      </c>
      <c r="AA77" s="8" t="s">
        <v>525</v>
      </c>
      <c r="AB77" s="8" t="s">
        <v>236</v>
      </c>
      <c r="AC77" s="8" t="s">
        <v>236</v>
      </c>
      <c r="AD77" s="8" t="s">
        <v>236</v>
      </c>
      <c r="AE77" s="8" t="s">
        <v>68</v>
      </c>
      <c r="AF77" s="8" t="s">
        <v>236</v>
      </c>
      <c r="AG77" s="8" t="s">
        <v>236</v>
      </c>
      <c r="AH77" s="8" t="s">
        <v>236</v>
      </c>
      <c r="AI77" s="8" t="s">
        <v>236</v>
      </c>
      <c r="AJ77" t="s">
        <v>519</v>
      </c>
      <c r="AK77">
        <v>12</v>
      </c>
      <c r="AL77">
        <v>1</v>
      </c>
      <c r="AM77" t="s">
        <v>95</v>
      </c>
      <c r="AN77" t="s">
        <v>236</v>
      </c>
      <c r="AO77" t="s">
        <v>529</v>
      </c>
      <c r="AP77" t="s">
        <v>112</v>
      </c>
      <c r="AQ77">
        <v>12</v>
      </c>
      <c r="AR77" t="s">
        <v>524</v>
      </c>
      <c r="AS77" t="s">
        <v>236</v>
      </c>
      <c r="AT77" t="s">
        <v>165</v>
      </c>
      <c r="AU77">
        <v>12</v>
      </c>
      <c r="AV77">
        <v>1</v>
      </c>
      <c r="AW77" t="s">
        <v>432</v>
      </c>
      <c r="AX77" t="s">
        <v>221</v>
      </c>
      <c r="AY77" t="s">
        <v>295</v>
      </c>
      <c r="AZ77">
        <v>1</v>
      </c>
      <c r="BA77" t="s">
        <v>435</v>
      </c>
      <c r="BB77" t="s">
        <v>431</v>
      </c>
      <c r="BC77" t="s">
        <v>419</v>
      </c>
      <c r="BD77" t="s">
        <v>236</v>
      </c>
      <c r="BE77" t="s">
        <v>437</v>
      </c>
      <c r="BF77" t="s">
        <v>530</v>
      </c>
      <c r="BG77" t="s">
        <v>433</v>
      </c>
      <c r="BH77" t="s">
        <v>420</v>
      </c>
      <c r="BI77" t="s">
        <v>520</v>
      </c>
      <c r="BJ77" t="s">
        <v>68</v>
      </c>
      <c r="BK77" t="s">
        <v>236</v>
      </c>
      <c r="BL77" t="s">
        <v>236</v>
      </c>
      <c r="BM77" t="s">
        <v>236</v>
      </c>
      <c r="BN77" t="s">
        <v>68</v>
      </c>
      <c r="BO77" t="s">
        <v>236</v>
      </c>
      <c r="BP77" t="s">
        <v>236</v>
      </c>
      <c r="BQ77" t="s">
        <v>236</v>
      </c>
      <c r="BR77" t="s">
        <v>236</v>
      </c>
      <c r="BS77" t="s">
        <v>436</v>
      </c>
      <c r="BT77">
        <v>0</v>
      </c>
    </row>
    <row r="78" spans="1:72" x14ac:dyDescent="0.15">
      <c r="A78" s="43">
        <v>2022</v>
      </c>
      <c r="B78" s="8">
        <v>12</v>
      </c>
      <c r="C78" s="8">
        <v>1</v>
      </c>
      <c r="D78" s="8">
        <v>10</v>
      </c>
      <c r="E78" s="8" t="s">
        <v>236</v>
      </c>
      <c r="F78" s="8" t="s">
        <v>57</v>
      </c>
      <c r="G78" s="8">
        <v>2017</v>
      </c>
      <c r="H78" s="8">
        <v>12</v>
      </c>
      <c r="I78" s="8" t="s">
        <v>524</v>
      </c>
      <c r="J78" s="8" t="s">
        <v>236</v>
      </c>
      <c r="K78" s="8">
        <v>1952</v>
      </c>
      <c r="L78" s="17">
        <v>12</v>
      </c>
      <c r="M78" s="8">
        <v>1</v>
      </c>
      <c r="N78" s="8" t="s">
        <v>48</v>
      </c>
      <c r="O78" s="8" t="s">
        <v>221</v>
      </c>
      <c r="P78" s="8" t="s">
        <v>295</v>
      </c>
      <c r="Q78" s="8">
        <v>3000</v>
      </c>
      <c r="R78" s="8" t="s">
        <v>57</v>
      </c>
      <c r="S78" s="8" t="s">
        <v>52</v>
      </c>
      <c r="T78" s="8" t="s">
        <v>70</v>
      </c>
      <c r="U78" s="8" t="s">
        <v>236</v>
      </c>
      <c r="V78" s="8">
        <v>1000</v>
      </c>
      <c r="W78" s="8" t="s">
        <v>241</v>
      </c>
      <c r="X78" s="8">
        <v>3000</v>
      </c>
      <c r="Y78" s="8" t="s">
        <v>278</v>
      </c>
      <c r="Z78" s="8">
        <v>110</v>
      </c>
      <c r="AA78" s="8" t="s">
        <v>525</v>
      </c>
      <c r="AB78" s="8" t="s">
        <v>236</v>
      </c>
      <c r="AC78" s="8" t="s">
        <v>236</v>
      </c>
      <c r="AD78" s="8" t="s">
        <v>236</v>
      </c>
      <c r="AE78" s="8" t="s">
        <v>68</v>
      </c>
      <c r="AF78" s="8" t="s">
        <v>236</v>
      </c>
      <c r="AG78" s="8" t="s">
        <v>236</v>
      </c>
      <c r="AH78" s="8" t="s">
        <v>236</v>
      </c>
      <c r="AI78" s="8" t="s">
        <v>236</v>
      </c>
      <c r="AJ78" t="s">
        <v>519</v>
      </c>
      <c r="AK78">
        <v>12</v>
      </c>
      <c r="AL78">
        <v>1</v>
      </c>
      <c r="AM78" t="s">
        <v>95</v>
      </c>
      <c r="AN78" t="s">
        <v>236</v>
      </c>
      <c r="AO78" t="s">
        <v>529</v>
      </c>
      <c r="AP78" t="s">
        <v>112</v>
      </c>
      <c r="AQ78">
        <v>12</v>
      </c>
      <c r="AR78" t="s">
        <v>524</v>
      </c>
      <c r="AS78" t="s">
        <v>236</v>
      </c>
      <c r="AT78" t="s">
        <v>175</v>
      </c>
      <c r="AU78">
        <v>12</v>
      </c>
      <c r="AV78">
        <v>1</v>
      </c>
      <c r="AW78" t="s">
        <v>432</v>
      </c>
      <c r="AX78" t="s">
        <v>221</v>
      </c>
      <c r="AY78" t="s">
        <v>295</v>
      </c>
      <c r="AZ78">
        <v>1</v>
      </c>
      <c r="BA78" t="s">
        <v>435</v>
      </c>
      <c r="BB78" t="s">
        <v>431</v>
      </c>
      <c r="BC78" t="s">
        <v>419</v>
      </c>
      <c r="BD78" t="s">
        <v>236</v>
      </c>
      <c r="BE78" t="s">
        <v>437</v>
      </c>
      <c r="BF78" t="s">
        <v>530</v>
      </c>
      <c r="BG78" t="s">
        <v>433</v>
      </c>
      <c r="BH78" t="s">
        <v>420</v>
      </c>
      <c r="BI78" t="s">
        <v>520</v>
      </c>
      <c r="BJ78" t="s">
        <v>68</v>
      </c>
      <c r="BK78" t="s">
        <v>236</v>
      </c>
      <c r="BL78" t="s">
        <v>236</v>
      </c>
      <c r="BM78" t="s">
        <v>236</v>
      </c>
      <c r="BN78" t="s">
        <v>68</v>
      </c>
      <c r="BO78" t="s">
        <v>236</v>
      </c>
      <c r="BP78" t="s">
        <v>236</v>
      </c>
      <c r="BQ78" t="s">
        <v>236</v>
      </c>
      <c r="BR78" t="s">
        <v>236</v>
      </c>
      <c r="BS78" t="s">
        <v>436</v>
      </c>
      <c r="BT78">
        <v>0</v>
      </c>
    </row>
    <row r="79" spans="1:72" x14ac:dyDescent="0.15">
      <c r="A79" s="43">
        <v>2022</v>
      </c>
      <c r="B79" s="8">
        <v>12</v>
      </c>
      <c r="C79" s="8">
        <v>1</v>
      </c>
      <c r="D79" s="8">
        <v>10</v>
      </c>
      <c r="E79" s="8" t="s">
        <v>236</v>
      </c>
      <c r="F79" s="8" t="s">
        <v>57</v>
      </c>
      <c r="G79" s="8">
        <v>2017</v>
      </c>
      <c r="H79" s="8">
        <v>12</v>
      </c>
      <c r="I79" s="8" t="s">
        <v>524</v>
      </c>
      <c r="J79" s="8" t="s">
        <v>236</v>
      </c>
      <c r="K79" s="8">
        <v>1992</v>
      </c>
      <c r="L79" s="17">
        <v>12</v>
      </c>
      <c r="M79" s="8">
        <v>1</v>
      </c>
      <c r="N79" s="8" t="s">
        <v>48</v>
      </c>
      <c r="O79" s="8" t="s">
        <v>221</v>
      </c>
      <c r="P79" s="8" t="s">
        <v>295</v>
      </c>
      <c r="Q79" s="8">
        <v>7000</v>
      </c>
      <c r="R79" s="8" t="s">
        <v>57</v>
      </c>
      <c r="S79" s="8" t="s">
        <v>52</v>
      </c>
      <c r="T79" s="8" t="s">
        <v>70</v>
      </c>
      <c r="U79" s="8" t="s">
        <v>236</v>
      </c>
      <c r="V79" s="8">
        <v>1000</v>
      </c>
      <c r="W79" s="8" t="s">
        <v>241</v>
      </c>
      <c r="X79" s="8">
        <v>3000</v>
      </c>
      <c r="Y79" s="8" t="s">
        <v>278</v>
      </c>
      <c r="Z79" s="8">
        <v>110</v>
      </c>
      <c r="AA79" s="8" t="s">
        <v>525</v>
      </c>
      <c r="AB79" s="8" t="s">
        <v>236</v>
      </c>
      <c r="AC79" s="8" t="s">
        <v>236</v>
      </c>
      <c r="AD79" s="8" t="s">
        <v>236</v>
      </c>
      <c r="AE79" s="8" t="s">
        <v>68</v>
      </c>
      <c r="AF79" s="8" t="s">
        <v>236</v>
      </c>
      <c r="AG79" s="8" t="s">
        <v>236</v>
      </c>
      <c r="AH79" s="8" t="s">
        <v>236</v>
      </c>
      <c r="AI79" s="8" t="s">
        <v>236</v>
      </c>
      <c r="AJ79" t="s">
        <v>519</v>
      </c>
      <c r="AK79">
        <v>12</v>
      </c>
      <c r="AL79">
        <v>1</v>
      </c>
      <c r="AM79" t="s">
        <v>95</v>
      </c>
      <c r="AN79" t="s">
        <v>236</v>
      </c>
      <c r="AO79" t="s">
        <v>529</v>
      </c>
      <c r="AP79" t="s">
        <v>112</v>
      </c>
      <c r="AQ79">
        <v>12</v>
      </c>
      <c r="AR79" t="s">
        <v>524</v>
      </c>
      <c r="AS79" t="s">
        <v>236</v>
      </c>
      <c r="AT79" t="s">
        <v>137</v>
      </c>
      <c r="AU79">
        <v>12</v>
      </c>
      <c r="AV79">
        <v>1</v>
      </c>
      <c r="AW79" t="s">
        <v>432</v>
      </c>
      <c r="AX79" t="s">
        <v>221</v>
      </c>
      <c r="AY79" t="s">
        <v>295</v>
      </c>
      <c r="AZ79">
        <v>3</v>
      </c>
      <c r="BA79" t="s">
        <v>435</v>
      </c>
      <c r="BB79" t="s">
        <v>431</v>
      </c>
      <c r="BC79" t="s">
        <v>419</v>
      </c>
      <c r="BD79" t="s">
        <v>236</v>
      </c>
      <c r="BE79" t="s">
        <v>437</v>
      </c>
      <c r="BF79" t="s">
        <v>530</v>
      </c>
      <c r="BG79" t="s">
        <v>433</v>
      </c>
      <c r="BH79" t="s">
        <v>420</v>
      </c>
      <c r="BI79" t="s">
        <v>520</v>
      </c>
      <c r="BJ79" t="s">
        <v>68</v>
      </c>
      <c r="BK79" t="s">
        <v>236</v>
      </c>
      <c r="BL79" t="s">
        <v>236</v>
      </c>
      <c r="BM79" t="s">
        <v>236</v>
      </c>
      <c r="BN79" t="s">
        <v>68</v>
      </c>
      <c r="BO79" t="s">
        <v>236</v>
      </c>
      <c r="BP79" t="s">
        <v>236</v>
      </c>
      <c r="BQ79" t="s">
        <v>236</v>
      </c>
      <c r="BR79" t="s">
        <v>236</v>
      </c>
      <c r="BS79" t="s">
        <v>436</v>
      </c>
      <c r="BT79">
        <v>0</v>
      </c>
    </row>
    <row r="80" spans="1:72" x14ac:dyDescent="0.15">
      <c r="A80" s="43">
        <v>2022</v>
      </c>
      <c r="B80" s="8">
        <v>12</v>
      </c>
      <c r="C80" s="8">
        <v>1</v>
      </c>
      <c r="D80" s="8">
        <v>10</v>
      </c>
      <c r="E80" s="8" t="s">
        <v>236</v>
      </c>
      <c r="F80" s="8" t="s">
        <v>57</v>
      </c>
      <c r="G80" s="8">
        <v>2017</v>
      </c>
      <c r="H80" s="8">
        <v>12</v>
      </c>
      <c r="I80" s="8" t="s">
        <v>524</v>
      </c>
      <c r="J80" s="8" t="s">
        <v>236</v>
      </c>
      <c r="K80" s="8">
        <v>1987</v>
      </c>
      <c r="L80" s="17">
        <v>12</v>
      </c>
      <c r="M80" s="8">
        <v>1</v>
      </c>
      <c r="N80" s="8" t="s">
        <v>48</v>
      </c>
      <c r="O80" s="8" t="s">
        <v>221</v>
      </c>
      <c r="P80" s="8" t="s">
        <v>295</v>
      </c>
      <c r="Q80" s="8">
        <v>7000</v>
      </c>
      <c r="R80" s="8" t="s">
        <v>57</v>
      </c>
      <c r="S80" s="8" t="s">
        <v>52</v>
      </c>
      <c r="T80" s="8" t="s">
        <v>70</v>
      </c>
      <c r="U80" s="8" t="s">
        <v>236</v>
      </c>
      <c r="V80" s="8">
        <v>1000</v>
      </c>
      <c r="W80" s="8" t="s">
        <v>241</v>
      </c>
      <c r="X80" s="8">
        <v>3000</v>
      </c>
      <c r="Y80" s="8" t="s">
        <v>278</v>
      </c>
      <c r="Z80" s="8">
        <v>110</v>
      </c>
      <c r="AA80" s="8" t="s">
        <v>525</v>
      </c>
      <c r="AB80" s="8" t="s">
        <v>236</v>
      </c>
      <c r="AC80" s="8" t="s">
        <v>236</v>
      </c>
      <c r="AD80" s="8" t="s">
        <v>236</v>
      </c>
      <c r="AE80" s="8" t="s">
        <v>68</v>
      </c>
      <c r="AF80" s="8" t="s">
        <v>236</v>
      </c>
      <c r="AG80" s="8" t="s">
        <v>236</v>
      </c>
      <c r="AH80" s="8" t="s">
        <v>236</v>
      </c>
      <c r="AI80" s="8" t="s">
        <v>236</v>
      </c>
      <c r="AJ80" t="s">
        <v>519</v>
      </c>
      <c r="AK80">
        <v>12</v>
      </c>
      <c r="AL80">
        <v>1</v>
      </c>
      <c r="AM80" t="s">
        <v>95</v>
      </c>
      <c r="AN80" t="s">
        <v>236</v>
      </c>
      <c r="AO80" t="s">
        <v>529</v>
      </c>
      <c r="AP80" t="s">
        <v>112</v>
      </c>
      <c r="AQ80">
        <v>12</v>
      </c>
      <c r="AR80" t="s">
        <v>524</v>
      </c>
      <c r="AS80" t="s">
        <v>236</v>
      </c>
      <c r="AT80" t="s">
        <v>140</v>
      </c>
      <c r="AU80">
        <v>12</v>
      </c>
      <c r="AV80">
        <v>1</v>
      </c>
      <c r="AW80" t="s">
        <v>432</v>
      </c>
      <c r="AX80" t="s">
        <v>221</v>
      </c>
      <c r="AY80" t="s">
        <v>295</v>
      </c>
      <c r="AZ80">
        <v>3</v>
      </c>
      <c r="BA80" t="s">
        <v>435</v>
      </c>
      <c r="BB80" t="s">
        <v>431</v>
      </c>
      <c r="BC80" t="s">
        <v>419</v>
      </c>
      <c r="BD80" t="s">
        <v>236</v>
      </c>
      <c r="BE80" t="s">
        <v>437</v>
      </c>
      <c r="BF80" t="s">
        <v>530</v>
      </c>
      <c r="BG80" t="s">
        <v>433</v>
      </c>
      <c r="BH80" t="s">
        <v>420</v>
      </c>
      <c r="BI80" t="s">
        <v>520</v>
      </c>
      <c r="BJ80" t="s">
        <v>68</v>
      </c>
      <c r="BK80" t="s">
        <v>236</v>
      </c>
      <c r="BL80" t="s">
        <v>236</v>
      </c>
      <c r="BM80" t="s">
        <v>236</v>
      </c>
      <c r="BN80" t="s">
        <v>68</v>
      </c>
      <c r="BO80" t="s">
        <v>236</v>
      </c>
      <c r="BP80" t="s">
        <v>236</v>
      </c>
      <c r="BQ80" t="s">
        <v>236</v>
      </c>
      <c r="BR80" t="s">
        <v>236</v>
      </c>
      <c r="BS80" t="s">
        <v>436</v>
      </c>
      <c r="BT80">
        <v>0</v>
      </c>
    </row>
    <row r="81" spans="1:72" x14ac:dyDescent="0.15">
      <c r="A81" s="43">
        <v>2022</v>
      </c>
      <c r="B81" s="8">
        <v>12</v>
      </c>
      <c r="C81" s="8">
        <v>1</v>
      </c>
      <c r="D81" s="8">
        <v>10</v>
      </c>
      <c r="E81" s="8" t="s">
        <v>236</v>
      </c>
      <c r="F81" s="8" t="s">
        <v>57</v>
      </c>
      <c r="G81" s="8">
        <v>2017</v>
      </c>
      <c r="H81" s="8">
        <v>12</v>
      </c>
      <c r="I81" s="8" t="s">
        <v>524</v>
      </c>
      <c r="J81" s="8" t="s">
        <v>236</v>
      </c>
      <c r="K81" s="8">
        <v>1982</v>
      </c>
      <c r="L81" s="17">
        <v>12</v>
      </c>
      <c r="M81" s="8">
        <v>1</v>
      </c>
      <c r="N81" s="8" t="s">
        <v>48</v>
      </c>
      <c r="O81" s="8" t="s">
        <v>221</v>
      </c>
      <c r="P81" s="8" t="s">
        <v>295</v>
      </c>
      <c r="Q81" s="8">
        <v>7000</v>
      </c>
      <c r="R81" s="8" t="s">
        <v>57</v>
      </c>
      <c r="S81" s="8" t="s">
        <v>52</v>
      </c>
      <c r="T81" s="8" t="s">
        <v>70</v>
      </c>
      <c r="U81" s="8" t="s">
        <v>236</v>
      </c>
      <c r="V81" s="8">
        <v>1000</v>
      </c>
      <c r="W81" s="8" t="s">
        <v>241</v>
      </c>
      <c r="X81" s="8">
        <v>3000</v>
      </c>
      <c r="Y81" s="8" t="s">
        <v>278</v>
      </c>
      <c r="Z81" s="8">
        <v>110</v>
      </c>
      <c r="AA81" s="8" t="s">
        <v>525</v>
      </c>
      <c r="AB81" s="8" t="s">
        <v>236</v>
      </c>
      <c r="AC81" s="8" t="s">
        <v>236</v>
      </c>
      <c r="AD81" s="8" t="s">
        <v>236</v>
      </c>
      <c r="AE81" s="8" t="s">
        <v>68</v>
      </c>
      <c r="AF81" s="8" t="s">
        <v>236</v>
      </c>
      <c r="AG81" s="8" t="s">
        <v>236</v>
      </c>
      <c r="AH81" s="8" t="s">
        <v>236</v>
      </c>
      <c r="AI81" s="8" t="s">
        <v>236</v>
      </c>
      <c r="AJ81" t="s">
        <v>519</v>
      </c>
      <c r="AK81">
        <v>12</v>
      </c>
      <c r="AL81">
        <v>1</v>
      </c>
      <c r="AM81" t="s">
        <v>95</v>
      </c>
      <c r="AN81" t="s">
        <v>236</v>
      </c>
      <c r="AO81" t="s">
        <v>529</v>
      </c>
      <c r="AP81" t="s">
        <v>112</v>
      </c>
      <c r="AQ81">
        <v>12</v>
      </c>
      <c r="AR81" t="s">
        <v>524</v>
      </c>
      <c r="AS81" t="s">
        <v>236</v>
      </c>
      <c r="AT81" t="s">
        <v>145</v>
      </c>
      <c r="AU81">
        <v>12</v>
      </c>
      <c r="AV81">
        <v>1</v>
      </c>
      <c r="AW81" t="s">
        <v>432</v>
      </c>
      <c r="AX81" t="s">
        <v>221</v>
      </c>
      <c r="AY81" t="s">
        <v>295</v>
      </c>
      <c r="AZ81">
        <v>3</v>
      </c>
      <c r="BA81" t="s">
        <v>435</v>
      </c>
      <c r="BB81" t="s">
        <v>431</v>
      </c>
      <c r="BC81" t="s">
        <v>419</v>
      </c>
      <c r="BD81" t="s">
        <v>236</v>
      </c>
      <c r="BE81" t="s">
        <v>437</v>
      </c>
      <c r="BF81" t="s">
        <v>530</v>
      </c>
      <c r="BG81" t="s">
        <v>433</v>
      </c>
      <c r="BH81" t="s">
        <v>420</v>
      </c>
      <c r="BI81" t="s">
        <v>520</v>
      </c>
      <c r="BJ81" t="s">
        <v>68</v>
      </c>
      <c r="BK81" t="s">
        <v>236</v>
      </c>
      <c r="BL81" t="s">
        <v>236</v>
      </c>
      <c r="BM81" t="s">
        <v>236</v>
      </c>
      <c r="BN81" t="s">
        <v>68</v>
      </c>
      <c r="BO81" t="s">
        <v>236</v>
      </c>
      <c r="BP81" t="s">
        <v>236</v>
      </c>
      <c r="BQ81" t="s">
        <v>236</v>
      </c>
      <c r="BR81" t="s">
        <v>236</v>
      </c>
      <c r="BS81" t="s">
        <v>436</v>
      </c>
      <c r="BT81">
        <v>0</v>
      </c>
    </row>
    <row r="82" spans="1:72" x14ac:dyDescent="0.15">
      <c r="A82" s="43">
        <v>2022</v>
      </c>
      <c r="B82" s="8">
        <v>12</v>
      </c>
      <c r="C82" s="8">
        <v>1</v>
      </c>
      <c r="D82" s="8">
        <v>10</v>
      </c>
      <c r="E82" s="8" t="s">
        <v>236</v>
      </c>
      <c r="F82" s="8" t="s">
        <v>57</v>
      </c>
      <c r="G82" s="8">
        <v>2017</v>
      </c>
      <c r="H82" s="8">
        <v>12</v>
      </c>
      <c r="I82" s="8" t="s">
        <v>524</v>
      </c>
      <c r="J82" s="8" t="s">
        <v>236</v>
      </c>
      <c r="K82" s="8">
        <v>1977</v>
      </c>
      <c r="L82" s="17">
        <v>12</v>
      </c>
      <c r="M82" s="8">
        <v>1</v>
      </c>
      <c r="N82" s="8" t="s">
        <v>48</v>
      </c>
      <c r="O82" s="8" t="s">
        <v>221</v>
      </c>
      <c r="P82" s="8" t="s">
        <v>295</v>
      </c>
      <c r="Q82" s="8">
        <v>7000</v>
      </c>
      <c r="R82" s="8" t="s">
        <v>57</v>
      </c>
      <c r="S82" s="8" t="s">
        <v>52</v>
      </c>
      <c r="T82" s="8" t="s">
        <v>70</v>
      </c>
      <c r="U82" s="8" t="s">
        <v>236</v>
      </c>
      <c r="V82" s="8">
        <v>1000</v>
      </c>
      <c r="W82" s="8" t="s">
        <v>241</v>
      </c>
      <c r="X82" s="8">
        <v>3000</v>
      </c>
      <c r="Y82" s="8" t="s">
        <v>278</v>
      </c>
      <c r="Z82" s="8">
        <v>110</v>
      </c>
      <c r="AA82" s="8" t="s">
        <v>525</v>
      </c>
      <c r="AB82" s="8" t="s">
        <v>236</v>
      </c>
      <c r="AC82" s="8" t="s">
        <v>236</v>
      </c>
      <c r="AD82" s="8" t="s">
        <v>236</v>
      </c>
      <c r="AE82" s="8" t="s">
        <v>68</v>
      </c>
      <c r="AF82" s="8" t="s">
        <v>236</v>
      </c>
      <c r="AG82" s="8" t="s">
        <v>236</v>
      </c>
      <c r="AH82" s="8" t="s">
        <v>236</v>
      </c>
      <c r="AI82" s="8" t="s">
        <v>236</v>
      </c>
      <c r="AJ82" t="s">
        <v>519</v>
      </c>
      <c r="AK82">
        <v>12</v>
      </c>
      <c r="AL82">
        <v>1</v>
      </c>
      <c r="AM82" t="s">
        <v>95</v>
      </c>
      <c r="AN82" t="s">
        <v>236</v>
      </c>
      <c r="AO82" t="s">
        <v>529</v>
      </c>
      <c r="AP82" t="s">
        <v>112</v>
      </c>
      <c r="AQ82">
        <v>12</v>
      </c>
      <c r="AR82" t="s">
        <v>524</v>
      </c>
      <c r="AS82" t="s">
        <v>236</v>
      </c>
      <c r="AT82" t="s">
        <v>150</v>
      </c>
      <c r="AU82">
        <v>12</v>
      </c>
      <c r="AV82">
        <v>1</v>
      </c>
      <c r="AW82" t="s">
        <v>432</v>
      </c>
      <c r="AX82" t="s">
        <v>221</v>
      </c>
      <c r="AY82" t="s">
        <v>295</v>
      </c>
      <c r="AZ82">
        <v>3</v>
      </c>
      <c r="BA82" t="s">
        <v>435</v>
      </c>
      <c r="BB82" t="s">
        <v>431</v>
      </c>
      <c r="BC82" t="s">
        <v>419</v>
      </c>
      <c r="BD82" t="s">
        <v>236</v>
      </c>
      <c r="BE82" t="s">
        <v>437</v>
      </c>
      <c r="BF82" t="s">
        <v>530</v>
      </c>
      <c r="BG82" t="s">
        <v>433</v>
      </c>
      <c r="BH82" t="s">
        <v>420</v>
      </c>
      <c r="BI82" t="s">
        <v>520</v>
      </c>
      <c r="BJ82" t="s">
        <v>68</v>
      </c>
      <c r="BK82" t="s">
        <v>236</v>
      </c>
      <c r="BL82" t="s">
        <v>236</v>
      </c>
      <c r="BM82" t="s">
        <v>236</v>
      </c>
      <c r="BN82" t="s">
        <v>68</v>
      </c>
      <c r="BO82" t="s">
        <v>236</v>
      </c>
      <c r="BP82" t="s">
        <v>236</v>
      </c>
      <c r="BQ82" t="s">
        <v>236</v>
      </c>
      <c r="BR82" t="s">
        <v>236</v>
      </c>
      <c r="BS82" t="s">
        <v>436</v>
      </c>
      <c r="BT82">
        <v>0</v>
      </c>
    </row>
    <row r="83" spans="1:72" x14ac:dyDescent="0.15">
      <c r="A83" s="43">
        <v>2022</v>
      </c>
      <c r="B83" s="8">
        <v>12</v>
      </c>
      <c r="C83" s="8">
        <v>1</v>
      </c>
      <c r="D83" s="8">
        <v>10</v>
      </c>
      <c r="E83" s="8" t="s">
        <v>236</v>
      </c>
      <c r="F83" s="8" t="s">
        <v>57</v>
      </c>
      <c r="G83" s="8">
        <v>2017</v>
      </c>
      <c r="H83" s="8">
        <v>12</v>
      </c>
      <c r="I83" s="8" t="s">
        <v>524</v>
      </c>
      <c r="J83" s="8" t="s">
        <v>236</v>
      </c>
      <c r="K83" s="8">
        <v>1972</v>
      </c>
      <c r="L83" s="17">
        <v>12</v>
      </c>
      <c r="M83" s="8">
        <v>1</v>
      </c>
      <c r="N83" s="8" t="s">
        <v>48</v>
      </c>
      <c r="O83" s="8" t="s">
        <v>221</v>
      </c>
      <c r="P83" s="8" t="s">
        <v>295</v>
      </c>
      <c r="Q83" s="8">
        <v>7000</v>
      </c>
      <c r="R83" s="8" t="s">
        <v>57</v>
      </c>
      <c r="S83" s="8" t="s">
        <v>52</v>
      </c>
      <c r="T83" s="8" t="s">
        <v>70</v>
      </c>
      <c r="U83" s="8" t="s">
        <v>236</v>
      </c>
      <c r="V83" s="8">
        <v>1000</v>
      </c>
      <c r="W83" s="8" t="s">
        <v>241</v>
      </c>
      <c r="X83" s="8">
        <v>3000</v>
      </c>
      <c r="Y83" s="8" t="s">
        <v>278</v>
      </c>
      <c r="Z83" s="8">
        <v>110</v>
      </c>
      <c r="AA83" s="8" t="s">
        <v>525</v>
      </c>
      <c r="AB83" s="8" t="s">
        <v>236</v>
      </c>
      <c r="AC83" s="8" t="s">
        <v>236</v>
      </c>
      <c r="AD83" s="8" t="s">
        <v>236</v>
      </c>
      <c r="AE83" s="8" t="s">
        <v>68</v>
      </c>
      <c r="AF83" s="8" t="s">
        <v>236</v>
      </c>
      <c r="AG83" s="8" t="s">
        <v>236</v>
      </c>
      <c r="AH83" s="8" t="s">
        <v>236</v>
      </c>
      <c r="AI83" s="8" t="s">
        <v>236</v>
      </c>
      <c r="AJ83" t="s">
        <v>519</v>
      </c>
      <c r="AK83">
        <v>12</v>
      </c>
      <c r="AL83">
        <v>1</v>
      </c>
      <c r="AM83" t="s">
        <v>95</v>
      </c>
      <c r="AN83" t="s">
        <v>236</v>
      </c>
      <c r="AO83" t="s">
        <v>529</v>
      </c>
      <c r="AP83" t="s">
        <v>112</v>
      </c>
      <c r="AQ83">
        <v>12</v>
      </c>
      <c r="AR83" t="s">
        <v>524</v>
      </c>
      <c r="AS83" t="s">
        <v>236</v>
      </c>
      <c r="AT83" t="s">
        <v>155</v>
      </c>
      <c r="AU83">
        <v>12</v>
      </c>
      <c r="AV83">
        <v>1</v>
      </c>
      <c r="AW83" t="s">
        <v>432</v>
      </c>
      <c r="AX83" t="s">
        <v>221</v>
      </c>
      <c r="AY83" t="s">
        <v>295</v>
      </c>
      <c r="AZ83">
        <v>3</v>
      </c>
      <c r="BA83" t="s">
        <v>435</v>
      </c>
      <c r="BB83" t="s">
        <v>431</v>
      </c>
      <c r="BC83" t="s">
        <v>419</v>
      </c>
      <c r="BD83" t="s">
        <v>236</v>
      </c>
      <c r="BE83" t="s">
        <v>437</v>
      </c>
      <c r="BF83" t="s">
        <v>530</v>
      </c>
      <c r="BG83" t="s">
        <v>433</v>
      </c>
      <c r="BH83" t="s">
        <v>420</v>
      </c>
      <c r="BI83" t="s">
        <v>520</v>
      </c>
      <c r="BJ83" t="s">
        <v>68</v>
      </c>
      <c r="BK83" t="s">
        <v>236</v>
      </c>
      <c r="BL83" t="s">
        <v>236</v>
      </c>
      <c r="BM83" t="s">
        <v>236</v>
      </c>
      <c r="BN83" t="s">
        <v>68</v>
      </c>
      <c r="BO83" t="s">
        <v>236</v>
      </c>
      <c r="BP83" t="s">
        <v>236</v>
      </c>
      <c r="BQ83" t="s">
        <v>236</v>
      </c>
      <c r="BR83" t="s">
        <v>236</v>
      </c>
      <c r="BS83" t="s">
        <v>436</v>
      </c>
      <c r="BT83">
        <v>0</v>
      </c>
    </row>
    <row r="84" spans="1:72" x14ac:dyDescent="0.15">
      <c r="A84" s="43">
        <v>2022</v>
      </c>
      <c r="B84" s="8">
        <v>12</v>
      </c>
      <c r="C84" s="8">
        <v>1</v>
      </c>
      <c r="D84" s="8">
        <v>10</v>
      </c>
      <c r="E84" s="8" t="s">
        <v>236</v>
      </c>
      <c r="F84" s="8" t="s">
        <v>57</v>
      </c>
      <c r="G84" s="8">
        <v>2017</v>
      </c>
      <c r="H84" s="8">
        <v>12</v>
      </c>
      <c r="I84" s="8" t="s">
        <v>524</v>
      </c>
      <c r="J84" s="8" t="s">
        <v>236</v>
      </c>
      <c r="K84" s="8">
        <v>1962</v>
      </c>
      <c r="L84" s="17">
        <v>12</v>
      </c>
      <c r="M84" s="8">
        <v>1</v>
      </c>
      <c r="N84" s="8" t="s">
        <v>48</v>
      </c>
      <c r="O84" s="8" t="s">
        <v>221</v>
      </c>
      <c r="P84" s="8" t="s">
        <v>295</v>
      </c>
      <c r="Q84" s="8">
        <v>7000</v>
      </c>
      <c r="R84" s="8" t="s">
        <v>57</v>
      </c>
      <c r="S84" s="8" t="s">
        <v>52</v>
      </c>
      <c r="T84" s="8" t="s">
        <v>70</v>
      </c>
      <c r="U84" s="8" t="s">
        <v>236</v>
      </c>
      <c r="V84" s="8">
        <v>1000</v>
      </c>
      <c r="W84" s="8" t="s">
        <v>241</v>
      </c>
      <c r="X84" s="8">
        <v>3000</v>
      </c>
      <c r="Y84" s="8" t="s">
        <v>278</v>
      </c>
      <c r="Z84" s="8">
        <v>110</v>
      </c>
      <c r="AA84" s="8" t="s">
        <v>525</v>
      </c>
      <c r="AB84" s="8" t="s">
        <v>236</v>
      </c>
      <c r="AC84" s="8" t="s">
        <v>236</v>
      </c>
      <c r="AD84" s="8" t="s">
        <v>236</v>
      </c>
      <c r="AE84" s="8" t="s">
        <v>68</v>
      </c>
      <c r="AF84" s="8" t="s">
        <v>236</v>
      </c>
      <c r="AG84" s="8" t="s">
        <v>236</v>
      </c>
      <c r="AH84" s="8" t="s">
        <v>236</v>
      </c>
      <c r="AI84" s="8" t="s">
        <v>236</v>
      </c>
      <c r="AJ84" t="s">
        <v>519</v>
      </c>
      <c r="AK84">
        <v>12</v>
      </c>
      <c r="AL84">
        <v>1</v>
      </c>
      <c r="AM84" t="s">
        <v>95</v>
      </c>
      <c r="AN84" t="s">
        <v>236</v>
      </c>
      <c r="AO84" t="s">
        <v>529</v>
      </c>
      <c r="AP84" t="s">
        <v>112</v>
      </c>
      <c r="AQ84">
        <v>12</v>
      </c>
      <c r="AR84" t="s">
        <v>524</v>
      </c>
      <c r="AS84" t="s">
        <v>236</v>
      </c>
      <c r="AT84" t="s">
        <v>165</v>
      </c>
      <c r="AU84">
        <v>12</v>
      </c>
      <c r="AV84">
        <v>1</v>
      </c>
      <c r="AW84" t="s">
        <v>432</v>
      </c>
      <c r="AX84" t="s">
        <v>221</v>
      </c>
      <c r="AY84" t="s">
        <v>295</v>
      </c>
      <c r="AZ84">
        <v>3</v>
      </c>
      <c r="BA84" t="s">
        <v>435</v>
      </c>
      <c r="BB84" t="s">
        <v>431</v>
      </c>
      <c r="BC84" t="s">
        <v>419</v>
      </c>
      <c r="BD84" t="s">
        <v>236</v>
      </c>
      <c r="BE84" t="s">
        <v>437</v>
      </c>
      <c r="BF84" t="s">
        <v>530</v>
      </c>
      <c r="BG84" t="s">
        <v>433</v>
      </c>
      <c r="BH84" t="s">
        <v>420</v>
      </c>
      <c r="BI84" t="s">
        <v>520</v>
      </c>
      <c r="BJ84" t="s">
        <v>68</v>
      </c>
      <c r="BK84" t="s">
        <v>236</v>
      </c>
      <c r="BL84" t="s">
        <v>236</v>
      </c>
      <c r="BM84" t="s">
        <v>236</v>
      </c>
      <c r="BN84" t="s">
        <v>68</v>
      </c>
      <c r="BO84" t="s">
        <v>236</v>
      </c>
      <c r="BP84" t="s">
        <v>236</v>
      </c>
      <c r="BQ84" t="s">
        <v>236</v>
      </c>
      <c r="BR84" t="s">
        <v>236</v>
      </c>
      <c r="BS84" t="s">
        <v>436</v>
      </c>
      <c r="BT84">
        <v>0</v>
      </c>
    </row>
    <row r="85" spans="1:72" x14ac:dyDescent="0.15">
      <c r="A85" s="43">
        <v>2022</v>
      </c>
      <c r="B85" s="8">
        <v>12</v>
      </c>
      <c r="C85" s="8">
        <v>1</v>
      </c>
      <c r="D85" s="8">
        <v>10</v>
      </c>
      <c r="E85" s="8" t="s">
        <v>236</v>
      </c>
      <c r="F85" s="8" t="s">
        <v>57</v>
      </c>
      <c r="G85" s="8">
        <v>2017</v>
      </c>
      <c r="H85" s="8">
        <v>12</v>
      </c>
      <c r="I85" s="8" t="s">
        <v>524</v>
      </c>
      <c r="J85" s="8" t="s">
        <v>236</v>
      </c>
      <c r="K85" s="8">
        <v>1952</v>
      </c>
      <c r="L85" s="17">
        <v>12</v>
      </c>
      <c r="M85" s="8">
        <v>1</v>
      </c>
      <c r="N85" s="8" t="s">
        <v>48</v>
      </c>
      <c r="O85" s="8" t="s">
        <v>221</v>
      </c>
      <c r="P85" s="8" t="s">
        <v>295</v>
      </c>
      <c r="Q85" s="8">
        <v>7000</v>
      </c>
      <c r="R85" s="8" t="s">
        <v>57</v>
      </c>
      <c r="S85" s="8" t="s">
        <v>52</v>
      </c>
      <c r="T85" s="8" t="s">
        <v>70</v>
      </c>
      <c r="U85" s="8" t="s">
        <v>236</v>
      </c>
      <c r="V85" s="8">
        <v>1000</v>
      </c>
      <c r="W85" s="8" t="s">
        <v>241</v>
      </c>
      <c r="X85" s="8">
        <v>3000</v>
      </c>
      <c r="Y85" s="8" t="s">
        <v>278</v>
      </c>
      <c r="Z85" s="8">
        <v>110</v>
      </c>
      <c r="AA85" s="8" t="s">
        <v>525</v>
      </c>
      <c r="AB85" s="8" t="s">
        <v>236</v>
      </c>
      <c r="AC85" s="8" t="s">
        <v>236</v>
      </c>
      <c r="AD85" s="8" t="s">
        <v>236</v>
      </c>
      <c r="AE85" s="8" t="s">
        <v>68</v>
      </c>
      <c r="AF85" s="8" t="s">
        <v>236</v>
      </c>
      <c r="AG85" s="8" t="s">
        <v>236</v>
      </c>
      <c r="AH85" s="8" t="s">
        <v>236</v>
      </c>
      <c r="AI85" s="8" t="s">
        <v>236</v>
      </c>
      <c r="AJ85" t="s">
        <v>519</v>
      </c>
      <c r="AK85">
        <v>12</v>
      </c>
      <c r="AL85">
        <v>1</v>
      </c>
      <c r="AM85" t="s">
        <v>95</v>
      </c>
      <c r="AN85" t="s">
        <v>236</v>
      </c>
      <c r="AO85" t="s">
        <v>529</v>
      </c>
      <c r="AP85" t="s">
        <v>112</v>
      </c>
      <c r="AQ85">
        <v>12</v>
      </c>
      <c r="AR85" t="s">
        <v>524</v>
      </c>
      <c r="AS85" t="s">
        <v>236</v>
      </c>
      <c r="AT85" t="s">
        <v>175</v>
      </c>
      <c r="AU85">
        <v>12</v>
      </c>
      <c r="AV85">
        <v>1</v>
      </c>
      <c r="AW85" t="s">
        <v>432</v>
      </c>
      <c r="AX85" t="s">
        <v>221</v>
      </c>
      <c r="AY85" t="s">
        <v>295</v>
      </c>
      <c r="AZ85">
        <v>3</v>
      </c>
      <c r="BA85" t="s">
        <v>435</v>
      </c>
      <c r="BB85" t="s">
        <v>431</v>
      </c>
      <c r="BC85" t="s">
        <v>419</v>
      </c>
      <c r="BD85" t="s">
        <v>236</v>
      </c>
      <c r="BE85" t="s">
        <v>437</v>
      </c>
      <c r="BF85" t="s">
        <v>530</v>
      </c>
      <c r="BG85" t="s">
        <v>433</v>
      </c>
      <c r="BH85" t="s">
        <v>420</v>
      </c>
      <c r="BI85" t="s">
        <v>520</v>
      </c>
      <c r="BJ85" t="s">
        <v>68</v>
      </c>
      <c r="BK85" t="s">
        <v>236</v>
      </c>
      <c r="BL85" t="s">
        <v>236</v>
      </c>
      <c r="BM85" t="s">
        <v>236</v>
      </c>
      <c r="BN85" t="s">
        <v>68</v>
      </c>
      <c r="BO85" t="s">
        <v>236</v>
      </c>
      <c r="BP85" t="s">
        <v>236</v>
      </c>
      <c r="BQ85" t="s">
        <v>236</v>
      </c>
      <c r="BR85" t="s">
        <v>236</v>
      </c>
      <c r="BS85" t="s">
        <v>436</v>
      </c>
      <c r="BT85">
        <v>0</v>
      </c>
    </row>
    <row r="86" spans="1:72" x14ac:dyDescent="0.15">
      <c r="A86" s="43">
        <v>2022</v>
      </c>
      <c r="B86" s="8">
        <v>12</v>
      </c>
      <c r="C86" s="8">
        <v>1</v>
      </c>
      <c r="D86" s="8" t="s">
        <v>297</v>
      </c>
      <c r="E86" s="8" t="s">
        <v>236</v>
      </c>
      <c r="F86" s="8" t="s">
        <v>57</v>
      </c>
      <c r="G86" s="8">
        <v>2017</v>
      </c>
      <c r="H86" s="8">
        <v>12</v>
      </c>
      <c r="I86" s="8" t="s">
        <v>524</v>
      </c>
      <c r="J86" s="8" t="s">
        <v>236</v>
      </c>
      <c r="K86" s="8">
        <v>1992</v>
      </c>
      <c r="L86" s="17">
        <v>12</v>
      </c>
      <c r="M86" s="8">
        <v>1</v>
      </c>
      <c r="N86" s="8" t="s">
        <v>48</v>
      </c>
      <c r="O86" s="8" t="s">
        <v>221</v>
      </c>
      <c r="P86" s="8" t="s">
        <v>224</v>
      </c>
      <c r="Q86" s="8">
        <v>3000</v>
      </c>
      <c r="R86" s="8" t="s">
        <v>57</v>
      </c>
      <c r="S86" s="8" t="s">
        <v>52</v>
      </c>
      <c r="T86" s="8" t="s">
        <v>70</v>
      </c>
      <c r="U86" s="8" t="s">
        <v>236</v>
      </c>
      <c r="V86" s="8">
        <v>1000</v>
      </c>
      <c r="W86" s="8" t="s">
        <v>241</v>
      </c>
      <c r="X86" s="8">
        <v>3000</v>
      </c>
      <c r="Y86" s="8" t="s">
        <v>278</v>
      </c>
      <c r="Z86" s="8">
        <v>110</v>
      </c>
      <c r="AA86" s="8" t="s">
        <v>525</v>
      </c>
      <c r="AB86" s="8" t="s">
        <v>236</v>
      </c>
      <c r="AC86" s="8" t="s">
        <v>236</v>
      </c>
      <c r="AD86" s="8" t="s">
        <v>236</v>
      </c>
      <c r="AE86" s="8" t="s">
        <v>68</v>
      </c>
      <c r="AF86" s="8" t="s">
        <v>236</v>
      </c>
      <c r="AG86" s="8" t="s">
        <v>236</v>
      </c>
      <c r="AH86" s="8" t="s">
        <v>236</v>
      </c>
      <c r="AI86" s="8" t="s">
        <v>236</v>
      </c>
      <c r="AJ86" t="s">
        <v>519</v>
      </c>
      <c r="AK86">
        <v>12</v>
      </c>
      <c r="AL86">
        <v>1</v>
      </c>
      <c r="AM86" t="s">
        <v>297</v>
      </c>
      <c r="AN86" t="s">
        <v>236</v>
      </c>
      <c r="AO86" t="s">
        <v>529</v>
      </c>
      <c r="AP86" t="s">
        <v>112</v>
      </c>
      <c r="AQ86">
        <v>12</v>
      </c>
      <c r="AR86" t="s">
        <v>524</v>
      </c>
      <c r="AS86" t="s">
        <v>236</v>
      </c>
      <c r="AT86" t="s">
        <v>137</v>
      </c>
      <c r="AU86">
        <v>12</v>
      </c>
      <c r="AV86">
        <v>1</v>
      </c>
      <c r="AW86" t="s">
        <v>432</v>
      </c>
      <c r="AX86" t="s">
        <v>221</v>
      </c>
      <c r="AY86" t="s">
        <v>224</v>
      </c>
      <c r="AZ86">
        <v>1</v>
      </c>
      <c r="BA86" t="s">
        <v>435</v>
      </c>
      <c r="BB86" t="s">
        <v>431</v>
      </c>
      <c r="BC86" t="s">
        <v>419</v>
      </c>
      <c r="BD86" t="s">
        <v>236</v>
      </c>
      <c r="BE86" t="s">
        <v>437</v>
      </c>
      <c r="BF86" t="s">
        <v>530</v>
      </c>
      <c r="BG86" t="s">
        <v>433</v>
      </c>
      <c r="BH86" t="s">
        <v>420</v>
      </c>
      <c r="BI86" t="s">
        <v>520</v>
      </c>
      <c r="BJ86" t="s">
        <v>68</v>
      </c>
      <c r="BK86" t="s">
        <v>236</v>
      </c>
      <c r="BL86" t="s">
        <v>236</v>
      </c>
      <c r="BM86" t="s">
        <v>236</v>
      </c>
      <c r="BN86" t="s">
        <v>68</v>
      </c>
      <c r="BO86" t="s">
        <v>236</v>
      </c>
      <c r="BP86" t="s">
        <v>236</v>
      </c>
      <c r="BQ86" t="s">
        <v>236</v>
      </c>
      <c r="BR86" t="s">
        <v>236</v>
      </c>
      <c r="BS86" t="s">
        <v>521</v>
      </c>
      <c r="BT86">
        <v>0</v>
      </c>
    </row>
    <row r="87" spans="1:72" x14ac:dyDescent="0.15">
      <c r="A87" s="43">
        <v>2022</v>
      </c>
      <c r="B87" s="8">
        <v>12</v>
      </c>
      <c r="C87" s="8">
        <v>1</v>
      </c>
      <c r="D87" s="8" t="s">
        <v>297</v>
      </c>
      <c r="E87" s="8" t="s">
        <v>236</v>
      </c>
      <c r="F87" s="8" t="s">
        <v>57</v>
      </c>
      <c r="G87" s="8">
        <v>2017</v>
      </c>
      <c r="H87" s="8">
        <v>12</v>
      </c>
      <c r="I87" s="8" t="s">
        <v>524</v>
      </c>
      <c r="J87" s="8" t="s">
        <v>236</v>
      </c>
      <c r="K87" s="8">
        <v>1987</v>
      </c>
      <c r="L87" s="17">
        <v>12</v>
      </c>
      <c r="M87" s="8">
        <v>1</v>
      </c>
      <c r="N87" s="8" t="s">
        <v>48</v>
      </c>
      <c r="O87" s="8" t="s">
        <v>221</v>
      </c>
      <c r="P87" s="8" t="s">
        <v>224</v>
      </c>
      <c r="Q87" s="8">
        <v>3000</v>
      </c>
      <c r="R87" s="8" t="s">
        <v>57</v>
      </c>
      <c r="S87" s="8" t="s">
        <v>52</v>
      </c>
      <c r="T87" s="8" t="s">
        <v>70</v>
      </c>
      <c r="U87" s="8" t="s">
        <v>236</v>
      </c>
      <c r="V87" s="8">
        <v>1000</v>
      </c>
      <c r="W87" s="8" t="s">
        <v>241</v>
      </c>
      <c r="X87" s="8">
        <v>3000</v>
      </c>
      <c r="Y87" s="8" t="s">
        <v>278</v>
      </c>
      <c r="Z87" s="8">
        <v>110</v>
      </c>
      <c r="AA87" s="8" t="s">
        <v>525</v>
      </c>
      <c r="AB87" s="8" t="s">
        <v>236</v>
      </c>
      <c r="AC87" s="8" t="s">
        <v>236</v>
      </c>
      <c r="AD87" s="8" t="s">
        <v>236</v>
      </c>
      <c r="AE87" s="8" t="s">
        <v>68</v>
      </c>
      <c r="AF87" s="8" t="s">
        <v>236</v>
      </c>
      <c r="AG87" s="8" t="s">
        <v>236</v>
      </c>
      <c r="AH87" s="8" t="s">
        <v>236</v>
      </c>
      <c r="AI87" s="8" t="s">
        <v>236</v>
      </c>
      <c r="AJ87" t="s">
        <v>519</v>
      </c>
      <c r="AK87">
        <v>12</v>
      </c>
      <c r="AL87">
        <v>1</v>
      </c>
      <c r="AM87" t="s">
        <v>297</v>
      </c>
      <c r="AN87" t="s">
        <v>236</v>
      </c>
      <c r="AO87" t="s">
        <v>529</v>
      </c>
      <c r="AP87" t="s">
        <v>112</v>
      </c>
      <c r="AQ87">
        <v>12</v>
      </c>
      <c r="AR87" t="s">
        <v>524</v>
      </c>
      <c r="AS87" t="s">
        <v>236</v>
      </c>
      <c r="AT87" t="s">
        <v>140</v>
      </c>
      <c r="AU87">
        <v>12</v>
      </c>
      <c r="AV87">
        <v>1</v>
      </c>
      <c r="AW87" t="s">
        <v>432</v>
      </c>
      <c r="AX87" t="s">
        <v>221</v>
      </c>
      <c r="AY87" t="s">
        <v>224</v>
      </c>
      <c r="AZ87">
        <v>1</v>
      </c>
      <c r="BA87" t="s">
        <v>435</v>
      </c>
      <c r="BB87" t="s">
        <v>431</v>
      </c>
      <c r="BC87" t="s">
        <v>419</v>
      </c>
      <c r="BD87" t="s">
        <v>236</v>
      </c>
      <c r="BE87" t="s">
        <v>437</v>
      </c>
      <c r="BF87" t="s">
        <v>530</v>
      </c>
      <c r="BG87" t="s">
        <v>433</v>
      </c>
      <c r="BH87" t="s">
        <v>420</v>
      </c>
      <c r="BI87" t="s">
        <v>520</v>
      </c>
      <c r="BJ87" t="s">
        <v>68</v>
      </c>
      <c r="BK87" t="s">
        <v>236</v>
      </c>
      <c r="BL87" t="s">
        <v>236</v>
      </c>
      <c r="BM87" t="s">
        <v>236</v>
      </c>
      <c r="BN87" t="s">
        <v>68</v>
      </c>
      <c r="BO87" t="s">
        <v>236</v>
      </c>
      <c r="BP87" t="s">
        <v>236</v>
      </c>
      <c r="BQ87" t="s">
        <v>236</v>
      </c>
      <c r="BR87" t="s">
        <v>236</v>
      </c>
      <c r="BS87" t="s">
        <v>521</v>
      </c>
      <c r="BT87">
        <v>0</v>
      </c>
    </row>
    <row r="88" spans="1:72" x14ac:dyDescent="0.15">
      <c r="A88" s="43">
        <v>2022</v>
      </c>
      <c r="B88" s="8">
        <v>12</v>
      </c>
      <c r="C88" s="8">
        <v>1</v>
      </c>
      <c r="D88" s="8" t="s">
        <v>297</v>
      </c>
      <c r="E88" s="8" t="s">
        <v>236</v>
      </c>
      <c r="F88" s="8" t="s">
        <v>57</v>
      </c>
      <c r="G88" s="8">
        <v>2017</v>
      </c>
      <c r="H88" s="8">
        <v>12</v>
      </c>
      <c r="I88" s="8" t="s">
        <v>524</v>
      </c>
      <c r="J88" s="8" t="s">
        <v>236</v>
      </c>
      <c r="K88" s="8">
        <v>1982</v>
      </c>
      <c r="L88" s="17">
        <v>12</v>
      </c>
      <c r="M88" s="8">
        <v>1</v>
      </c>
      <c r="N88" s="8" t="s">
        <v>48</v>
      </c>
      <c r="O88" s="8" t="s">
        <v>221</v>
      </c>
      <c r="P88" s="8" t="s">
        <v>224</v>
      </c>
      <c r="Q88" s="8">
        <v>3000</v>
      </c>
      <c r="R88" s="8" t="s">
        <v>57</v>
      </c>
      <c r="S88" s="8" t="s">
        <v>52</v>
      </c>
      <c r="T88" s="8" t="s">
        <v>70</v>
      </c>
      <c r="U88" s="8" t="s">
        <v>236</v>
      </c>
      <c r="V88" s="8">
        <v>1000</v>
      </c>
      <c r="W88" s="8" t="s">
        <v>241</v>
      </c>
      <c r="X88" s="8">
        <v>3000</v>
      </c>
      <c r="Y88" s="8" t="s">
        <v>278</v>
      </c>
      <c r="Z88" s="8">
        <v>110</v>
      </c>
      <c r="AA88" s="8" t="s">
        <v>525</v>
      </c>
      <c r="AB88" s="8" t="s">
        <v>236</v>
      </c>
      <c r="AC88" s="8" t="s">
        <v>236</v>
      </c>
      <c r="AD88" s="8" t="s">
        <v>236</v>
      </c>
      <c r="AE88" s="8" t="s">
        <v>68</v>
      </c>
      <c r="AF88" s="8" t="s">
        <v>236</v>
      </c>
      <c r="AG88" s="8" t="s">
        <v>236</v>
      </c>
      <c r="AH88" s="8" t="s">
        <v>236</v>
      </c>
      <c r="AI88" s="8" t="s">
        <v>236</v>
      </c>
      <c r="AJ88" t="s">
        <v>519</v>
      </c>
      <c r="AK88">
        <v>12</v>
      </c>
      <c r="AL88">
        <v>1</v>
      </c>
      <c r="AM88" t="s">
        <v>297</v>
      </c>
      <c r="AN88" t="s">
        <v>236</v>
      </c>
      <c r="AO88" t="s">
        <v>529</v>
      </c>
      <c r="AP88" t="s">
        <v>112</v>
      </c>
      <c r="AQ88">
        <v>12</v>
      </c>
      <c r="AR88" t="s">
        <v>524</v>
      </c>
      <c r="AS88" t="s">
        <v>236</v>
      </c>
      <c r="AT88" t="s">
        <v>145</v>
      </c>
      <c r="AU88">
        <v>12</v>
      </c>
      <c r="AV88">
        <v>1</v>
      </c>
      <c r="AW88" t="s">
        <v>432</v>
      </c>
      <c r="AX88" t="s">
        <v>221</v>
      </c>
      <c r="AY88" t="s">
        <v>224</v>
      </c>
      <c r="AZ88">
        <v>1</v>
      </c>
      <c r="BA88" t="s">
        <v>435</v>
      </c>
      <c r="BB88" t="s">
        <v>431</v>
      </c>
      <c r="BC88" t="s">
        <v>419</v>
      </c>
      <c r="BD88" t="s">
        <v>236</v>
      </c>
      <c r="BE88" t="s">
        <v>437</v>
      </c>
      <c r="BF88" t="s">
        <v>530</v>
      </c>
      <c r="BG88" t="s">
        <v>433</v>
      </c>
      <c r="BH88" t="s">
        <v>420</v>
      </c>
      <c r="BI88" t="s">
        <v>520</v>
      </c>
      <c r="BJ88" t="s">
        <v>68</v>
      </c>
      <c r="BK88" t="s">
        <v>236</v>
      </c>
      <c r="BL88" t="s">
        <v>236</v>
      </c>
      <c r="BM88" t="s">
        <v>236</v>
      </c>
      <c r="BN88" t="s">
        <v>68</v>
      </c>
      <c r="BO88" t="s">
        <v>236</v>
      </c>
      <c r="BP88" t="s">
        <v>236</v>
      </c>
      <c r="BQ88" t="s">
        <v>236</v>
      </c>
      <c r="BR88" t="s">
        <v>236</v>
      </c>
      <c r="BS88" t="s">
        <v>521</v>
      </c>
      <c r="BT88">
        <v>0</v>
      </c>
    </row>
    <row r="89" spans="1:72" x14ac:dyDescent="0.15">
      <c r="A89" s="43">
        <v>2022</v>
      </c>
      <c r="B89" s="8">
        <v>12</v>
      </c>
      <c r="C89" s="8">
        <v>1</v>
      </c>
      <c r="D89" s="8" t="s">
        <v>297</v>
      </c>
      <c r="E89" s="8" t="s">
        <v>236</v>
      </c>
      <c r="F89" s="8" t="s">
        <v>57</v>
      </c>
      <c r="G89" s="8">
        <v>2017</v>
      </c>
      <c r="H89" s="8">
        <v>12</v>
      </c>
      <c r="I89" s="8" t="s">
        <v>524</v>
      </c>
      <c r="J89" s="8" t="s">
        <v>236</v>
      </c>
      <c r="K89" s="8">
        <v>1977</v>
      </c>
      <c r="L89" s="17">
        <v>12</v>
      </c>
      <c r="M89" s="8">
        <v>1</v>
      </c>
      <c r="N89" s="8" t="s">
        <v>48</v>
      </c>
      <c r="O89" s="8" t="s">
        <v>221</v>
      </c>
      <c r="P89" s="8" t="s">
        <v>224</v>
      </c>
      <c r="Q89" s="8">
        <v>3000</v>
      </c>
      <c r="R89" s="8" t="s">
        <v>57</v>
      </c>
      <c r="S89" s="8" t="s">
        <v>52</v>
      </c>
      <c r="T89" s="8" t="s">
        <v>70</v>
      </c>
      <c r="U89" s="8" t="s">
        <v>236</v>
      </c>
      <c r="V89" s="8">
        <v>1000</v>
      </c>
      <c r="W89" s="8" t="s">
        <v>241</v>
      </c>
      <c r="X89" s="8">
        <v>3000</v>
      </c>
      <c r="Y89" s="8" t="s">
        <v>278</v>
      </c>
      <c r="Z89" s="8">
        <v>110</v>
      </c>
      <c r="AA89" s="8" t="s">
        <v>525</v>
      </c>
      <c r="AB89" s="8" t="s">
        <v>236</v>
      </c>
      <c r="AC89" s="8" t="s">
        <v>236</v>
      </c>
      <c r="AD89" s="8" t="s">
        <v>236</v>
      </c>
      <c r="AE89" s="8" t="s">
        <v>68</v>
      </c>
      <c r="AF89" s="8" t="s">
        <v>236</v>
      </c>
      <c r="AG89" s="8" t="s">
        <v>236</v>
      </c>
      <c r="AH89" s="8" t="s">
        <v>236</v>
      </c>
      <c r="AI89" s="8" t="s">
        <v>236</v>
      </c>
      <c r="AJ89" t="s">
        <v>519</v>
      </c>
      <c r="AK89">
        <v>12</v>
      </c>
      <c r="AL89">
        <v>1</v>
      </c>
      <c r="AM89" t="s">
        <v>297</v>
      </c>
      <c r="AN89" t="s">
        <v>236</v>
      </c>
      <c r="AO89" t="s">
        <v>529</v>
      </c>
      <c r="AP89" t="s">
        <v>112</v>
      </c>
      <c r="AQ89">
        <v>12</v>
      </c>
      <c r="AR89" t="s">
        <v>524</v>
      </c>
      <c r="AS89" t="s">
        <v>236</v>
      </c>
      <c r="AT89" t="s">
        <v>150</v>
      </c>
      <c r="AU89">
        <v>12</v>
      </c>
      <c r="AV89">
        <v>1</v>
      </c>
      <c r="AW89" t="s">
        <v>432</v>
      </c>
      <c r="AX89" t="s">
        <v>221</v>
      </c>
      <c r="AY89" t="s">
        <v>224</v>
      </c>
      <c r="AZ89">
        <v>1</v>
      </c>
      <c r="BA89" t="s">
        <v>435</v>
      </c>
      <c r="BB89" t="s">
        <v>431</v>
      </c>
      <c r="BC89" t="s">
        <v>419</v>
      </c>
      <c r="BD89" t="s">
        <v>236</v>
      </c>
      <c r="BE89" t="s">
        <v>437</v>
      </c>
      <c r="BF89" t="s">
        <v>530</v>
      </c>
      <c r="BG89" t="s">
        <v>433</v>
      </c>
      <c r="BH89" t="s">
        <v>420</v>
      </c>
      <c r="BI89" t="s">
        <v>520</v>
      </c>
      <c r="BJ89" t="s">
        <v>68</v>
      </c>
      <c r="BK89" t="s">
        <v>236</v>
      </c>
      <c r="BL89" t="s">
        <v>236</v>
      </c>
      <c r="BM89" t="s">
        <v>236</v>
      </c>
      <c r="BN89" t="s">
        <v>68</v>
      </c>
      <c r="BO89" t="s">
        <v>236</v>
      </c>
      <c r="BP89" t="s">
        <v>236</v>
      </c>
      <c r="BQ89" t="s">
        <v>236</v>
      </c>
      <c r="BR89" t="s">
        <v>236</v>
      </c>
      <c r="BS89" t="s">
        <v>521</v>
      </c>
      <c r="BT89">
        <v>0</v>
      </c>
    </row>
    <row r="90" spans="1:72" x14ac:dyDescent="0.15">
      <c r="A90" s="43">
        <v>2022</v>
      </c>
      <c r="B90" s="8">
        <v>12</v>
      </c>
      <c r="C90" s="8">
        <v>1</v>
      </c>
      <c r="D90" s="8" t="s">
        <v>297</v>
      </c>
      <c r="E90" s="8" t="s">
        <v>236</v>
      </c>
      <c r="F90" s="8" t="s">
        <v>57</v>
      </c>
      <c r="G90" s="8">
        <v>2017</v>
      </c>
      <c r="H90" s="8">
        <v>12</v>
      </c>
      <c r="I90" s="8" t="s">
        <v>524</v>
      </c>
      <c r="J90" s="8" t="s">
        <v>236</v>
      </c>
      <c r="K90" s="8">
        <v>1972</v>
      </c>
      <c r="L90" s="17">
        <v>12</v>
      </c>
      <c r="M90" s="8">
        <v>1</v>
      </c>
      <c r="N90" s="8" t="s">
        <v>48</v>
      </c>
      <c r="O90" s="8" t="s">
        <v>221</v>
      </c>
      <c r="P90" s="8" t="s">
        <v>224</v>
      </c>
      <c r="Q90" s="8">
        <v>3000</v>
      </c>
      <c r="R90" s="8" t="s">
        <v>57</v>
      </c>
      <c r="S90" s="8" t="s">
        <v>52</v>
      </c>
      <c r="T90" s="8" t="s">
        <v>70</v>
      </c>
      <c r="U90" s="8" t="s">
        <v>236</v>
      </c>
      <c r="V90" s="8">
        <v>1000</v>
      </c>
      <c r="W90" s="8" t="s">
        <v>241</v>
      </c>
      <c r="X90" s="8">
        <v>3000</v>
      </c>
      <c r="Y90" s="8" t="s">
        <v>278</v>
      </c>
      <c r="Z90" s="8">
        <v>110</v>
      </c>
      <c r="AA90" s="8" t="s">
        <v>525</v>
      </c>
      <c r="AB90" s="8" t="s">
        <v>236</v>
      </c>
      <c r="AC90" s="8" t="s">
        <v>236</v>
      </c>
      <c r="AD90" s="8" t="s">
        <v>236</v>
      </c>
      <c r="AE90" s="8" t="s">
        <v>68</v>
      </c>
      <c r="AF90" s="8" t="s">
        <v>236</v>
      </c>
      <c r="AG90" s="8" t="s">
        <v>236</v>
      </c>
      <c r="AH90" s="8" t="s">
        <v>236</v>
      </c>
      <c r="AI90" s="8" t="s">
        <v>236</v>
      </c>
      <c r="AJ90" t="s">
        <v>519</v>
      </c>
      <c r="AK90">
        <v>12</v>
      </c>
      <c r="AL90">
        <v>1</v>
      </c>
      <c r="AM90" t="s">
        <v>297</v>
      </c>
      <c r="AN90" t="s">
        <v>236</v>
      </c>
      <c r="AO90" t="s">
        <v>529</v>
      </c>
      <c r="AP90" t="s">
        <v>112</v>
      </c>
      <c r="AQ90">
        <v>12</v>
      </c>
      <c r="AR90" t="s">
        <v>524</v>
      </c>
      <c r="AS90" t="s">
        <v>236</v>
      </c>
      <c r="AT90" t="s">
        <v>155</v>
      </c>
      <c r="AU90">
        <v>12</v>
      </c>
      <c r="AV90">
        <v>1</v>
      </c>
      <c r="AW90" t="s">
        <v>432</v>
      </c>
      <c r="AX90" t="s">
        <v>221</v>
      </c>
      <c r="AY90" t="s">
        <v>224</v>
      </c>
      <c r="AZ90">
        <v>1</v>
      </c>
      <c r="BA90" t="s">
        <v>435</v>
      </c>
      <c r="BB90" t="s">
        <v>431</v>
      </c>
      <c r="BC90" t="s">
        <v>419</v>
      </c>
      <c r="BD90" t="s">
        <v>236</v>
      </c>
      <c r="BE90" t="s">
        <v>437</v>
      </c>
      <c r="BF90" t="s">
        <v>530</v>
      </c>
      <c r="BG90" t="s">
        <v>433</v>
      </c>
      <c r="BH90" t="s">
        <v>420</v>
      </c>
      <c r="BI90" t="s">
        <v>520</v>
      </c>
      <c r="BJ90" t="s">
        <v>68</v>
      </c>
      <c r="BK90" t="s">
        <v>236</v>
      </c>
      <c r="BL90" t="s">
        <v>236</v>
      </c>
      <c r="BM90" t="s">
        <v>236</v>
      </c>
      <c r="BN90" t="s">
        <v>68</v>
      </c>
      <c r="BO90" t="s">
        <v>236</v>
      </c>
      <c r="BP90" t="s">
        <v>236</v>
      </c>
      <c r="BQ90" t="s">
        <v>236</v>
      </c>
      <c r="BR90" t="s">
        <v>236</v>
      </c>
      <c r="BS90" t="s">
        <v>521</v>
      </c>
      <c r="BT90">
        <v>0</v>
      </c>
    </row>
    <row r="91" spans="1:72" x14ac:dyDescent="0.15">
      <c r="A91" s="43">
        <v>2022</v>
      </c>
      <c r="B91" s="8">
        <v>12</v>
      </c>
      <c r="C91" s="8">
        <v>1</v>
      </c>
      <c r="D91" s="8" t="s">
        <v>297</v>
      </c>
      <c r="E91" s="8" t="s">
        <v>236</v>
      </c>
      <c r="F91" s="8" t="s">
        <v>57</v>
      </c>
      <c r="G91" s="8">
        <v>2017</v>
      </c>
      <c r="H91" s="8">
        <v>12</v>
      </c>
      <c r="I91" s="8" t="s">
        <v>524</v>
      </c>
      <c r="J91" s="8" t="s">
        <v>236</v>
      </c>
      <c r="K91" s="8">
        <v>1962</v>
      </c>
      <c r="L91" s="17">
        <v>12</v>
      </c>
      <c r="M91" s="8">
        <v>1</v>
      </c>
      <c r="N91" s="8" t="s">
        <v>48</v>
      </c>
      <c r="O91" s="8" t="s">
        <v>221</v>
      </c>
      <c r="P91" s="8" t="s">
        <v>224</v>
      </c>
      <c r="Q91" s="8">
        <v>3000</v>
      </c>
      <c r="R91" s="8" t="s">
        <v>57</v>
      </c>
      <c r="S91" s="8" t="s">
        <v>52</v>
      </c>
      <c r="T91" s="8" t="s">
        <v>70</v>
      </c>
      <c r="U91" s="8" t="s">
        <v>236</v>
      </c>
      <c r="V91" s="8">
        <v>1000</v>
      </c>
      <c r="W91" s="8" t="s">
        <v>241</v>
      </c>
      <c r="X91" s="8">
        <v>3000</v>
      </c>
      <c r="Y91" s="8" t="s">
        <v>278</v>
      </c>
      <c r="Z91" s="8">
        <v>110</v>
      </c>
      <c r="AA91" s="8" t="s">
        <v>525</v>
      </c>
      <c r="AB91" s="8" t="s">
        <v>236</v>
      </c>
      <c r="AC91" s="8" t="s">
        <v>236</v>
      </c>
      <c r="AD91" s="8" t="s">
        <v>236</v>
      </c>
      <c r="AE91" s="8" t="s">
        <v>68</v>
      </c>
      <c r="AF91" s="8" t="s">
        <v>236</v>
      </c>
      <c r="AG91" s="8" t="s">
        <v>236</v>
      </c>
      <c r="AH91" s="8" t="s">
        <v>236</v>
      </c>
      <c r="AI91" s="8" t="s">
        <v>236</v>
      </c>
      <c r="AJ91" t="s">
        <v>519</v>
      </c>
      <c r="AK91">
        <v>12</v>
      </c>
      <c r="AL91">
        <v>1</v>
      </c>
      <c r="AM91" t="s">
        <v>297</v>
      </c>
      <c r="AN91" t="s">
        <v>236</v>
      </c>
      <c r="AO91" t="s">
        <v>529</v>
      </c>
      <c r="AP91" t="s">
        <v>112</v>
      </c>
      <c r="AQ91">
        <v>12</v>
      </c>
      <c r="AR91" t="s">
        <v>524</v>
      </c>
      <c r="AS91" t="s">
        <v>236</v>
      </c>
      <c r="AT91" t="s">
        <v>165</v>
      </c>
      <c r="AU91">
        <v>12</v>
      </c>
      <c r="AV91">
        <v>1</v>
      </c>
      <c r="AW91" t="s">
        <v>432</v>
      </c>
      <c r="AX91" t="s">
        <v>221</v>
      </c>
      <c r="AY91" t="s">
        <v>224</v>
      </c>
      <c r="AZ91">
        <v>1</v>
      </c>
      <c r="BA91" t="s">
        <v>435</v>
      </c>
      <c r="BB91" t="s">
        <v>431</v>
      </c>
      <c r="BC91" t="s">
        <v>419</v>
      </c>
      <c r="BD91" t="s">
        <v>236</v>
      </c>
      <c r="BE91" t="s">
        <v>437</v>
      </c>
      <c r="BF91" t="s">
        <v>530</v>
      </c>
      <c r="BG91" t="s">
        <v>433</v>
      </c>
      <c r="BH91" t="s">
        <v>420</v>
      </c>
      <c r="BI91" t="s">
        <v>520</v>
      </c>
      <c r="BJ91" t="s">
        <v>68</v>
      </c>
      <c r="BK91" t="s">
        <v>236</v>
      </c>
      <c r="BL91" t="s">
        <v>236</v>
      </c>
      <c r="BM91" t="s">
        <v>236</v>
      </c>
      <c r="BN91" t="s">
        <v>68</v>
      </c>
      <c r="BO91" t="s">
        <v>236</v>
      </c>
      <c r="BP91" t="s">
        <v>236</v>
      </c>
      <c r="BQ91" t="s">
        <v>236</v>
      </c>
      <c r="BR91" t="s">
        <v>236</v>
      </c>
      <c r="BS91" t="s">
        <v>521</v>
      </c>
      <c r="BT91">
        <v>0</v>
      </c>
    </row>
    <row r="92" spans="1:72" x14ac:dyDescent="0.15">
      <c r="A92" s="43">
        <v>2022</v>
      </c>
      <c r="B92" s="8">
        <v>12</v>
      </c>
      <c r="C92" s="8">
        <v>1</v>
      </c>
      <c r="D92" s="8" t="s">
        <v>297</v>
      </c>
      <c r="E92" s="8" t="s">
        <v>236</v>
      </c>
      <c r="F92" s="8" t="s">
        <v>57</v>
      </c>
      <c r="G92" s="8">
        <v>2017</v>
      </c>
      <c r="H92" s="8">
        <v>12</v>
      </c>
      <c r="I92" s="8" t="s">
        <v>524</v>
      </c>
      <c r="J92" s="8" t="s">
        <v>236</v>
      </c>
      <c r="K92" s="8">
        <v>1952</v>
      </c>
      <c r="L92" s="17">
        <v>12</v>
      </c>
      <c r="M92" s="8">
        <v>1</v>
      </c>
      <c r="N92" s="8" t="s">
        <v>48</v>
      </c>
      <c r="O92" s="8" t="s">
        <v>221</v>
      </c>
      <c r="P92" s="8" t="s">
        <v>224</v>
      </c>
      <c r="Q92" s="8">
        <v>3000</v>
      </c>
      <c r="R92" s="8" t="s">
        <v>57</v>
      </c>
      <c r="S92" s="8" t="s">
        <v>52</v>
      </c>
      <c r="T92" s="8" t="s">
        <v>70</v>
      </c>
      <c r="U92" s="8" t="s">
        <v>236</v>
      </c>
      <c r="V92" s="8">
        <v>1000</v>
      </c>
      <c r="W92" s="8" t="s">
        <v>241</v>
      </c>
      <c r="X92" s="8">
        <v>3000</v>
      </c>
      <c r="Y92" s="8" t="s">
        <v>278</v>
      </c>
      <c r="Z92" s="8">
        <v>110</v>
      </c>
      <c r="AA92" s="8" t="s">
        <v>525</v>
      </c>
      <c r="AB92" s="8" t="s">
        <v>236</v>
      </c>
      <c r="AC92" s="8" t="s">
        <v>236</v>
      </c>
      <c r="AD92" s="8" t="s">
        <v>236</v>
      </c>
      <c r="AE92" s="8" t="s">
        <v>68</v>
      </c>
      <c r="AF92" s="8" t="s">
        <v>236</v>
      </c>
      <c r="AG92" s="8" t="s">
        <v>236</v>
      </c>
      <c r="AH92" s="8" t="s">
        <v>236</v>
      </c>
      <c r="AI92" s="8" t="s">
        <v>236</v>
      </c>
      <c r="AJ92" t="s">
        <v>519</v>
      </c>
      <c r="AK92">
        <v>12</v>
      </c>
      <c r="AL92">
        <v>1</v>
      </c>
      <c r="AM92" t="s">
        <v>297</v>
      </c>
      <c r="AN92" t="s">
        <v>236</v>
      </c>
      <c r="AO92" t="s">
        <v>529</v>
      </c>
      <c r="AP92" t="s">
        <v>112</v>
      </c>
      <c r="AQ92">
        <v>12</v>
      </c>
      <c r="AR92" t="s">
        <v>524</v>
      </c>
      <c r="AS92" t="s">
        <v>236</v>
      </c>
      <c r="AT92" t="s">
        <v>175</v>
      </c>
      <c r="AU92">
        <v>12</v>
      </c>
      <c r="AV92">
        <v>1</v>
      </c>
      <c r="AW92" t="s">
        <v>432</v>
      </c>
      <c r="AX92" t="s">
        <v>221</v>
      </c>
      <c r="AY92" t="s">
        <v>224</v>
      </c>
      <c r="AZ92">
        <v>1</v>
      </c>
      <c r="BA92" t="s">
        <v>435</v>
      </c>
      <c r="BB92" t="s">
        <v>431</v>
      </c>
      <c r="BC92" t="s">
        <v>419</v>
      </c>
      <c r="BD92" t="s">
        <v>236</v>
      </c>
      <c r="BE92" t="s">
        <v>437</v>
      </c>
      <c r="BF92" t="s">
        <v>530</v>
      </c>
      <c r="BG92" t="s">
        <v>433</v>
      </c>
      <c r="BH92" t="s">
        <v>420</v>
      </c>
      <c r="BI92" t="s">
        <v>520</v>
      </c>
      <c r="BJ92" t="s">
        <v>68</v>
      </c>
      <c r="BK92" t="s">
        <v>236</v>
      </c>
      <c r="BL92" t="s">
        <v>236</v>
      </c>
      <c r="BM92" t="s">
        <v>236</v>
      </c>
      <c r="BN92" t="s">
        <v>68</v>
      </c>
      <c r="BO92" t="s">
        <v>236</v>
      </c>
      <c r="BP92" t="s">
        <v>236</v>
      </c>
      <c r="BQ92" t="s">
        <v>236</v>
      </c>
      <c r="BR92" t="s">
        <v>236</v>
      </c>
      <c r="BS92" t="s">
        <v>521</v>
      </c>
      <c r="BT92">
        <v>0</v>
      </c>
    </row>
    <row r="93" spans="1:72" x14ac:dyDescent="0.15">
      <c r="A93" s="43">
        <v>2022</v>
      </c>
      <c r="B93" s="8">
        <v>12</v>
      </c>
      <c r="C93" s="8">
        <v>1</v>
      </c>
      <c r="D93" s="8" t="s">
        <v>297</v>
      </c>
      <c r="E93" s="8" t="s">
        <v>236</v>
      </c>
      <c r="F93" s="8" t="s">
        <v>57</v>
      </c>
      <c r="G93" s="8">
        <v>2017</v>
      </c>
      <c r="H93" s="8">
        <v>12</v>
      </c>
      <c r="I93" s="8" t="s">
        <v>524</v>
      </c>
      <c r="J93" s="8" t="s">
        <v>236</v>
      </c>
      <c r="K93" s="8">
        <v>1992</v>
      </c>
      <c r="L93" s="17">
        <v>12</v>
      </c>
      <c r="M93" s="8">
        <v>1</v>
      </c>
      <c r="N93" s="8" t="s">
        <v>48</v>
      </c>
      <c r="O93" s="8" t="s">
        <v>221</v>
      </c>
      <c r="P93" s="8" t="s">
        <v>224</v>
      </c>
      <c r="Q93" s="8">
        <v>7000</v>
      </c>
      <c r="R93" s="8" t="s">
        <v>57</v>
      </c>
      <c r="S93" s="8" t="s">
        <v>52</v>
      </c>
      <c r="T93" s="8" t="s">
        <v>70</v>
      </c>
      <c r="U93" s="8" t="s">
        <v>236</v>
      </c>
      <c r="V93" s="8">
        <v>1000</v>
      </c>
      <c r="W93" s="8" t="s">
        <v>241</v>
      </c>
      <c r="X93" s="8">
        <v>3000</v>
      </c>
      <c r="Y93" s="8" t="s">
        <v>278</v>
      </c>
      <c r="Z93" s="8">
        <v>110</v>
      </c>
      <c r="AA93" s="8" t="s">
        <v>525</v>
      </c>
      <c r="AB93" s="8" t="s">
        <v>236</v>
      </c>
      <c r="AC93" s="8" t="s">
        <v>236</v>
      </c>
      <c r="AD93" s="8" t="s">
        <v>236</v>
      </c>
      <c r="AE93" s="8" t="s">
        <v>68</v>
      </c>
      <c r="AF93" s="8" t="s">
        <v>236</v>
      </c>
      <c r="AG93" s="8" t="s">
        <v>236</v>
      </c>
      <c r="AH93" s="8" t="s">
        <v>236</v>
      </c>
      <c r="AI93" s="8" t="s">
        <v>236</v>
      </c>
      <c r="AJ93" t="s">
        <v>519</v>
      </c>
      <c r="AK93">
        <v>12</v>
      </c>
      <c r="AL93">
        <v>1</v>
      </c>
      <c r="AM93" t="s">
        <v>297</v>
      </c>
      <c r="AN93" t="s">
        <v>236</v>
      </c>
      <c r="AO93" t="s">
        <v>529</v>
      </c>
      <c r="AP93" t="s">
        <v>112</v>
      </c>
      <c r="AQ93">
        <v>12</v>
      </c>
      <c r="AR93" t="s">
        <v>524</v>
      </c>
      <c r="AS93" t="s">
        <v>236</v>
      </c>
      <c r="AT93" t="s">
        <v>137</v>
      </c>
      <c r="AU93">
        <v>12</v>
      </c>
      <c r="AV93">
        <v>1</v>
      </c>
      <c r="AW93" t="s">
        <v>432</v>
      </c>
      <c r="AX93" t="s">
        <v>221</v>
      </c>
      <c r="AY93" t="s">
        <v>224</v>
      </c>
      <c r="AZ93">
        <v>3</v>
      </c>
      <c r="BA93" t="s">
        <v>435</v>
      </c>
      <c r="BB93" t="s">
        <v>431</v>
      </c>
      <c r="BC93" t="s">
        <v>419</v>
      </c>
      <c r="BD93" t="s">
        <v>236</v>
      </c>
      <c r="BE93" t="s">
        <v>437</v>
      </c>
      <c r="BF93" t="s">
        <v>530</v>
      </c>
      <c r="BG93" t="s">
        <v>433</v>
      </c>
      <c r="BH93" t="s">
        <v>420</v>
      </c>
      <c r="BI93" t="s">
        <v>520</v>
      </c>
      <c r="BJ93" t="s">
        <v>68</v>
      </c>
      <c r="BK93" t="s">
        <v>236</v>
      </c>
      <c r="BL93" t="s">
        <v>236</v>
      </c>
      <c r="BM93" t="s">
        <v>236</v>
      </c>
      <c r="BN93" t="s">
        <v>68</v>
      </c>
      <c r="BO93" t="s">
        <v>236</v>
      </c>
      <c r="BP93" t="s">
        <v>236</v>
      </c>
      <c r="BQ93" t="s">
        <v>236</v>
      </c>
      <c r="BR93" t="s">
        <v>236</v>
      </c>
      <c r="BS93" t="s">
        <v>521</v>
      </c>
      <c r="BT93">
        <v>0</v>
      </c>
    </row>
    <row r="94" spans="1:72" x14ac:dyDescent="0.15">
      <c r="A94" s="43">
        <v>2022</v>
      </c>
      <c r="B94" s="8">
        <v>12</v>
      </c>
      <c r="C94" s="8">
        <v>1</v>
      </c>
      <c r="D94" s="8" t="s">
        <v>297</v>
      </c>
      <c r="E94" s="8" t="s">
        <v>236</v>
      </c>
      <c r="F94" s="8" t="s">
        <v>57</v>
      </c>
      <c r="G94" s="8">
        <v>2017</v>
      </c>
      <c r="H94" s="8">
        <v>12</v>
      </c>
      <c r="I94" s="8" t="s">
        <v>524</v>
      </c>
      <c r="J94" s="8" t="s">
        <v>236</v>
      </c>
      <c r="K94" s="8">
        <v>1987</v>
      </c>
      <c r="L94" s="17">
        <v>12</v>
      </c>
      <c r="M94" s="8">
        <v>1</v>
      </c>
      <c r="N94" s="8" t="s">
        <v>48</v>
      </c>
      <c r="O94" s="8" t="s">
        <v>221</v>
      </c>
      <c r="P94" s="8" t="s">
        <v>224</v>
      </c>
      <c r="Q94" s="8">
        <v>7000</v>
      </c>
      <c r="R94" s="8" t="s">
        <v>57</v>
      </c>
      <c r="S94" s="8" t="s">
        <v>52</v>
      </c>
      <c r="T94" s="8" t="s">
        <v>70</v>
      </c>
      <c r="U94" s="8" t="s">
        <v>236</v>
      </c>
      <c r="V94" s="8">
        <v>1000</v>
      </c>
      <c r="W94" s="8" t="s">
        <v>241</v>
      </c>
      <c r="X94" s="8">
        <v>3000</v>
      </c>
      <c r="Y94" s="8" t="s">
        <v>278</v>
      </c>
      <c r="Z94" s="8">
        <v>110</v>
      </c>
      <c r="AA94" s="8" t="s">
        <v>525</v>
      </c>
      <c r="AB94" s="8" t="s">
        <v>236</v>
      </c>
      <c r="AC94" s="8" t="s">
        <v>236</v>
      </c>
      <c r="AD94" s="8" t="s">
        <v>236</v>
      </c>
      <c r="AE94" s="8" t="s">
        <v>68</v>
      </c>
      <c r="AF94" s="8" t="s">
        <v>236</v>
      </c>
      <c r="AG94" s="8" t="s">
        <v>236</v>
      </c>
      <c r="AH94" s="8" t="s">
        <v>236</v>
      </c>
      <c r="AI94" s="8" t="s">
        <v>236</v>
      </c>
      <c r="AJ94" t="s">
        <v>519</v>
      </c>
      <c r="AK94">
        <v>12</v>
      </c>
      <c r="AL94">
        <v>1</v>
      </c>
      <c r="AM94" t="s">
        <v>297</v>
      </c>
      <c r="AN94" t="s">
        <v>236</v>
      </c>
      <c r="AO94" t="s">
        <v>529</v>
      </c>
      <c r="AP94" t="s">
        <v>112</v>
      </c>
      <c r="AQ94">
        <v>12</v>
      </c>
      <c r="AR94" t="s">
        <v>524</v>
      </c>
      <c r="AS94" t="s">
        <v>236</v>
      </c>
      <c r="AT94" t="s">
        <v>140</v>
      </c>
      <c r="AU94">
        <v>12</v>
      </c>
      <c r="AV94">
        <v>1</v>
      </c>
      <c r="AW94" t="s">
        <v>432</v>
      </c>
      <c r="AX94" t="s">
        <v>221</v>
      </c>
      <c r="AY94" t="s">
        <v>224</v>
      </c>
      <c r="AZ94">
        <v>3</v>
      </c>
      <c r="BA94" t="s">
        <v>435</v>
      </c>
      <c r="BB94" t="s">
        <v>431</v>
      </c>
      <c r="BC94" t="s">
        <v>419</v>
      </c>
      <c r="BD94" t="s">
        <v>236</v>
      </c>
      <c r="BE94" t="s">
        <v>437</v>
      </c>
      <c r="BF94" t="s">
        <v>530</v>
      </c>
      <c r="BG94" t="s">
        <v>433</v>
      </c>
      <c r="BH94" t="s">
        <v>420</v>
      </c>
      <c r="BI94" t="s">
        <v>520</v>
      </c>
      <c r="BJ94" t="s">
        <v>68</v>
      </c>
      <c r="BK94" t="s">
        <v>236</v>
      </c>
      <c r="BL94" t="s">
        <v>236</v>
      </c>
      <c r="BM94" t="s">
        <v>236</v>
      </c>
      <c r="BN94" t="s">
        <v>68</v>
      </c>
      <c r="BO94" t="s">
        <v>236</v>
      </c>
      <c r="BP94" t="s">
        <v>236</v>
      </c>
      <c r="BQ94" t="s">
        <v>236</v>
      </c>
      <c r="BR94" t="s">
        <v>236</v>
      </c>
      <c r="BS94" t="s">
        <v>521</v>
      </c>
      <c r="BT94">
        <v>0</v>
      </c>
    </row>
    <row r="95" spans="1:72" x14ac:dyDescent="0.15">
      <c r="A95" s="43">
        <v>2022</v>
      </c>
      <c r="B95" s="8">
        <v>12</v>
      </c>
      <c r="C95" s="8">
        <v>1</v>
      </c>
      <c r="D95" s="8" t="s">
        <v>297</v>
      </c>
      <c r="E95" s="8" t="s">
        <v>236</v>
      </c>
      <c r="F95" s="8" t="s">
        <v>57</v>
      </c>
      <c r="G95" s="8">
        <v>2017</v>
      </c>
      <c r="H95" s="8">
        <v>12</v>
      </c>
      <c r="I95" s="8" t="s">
        <v>524</v>
      </c>
      <c r="J95" s="8" t="s">
        <v>236</v>
      </c>
      <c r="K95" s="8">
        <v>1982</v>
      </c>
      <c r="L95" s="17">
        <v>12</v>
      </c>
      <c r="M95" s="8">
        <v>1</v>
      </c>
      <c r="N95" s="8" t="s">
        <v>48</v>
      </c>
      <c r="O95" s="8" t="s">
        <v>221</v>
      </c>
      <c r="P95" s="8" t="s">
        <v>224</v>
      </c>
      <c r="Q95" s="8">
        <v>7000</v>
      </c>
      <c r="R95" s="8" t="s">
        <v>57</v>
      </c>
      <c r="S95" s="8" t="s">
        <v>52</v>
      </c>
      <c r="T95" s="8" t="s">
        <v>70</v>
      </c>
      <c r="U95" s="8" t="s">
        <v>236</v>
      </c>
      <c r="V95" s="8">
        <v>1000</v>
      </c>
      <c r="W95" s="8" t="s">
        <v>241</v>
      </c>
      <c r="X95" s="8">
        <v>3000</v>
      </c>
      <c r="Y95" s="8" t="s">
        <v>278</v>
      </c>
      <c r="Z95" s="8">
        <v>110</v>
      </c>
      <c r="AA95" s="8" t="s">
        <v>525</v>
      </c>
      <c r="AB95" s="8" t="s">
        <v>236</v>
      </c>
      <c r="AC95" s="8" t="s">
        <v>236</v>
      </c>
      <c r="AD95" s="8" t="s">
        <v>236</v>
      </c>
      <c r="AE95" s="8" t="s">
        <v>68</v>
      </c>
      <c r="AF95" s="8" t="s">
        <v>236</v>
      </c>
      <c r="AG95" s="8" t="s">
        <v>236</v>
      </c>
      <c r="AH95" s="8" t="s">
        <v>236</v>
      </c>
      <c r="AI95" s="8" t="s">
        <v>236</v>
      </c>
      <c r="AJ95" t="s">
        <v>519</v>
      </c>
      <c r="AK95">
        <v>12</v>
      </c>
      <c r="AL95">
        <v>1</v>
      </c>
      <c r="AM95" t="s">
        <v>297</v>
      </c>
      <c r="AN95" t="s">
        <v>236</v>
      </c>
      <c r="AO95" t="s">
        <v>529</v>
      </c>
      <c r="AP95" t="s">
        <v>112</v>
      </c>
      <c r="AQ95">
        <v>12</v>
      </c>
      <c r="AR95" t="s">
        <v>524</v>
      </c>
      <c r="AS95" t="s">
        <v>236</v>
      </c>
      <c r="AT95" t="s">
        <v>145</v>
      </c>
      <c r="AU95">
        <v>12</v>
      </c>
      <c r="AV95">
        <v>1</v>
      </c>
      <c r="AW95" t="s">
        <v>432</v>
      </c>
      <c r="AX95" t="s">
        <v>221</v>
      </c>
      <c r="AY95" t="s">
        <v>224</v>
      </c>
      <c r="AZ95">
        <v>3</v>
      </c>
      <c r="BA95" t="s">
        <v>435</v>
      </c>
      <c r="BB95" t="s">
        <v>431</v>
      </c>
      <c r="BC95" t="s">
        <v>419</v>
      </c>
      <c r="BD95" t="s">
        <v>236</v>
      </c>
      <c r="BE95" t="s">
        <v>437</v>
      </c>
      <c r="BF95" t="s">
        <v>530</v>
      </c>
      <c r="BG95" t="s">
        <v>433</v>
      </c>
      <c r="BH95" t="s">
        <v>420</v>
      </c>
      <c r="BI95" t="s">
        <v>520</v>
      </c>
      <c r="BJ95" t="s">
        <v>68</v>
      </c>
      <c r="BK95" t="s">
        <v>236</v>
      </c>
      <c r="BL95" t="s">
        <v>236</v>
      </c>
      <c r="BM95" t="s">
        <v>236</v>
      </c>
      <c r="BN95" t="s">
        <v>68</v>
      </c>
      <c r="BO95" t="s">
        <v>236</v>
      </c>
      <c r="BP95" t="s">
        <v>236</v>
      </c>
      <c r="BQ95" t="s">
        <v>236</v>
      </c>
      <c r="BR95" t="s">
        <v>236</v>
      </c>
      <c r="BS95" t="s">
        <v>521</v>
      </c>
      <c r="BT95">
        <v>0</v>
      </c>
    </row>
    <row r="96" spans="1:72" x14ac:dyDescent="0.15">
      <c r="A96" s="43">
        <v>2022</v>
      </c>
      <c r="B96" s="8">
        <v>12</v>
      </c>
      <c r="C96" s="8">
        <v>1</v>
      </c>
      <c r="D96" s="8" t="s">
        <v>297</v>
      </c>
      <c r="E96" s="8" t="s">
        <v>236</v>
      </c>
      <c r="F96" s="8" t="s">
        <v>57</v>
      </c>
      <c r="G96" s="8">
        <v>2017</v>
      </c>
      <c r="H96" s="8">
        <v>12</v>
      </c>
      <c r="I96" s="8" t="s">
        <v>524</v>
      </c>
      <c r="J96" s="8" t="s">
        <v>236</v>
      </c>
      <c r="K96" s="8">
        <v>1977</v>
      </c>
      <c r="L96" s="17">
        <v>12</v>
      </c>
      <c r="M96" s="8">
        <v>1</v>
      </c>
      <c r="N96" s="8" t="s">
        <v>48</v>
      </c>
      <c r="O96" s="8" t="s">
        <v>221</v>
      </c>
      <c r="P96" s="8" t="s">
        <v>224</v>
      </c>
      <c r="Q96" s="8">
        <v>7000</v>
      </c>
      <c r="R96" s="8" t="s">
        <v>57</v>
      </c>
      <c r="S96" s="8" t="s">
        <v>52</v>
      </c>
      <c r="T96" s="8" t="s">
        <v>70</v>
      </c>
      <c r="U96" s="8" t="s">
        <v>236</v>
      </c>
      <c r="V96" s="8">
        <v>1000</v>
      </c>
      <c r="W96" s="8" t="s">
        <v>241</v>
      </c>
      <c r="X96" s="8">
        <v>3000</v>
      </c>
      <c r="Y96" s="8" t="s">
        <v>278</v>
      </c>
      <c r="Z96" s="8">
        <v>110</v>
      </c>
      <c r="AA96" s="8" t="s">
        <v>525</v>
      </c>
      <c r="AB96" s="8" t="s">
        <v>236</v>
      </c>
      <c r="AC96" s="8" t="s">
        <v>236</v>
      </c>
      <c r="AD96" s="8" t="s">
        <v>236</v>
      </c>
      <c r="AE96" s="8" t="s">
        <v>68</v>
      </c>
      <c r="AF96" s="8" t="s">
        <v>236</v>
      </c>
      <c r="AG96" s="8" t="s">
        <v>236</v>
      </c>
      <c r="AH96" s="8" t="s">
        <v>236</v>
      </c>
      <c r="AI96" s="8" t="s">
        <v>236</v>
      </c>
      <c r="AJ96" t="s">
        <v>519</v>
      </c>
      <c r="AK96">
        <v>12</v>
      </c>
      <c r="AL96">
        <v>1</v>
      </c>
      <c r="AM96" t="s">
        <v>297</v>
      </c>
      <c r="AN96" t="s">
        <v>236</v>
      </c>
      <c r="AO96" t="s">
        <v>529</v>
      </c>
      <c r="AP96" t="s">
        <v>112</v>
      </c>
      <c r="AQ96">
        <v>12</v>
      </c>
      <c r="AR96" t="s">
        <v>524</v>
      </c>
      <c r="AS96" t="s">
        <v>236</v>
      </c>
      <c r="AT96" t="s">
        <v>150</v>
      </c>
      <c r="AU96">
        <v>12</v>
      </c>
      <c r="AV96">
        <v>1</v>
      </c>
      <c r="AW96" t="s">
        <v>432</v>
      </c>
      <c r="AX96" t="s">
        <v>221</v>
      </c>
      <c r="AY96" t="s">
        <v>224</v>
      </c>
      <c r="AZ96">
        <v>3</v>
      </c>
      <c r="BA96" t="s">
        <v>435</v>
      </c>
      <c r="BB96" t="s">
        <v>431</v>
      </c>
      <c r="BC96" t="s">
        <v>419</v>
      </c>
      <c r="BD96" t="s">
        <v>236</v>
      </c>
      <c r="BE96" t="s">
        <v>437</v>
      </c>
      <c r="BF96" t="s">
        <v>530</v>
      </c>
      <c r="BG96" t="s">
        <v>433</v>
      </c>
      <c r="BH96" t="s">
        <v>420</v>
      </c>
      <c r="BI96" t="s">
        <v>520</v>
      </c>
      <c r="BJ96" t="s">
        <v>68</v>
      </c>
      <c r="BK96" t="s">
        <v>236</v>
      </c>
      <c r="BL96" t="s">
        <v>236</v>
      </c>
      <c r="BM96" t="s">
        <v>236</v>
      </c>
      <c r="BN96" t="s">
        <v>68</v>
      </c>
      <c r="BO96" t="s">
        <v>236</v>
      </c>
      <c r="BP96" t="s">
        <v>236</v>
      </c>
      <c r="BQ96" t="s">
        <v>236</v>
      </c>
      <c r="BR96" t="s">
        <v>236</v>
      </c>
      <c r="BS96" t="s">
        <v>521</v>
      </c>
      <c r="BT96">
        <v>0</v>
      </c>
    </row>
    <row r="97" spans="1:72" x14ac:dyDescent="0.15">
      <c r="A97" s="43">
        <v>2022</v>
      </c>
      <c r="B97" s="8">
        <v>12</v>
      </c>
      <c r="C97" s="8">
        <v>1</v>
      </c>
      <c r="D97" s="8" t="s">
        <v>297</v>
      </c>
      <c r="E97" s="8" t="s">
        <v>236</v>
      </c>
      <c r="F97" s="8" t="s">
        <v>57</v>
      </c>
      <c r="G97" s="8">
        <v>2017</v>
      </c>
      <c r="H97" s="8">
        <v>12</v>
      </c>
      <c r="I97" s="8" t="s">
        <v>524</v>
      </c>
      <c r="J97" s="8" t="s">
        <v>236</v>
      </c>
      <c r="K97" s="8">
        <v>1972</v>
      </c>
      <c r="L97" s="17">
        <v>12</v>
      </c>
      <c r="M97" s="8">
        <v>1</v>
      </c>
      <c r="N97" s="8" t="s">
        <v>48</v>
      </c>
      <c r="O97" s="8" t="s">
        <v>221</v>
      </c>
      <c r="P97" s="8" t="s">
        <v>224</v>
      </c>
      <c r="Q97" s="8">
        <v>7000</v>
      </c>
      <c r="R97" s="8" t="s">
        <v>57</v>
      </c>
      <c r="S97" s="8" t="s">
        <v>52</v>
      </c>
      <c r="T97" s="8" t="s">
        <v>70</v>
      </c>
      <c r="U97" s="8" t="s">
        <v>236</v>
      </c>
      <c r="V97" s="8">
        <v>1000</v>
      </c>
      <c r="W97" s="8" t="s">
        <v>241</v>
      </c>
      <c r="X97" s="8">
        <v>3000</v>
      </c>
      <c r="Y97" s="8" t="s">
        <v>278</v>
      </c>
      <c r="Z97" s="8">
        <v>110</v>
      </c>
      <c r="AA97" s="8" t="s">
        <v>525</v>
      </c>
      <c r="AB97" s="8" t="s">
        <v>236</v>
      </c>
      <c r="AC97" s="8" t="s">
        <v>236</v>
      </c>
      <c r="AD97" s="8" t="s">
        <v>236</v>
      </c>
      <c r="AE97" s="8" t="s">
        <v>68</v>
      </c>
      <c r="AF97" s="8" t="s">
        <v>236</v>
      </c>
      <c r="AG97" s="8" t="s">
        <v>236</v>
      </c>
      <c r="AH97" s="8" t="s">
        <v>236</v>
      </c>
      <c r="AI97" s="8" t="s">
        <v>236</v>
      </c>
      <c r="AJ97" t="s">
        <v>519</v>
      </c>
      <c r="AK97">
        <v>12</v>
      </c>
      <c r="AL97">
        <v>1</v>
      </c>
      <c r="AM97" t="s">
        <v>297</v>
      </c>
      <c r="AN97" t="s">
        <v>236</v>
      </c>
      <c r="AO97" t="s">
        <v>529</v>
      </c>
      <c r="AP97" t="s">
        <v>112</v>
      </c>
      <c r="AQ97">
        <v>12</v>
      </c>
      <c r="AR97" t="s">
        <v>524</v>
      </c>
      <c r="AS97" t="s">
        <v>236</v>
      </c>
      <c r="AT97" t="s">
        <v>155</v>
      </c>
      <c r="AU97">
        <v>12</v>
      </c>
      <c r="AV97">
        <v>1</v>
      </c>
      <c r="AW97" t="s">
        <v>432</v>
      </c>
      <c r="AX97" t="s">
        <v>221</v>
      </c>
      <c r="AY97" t="s">
        <v>224</v>
      </c>
      <c r="AZ97">
        <v>3</v>
      </c>
      <c r="BA97" t="s">
        <v>435</v>
      </c>
      <c r="BB97" t="s">
        <v>431</v>
      </c>
      <c r="BC97" t="s">
        <v>419</v>
      </c>
      <c r="BD97" t="s">
        <v>236</v>
      </c>
      <c r="BE97" t="s">
        <v>437</v>
      </c>
      <c r="BF97" t="s">
        <v>530</v>
      </c>
      <c r="BG97" t="s">
        <v>433</v>
      </c>
      <c r="BH97" t="s">
        <v>420</v>
      </c>
      <c r="BI97" t="s">
        <v>520</v>
      </c>
      <c r="BJ97" t="s">
        <v>68</v>
      </c>
      <c r="BK97" t="s">
        <v>236</v>
      </c>
      <c r="BL97" t="s">
        <v>236</v>
      </c>
      <c r="BM97" t="s">
        <v>236</v>
      </c>
      <c r="BN97" t="s">
        <v>68</v>
      </c>
      <c r="BO97" t="s">
        <v>236</v>
      </c>
      <c r="BP97" t="s">
        <v>236</v>
      </c>
      <c r="BQ97" t="s">
        <v>236</v>
      </c>
      <c r="BR97" t="s">
        <v>236</v>
      </c>
      <c r="BS97" t="s">
        <v>521</v>
      </c>
      <c r="BT97">
        <v>0</v>
      </c>
    </row>
    <row r="98" spans="1:72" x14ac:dyDescent="0.15">
      <c r="A98" s="43">
        <v>2022</v>
      </c>
      <c r="B98" s="8">
        <v>12</v>
      </c>
      <c r="C98" s="8">
        <v>1</v>
      </c>
      <c r="D98" s="8" t="s">
        <v>297</v>
      </c>
      <c r="E98" s="8" t="s">
        <v>236</v>
      </c>
      <c r="F98" s="8" t="s">
        <v>57</v>
      </c>
      <c r="G98" s="8">
        <v>2017</v>
      </c>
      <c r="H98" s="8">
        <v>12</v>
      </c>
      <c r="I98" s="8" t="s">
        <v>524</v>
      </c>
      <c r="J98" s="8" t="s">
        <v>236</v>
      </c>
      <c r="K98" s="8">
        <v>1962</v>
      </c>
      <c r="L98" s="17">
        <v>12</v>
      </c>
      <c r="M98" s="8">
        <v>1</v>
      </c>
      <c r="N98" s="8" t="s">
        <v>48</v>
      </c>
      <c r="O98" s="8" t="s">
        <v>221</v>
      </c>
      <c r="P98" s="8" t="s">
        <v>224</v>
      </c>
      <c r="Q98" s="8">
        <v>7000</v>
      </c>
      <c r="R98" s="8" t="s">
        <v>57</v>
      </c>
      <c r="S98" s="8" t="s">
        <v>52</v>
      </c>
      <c r="T98" s="8" t="s">
        <v>70</v>
      </c>
      <c r="U98" s="8" t="s">
        <v>236</v>
      </c>
      <c r="V98" s="8">
        <v>1000</v>
      </c>
      <c r="W98" s="8" t="s">
        <v>241</v>
      </c>
      <c r="X98" s="8">
        <v>3000</v>
      </c>
      <c r="Y98" s="8" t="s">
        <v>278</v>
      </c>
      <c r="Z98" s="8">
        <v>110</v>
      </c>
      <c r="AA98" s="8" t="s">
        <v>525</v>
      </c>
      <c r="AB98" s="8" t="s">
        <v>236</v>
      </c>
      <c r="AC98" s="8" t="s">
        <v>236</v>
      </c>
      <c r="AD98" s="8" t="s">
        <v>236</v>
      </c>
      <c r="AE98" s="8" t="s">
        <v>68</v>
      </c>
      <c r="AF98" s="8" t="s">
        <v>236</v>
      </c>
      <c r="AG98" s="8" t="s">
        <v>236</v>
      </c>
      <c r="AH98" s="8" t="s">
        <v>236</v>
      </c>
      <c r="AI98" s="8" t="s">
        <v>236</v>
      </c>
      <c r="AJ98" t="s">
        <v>519</v>
      </c>
      <c r="AK98">
        <v>12</v>
      </c>
      <c r="AL98">
        <v>1</v>
      </c>
      <c r="AM98" t="s">
        <v>297</v>
      </c>
      <c r="AN98" t="s">
        <v>236</v>
      </c>
      <c r="AO98" t="s">
        <v>529</v>
      </c>
      <c r="AP98" t="s">
        <v>112</v>
      </c>
      <c r="AQ98">
        <v>12</v>
      </c>
      <c r="AR98" t="s">
        <v>524</v>
      </c>
      <c r="AS98" t="s">
        <v>236</v>
      </c>
      <c r="AT98" t="s">
        <v>165</v>
      </c>
      <c r="AU98">
        <v>12</v>
      </c>
      <c r="AV98">
        <v>1</v>
      </c>
      <c r="AW98" t="s">
        <v>432</v>
      </c>
      <c r="AX98" t="s">
        <v>221</v>
      </c>
      <c r="AY98" t="s">
        <v>224</v>
      </c>
      <c r="AZ98">
        <v>3</v>
      </c>
      <c r="BA98" t="s">
        <v>435</v>
      </c>
      <c r="BB98" t="s">
        <v>431</v>
      </c>
      <c r="BC98" t="s">
        <v>419</v>
      </c>
      <c r="BD98" t="s">
        <v>236</v>
      </c>
      <c r="BE98" t="s">
        <v>437</v>
      </c>
      <c r="BF98" t="s">
        <v>530</v>
      </c>
      <c r="BG98" t="s">
        <v>433</v>
      </c>
      <c r="BH98" t="s">
        <v>420</v>
      </c>
      <c r="BI98" t="s">
        <v>520</v>
      </c>
      <c r="BJ98" t="s">
        <v>68</v>
      </c>
      <c r="BK98" t="s">
        <v>236</v>
      </c>
      <c r="BL98" t="s">
        <v>236</v>
      </c>
      <c r="BM98" t="s">
        <v>236</v>
      </c>
      <c r="BN98" t="s">
        <v>68</v>
      </c>
      <c r="BO98" t="s">
        <v>236</v>
      </c>
      <c r="BP98" t="s">
        <v>236</v>
      </c>
      <c r="BQ98" t="s">
        <v>236</v>
      </c>
      <c r="BR98" t="s">
        <v>236</v>
      </c>
      <c r="BS98" t="s">
        <v>521</v>
      </c>
      <c r="BT98">
        <v>0</v>
      </c>
    </row>
    <row r="99" spans="1:72" x14ac:dyDescent="0.15">
      <c r="A99" s="43">
        <v>2022</v>
      </c>
      <c r="B99" s="8">
        <v>12</v>
      </c>
      <c r="C99" s="8">
        <v>1</v>
      </c>
      <c r="D99" s="8" t="s">
        <v>297</v>
      </c>
      <c r="E99" s="8" t="s">
        <v>236</v>
      </c>
      <c r="F99" s="8" t="s">
        <v>57</v>
      </c>
      <c r="G99" s="8">
        <v>2017</v>
      </c>
      <c r="H99" s="8">
        <v>12</v>
      </c>
      <c r="I99" s="8" t="s">
        <v>524</v>
      </c>
      <c r="J99" s="8" t="s">
        <v>236</v>
      </c>
      <c r="K99" s="8">
        <v>1952</v>
      </c>
      <c r="L99" s="17">
        <v>12</v>
      </c>
      <c r="M99" s="8">
        <v>1</v>
      </c>
      <c r="N99" s="8" t="s">
        <v>48</v>
      </c>
      <c r="O99" s="8" t="s">
        <v>221</v>
      </c>
      <c r="P99" s="8" t="s">
        <v>224</v>
      </c>
      <c r="Q99" s="8">
        <v>7000</v>
      </c>
      <c r="R99" s="8" t="s">
        <v>57</v>
      </c>
      <c r="S99" s="8" t="s">
        <v>52</v>
      </c>
      <c r="T99" s="8" t="s">
        <v>70</v>
      </c>
      <c r="U99" s="8" t="s">
        <v>236</v>
      </c>
      <c r="V99" s="8">
        <v>1000</v>
      </c>
      <c r="W99" s="8" t="s">
        <v>241</v>
      </c>
      <c r="X99" s="8">
        <v>3000</v>
      </c>
      <c r="Y99" s="8" t="s">
        <v>278</v>
      </c>
      <c r="Z99" s="8">
        <v>110</v>
      </c>
      <c r="AA99" s="8" t="s">
        <v>525</v>
      </c>
      <c r="AB99" s="8" t="s">
        <v>236</v>
      </c>
      <c r="AC99" s="8" t="s">
        <v>236</v>
      </c>
      <c r="AD99" s="8" t="s">
        <v>236</v>
      </c>
      <c r="AE99" s="8" t="s">
        <v>68</v>
      </c>
      <c r="AF99" s="8" t="s">
        <v>236</v>
      </c>
      <c r="AG99" s="8" t="s">
        <v>236</v>
      </c>
      <c r="AH99" s="8" t="s">
        <v>236</v>
      </c>
      <c r="AI99" s="8" t="s">
        <v>236</v>
      </c>
      <c r="AJ99" t="s">
        <v>519</v>
      </c>
      <c r="AK99">
        <v>12</v>
      </c>
      <c r="AL99">
        <v>1</v>
      </c>
      <c r="AM99" t="s">
        <v>297</v>
      </c>
      <c r="AN99" t="s">
        <v>236</v>
      </c>
      <c r="AO99" t="s">
        <v>529</v>
      </c>
      <c r="AP99" t="s">
        <v>112</v>
      </c>
      <c r="AQ99">
        <v>12</v>
      </c>
      <c r="AR99" t="s">
        <v>524</v>
      </c>
      <c r="AS99" t="s">
        <v>236</v>
      </c>
      <c r="AT99" t="s">
        <v>175</v>
      </c>
      <c r="AU99">
        <v>12</v>
      </c>
      <c r="AV99">
        <v>1</v>
      </c>
      <c r="AW99" t="s">
        <v>432</v>
      </c>
      <c r="AX99" t="s">
        <v>221</v>
      </c>
      <c r="AY99" t="s">
        <v>224</v>
      </c>
      <c r="AZ99">
        <v>3</v>
      </c>
      <c r="BA99" t="s">
        <v>435</v>
      </c>
      <c r="BB99" t="s">
        <v>431</v>
      </c>
      <c r="BC99" t="s">
        <v>419</v>
      </c>
      <c r="BD99" t="s">
        <v>236</v>
      </c>
      <c r="BE99" t="s">
        <v>437</v>
      </c>
      <c r="BF99" t="s">
        <v>530</v>
      </c>
      <c r="BG99" t="s">
        <v>433</v>
      </c>
      <c r="BH99" t="s">
        <v>420</v>
      </c>
      <c r="BI99" t="s">
        <v>520</v>
      </c>
      <c r="BJ99" t="s">
        <v>68</v>
      </c>
      <c r="BK99" t="s">
        <v>236</v>
      </c>
      <c r="BL99" t="s">
        <v>236</v>
      </c>
      <c r="BM99" t="s">
        <v>236</v>
      </c>
      <c r="BN99" t="s">
        <v>68</v>
      </c>
      <c r="BO99" t="s">
        <v>236</v>
      </c>
      <c r="BP99" t="s">
        <v>236</v>
      </c>
      <c r="BQ99" t="s">
        <v>236</v>
      </c>
      <c r="BR99" t="s">
        <v>236</v>
      </c>
      <c r="BS99" t="s">
        <v>521</v>
      </c>
      <c r="BT99">
        <v>0</v>
      </c>
    </row>
    <row r="100" spans="1:72" x14ac:dyDescent="0.15">
      <c r="A100" s="43">
        <v>2022</v>
      </c>
      <c r="B100" s="8">
        <v>12</v>
      </c>
      <c r="C100" s="8">
        <v>1</v>
      </c>
      <c r="D100" s="8" t="s">
        <v>297</v>
      </c>
      <c r="E100" s="8" t="s">
        <v>236</v>
      </c>
      <c r="F100" s="8" t="s">
        <v>57</v>
      </c>
      <c r="G100" s="8">
        <v>2017</v>
      </c>
      <c r="H100" s="8">
        <v>12</v>
      </c>
      <c r="I100" s="8" t="s">
        <v>524</v>
      </c>
      <c r="J100" s="8" t="s">
        <v>236</v>
      </c>
      <c r="K100" s="8">
        <v>1992</v>
      </c>
      <c r="L100" s="17">
        <v>12</v>
      </c>
      <c r="M100" s="8">
        <v>1</v>
      </c>
      <c r="N100" s="8" t="s">
        <v>48</v>
      </c>
      <c r="O100" s="8" t="s">
        <v>221</v>
      </c>
      <c r="P100" s="8" t="s">
        <v>295</v>
      </c>
      <c r="Q100" s="8">
        <v>3000</v>
      </c>
      <c r="R100" s="8" t="s">
        <v>57</v>
      </c>
      <c r="S100" s="8" t="s">
        <v>52</v>
      </c>
      <c r="T100" s="8" t="s">
        <v>70</v>
      </c>
      <c r="U100" s="8" t="s">
        <v>236</v>
      </c>
      <c r="V100" s="8">
        <v>1000</v>
      </c>
      <c r="W100" s="8" t="s">
        <v>241</v>
      </c>
      <c r="X100" s="8">
        <v>3000</v>
      </c>
      <c r="Y100" s="8" t="s">
        <v>278</v>
      </c>
      <c r="Z100" s="8">
        <v>110</v>
      </c>
      <c r="AA100" s="8" t="s">
        <v>525</v>
      </c>
      <c r="AB100" s="8" t="s">
        <v>236</v>
      </c>
      <c r="AC100" s="8" t="s">
        <v>236</v>
      </c>
      <c r="AD100" s="8" t="s">
        <v>236</v>
      </c>
      <c r="AE100" s="8" t="s">
        <v>68</v>
      </c>
      <c r="AF100" s="8" t="s">
        <v>236</v>
      </c>
      <c r="AG100" s="8" t="s">
        <v>236</v>
      </c>
      <c r="AH100" s="8" t="s">
        <v>236</v>
      </c>
      <c r="AI100" s="8" t="s">
        <v>236</v>
      </c>
      <c r="AJ100" t="s">
        <v>519</v>
      </c>
      <c r="AK100">
        <v>12</v>
      </c>
      <c r="AL100">
        <v>1</v>
      </c>
      <c r="AM100" t="s">
        <v>297</v>
      </c>
      <c r="AN100" t="s">
        <v>236</v>
      </c>
      <c r="AO100" t="s">
        <v>529</v>
      </c>
      <c r="AP100" t="s">
        <v>112</v>
      </c>
      <c r="AQ100">
        <v>12</v>
      </c>
      <c r="AR100" t="s">
        <v>524</v>
      </c>
      <c r="AS100" t="s">
        <v>236</v>
      </c>
      <c r="AT100" t="s">
        <v>137</v>
      </c>
      <c r="AU100">
        <v>12</v>
      </c>
      <c r="AV100">
        <v>1</v>
      </c>
      <c r="AW100" t="s">
        <v>432</v>
      </c>
      <c r="AX100" t="s">
        <v>221</v>
      </c>
      <c r="AY100" t="s">
        <v>295</v>
      </c>
      <c r="AZ100">
        <v>1</v>
      </c>
      <c r="BA100" t="s">
        <v>435</v>
      </c>
      <c r="BB100" t="s">
        <v>431</v>
      </c>
      <c r="BC100" t="s">
        <v>419</v>
      </c>
      <c r="BD100" t="s">
        <v>236</v>
      </c>
      <c r="BE100" t="s">
        <v>437</v>
      </c>
      <c r="BF100" t="s">
        <v>530</v>
      </c>
      <c r="BG100" t="s">
        <v>433</v>
      </c>
      <c r="BH100" t="s">
        <v>420</v>
      </c>
      <c r="BI100" t="s">
        <v>520</v>
      </c>
      <c r="BJ100" t="s">
        <v>68</v>
      </c>
      <c r="BK100" t="s">
        <v>236</v>
      </c>
      <c r="BL100" t="s">
        <v>236</v>
      </c>
      <c r="BM100" t="s">
        <v>236</v>
      </c>
      <c r="BN100" t="s">
        <v>68</v>
      </c>
      <c r="BO100" t="s">
        <v>236</v>
      </c>
      <c r="BP100" t="s">
        <v>236</v>
      </c>
      <c r="BQ100" t="s">
        <v>236</v>
      </c>
      <c r="BR100" t="s">
        <v>236</v>
      </c>
      <c r="BS100" t="s">
        <v>521</v>
      </c>
      <c r="BT100">
        <v>0</v>
      </c>
    </row>
    <row r="101" spans="1:72" x14ac:dyDescent="0.15">
      <c r="A101" s="43">
        <v>2022</v>
      </c>
      <c r="B101" s="8">
        <v>12</v>
      </c>
      <c r="C101" s="8">
        <v>1</v>
      </c>
      <c r="D101" s="8" t="s">
        <v>297</v>
      </c>
      <c r="E101" s="8" t="s">
        <v>236</v>
      </c>
      <c r="F101" s="8" t="s">
        <v>57</v>
      </c>
      <c r="G101" s="8">
        <v>2017</v>
      </c>
      <c r="H101" s="8">
        <v>12</v>
      </c>
      <c r="I101" s="8" t="s">
        <v>524</v>
      </c>
      <c r="J101" s="8" t="s">
        <v>236</v>
      </c>
      <c r="K101" s="8">
        <v>1987</v>
      </c>
      <c r="L101" s="17">
        <v>12</v>
      </c>
      <c r="M101" s="8">
        <v>1</v>
      </c>
      <c r="N101" s="8" t="s">
        <v>48</v>
      </c>
      <c r="O101" s="8" t="s">
        <v>221</v>
      </c>
      <c r="P101" s="8" t="s">
        <v>295</v>
      </c>
      <c r="Q101" s="8">
        <v>3000</v>
      </c>
      <c r="R101" s="8" t="s">
        <v>57</v>
      </c>
      <c r="S101" s="8" t="s">
        <v>52</v>
      </c>
      <c r="T101" s="8" t="s">
        <v>70</v>
      </c>
      <c r="U101" s="8" t="s">
        <v>236</v>
      </c>
      <c r="V101" s="8">
        <v>1000</v>
      </c>
      <c r="W101" s="8" t="s">
        <v>241</v>
      </c>
      <c r="X101" s="8">
        <v>3000</v>
      </c>
      <c r="Y101" s="8" t="s">
        <v>278</v>
      </c>
      <c r="Z101" s="8">
        <v>110</v>
      </c>
      <c r="AA101" s="8" t="s">
        <v>525</v>
      </c>
      <c r="AB101" s="8" t="s">
        <v>236</v>
      </c>
      <c r="AC101" s="8" t="s">
        <v>236</v>
      </c>
      <c r="AD101" s="8" t="s">
        <v>236</v>
      </c>
      <c r="AE101" s="8" t="s">
        <v>68</v>
      </c>
      <c r="AF101" s="8" t="s">
        <v>236</v>
      </c>
      <c r="AG101" s="8" t="s">
        <v>236</v>
      </c>
      <c r="AH101" s="8" t="s">
        <v>236</v>
      </c>
      <c r="AI101" s="8" t="s">
        <v>236</v>
      </c>
      <c r="AJ101" t="s">
        <v>519</v>
      </c>
      <c r="AK101">
        <v>12</v>
      </c>
      <c r="AL101">
        <v>1</v>
      </c>
      <c r="AM101" t="s">
        <v>297</v>
      </c>
      <c r="AN101" t="s">
        <v>236</v>
      </c>
      <c r="AO101" t="s">
        <v>529</v>
      </c>
      <c r="AP101" t="s">
        <v>112</v>
      </c>
      <c r="AQ101">
        <v>12</v>
      </c>
      <c r="AR101" t="s">
        <v>524</v>
      </c>
      <c r="AS101" t="s">
        <v>236</v>
      </c>
      <c r="AT101" t="s">
        <v>140</v>
      </c>
      <c r="AU101">
        <v>12</v>
      </c>
      <c r="AV101">
        <v>1</v>
      </c>
      <c r="AW101" t="s">
        <v>432</v>
      </c>
      <c r="AX101" t="s">
        <v>221</v>
      </c>
      <c r="AY101" t="s">
        <v>295</v>
      </c>
      <c r="AZ101">
        <v>1</v>
      </c>
      <c r="BA101" t="s">
        <v>435</v>
      </c>
      <c r="BB101" t="s">
        <v>431</v>
      </c>
      <c r="BC101" t="s">
        <v>419</v>
      </c>
      <c r="BD101" t="s">
        <v>236</v>
      </c>
      <c r="BE101" t="s">
        <v>437</v>
      </c>
      <c r="BF101" t="s">
        <v>530</v>
      </c>
      <c r="BG101" t="s">
        <v>433</v>
      </c>
      <c r="BH101" t="s">
        <v>420</v>
      </c>
      <c r="BI101" t="s">
        <v>520</v>
      </c>
      <c r="BJ101" t="s">
        <v>68</v>
      </c>
      <c r="BK101" t="s">
        <v>236</v>
      </c>
      <c r="BL101" t="s">
        <v>236</v>
      </c>
      <c r="BM101" t="s">
        <v>236</v>
      </c>
      <c r="BN101" t="s">
        <v>68</v>
      </c>
      <c r="BO101" t="s">
        <v>236</v>
      </c>
      <c r="BP101" t="s">
        <v>236</v>
      </c>
      <c r="BQ101" t="s">
        <v>236</v>
      </c>
      <c r="BR101" t="s">
        <v>236</v>
      </c>
      <c r="BS101" t="s">
        <v>521</v>
      </c>
      <c r="BT101">
        <v>0</v>
      </c>
    </row>
    <row r="102" spans="1:72" x14ac:dyDescent="0.15">
      <c r="A102" s="43">
        <v>2022</v>
      </c>
      <c r="B102" s="8">
        <v>12</v>
      </c>
      <c r="C102" s="8">
        <v>1</v>
      </c>
      <c r="D102" s="8" t="s">
        <v>297</v>
      </c>
      <c r="E102" s="8" t="s">
        <v>236</v>
      </c>
      <c r="F102" s="8" t="s">
        <v>57</v>
      </c>
      <c r="G102" s="8">
        <v>2017</v>
      </c>
      <c r="H102" s="8">
        <v>12</v>
      </c>
      <c r="I102" s="8" t="s">
        <v>524</v>
      </c>
      <c r="J102" s="8" t="s">
        <v>236</v>
      </c>
      <c r="K102" s="8">
        <v>1982</v>
      </c>
      <c r="L102" s="17">
        <v>12</v>
      </c>
      <c r="M102" s="8">
        <v>1</v>
      </c>
      <c r="N102" s="8" t="s">
        <v>48</v>
      </c>
      <c r="O102" s="8" t="s">
        <v>221</v>
      </c>
      <c r="P102" s="8" t="s">
        <v>295</v>
      </c>
      <c r="Q102" s="8">
        <v>3000</v>
      </c>
      <c r="R102" s="8" t="s">
        <v>57</v>
      </c>
      <c r="S102" s="8" t="s">
        <v>52</v>
      </c>
      <c r="T102" s="8" t="s">
        <v>70</v>
      </c>
      <c r="U102" s="8" t="s">
        <v>236</v>
      </c>
      <c r="V102" s="8">
        <v>1000</v>
      </c>
      <c r="W102" s="8" t="s">
        <v>241</v>
      </c>
      <c r="X102" s="8">
        <v>3000</v>
      </c>
      <c r="Y102" s="8" t="s">
        <v>278</v>
      </c>
      <c r="Z102" s="8">
        <v>110</v>
      </c>
      <c r="AA102" s="8" t="s">
        <v>525</v>
      </c>
      <c r="AB102" s="8" t="s">
        <v>236</v>
      </c>
      <c r="AC102" s="8" t="s">
        <v>236</v>
      </c>
      <c r="AD102" s="8" t="s">
        <v>236</v>
      </c>
      <c r="AE102" s="8" t="s">
        <v>68</v>
      </c>
      <c r="AF102" s="8" t="s">
        <v>236</v>
      </c>
      <c r="AG102" s="8" t="s">
        <v>236</v>
      </c>
      <c r="AH102" s="8" t="s">
        <v>236</v>
      </c>
      <c r="AI102" s="8" t="s">
        <v>236</v>
      </c>
      <c r="AJ102" t="s">
        <v>519</v>
      </c>
      <c r="AK102">
        <v>12</v>
      </c>
      <c r="AL102">
        <v>1</v>
      </c>
      <c r="AM102" t="s">
        <v>297</v>
      </c>
      <c r="AN102" t="s">
        <v>236</v>
      </c>
      <c r="AO102" t="s">
        <v>529</v>
      </c>
      <c r="AP102" t="s">
        <v>112</v>
      </c>
      <c r="AQ102">
        <v>12</v>
      </c>
      <c r="AR102" t="s">
        <v>524</v>
      </c>
      <c r="AS102" t="s">
        <v>236</v>
      </c>
      <c r="AT102" t="s">
        <v>145</v>
      </c>
      <c r="AU102">
        <v>12</v>
      </c>
      <c r="AV102">
        <v>1</v>
      </c>
      <c r="AW102" t="s">
        <v>432</v>
      </c>
      <c r="AX102" t="s">
        <v>221</v>
      </c>
      <c r="AY102" t="s">
        <v>295</v>
      </c>
      <c r="AZ102">
        <v>1</v>
      </c>
      <c r="BA102" t="s">
        <v>435</v>
      </c>
      <c r="BB102" t="s">
        <v>431</v>
      </c>
      <c r="BC102" t="s">
        <v>419</v>
      </c>
      <c r="BD102" t="s">
        <v>236</v>
      </c>
      <c r="BE102" t="s">
        <v>437</v>
      </c>
      <c r="BF102" t="s">
        <v>530</v>
      </c>
      <c r="BG102" t="s">
        <v>433</v>
      </c>
      <c r="BH102" t="s">
        <v>420</v>
      </c>
      <c r="BI102" t="s">
        <v>520</v>
      </c>
      <c r="BJ102" t="s">
        <v>68</v>
      </c>
      <c r="BK102" t="s">
        <v>236</v>
      </c>
      <c r="BL102" t="s">
        <v>236</v>
      </c>
      <c r="BM102" t="s">
        <v>236</v>
      </c>
      <c r="BN102" t="s">
        <v>68</v>
      </c>
      <c r="BO102" t="s">
        <v>236</v>
      </c>
      <c r="BP102" t="s">
        <v>236</v>
      </c>
      <c r="BQ102" t="s">
        <v>236</v>
      </c>
      <c r="BR102" t="s">
        <v>236</v>
      </c>
      <c r="BS102" t="s">
        <v>521</v>
      </c>
      <c r="BT102">
        <v>0</v>
      </c>
    </row>
    <row r="103" spans="1:72" x14ac:dyDescent="0.15">
      <c r="A103" s="43">
        <v>2022</v>
      </c>
      <c r="B103" s="8">
        <v>12</v>
      </c>
      <c r="C103" s="8">
        <v>1</v>
      </c>
      <c r="D103" s="8" t="s">
        <v>297</v>
      </c>
      <c r="E103" s="8" t="s">
        <v>236</v>
      </c>
      <c r="F103" s="8" t="s">
        <v>57</v>
      </c>
      <c r="G103" s="8">
        <v>2017</v>
      </c>
      <c r="H103" s="8">
        <v>12</v>
      </c>
      <c r="I103" s="8" t="s">
        <v>524</v>
      </c>
      <c r="J103" s="8" t="s">
        <v>236</v>
      </c>
      <c r="K103" s="8">
        <v>1977</v>
      </c>
      <c r="L103" s="17">
        <v>12</v>
      </c>
      <c r="M103" s="8">
        <v>1</v>
      </c>
      <c r="N103" s="8" t="s">
        <v>48</v>
      </c>
      <c r="O103" s="8" t="s">
        <v>221</v>
      </c>
      <c r="P103" s="8" t="s">
        <v>295</v>
      </c>
      <c r="Q103" s="8">
        <v>3000</v>
      </c>
      <c r="R103" s="8" t="s">
        <v>57</v>
      </c>
      <c r="S103" s="8" t="s">
        <v>52</v>
      </c>
      <c r="T103" s="8" t="s">
        <v>70</v>
      </c>
      <c r="U103" s="8" t="s">
        <v>236</v>
      </c>
      <c r="V103" s="8">
        <v>1000</v>
      </c>
      <c r="W103" s="8" t="s">
        <v>241</v>
      </c>
      <c r="X103" s="8">
        <v>3000</v>
      </c>
      <c r="Y103" s="8" t="s">
        <v>278</v>
      </c>
      <c r="Z103" s="8">
        <v>110</v>
      </c>
      <c r="AA103" s="8" t="s">
        <v>525</v>
      </c>
      <c r="AB103" s="8" t="s">
        <v>236</v>
      </c>
      <c r="AC103" s="8" t="s">
        <v>236</v>
      </c>
      <c r="AD103" s="8" t="s">
        <v>236</v>
      </c>
      <c r="AE103" s="8" t="s">
        <v>68</v>
      </c>
      <c r="AF103" s="8" t="s">
        <v>236</v>
      </c>
      <c r="AG103" s="8" t="s">
        <v>236</v>
      </c>
      <c r="AH103" s="8" t="s">
        <v>236</v>
      </c>
      <c r="AI103" s="8" t="s">
        <v>236</v>
      </c>
      <c r="AJ103" t="s">
        <v>519</v>
      </c>
      <c r="AK103">
        <v>12</v>
      </c>
      <c r="AL103">
        <v>1</v>
      </c>
      <c r="AM103" t="s">
        <v>297</v>
      </c>
      <c r="AN103" t="s">
        <v>236</v>
      </c>
      <c r="AO103" t="s">
        <v>529</v>
      </c>
      <c r="AP103" t="s">
        <v>112</v>
      </c>
      <c r="AQ103">
        <v>12</v>
      </c>
      <c r="AR103" t="s">
        <v>524</v>
      </c>
      <c r="AS103" t="s">
        <v>236</v>
      </c>
      <c r="AT103" t="s">
        <v>150</v>
      </c>
      <c r="AU103">
        <v>12</v>
      </c>
      <c r="AV103">
        <v>1</v>
      </c>
      <c r="AW103" t="s">
        <v>432</v>
      </c>
      <c r="AX103" t="s">
        <v>221</v>
      </c>
      <c r="AY103" t="s">
        <v>295</v>
      </c>
      <c r="AZ103">
        <v>1</v>
      </c>
      <c r="BA103" t="s">
        <v>435</v>
      </c>
      <c r="BB103" t="s">
        <v>431</v>
      </c>
      <c r="BC103" t="s">
        <v>419</v>
      </c>
      <c r="BD103" t="s">
        <v>236</v>
      </c>
      <c r="BE103" t="s">
        <v>437</v>
      </c>
      <c r="BF103" t="s">
        <v>530</v>
      </c>
      <c r="BG103" t="s">
        <v>433</v>
      </c>
      <c r="BH103" t="s">
        <v>420</v>
      </c>
      <c r="BI103" t="s">
        <v>520</v>
      </c>
      <c r="BJ103" t="s">
        <v>68</v>
      </c>
      <c r="BK103" t="s">
        <v>236</v>
      </c>
      <c r="BL103" t="s">
        <v>236</v>
      </c>
      <c r="BM103" t="s">
        <v>236</v>
      </c>
      <c r="BN103" t="s">
        <v>68</v>
      </c>
      <c r="BO103" t="s">
        <v>236</v>
      </c>
      <c r="BP103" t="s">
        <v>236</v>
      </c>
      <c r="BQ103" t="s">
        <v>236</v>
      </c>
      <c r="BR103" t="s">
        <v>236</v>
      </c>
      <c r="BS103" t="s">
        <v>521</v>
      </c>
      <c r="BT103">
        <v>0</v>
      </c>
    </row>
    <row r="104" spans="1:72" x14ac:dyDescent="0.15">
      <c r="A104" s="43">
        <v>2022</v>
      </c>
      <c r="B104" s="8">
        <v>12</v>
      </c>
      <c r="C104" s="8">
        <v>1</v>
      </c>
      <c r="D104" s="8" t="s">
        <v>297</v>
      </c>
      <c r="E104" s="8" t="s">
        <v>236</v>
      </c>
      <c r="F104" s="8" t="s">
        <v>57</v>
      </c>
      <c r="G104" s="8">
        <v>2017</v>
      </c>
      <c r="H104" s="8">
        <v>12</v>
      </c>
      <c r="I104" s="8" t="s">
        <v>524</v>
      </c>
      <c r="J104" s="8" t="s">
        <v>236</v>
      </c>
      <c r="K104" s="8">
        <v>1972</v>
      </c>
      <c r="L104" s="17">
        <v>12</v>
      </c>
      <c r="M104" s="8">
        <v>1</v>
      </c>
      <c r="N104" s="8" t="s">
        <v>48</v>
      </c>
      <c r="O104" s="8" t="s">
        <v>221</v>
      </c>
      <c r="P104" s="8" t="s">
        <v>295</v>
      </c>
      <c r="Q104" s="8">
        <v>3000</v>
      </c>
      <c r="R104" s="8" t="s">
        <v>57</v>
      </c>
      <c r="S104" s="8" t="s">
        <v>52</v>
      </c>
      <c r="T104" s="8" t="s">
        <v>70</v>
      </c>
      <c r="U104" s="8" t="s">
        <v>236</v>
      </c>
      <c r="V104" s="8">
        <v>1000</v>
      </c>
      <c r="W104" s="8" t="s">
        <v>241</v>
      </c>
      <c r="X104" s="8">
        <v>3000</v>
      </c>
      <c r="Y104" s="8" t="s">
        <v>278</v>
      </c>
      <c r="Z104" s="8">
        <v>110</v>
      </c>
      <c r="AA104" s="8" t="s">
        <v>525</v>
      </c>
      <c r="AB104" s="8" t="s">
        <v>236</v>
      </c>
      <c r="AC104" s="8" t="s">
        <v>236</v>
      </c>
      <c r="AD104" s="8" t="s">
        <v>236</v>
      </c>
      <c r="AE104" s="8" t="s">
        <v>68</v>
      </c>
      <c r="AF104" s="8" t="s">
        <v>236</v>
      </c>
      <c r="AG104" s="8" t="s">
        <v>236</v>
      </c>
      <c r="AH104" s="8" t="s">
        <v>236</v>
      </c>
      <c r="AI104" s="8" t="s">
        <v>236</v>
      </c>
      <c r="AJ104" t="s">
        <v>519</v>
      </c>
      <c r="AK104">
        <v>12</v>
      </c>
      <c r="AL104">
        <v>1</v>
      </c>
      <c r="AM104" t="s">
        <v>297</v>
      </c>
      <c r="AN104" t="s">
        <v>236</v>
      </c>
      <c r="AO104" t="s">
        <v>529</v>
      </c>
      <c r="AP104" t="s">
        <v>112</v>
      </c>
      <c r="AQ104">
        <v>12</v>
      </c>
      <c r="AR104" t="s">
        <v>524</v>
      </c>
      <c r="AS104" t="s">
        <v>236</v>
      </c>
      <c r="AT104" t="s">
        <v>155</v>
      </c>
      <c r="AU104">
        <v>12</v>
      </c>
      <c r="AV104">
        <v>1</v>
      </c>
      <c r="AW104" t="s">
        <v>432</v>
      </c>
      <c r="AX104" t="s">
        <v>221</v>
      </c>
      <c r="AY104" t="s">
        <v>295</v>
      </c>
      <c r="AZ104">
        <v>1</v>
      </c>
      <c r="BA104" t="s">
        <v>435</v>
      </c>
      <c r="BB104" t="s">
        <v>431</v>
      </c>
      <c r="BC104" t="s">
        <v>419</v>
      </c>
      <c r="BD104" t="s">
        <v>236</v>
      </c>
      <c r="BE104" t="s">
        <v>437</v>
      </c>
      <c r="BF104" t="s">
        <v>530</v>
      </c>
      <c r="BG104" t="s">
        <v>433</v>
      </c>
      <c r="BH104" t="s">
        <v>420</v>
      </c>
      <c r="BI104" t="s">
        <v>520</v>
      </c>
      <c r="BJ104" t="s">
        <v>68</v>
      </c>
      <c r="BK104" t="s">
        <v>236</v>
      </c>
      <c r="BL104" t="s">
        <v>236</v>
      </c>
      <c r="BM104" t="s">
        <v>236</v>
      </c>
      <c r="BN104" t="s">
        <v>68</v>
      </c>
      <c r="BO104" t="s">
        <v>236</v>
      </c>
      <c r="BP104" t="s">
        <v>236</v>
      </c>
      <c r="BQ104" t="s">
        <v>236</v>
      </c>
      <c r="BR104" t="s">
        <v>236</v>
      </c>
      <c r="BS104" t="s">
        <v>521</v>
      </c>
      <c r="BT104">
        <v>0</v>
      </c>
    </row>
    <row r="105" spans="1:72" x14ac:dyDescent="0.15">
      <c r="A105" s="43">
        <v>2022</v>
      </c>
      <c r="B105" s="8">
        <v>12</v>
      </c>
      <c r="C105" s="8">
        <v>1</v>
      </c>
      <c r="D105" s="8" t="s">
        <v>297</v>
      </c>
      <c r="E105" s="8" t="s">
        <v>236</v>
      </c>
      <c r="F105" s="8" t="s">
        <v>57</v>
      </c>
      <c r="G105" s="8">
        <v>2017</v>
      </c>
      <c r="H105" s="8">
        <v>12</v>
      </c>
      <c r="I105" s="8" t="s">
        <v>524</v>
      </c>
      <c r="J105" s="8" t="s">
        <v>236</v>
      </c>
      <c r="K105" s="8">
        <v>1962</v>
      </c>
      <c r="L105" s="17">
        <v>12</v>
      </c>
      <c r="M105" s="8">
        <v>1</v>
      </c>
      <c r="N105" s="8" t="s">
        <v>48</v>
      </c>
      <c r="O105" s="8" t="s">
        <v>221</v>
      </c>
      <c r="P105" s="8" t="s">
        <v>295</v>
      </c>
      <c r="Q105" s="8">
        <v>3000</v>
      </c>
      <c r="R105" s="8" t="s">
        <v>57</v>
      </c>
      <c r="S105" s="8" t="s">
        <v>52</v>
      </c>
      <c r="T105" s="8" t="s">
        <v>70</v>
      </c>
      <c r="U105" s="8" t="s">
        <v>236</v>
      </c>
      <c r="V105" s="8">
        <v>1000</v>
      </c>
      <c r="W105" s="8" t="s">
        <v>241</v>
      </c>
      <c r="X105" s="8">
        <v>3000</v>
      </c>
      <c r="Y105" s="8" t="s">
        <v>278</v>
      </c>
      <c r="Z105" s="8">
        <v>110</v>
      </c>
      <c r="AA105" s="8" t="s">
        <v>525</v>
      </c>
      <c r="AB105" s="8" t="s">
        <v>236</v>
      </c>
      <c r="AC105" s="8" t="s">
        <v>236</v>
      </c>
      <c r="AD105" s="8" t="s">
        <v>236</v>
      </c>
      <c r="AE105" s="8" t="s">
        <v>68</v>
      </c>
      <c r="AF105" s="8" t="s">
        <v>236</v>
      </c>
      <c r="AG105" s="8" t="s">
        <v>236</v>
      </c>
      <c r="AH105" s="8" t="s">
        <v>236</v>
      </c>
      <c r="AI105" s="8" t="s">
        <v>236</v>
      </c>
      <c r="AJ105" t="s">
        <v>519</v>
      </c>
      <c r="AK105">
        <v>12</v>
      </c>
      <c r="AL105">
        <v>1</v>
      </c>
      <c r="AM105" t="s">
        <v>297</v>
      </c>
      <c r="AN105" t="s">
        <v>236</v>
      </c>
      <c r="AO105" t="s">
        <v>529</v>
      </c>
      <c r="AP105" t="s">
        <v>112</v>
      </c>
      <c r="AQ105">
        <v>12</v>
      </c>
      <c r="AR105" t="s">
        <v>524</v>
      </c>
      <c r="AS105" t="s">
        <v>236</v>
      </c>
      <c r="AT105" t="s">
        <v>165</v>
      </c>
      <c r="AU105">
        <v>12</v>
      </c>
      <c r="AV105">
        <v>1</v>
      </c>
      <c r="AW105" t="s">
        <v>432</v>
      </c>
      <c r="AX105" t="s">
        <v>221</v>
      </c>
      <c r="AY105" t="s">
        <v>295</v>
      </c>
      <c r="AZ105">
        <v>1</v>
      </c>
      <c r="BA105" t="s">
        <v>435</v>
      </c>
      <c r="BB105" t="s">
        <v>431</v>
      </c>
      <c r="BC105" t="s">
        <v>419</v>
      </c>
      <c r="BD105" t="s">
        <v>236</v>
      </c>
      <c r="BE105" t="s">
        <v>437</v>
      </c>
      <c r="BF105" t="s">
        <v>530</v>
      </c>
      <c r="BG105" t="s">
        <v>433</v>
      </c>
      <c r="BH105" t="s">
        <v>420</v>
      </c>
      <c r="BI105" t="s">
        <v>520</v>
      </c>
      <c r="BJ105" t="s">
        <v>68</v>
      </c>
      <c r="BK105" t="s">
        <v>236</v>
      </c>
      <c r="BL105" t="s">
        <v>236</v>
      </c>
      <c r="BM105" t="s">
        <v>236</v>
      </c>
      <c r="BN105" t="s">
        <v>68</v>
      </c>
      <c r="BO105" t="s">
        <v>236</v>
      </c>
      <c r="BP105" t="s">
        <v>236</v>
      </c>
      <c r="BQ105" t="s">
        <v>236</v>
      </c>
      <c r="BR105" t="s">
        <v>236</v>
      </c>
      <c r="BS105" t="s">
        <v>521</v>
      </c>
      <c r="BT105">
        <v>0</v>
      </c>
    </row>
    <row r="106" spans="1:72" x14ac:dyDescent="0.15">
      <c r="A106" s="43">
        <v>2022</v>
      </c>
      <c r="B106" s="8">
        <v>12</v>
      </c>
      <c r="C106" s="8">
        <v>1</v>
      </c>
      <c r="D106" s="8" t="s">
        <v>297</v>
      </c>
      <c r="E106" s="8" t="s">
        <v>236</v>
      </c>
      <c r="F106" s="8" t="s">
        <v>57</v>
      </c>
      <c r="G106" s="8">
        <v>2017</v>
      </c>
      <c r="H106" s="8">
        <v>12</v>
      </c>
      <c r="I106" s="8" t="s">
        <v>524</v>
      </c>
      <c r="J106" s="8" t="s">
        <v>236</v>
      </c>
      <c r="K106" s="8">
        <v>1952</v>
      </c>
      <c r="L106" s="17">
        <v>12</v>
      </c>
      <c r="M106" s="8">
        <v>1</v>
      </c>
      <c r="N106" s="8" t="s">
        <v>48</v>
      </c>
      <c r="O106" s="8" t="s">
        <v>221</v>
      </c>
      <c r="P106" s="8" t="s">
        <v>295</v>
      </c>
      <c r="Q106" s="8">
        <v>3000</v>
      </c>
      <c r="R106" s="8" t="s">
        <v>57</v>
      </c>
      <c r="S106" s="8" t="s">
        <v>52</v>
      </c>
      <c r="T106" s="8" t="s">
        <v>70</v>
      </c>
      <c r="U106" s="8" t="s">
        <v>236</v>
      </c>
      <c r="V106" s="8">
        <v>1000</v>
      </c>
      <c r="W106" s="8" t="s">
        <v>241</v>
      </c>
      <c r="X106" s="8">
        <v>3000</v>
      </c>
      <c r="Y106" s="8" t="s">
        <v>278</v>
      </c>
      <c r="Z106" s="8">
        <v>110</v>
      </c>
      <c r="AA106" s="8" t="s">
        <v>525</v>
      </c>
      <c r="AB106" s="8" t="s">
        <v>236</v>
      </c>
      <c r="AC106" s="8" t="s">
        <v>236</v>
      </c>
      <c r="AD106" s="8" t="s">
        <v>236</v>
      </c>
      <c r="AE106" s="8" t="s">
        <v>68</v>
      </c>
      <c r="AF106" s="8" t="s">
        <v>236</v>
      </c>
      <c r="AG106" s="8" t="s">
        <v>236</v>
      </c>
      <c r="AH106" s="8" t="s">
        <v>236</v>
      </c>
      <c r="AI106" s="8" t="s">
        <v>236</v>
      </c>
      <c r="AJ106" t="s">
        <v>519</v>
      </c>
      <c r="AK106">
        <v>12</v>
      </c>
      <c r="AL106">
        <v>1</v>
      </c>
      <c r="AM106" t="s">
        <v>297</v>
      </c>
      <c r="AN106" t="s">
        <v>236</v>
      </c>
      <c r="AO106" t="s">
        <v>529</v>
      </c>
      <c r="AP106" t="s">
        <v>112</v>
      </c>
      <c r="AQ106">
        <v>12</v>
      </c>
      <c r="AR106" t="s">
        <v>524</v>
      </c>
      <c r="AS106" t="s">
        <v>236</v>
      </c>
      <c r="AT106" t="s">
        <v>175</v>
      </c>
      <c r="AU106">
        <v>12</v>
      </c>
      <c r="AV106">
        <v>1</v>
      </c>
      <c r="AW106" t="s">
        <v>432</v>
      </c>
      <c r="AX106" t="s">
        <v>221</v>
      </c>
      <c r="AY106" t="s">
        <v>295</v>
      </c>
      <c r="AZ106">
        <v>1</v>
      </c>
      <c r="BA106" t="s">
        <v>435</v>
      </c>
      <c r="BB106" t="s">
        <v>431</v>
      </c>
      <c r="BC106" t="s">
        <v>419</v>
      </c>
      <c r="BD106" t="s">
        <v>236</v>
      </c>
      <c r="BE106" t="s">
        <v>437</v>
      </c>
      <c r="BF106" t="s">
        <v>530</v>
      </c>
      <c r="BG106" t="s">
        <v>433</v>
      </c>
      <c r="BH106" t="s">
        <v>420</v>
      </c>
      <c r="BI106" t="s">
        <v>520</v>
      </c>
      <c r="BJ106" t="s">
        <v>68</v>
      </c>
      <c r="BK106" t="s">
        <v>236</v>
      </c>
      <c r="BL106" t="s">
        <v>236</v>
      </c>
      <c r="BM106" t="s">
        <v>236</v>
      </c>
      <c r="BN106" t="s">
        <v>68</v>
      </c>
      <c r="BO106" t="s">
        <v>236</v>
      </c>
      <c r="BP106" t="s">
        <v>236</v>
      </c>
      <c r="BQ106" t="s">
        <v>236</v>
      </c>
      <c r="BR106" t="s">
        <v>236</v>
      </c>
      <c r="BS106" t="s">
        <v>521</v>
      </c>
      <c r="BT106">
        <v>0</v>
      </c>
    </row>
    <row r="107" spans="1:72" x14ac:dyDescent="0.15">
      <c r="A107" s="43">
        <v>2022</v>
      </c>
      <c r="B107" s="8">
        <v>12</v>
      </c>
      <c r="C107" s="8">
        <v>1</v>
      </c>
      <c r="D107" s="8" t="s">
        <v>297</v>
      </c>
      <c r="E107" s="8" t="s">
        <v>236</v>
      </c>
      <c r="F107" s="8" t="s">
        <v>57</v>
      </c>
      <c r="G107" s="8">
        <v>2017</v>
      </c>
      <c r="H107" s="8">
        <v>12</v>
      </c>
      <c r="I107" s="8" t="s">
        <v>524</v>
      </c>
      <c r="J107" s="8" t="s">
        <v>236</v>
      </c>
      <c r="K107" s="8">
        <v>1992</v>
      </c>
      <c r="L107" s="17">
        <v>12</v>
      </c>
      <c r="M107" s="8">
        <v>1</v>
      </c>
      <c r="N107" s="8" t="s">
        <v>48</v>
      </c>
      <c r="O107" s="8" t="s">
        <v>221</v>
      </c>
      <c r="P107" s="8" t="s">
        <v>295</v>
      </c>
      <c r="Q107" s="8">
        <v>7000</v>
      </c>
      <c r="R107" s="8" t="s">
        <v>57</v>
      </c>
      <c r="S107" s="8" t="s">
        <v>52</v>
      </c>
      <c r="T107" s="8" t="s">
        <v>70</v>
      </c>
      <c r="U107" s="8" t="s">
        <v>236</v>
      </c>
      <c r="V107" s="8">
        <v>1000</v>
      </c>
      <c r="W107" s="8" t="s">
        <v>241</v>
      </c>
      <c r="X107" s="8">
        <v>3000</v>
      </c>
      <c r="Y107" s="8" t="s">
        <v>278</v>
      </c>
      <c r="Z107" s="8">
        <v>110</v>
      </c>
      <c r="AA107" s="8" t="s">
        <v>525</v>
      </c>
      <c r="AB107" s="8" t="s">
        <v>236</v>
      </c>
      <c r="AC107" s="8" t="s">
        <v>236</v>
      </c>
      <c r="AD107" s="8" t="s">
        <v>236</v>
      </c>
      <c r="AE107" s="8" t="s">
        <v>68</v>
      </c>
      <c r="AF107" s="8" t="s">
        <v>236</v>
      </c>
      <c r="AG107" s="8" t="s">
        <v>236</v>
      </c>
      <c r="AH107" s="8" t="s">
        <v>236</v>
      </c>
      <c r="AI107" s="8" t="s">
        <v>236</v>
      </c>
      <c r="AJ107" t="s">
        <v>519</v>
      </c>
      <c r="AK107">
        <v>12</v>
      </c>
      <c r="AL107">
        <v>1</v>
      </c>
      <c r="AM107" t="s">
        <v>297</v>
      </c>
      <c r="AN107" t="s">
        <v>236</v>
      </c>
      <c r="AO107" t="s">
        <v>529</v>
      </c>
      <c r="AP107" t="s">
        <v>112</v>
      </c>
      <c r="AQ107">
        <v>12</v>
      </c>
      <c r="AR107" t="s">
        <v>524</v>
      </c>
      <c r="AS107" t="s">
        <v>236</v>
      </c>
      <c r="AT107" t="s">
        <v>137</v>
      </c>
      <c r="AU107">
        <v>12</v>
      </c>
      <c r="AV107">
        <v>1</v>
      </c>
      <c r="AW107" t="s">
        <v>432</v>
      </c>
      <c r="AX107" t="s">
        <v>221</v>
      </c>
      <c r="AY107" t="s">
        <v>295</v>
      </c>
      <c r="AZ107">
        <v>3</v>
      </c>
      <c r="BA107" t="s">
        <v>435</v>
      </c>
      <c r="BB107" t="s">
        <v>431</v>
      </c>
      <c r="BC107" t="s">
        <v>419</v>
      </c>
      <c r="BD107" t="s">
        <v>236</v>
      </c>
      <c r="BE107" t="s">
        <v>437</v>
      </c>
      <c r="BF107" t="s">
        <v>530</v>
      </c>
      <c r="BG107" t="s">
        <v>433</v>
      </c>
      <c r="BH107" t="s">
        <v>420</v>
      </c>
      <c r="BI107" t="s">
        <v>520</v>
      </c>
      <c r="BJ107" t="s">
        <v>68</v>
      </c>
      <c r="BK107" t="s">
        <v>236</v>
      </c>
      <c r="BL107" t="s">
        <v>236</v>
      </c>
      <c r="BM107" t="s">
        <v>236</v>
      </c>
      <c r="BN107" t="s">
        <v>68</v>
      </c>
      <c r="BO107" t="s">
        <v>236</v>
      </c>
      <c r="BP107" t="s">
        <v>236</v>
      </c>
      <c r="BQ107" t="s">
        <v>236</v>
      </c>
      <c r="BR107" t="s">
        <v>236</v>
      </c>
      <c r="BS107" t="s">
        <v>521</v>
      </c>
      <c r="BT107">
        <v>0</v>
      </c>
    </row>
    <row r="108" spans="1:72" x14ac:dyDescent="0.15">
      <c r="A108" s="43">
        <v>2022</v>
      </c>
      <c r="B108" s="8">
        <v>12</v>
      </c>
      <c r="C108" s="8">
        <v>1</v>
      </c>
      <c r="D108" s="8" t="s">
        <v>297</v>
      </c>
      <c r="E108" s="8" t="s">
        <v>236</v>
      </c>
      <c r="F108" s="8" t="s">
        <v>57</v>
      </c>
      <c r="G108" s="8">
        <v>2017</v>
      </c>
      <c r="H108" s="8">
        <v>12</v>
      </c>
      <c r="I108" s="8" t="s">
        <v>524</v>
      </c>
      <c r="J108" s="8" t="s">
        <v>236</v>
      </c>
      <c r="K108" s="8">
        <v>1987</v>
      </c>
      <c r="L108" s="17">
        <v>12</v>
      </c>
      <c r="M108" s="8">
        <v>1</v>
      </c>
      <c r="N108" s="8" t="s">
        <v>48</v>
      </c>
      <c r="O108" s="8" t="s">
        <v>221</v>
      </c>
      <c r="P108" s="8" t="s">
        <v>295</v>
      </c>
      <c r="Q108" s="8">
        <v>7000</v>
      </c>
      <c r="R108" s="8" t="s">
        <v>57</v>
      </c>
      <c r="S108" s="8" t="s">
        <v>52</v>
      </c>
      <c r="T108" s="8" t="s">
        <v>70</v>
      </c>
      <c r="U108" s="8" t="s">
        <v>236</v>
      </c>
      <c r="V108" s="8">
        <v>1000</v>
      </c>
      <c r="W108" s="8" t="s">
        <v>241</v>
      </c>
      <c r="X108" s="8">
        <v>3000</v>
      </c>
      <c r="Y108" s="8" t="s">
        <v>278</v>
      </c>
      <c r="Z108" s="8">
        <v>110</v>
      </c>
      <c r="AA108" s="8" t="s">
        <v>525</v>
      </c>
      <c r="AB108" s="8" t="s">
        <v>236</v>
      </c>
      <c r="AC108" s="8" t="s">
        <v>236</v>
      </c>
      <c r="AD108" s="8" t="s">
        <v>236</v>
      </c>
      <c r="AE108" s="8" t="s">
        <v>68</v>
      </c>
      <c r="AF108" s="8" t="s">
        <v>236</v>
      </c>
      <c r="AG108" s="8" t="s">
        <v>236</v>
      </c>
      <c r="AH108" s="8" t="s">
        <v>236</v>
      </c>
      <c r="AI108" s="8" t="s">
        <v>236</v>
      </c>
      <c r="AJ108" t="s">
        <v>519</v>
      </c>
      <c r="AK108">
        <v>12</v>
      </c>
      <c r="AL108">
        <v>1</v>
      </c>
      <c r="AM108" t="s">
        <v>297</v>
      </c>
      <c r="AN108" t="s">
        <v>236</v>
      </c>
      <c r="AO108" t="s">
        <v>529</v>
      </c>
      <c r="AP108" t="s">
        <v>112</v>
      </c>
      <c r="AQ108">
        <v>12</v>
      </c>
      <c r="AR108" t="s">
        <v>524</v>
      </c>
      <c r="AS108" t="s">
        <v>236</v>
      </c>
      <c r="AT108" t="s">
        <v>140</v>
      </c>
      <c r="AU108">
        <v>12</v>
      </c>
      <c r="AV108">
        <v>1</v>
      </c>
      <c r="AW108" t="s">
        <v>432</v>
      </c>
      <c r="AX108" t="s">
        <v>221</v>
      </c>
      <c r="AY108" t="s">
        <v>295</v>
      </c>
      <c r="AZ108">
        <v>3</v>
      </c>
      <c r="BA108" t="s">
        <v>435</v>
      </c>
      <c r="BB108" t="s">
        <v>431</v>
      </c>
      <c r="BC108" t="s">
        <v>419</v>
      </c>
      <c r="BD108" t="s">
        <v>236</v>
      </c>
      <c r="BE108" t="s">
        <v>437</v>
      </c>
      <c r="BF108" t="s">
        <v>530</v>
      </c>
      <c r="BG108" t="s">
        <v>433</v>
      </c>
      <c r="BH108" t="s">
        <v>420</v>
      </c>
      <c r="BI108" t="s">
        <v>520</v>
      </c>
      <c r="BJ108" t="s">
        <v>68</v>
      </c>
      <c r="BK108" t="s">
        <v>236</v>
      </c>
      <c r="BL108" t="s">
        <v>236</v>
      </c>
      <c r="BM108" t="s">
        <v>236</v>
      </c>
      <c r="BN108" t="s">
        <v>68</v>
      </c>
      <c r="BO108" t="s">
        <v>236</v>
      </c>
      <c r="BP108" t="s">
        <v>236</v>
      </c>
      <c r="BQ108" t="s">
        <v>236</v>
      </c>
      <c r="BR108" t="s">
        <v>236</v>
      </c>
      <c r="BS108" t="s">
        <v>521</v>
      </c>
      <c r="BT108">
        <v>0</v>
      </c>
    </row>
    <row r="109" spans="1:72" x14ac:dyDescent="0.15">
      <c r="A109" s="43">
        <v>2022</v>
      </c>
      <c r="B109" s="8">
        <v>12</v>
      </c>
      <c r="C109" s="8">
        <v>1</v>
      </c>
      <c r="D109" s="8" t="s">
        <v>297</v>
      </c>
      <c r="E109" s="8" t="s">
        <v>236</v>
      </c>
      <c r="F109" s="8" t="s">
        <v>57</v>
      </c>
      <c r="G109" s="8">
        <v>2017</v>
      </c>
      <c r="H109" s="8">
        <v>12</v>
      </c>
      <c r="I109" s="8" t="s">
        <v>524</v>
      </c>
      <c r="J109" s="8" t="s">
        <v>236</v>
      </c>
      <c r="K109" s="8">
        <v>1982</v>
      </c>
      <c r="L109" s="17">
        <v>12</v>
      </c>
      <c r="M109" s="8">
        <v>1</v>
      </c>
      <c r="N109" s="8" t="s">
        <v>48</v>
      </c>
      <c r="O109" s="8" t="s">
        <v>221</v>
      </c>
      <c r="P109" s="8" t="s">
        <v>295</v>
      </c>
      <c r="Q109" s="8">
        <v>7000</v>
      </c>
      <c r="R109" s="8" t="s">
        <v>57</v>
      </c>
      <c r="S109" s="8" t="s">
        <v>52</v>
      </c>
      <c r="T109" s="8" t="s">
        <v>70</v>
      </c>
      <c r="U109" s="8" t="s">
        <v>236</v>
      </c>
      <c r="V109" s="8">
        <v>1000</v>
      </c>
      <c r="W109" s="8" t="s">
        <v>241</v>
      </c>
      <c r="X109" s="8">
        <v>3000</v>
      </c>
      <c r="Y109" s="8" t="s">
        <v>278</v>
      </c>
      <c r="Z109" s="8">
        <v>110</v>
      </c>
      <c r="AA109" s="8" t="s">
        <v>525</v>
      </c>
      <c r="AB109" s="8" t="s">
        <v>236</v>
      </c>
      <c r="AC109" s="8" t="s">
        <v>236</v>
      </c>
      <c r="AD109" s="8" t="s">
        <v>236</v>
      </c>
      <c r="AE109" s="8" t="s">
        <v>68</v>
      </c>
      <c r="AF109" s="8" t="s">
        <v>236</v>
      </c>
      <c r="AG109" s="8" t="s">
        <v>236</v>
      </c>
      <c r="AH109" s="8" t="s">
        <v>236</v>
      </c>
      <c r="AI109" s="8" t="s">
        <v>236</v>
      </c>
      <c r="AJ109" t="s">
        <v>519</v>
      </c>
      <c r="AK109">
        <v>12</v>
      </c>
      <c r="AL109">
        <v>1</v>
      </c>
      <c r="AM109" t="s">
        <v>297</v>
      </c>
      <c r="AN109" t="s">
        <v>236</v>
      </c>
      <c r="AO109" t="s">
        <v>529</v>
      </c>
      <c r="AP109" t="s">
        <v>112</v>
      </c>
      <c r="AQ109">
        <v>12</v>
      </c>
      <c r="AR109" t="s">
        <v>524</v>
      </c>
      <c r="AS109" t="s">
        <v>236</v>
      </c>
      <c r="AT109" t="s">
        <v>145</v>
      </c>
      <c r="AU109">
        <v>12</v>
      </c>
      <c r="AV109">
        <v>1</v>
      </c>
      <c r="AW109" t="s">
        <v>432</v>
      </c>
      <c r="AX109" t="s">
        <v>221</v>
      </c>
      <c r="AY109" t="s">
        <v>295</v>
      </c>
      <c r="AZ109">
        <v>3</v>
      </c>
      <c r="BA109" t="s">
        <v>435</v>
      </c>
      <c r="BB109" t="s">
        <v>431</v>
      </c>
      <c r="BC109" t="s">
        <v>419</v>
      </c>
      <c r="BD109" t="s">
        <v>236</v>
      </c>
      <c r="BE109" t="s">
        <v>437</v>
      </c>
      <c r="BF109" t="s">
        <v>530</v>
      </c>
      <c r="BG109" t="s">
        <v>433</v>
      </c>
      <c r="BH109" t="s">
        <v>420</v>
      </c>
      <c r="BI109" t="s">
        <v>520</v>
      </c>
      <c r="BJ109" t="s">
        <v>68</v>
      </c>
      <c r="BK109" t="s">
        <v>236</v>
      </c>
      <c r="BL109" t="s">
        <v>236</v>
      </c>
      <c r="BM109" t="s">
        <v>236</v>
      </c>
      <c r="BN109" t="s">
        <v>68</v>
      </c>
      <c r="BO109" t="s">
        <v>236</v>
      </c>
      <c r="BP109" t="s">
        <v>236</v>
      </c>
      <c r="BQ109" t="s">
        <v>236</v>
      </c>
      <c r="BR109" t="s">
        <v>236</v>
      </c>
      <c r="BS109" t="s">
        <v>521</v>
      </c>
      <c r="BT109">
        <v>0</v>
      </c>
    </row>
    <row r="110" spans="1:72" x14ac:dyDescent="0.15">
      <c r="A110" s="43">
        <v>2022</v>
      </c>
      <c r="B110" s="8">
        <v>12</v>
      </c>
      <c r="C110" s="8">
        <v>1</v>
      </c>
      <c r="D110" s="8" t="s">
        <v>297</v>
      </c>
      <c r="E110" s="8" t="s">
        <v>236</v>
      </c>
      <c r="F110" s="8" t="s">
        <v>57</v>
      </c>
      <c r="G110" s="8">
        <v>2017</v>
      </c>
      <c r="H110" s="8">
        <v>12</v>
      </c>
      <c r="I110" s="8" t="s">
        <v>524</v>
      </c>
      <c r="J110" s="8" t="s">
        <v>236</v>
      </c>
      <c r="K110" s="8">
        <v>1977</v>
      </c>
      <c r="L110" s="17">
        <v>12</v>
      </c>
      <c r="M110" s="8">
        <v>1</v>
      </c>
      <c r="N110" s="8" t="s">
        <v>48</v>
      </c>
      <c r="O110" s="8" t="s">
        <v>221</v>
      </c>
      <c r="P110" s="8" t="s">
        <v>295</v>
      </c>
      <c r="Q110" s="8">
        <v>7000</v>
      </c>
      <c r="R110" s="8" t="s">
        <v>57</v>
      </c>
      <c r="S110" s="8" t="s">
        <v>52</v>
      </c>
      <c r="T110" s="8" t="s">
        <v>70</v>
      </c>
      <c r="U110" s="8" t="s">
        <v>236</v>
      </c>
      <c r="V110" s="8">
        <v>1000</v>
      </c>
      <c r="W110" s="8" t="s">
        <v>241</v>
      </c>
      <c r="X110" s="8">
        <v>3000</v>
      </c>
      <c r="Y110" s="8" t="s">
        <v>278</v>
      </c>
      <c r="Z110" s="8">
        <v>110</v>
      </c>
      <c r="AA110" s="8" t="s">
        <v>525</v>
      </c>
      <c r="AB110" s="8" t="s">
        <v>236</v>
      </c>
      <c r="AC110" s="8" t="s">
        <v>236</v>
      </c>
      <c r="AD110" s="8" t="s">
        <v>236</v>
      </c>
      <c r="AE110" s="8" t="s">
        <v>68</v>
      </c>
      <c r="AF110" s="8" t="s">
        <v>236</v>
      </c>
      <c r="AG110" s="8" t="s">
        <v>236</v>
      </c>
      <c r="AH110" s="8" t="s">
        <v>236</v>
      </c>
      <c r="AI110" s="8" t="s">
        <v>236</v>
      </c>
      <c r="AJ110" t="s">
        <v>519</v>
      </c>
      <c r="AK110">
        <v>12</v>
      </c>
      <c r="AL110">
        <v>1</v>
      </c>
      <c r="AM110" t="s">
        <v>297</v>
      </c>
      <c r="AN110" t="s">
        <v>236</v>
      </c>
      <c r="AO110" t="s">
        <v>529</v>
      </c>
      <c r="AP110" t="s">
        <v>112</v>
      </c>
      <c r="AQ110">
        <v>12</v>
      </c>
      <c r="AR110" t="s">
        <v>524</v>
      </c>
      <c r="AS110" t="s">
        <v>236</v>
      </c>
      <c r="AT110" t="s">
        <v>150</v>
      </c>
      <c r="AU110">
        <v>12</v>
      </c>
      <c r="AV110">
        <v>1</v>
      </c>
      <c r="AW110" t="s">
        <v>432</v>
      </c>
      <c r="AX110" t="s">
        <v>221</v>
      </c>
      <c r="AY110" t="s">
        <v>295</v>
      </c>
      <c r="AZ110">
        <v>3</v>
      </c>
      <c r="BA110" t="s">
        <v>435</v>
      </c>
      <c r="BB110" t="s">
        <v>431</v>
      </c>
      <c r="BC110" t="s">
        <v>419</v>
      </c>
      <c r="BD110" t="s">
        <v>236</v>
      </c>
      <c r="BE110" t="s">
        <v>437</v>
      </c>
      <c r="BF110" t="s">
        <v>530</v>
      </c>
      <c r="BG110" t="s">
        <v>433</v>
      </c>
      <c r="BH110" t="s">
        <v>420</v>
      </c>
      <c r="BI110" t="s">
        <v>520</v>
      </c>
      <c r="BJ110" t="s">
        <v>68</v>
      </c>
      <c r="BK110" t="s">
        <v>236</v>
      </c>
      <c r="BL110" t="s">
        <v>236</v>
      </c>
      <c r="BM110" t="s">
        <v>236</v>
      </c>
      <c r="BN110" t="s">
        <v>68</v>
      </c>
      <c r="BO110" t="s">
        <v>236</v>
      </c>
      <c r="BP110" t="s">
        <v>236</v>
      </c>
      <c r="BQ110" t="s">
        <v>236</v>
      </c>
      <c r="BR110" t="s">
        <v>236</v>
      </c>
      <c r="BS110" t="s">
        <v>521</v>
      </c>
      <c r="BT110">
        <v>0</v>
      </c>
    </row>
    <row r="111" spans="1:72" x14ac:dyDescent="0.15">
      <c r="A111" s="43">
        <v>2022</v>
      </c>
      <c r="B111" s="8">
        <v>12</v>
      </c>
      <c r="C111" s="8">
        <v>1</v>
      </c>
      <c r="D111" s="8" t="s">
        <v>297</v>
      </c>
      <c r="E111" s="8" t="s">
        <v>236</v>
      </c>
      <c r="F111" s="8" t="s">
        <v>57</v>
      </c>
      <c r="G111" s="8">
        <v>2017</v>
      </c>
      <c r="H111" s="8">
        <v>12</v>
      </c>
      <c r="I111" s="8" t="s">
        <v>524</v>
      </c>
      <c r="J111" s="8" t="s">
        <v>236</v>
      </c>
      <c r="K111" s="8">
        <v>1972</v>
      </c>
      <c r="L111" s="17">
        <v>12</v>
      </c>
      <c r="M111" s="8">
        <v>1</v>
      </c>
      <c r="N111" s="8" t="s">
        <v>48</v>
      </c>
      <c r="O111" s="8" t="s">
        <v>221</v>
      </c>
      <c r="P111" s="8" t="s">
        <v>295</v>
      </c>
      <c r="Q111" s="8">
        <v>7000</v>
      </c>
      <c r="R111" s="8" t="s">
        <v>57</v>
      </c>
      <c r="S111" s="8" t="s">
        <v>52</v>
      </c>
      <c r="T111" s="8" t="s">
        <v>70</v>
      </c>
      <c r="U111" s="8" t="s">
        <v>236</v>
      </c>
      <c r="V111" s="8">
        <v>1000</v>
      </c>
      <c r="W111" s="8" t="s">
        <v>241</v>
      </c>
      <c r="X111" s="8">
        <v>3000</v>
      </c>
      <c r="Y111" s="8" t="s">
        <v>278</v>
      </c>
      <c r="Z111" s="8">
        <v>110</v>
      </c>
      <c r="AA111" s="8" t="s">
        <v>525</v>
      </c>
      <c r="AB111" s="8" t="s">
        <v>236</v>
      </c>
      <c r="AC111" s="8" t="s">
        <v>236</v>
      </c>
      <c r="AD111" s="8" t="s">
        <v>236</v>
      </c>
      <c r="AE111" s="8" t="s">
        <v>68</v>
      </c>
      <c r="AF111" s="8" t="s">
        <v>236</v>
      </c>
      <c r="AG111" s="8" t="s">
        <v>236</v>
      </c>
      <c r="AH111" s="8" t="s">
        <v>236</v>
      </c>
      <c r="AI111" s="8" t="s">
        <v>236</v>
      </c>
      <c r="AJ111" t="s">
        <v>519</v>
      </c>
      <c r="AK111">
        <v>12</v>
      </c>
      <c r="AL111">
        <v>1</v>
      </c>
      <c r="AM111" t="s">
        <v>297</v>
      </c>
      <c r="AN111" t="s">
        <v>236</v>
      </c>
      <c r="AO111" t="s">
        <v>529</v>
      </c>
      <c r="AP111" t="s">
        <v>112</v>
      </c>
      <c r="AQ111">
        <v>12</v>
      </c>
      <c r="AR111" t="s">
        <v>524</v>
      </c>
      <c r="AS111" t="s">
        <v>236</v>
      </c>
      <c r="AT111" t="s">
        <v>155</v>
      </c>
      <c r="AU111">
        <v>12</v>
      </c>
      <c r="AV111">
        <v>1</v>
      </c>
      <c r="AW111" t="s">
        <v>432</v>
      </c>
      <c r="AX111" t="s">
        <v>221</v>
      </c>
      <c r="AY111" t="s">
        <v>295</v>
      </c>
      <c r="AZ111">
        <v>3</v>
      </c>
      <c r="BA111" t="s">
        <v>435</v>
      </c>
      <c r="BB111" t="s">
        <v>431</v>
      </c>
      <c r="BC111" t="s">
        <v>419</v>
      </c>
      <c r="BD111" t="s">
        <v>236</v>
      </c>
      <c r="BE111" t="s">
        <v>437</v>
      </c>
      <c r="BF111" t="s">
        <v>530</v>
      </c>
      <c r="BG111" t="s">
        <v>433</v>
      </c>
      <c r="BH111" t="s">
        <v>420</v>
      </c>
      <c r="BI111" t="s">
        <v>520</v>
      </c>
      <c r="BJ111" t="s">
        <v>68</v>
      </c>
      <c r="BK111" t="s">
        <v>236</v>
      </c>
      <c r="BL111" t="s">
        <v>236</v>
      </c>
      <c r="BM111" t="s">
        <v>236</v>
      </c>
      <c r="BN111" t="s">
        <v>68</v>
      </c>
      <c r="BO111" t="s">
        <v>236</v>
      </c>
      <c r="BP111" t="s">
        <v>236</v>
      </c>
      <c r="BQ111" t="s">
        <v>236</v>
      </c>
      <c r="BR111" t="s">
        <v>236</v>
      </c>
      <c r="BS111" t="s">
        <v>521</v>
      </c>
      <c r="BT111">
        <v>0</v>
      </c>
    </row>
    <row r="112" spans="1:72" x14ac:dyDescent="0.15">
      <c r="A112" s="43">
        <v>2022</v>
      </c>
      <c r="B112" s="8">
        <v>12</v>
      </c>
      <c r="C112" s="8">
        <v>1</v>
      </c>
      <c r="D112" s="8" t="s">
        <v>297</v>
      </c>
      <c r="E112" s="8" t="s">
        <v>236</v>
      </c>
      <c r="F112" s="8" t="s">
        <v>57</v>
      </c>
      <c r="G112" s="8">
        <v>2017</v>
      </c>
      <c r="H112" s="8">
        <v>12</v>
      </c>
      <c r="I112" s="8" t="s">
        <v>524</v>
      </c>
      <c r="J112" s="8" t="s">
        <v>236</v>
      </c>
      <c r="K112" s="8">
        <v>1962</v>
      </c>
      <c r="L112" s="17">
        <v>12</v>
      </c>
      <c r="M112" s="8">
        <v>1</v>
      </c>
      <c r="N112" s="8" t="s">
        <v>48</v>
      </c>
      <c r="O112" s="8" t="s">
        <v>221</v>
      </c>
      <c r="P112" s="8" t="s">
        <v>295</v>
      </c>
      <c r="Q112" s="8">
        <v>7000</v>
      </c>
      <c r="R112" s="8" t="s">
        <v>57</v>
      </c>
      <c r="S112" s="8" t="s">
        <v>52</v>
      </c>
      <c r="T112" s="8" t="s">
        <v>70</v>
      </c>
      <c r="U112" s="8" t="s">
        <v>236</v>
      </c>
      <c r="V112" s="8">
        <v>1000</v>
      </c>
      <c r="W112" s="8" t="s">
        <v>241</v>
      </c>
      <c r="X112" s="8">
        <v>3000</v>
      </c>
      <c r="Y112" s="8" t="s">
        <v>278</v>
      </c>
      <c r="Z112" s="8">
        <v>110</v>
      </c>
      <c r="AA112" s="8" t="s">
        <v>525</v>
      </c>
      <c r="AB112" s="8" t="s">
        <v>236</v>
      </c>
      <c r="AC112" s="8" t="s">
        <v>236</v>
      </c>
      <c r="AD112" s="8" t="s">
        <v>236</v>
      </c>
      <c r="AE112" s="8" t="s">
        <v>68</v>
      </c>
      <c r="AF112" s="8" t="s">
        <v>236</v>
      </c>
      <c r="AG112" s="8" t="s">
        <v>236</v>
      </c>
      <c r="AH112" s="8" t="s">
        <v>236</v>
      </c>
      <c r="AI112" s="8" t="s">
        <v>236</v>
      </c>
      <c r="AJ112" t="s">
        <v>519</v>
      </c>
      <c r="AK112">
        <v>12</v>
      </c>
      <c r="AL112">
        <v>1</v>
      </c>
      <c r="AM112" t="s">
        <v>297</v>
      </c>
      <c r="AN112" t="s">
        <v>236</v>
      </c>
      <c r="AO112" t="s">
        <v>529</v>
      </c>
      <c r="AP112" t="s">
        <v>112</v>
      </c>
      <c r="AQ112">
        <v>12</v>
      </c>
      <c r="AR112" t="s">
        <v>524</v>
      </c>
      <c r="AS112" t="s">
        <v>236</v>
      </c>
      <c r="AT112" t="s">
        <v>165</v>
      </c>
      <c r="AU112">
        <v>12</v>
      </c>
      <c r="AV112">
        <v>1</v>
      </c>
      <c r="AW112" t="s">
        <v>432</v>
      </c>
      <c r="AX112" t="s">
        <v>221</v>
      </c>
      <c r="AY112" t="s">
        <v>295</v>
      </c>
      <c r="AZ112">
        <v>3</v>
      </c>
      <c r="BA112" t="s">
        <v>435</v>
      </c>
      <c r="BB112" t="s">
        <v>431</v>
      </c>
      <c r="BC112" t="s">
        <v>419</v>
      </c>
      <c r="BD112" t="s">
        <v>236</v>
      </c>
      <c r="BE112" t="s">
        <v>437</v>
      </c>
      <c r="BF112" t="s">
        <v>530</v>
      </c>
      <c r="BG112" t="s">
        <v>433</v>
      </c>
      <c r="BH112" t="s">
        <v>420</v>
      </c>
      <c r="BI112" t="s">
        <v>520</v>
      </c>
      <c r="BJ112" t="s">
        <v>68</v>
      </c>
      <c r="BK112" t="s">
        <v>236</v>
      </c>
      <c r="BL112" t="s">
        <v>236</v>
      </c>
      <c r="BM112" t="s">
        <v>236</v>
      </c>
      <c r="BN112" t="s">
        <v>68</v>
      </c>
      <c r="BO112" t="s">
        <v>236</v>
      </c>
      <c r="BP112" t="s">
        <v>236</v>
      </c>
      <c r="BQ112" t="s">
        <v>236</v>
      </c>
      <c r="BR112" t="s">
        <v>236</v>
      </c>
      <c r="BS112" t="s">
        <v>521</v>
      </c>
      <c r="BT112">
        <v>0</v>
      </c>
    </row>
    <row r="113" spans="1:72" x14ac:dyDescent="0.15">
      <c r="A113" s="43">
        <v>2022</v>
      </c>
      <c r="B113" s="8">
        <v>12</v>
      </c>
      <c r="C113" s="8">
        <v>1</v>
      </c>
      <c r="D113" s="8" t="s">
        <v>297</v>
      </c>
      <c r="E113" s="8" t="s">
        <v>236</v>
      </c>
      <c r="F113" s="8" t="s">
        <v>57</v>
      </c>
      <c r="G113" s="8">
        <v>2017</v>
      </c>
      <c r="H113" s="8">
        <v>12</v>
      </c>
      <c r="I113" s="8" t="s">
        <v>524</v>
      </c>
      <c r="J113" s="8" t="s">
        <v>236</v>
      </c>
      <c r="K113" s="8">
        <v>1952</v>
      </c>
      <c r="L113" s="17">
        <v>12</v>
      </c>
      <c r="M113" s="8">
        <v>1</v>
      </c>
      <c r="N113" s="8" t="s">
        <v>48</v>
      </c>
      <c r="O113" s="8" t="s">
        <v>221</v>
      </c>
      <c r="P113" s="8" t="s">
        <v>295</v>
      </c>
      <c r="Q113" s="8">
        <v>7000</v>
      </c>
      <c r="R113" s="8" t="s">
        <v>57</v>
      </c>
      <c r="S113" s="8" t="s">
        <v>52</v>
      </c>
      <c r="T113" s="8" t="s">
        <v>70</v>
      </c>
      <c r="U113" s="8" t="s">
        <v>236</v>
      </c>
      <c r="V113" s="8">
        <v>1000</v>
      </c>
      <c r="W113" s="8" t="s">
        <v>241</v>
      </c>
      <c r="X113" s="8">
        <v>3000</v>
      </c>
      <c r="Y113" s="8" t="s">
        <v>278</v>
      </c>
      <c r="Z113" s="8">
        <v>110</v>
      </c>
      <c r="AA113" s="8" t="s">
        <v>525</v>
      </c>
      <c r="AB113" s="8" t="s">
        <v>236</v>
      </c>
      <c r="AC113" s="8" t="s">
        <v>236</v>
      </c>
      <c r="AD113" s="8" t="s">
        <v>236</v>
      </c>
      <c r="AE113" s="8" t="s">
        <v>68</v>
      </c>
      <c r="AF113" s="8" t="s">
        <v>236</v>
      </c>
      <c r="AG113" s="8" t="s">
        <v>236</v>
      </c>
      <c r="AH113" s="8" t="s">
        <v>236</v>
      </c>
      <c r="AI113" s="8" t="s">
        <v>236</v>
      </c>
      <c r="AJ113" t="s">
        <v>519</v>
      </c>
      <c r="AK113">
        <v>12</v>
      </c>
      <c r="AL113">
        <v>1</v>
      </c>
      <c r="AM113" t="s">
        <v>297</v>
      </c>
      <c r="AN113" t="s">
        <v>236</v>
      </c>
      <c r="AO113" t="s">
        <v>529</v>
      </c>
      <c r="AP113" t="s">
        <v>112</v>
      </c>
      <c r="AQ113">
        <v>12</v>
      </c>
      <c r="AR113" t="s">
        <v>524</v>
      </c>
      <c r="AS113" t="s">
        <v>236</v>
      </c>
      <c r="AT113" t="s">
        <v>175</v>
      </c>
      <c r="AU113">
        <v>12</v>
      </c>
      <c r="AV113">
        <v>1</v>
      </c>
      <c r="AW113" t="s">
        <v>432</v>
      </c>
      <c r="AX113" t="s">
        <v>221</v>
      </c>
      <c r="AY113" t="s">
        <v>295</v>
      </c>
      <c r="AZ113">
        <v>3</v>
      </c>
      <c r="BA113" t="s">
        <v>435</v>
      </c>
      <c r="BB113" t="s">
        <v>431</v>
      </c>
      <c r="BC113" t="s">
        <v>419</v>
      </c>
      <c r="BD113" t="s">
        <v>236</v>
      </c>
      <c r="BE113" t="s">
        <v>437</v>
      </c>
      <c r="BF113" t="s">
        <v>530</v>
      </c>
      <c r="BG113" t="s">
        <v>433</v>
      </c>
      <c r="BH113" t="s">
        <v>420</v>
      </c>
      <c r="BI113" t="s">
        <v>520</v>
      </c>
      <c r="BJ113" t="s">
        <v>68</v>
      </c>
      <c r="BK113" t="s">
        <v>236</v>
      </c>
      <c r="BL113" t="s">
        <v>236</v>
      </c>
      <c r="BM113" t="s">
        <v>236</v>
      </c>
      <c r="BN113" t="s">
        <v>68</v>
      </c>
      <c r="BO113" t="s">
        <v>236</v>
      </c>
      <c r="BP113" t="s">
        <v>236</v>
      </c>
      <c r="BQ113" t="s">
        <v>236</v>
      </c>
      <c r="BR113" t="s">
        <v>236</v>
      </c>
      <c r="BS113" t="s">
        <v>521</v>
      </c>
      <c r="BT113">
        <v>0</v>
      </c>
    </row>
    <row r="114" spans="1:72" x14ac:dyDescent="0.15">
      <c r="A114" s="43">
        <v>2022</v>
      </c>
      <c r="B114" s="8">
        <v>12</v>
      </c>
      <c r="C114" s="8">
        <v>1</v>
      </c>
      <c r="D114" s="8">
        <v>20</v>
      </c>
      <c r="E114" s="8" t="s">
        <v>236</v>
      </c>
      <c r="F114" s="8" t="s">
        <v>57</v>
      </c>
      <c r="G114" s="8">
        <v>2016</v>
      </c>
      <c r="H114" s="8">
        <v>12</v>
      </c>
      <c r="I114" s="8" t="s">
        <v>526</v>
      </c>
      <c r="J114" s="8" t="s">
        <v>236</v>
      </c>
      <c r="K114" s="8">
        <v>1992</v>
      </c>
      <c r="L114" s="17">
        <v>12</v>
      </c>
      <c r="M114" s="8">
        <v>1</v>
      </c>
      <c r="N114" s="8" t="s">
        <v>48</v>
      </c>
      <c r="O114" s="8" t="s">
        <v>298</v>
      </c>
      <c r="P114" s="8" t="s">
        <v>224</v>
      </c>
      <c r="Q114" s="8">
        <v>3000</v>
      </c>
      <c r="R114" s="8" t="s">
        <v>57</v>
      </c>
      <c r="S114" s="8" t="s">
        <v>52</v>
      </c>
      <c r="T114" s="8" t="s">
        <v>70</v>
      </c>
      <c r="U114" s="8" t="s">
        <v>68</v>
      </c>
      <c r="V114" s="8">
        <v>1000</v>
      </c>
      <c r="W114" s="8" t="s">
        <v>241</v>
      </c>
      <c r="X114" s="8">
        <v>5000</v>
      </c>
      <c r="Y114" s="8" t="s">
        <v>278</v>
      </c>
      <c r="Z114" s="8">
        <v>80</v>
      </c>
      <c r="AA114" s="8" t="s">
        <v>525</v>
      </c>
      <c r="AB114" s="8" t="s">
        <v>236</v>
      </c>
      <c r="AC114" s="8" t="s">
        <v>236</v>
      </c>
      <c r="AD114" s="8" t="s">
        <v>236</v>
      </c>
      <c r="AE114" s="8" t="s">
        <v>68</v>
      </c>
      <c r="AF114" s="8" t="s">
        <v>236</v>
      </c>
      <c r="AG114" s="8" t="s">
        <v>236</v>
      </c>
      <c r="AH114" s="8" t="s">
        <v>236</v>
      </c>
      <c r="AI114" s="8" t="s">
        <v>236</v>
      </c>
      <c r="AJ114" t="s">
        <v>519</v>
      </c>
      <c r="AK114">
        <v>12</v>
      </c>
      <c r="AL114">
        <v>1</v>
      </c>
      <c r="AM114" t="s">
        <v>85</v>
      </c>
      <c r="AN114" t="s">
        <v>236</v>
      </c>
      <c r="AO114" t="s">
        <v>529</v>
      </c>
      <c r="AP114" t="s">
        <v>113</v>
      </c>
      <c r="AQ114">
        <v>12</v>
      </c>
      <c r="AR114" t="s">
        <v>526</v>
      </c>
      <c r="AS114" t="s">
        <v>236</v>
      </c>
      <c r="AT114" t="s">
        <v>137</v>
      </c>
      <c r="AU114">
        <v>12</v>
      </c>
      <c r="AV114">
        <v>1</v>
      </c>
      <c r="AW114" t="s">
        <v>432</v>
      </c>
      <c r="AX114" t="s">
        <v>298</v>
      </c>
      <c r="AY114" t="s">
        <v>224</v>
      </c>
      <c r="AZ114">
        <v>1</v>
      </c>
      <c r="BA114" t="s">
        <v>435</v>
      </c>
      <c r="BB114" t="s">
        <v>431</v>
      </c>
      <c r="BC114" t="s">
        <v>419</v>
      </c>
      <c r="BD114" t="s">
        <v>522</v>
      </c>
      <c r="BE114" t="s">
        <v>437</v>
      </c>
      <c r="BF114" t="s">
        <v>530</v>
      </c>
      <c r="BG114" t="s">
        <v>531</v>
      </c>
      <c r="BH114" t="s">
        <v>420</v>
      </c>
      <c r="BI114" t="s">
        <v>532</v>
      </c>
      <c r="BJ114" t="s">
        <v>68</v>
      </c>
      <c r="BK114" t="s">
        <v>236</v>
      </c>
      <c r="BL114" t="s">
        <v>236</v>
      </c>
      <c r="BM114" t="s">
        <v>236</v>
      </c>
      <c r="BN114" t="s">
        <v>68</v>
      </c>
      <c r="BO114" t="s">
        <v>236</v>
      </c>
      <c r="BP114" t="s">
        <v>236</v>
      </c>
      <c r="BQ114" t="s">
        <v>236</v>
      </c>
      <c r="BR114" t="s">
        <v>236</v>
      </c>
      <c r="BS114" t="s">
        <v>436</v>
      </c>
      <c r="BT114">
        <v>0</v>
      </c>
    </row>
    <row r="115" spans="1:72" x14ac:dyDescent="0.15">
      <c r="A115" s="43">
        <v>2022</v>
      </c>
      <c r="B115" s="8">
        <v>12</v>
      </c>
      <c r="C115" s="8">
        <v>1</v>
      </c>
      <c r="D115" s="8">
        <v>20</v>
      </c>
      <c r="E115" s="8" t="s">
        <v>236</v>
      </c>
      <c r="F115" s="8" t="s">
        <v>57</v>
      </c>
      <c r="G115" s="8">
        <v>2016</v>
      </c>
      <c r="H115" s="8">
        <v>12</v>
      </c>
      <c r="I115" s="8" t="s">
        <v>526</v>
      </c>
      <c r="J115" s="8" t="s">
        <v>236</v>
      </c>
      <c r="K115" s="8">
        <v>1987</v>
      </c>
      <c r="L115" s="17">
        <v>12</v>
      </c>
      <c r="M115" s="8">
        <v>1</v>
      </c>
      <c r="N115" s="8" t="s">
        <v>48</v>
      </c>
      <c r="O115" s="8" t="s">
        <v>298</v>
      </c>
      <c r="P115" s="8" t="s">
        <v>224</v>
      </c>
      <c r="Q115" s="8">
        <v>3000</v>
      </c>
      <c r="R115" s="8" t="s">
        <v>57</v>
      </c>
      <c r="S115" s="8" t="s">
        <v>52</v>
      </c>
      <c r="T115" s="8" t="s">
        <v>70</v>
      </c>
      <c r="U115" s="8" t="s">
        <v>68</v>
      </c>
      <c r="V115" s="8">
        <v>1000</v>
      </c>
      <c r="W115" s="8" t="s">
        <v>241</v>
      </c>
      <c r="X115" s="8">
        <v>5000</v>
      </c>
      <c r="Y115" s="8" t="s">
        <v>278</v>
      </c>
      <c r="Z115" s="8">
        <v>80</v>
      </c>
      <c r="AA115" s="8" t="s">
        <v>525</v>
      </c>
      <c r="AB115" s="8" t="s">
        <v>236</v>
      </c>
      <c r="AC115" s="8" t="s">
        <v>236</v>
      </c>
      <c r="AD115" s="8" t="s">
        <v>236</v>
      </c>
      <c r="AE115" s="8" t="s">
        <v>68</v>
      </c>
      <c r="AF115" s="8" t="s">
        <v>236</v>
      </c>
      <c r="AG115" s="8" t="s">
        <v>236</v>
      </c>
      <c r="AH115" s="8" t="s">
        <v>236</v>
      </c>
      <c r="AI115" s="8" t="s">
        <v>236</v>
      </c>
      <c r="AJ115" t="s">
        <v>519</v>
      </c>
      <c r="AK115">
        <v>12</v>
      </c>
      <c r="AL115">
        <v>1</v>
      </c>
      <c r="AM115" t="s">
        <v>85</v>
      </c>
      <c r="AN115" t="s">
        <v>236</v>
      </c>
      <c r="AO115" t="s">
        <v>529</v>
      </c>
      <c r="AP115" t="s">
        <v>113</v>
      </c>
      <c r="AQ115">
        <v>12</v>
      </c>
      <c r="AR115" t="s">
        <v>526</v>
      </c>
      <c r="AS115" t="s">
        <v>236</v>
      </c>
      <c r="AT115" t="s">
        <v>140</v>
      </c>
      <c r="AU115">
        <v>12</v>
      </c>
      <c r="AV115">
        <v>1</v>
      </c>
      <c r="AW115" t="s">
        <v>432</v>
      </c>
      <c r="AX115" t="s">
        <v>298</v>
      </c>
      <c r="AY115" t="s">
        <v>224</v>
      </c>
      <c r="AZ115">
        <v>1</v>
      </c>
      <c r="BA115" t="s">
        <v>435</v>
      </c>
      <c r="BB115" t="s">
        <v>431</v>
      </c>
      <c r="BC115" t="s">
        <v>419</v>
      </c>
      <c r="BD115" t="s">
        <v>522</v>
      </c>
      <c r="BE115" t="s">
        <v>437</v>
      </c>
      <c r="BF115" t="s">
        <v>530</v>
      </c>
      <c r="BG115" t="s">
        <v>531</v>
      </c>
      <c r="BH115" t="s">
        <v>420</v>
      </c>
      <c r="BI115" t="s">
        <v>532</v>
      </c>
      <c r="BJ115" t="s">
        <v>68</v>
      </c>
      <c r="BK115" t="s">
        <v>236</v>
      </c>
      <c r="BL115" t="s">
        <v>236</v>
      </c>
      <c r="BM115" t="s">
        <v>236</v>
      </c>
      <c r="BN115" t="s">
        <v>68</v>
      </c>
      <c r="BO115" t="s">
        <v>236</v>
      </c>
      <c r="BP115" t="s">
        <v>236</v>
      </c>
      <c r="BQ115" t="s">
        <v>236</v>
      </c>
      <c r="BR115" t="s">
        <v>236</v>
      </c>
      <c r="BS115" t="s">
        <v>436</v>
      </c>
      <c r="BT115">
        <v>0</v>
      </c>
    </row>
    <row r="116" spans="1:72" x14ac:dyDescent="0.15">
      <c r="A116" s="43">
        <v>2022</v>
      </c>
      <c r="B116" s="8">
        <v>12</v>
      </c>
      <c r="C116" s="8">
        <v>1</v>
      </c>
      <c r="D116" s="8">
        <v>20</v>
      </c>
      <c r="E116" s="8" t="s">
        <v>236</v>
      </c>
      <c r="F116" s="8" t="s">
        <v>57</v>
      </c>
      <c r="G116" s="8">
        <v>2016</v>
      </c>
      <c r="H116" s="8">
        <v>12</v>
      </c>
      <c r="I116" s="8" t="s">
        <v>526</v>
      </c>
      <c r="J116" s="8" t="s">
        <v>236</v>
      </c>
      <c r="K116" s="8">
        <v>1982</v>
      </c>
      <c r="L116" s="17">
        <v>12</v>
      </c>
      <c r="M116" s="8">
        <v>1</v>
      </c>
      <c r="N116" s="8" t="s">
        <v>48</v>
      </c>
      <c r="O116" s="8" t="s">
        <v>298</v>
      </c>
      <c r="P116" s="8" t="s">
        <v>224</v>
      </c>
      <c r="Q116" s="8">
        <v>3000</v>
      </c>
      <c r="R116" s="8" t="s">
        <v>57</v>
      </c>
      <c r="S116" s="8" t="s">
        <v>52</v>
      </c>
      <c r="T116" s="8" t="s">
        <v>70</v>
      </c>
      <c r="U116" s="8" t="s">
        <v>68</v>
      </c>
      <c r="V116" s="8">
        <v>1000</v>
      </c>
      <c r="W116" s="8" t="s">
        <v>241</v>
      </c>
      <c r="X116" s="8">
        <v>5000</v>
      </c>
      <c r="Y116" s="8" t="s">
        <v>278</v>
      </c>
      <c r="Z116" s="8">
        <v>80</v>
      </c>
      <c r="AA116" s="8" t="s">
        <v>525</v>
      </c>
      <c r="AB116" s="8" t="s">
        <v>236</v>
      </c>
      <c r="AC116" s="8" t="s">
        <v>236</v>
      </c>
      <c r="AD116" s="8" t="s">
        <v>236</v>
      </c>
      <c r="AE116" s="8" t="s">
        <v>68</v>
      </c>
      <c r="AF116" s="8" t="s">
        <v>236</v>
      </c>
      <c r="AG116" s="8" t="s">
        <v>236</v>
      </c>
      <c r="AH116" s="8" t="s">
        <v>236</v>
      </c>
      <c r="AI116" s="8" t="s">
        <v>236</v>
      </c>
      <c r="AJ116" t="s">
        <v>519</v>
      </c>
      <c r="AK116">
        <v>12</v>
      </c>
      <c r="AL116">
        <v>1</v>
      </c>
      <c r="AM116" t="s">
        <v>85</v>
      </c>
      <c r="AN116" t="s">
        <v>236</v>
      </c>
      <c r="AO116" t="s">
        <v>529</v>
      </c>
      <c r="AP116" t="s">
        <v>113</v>
      </c>
      <c r="AQ116">
        <v>12</v>
      </c>
      <c r="AR116" t="s">
        <v>526</v>
      </c>
      <c r="AS116" t="s">
        <v>236</v>
      </c>
      <c r="AT116" t="s">
        <v>145</v>
      </c>
      <c r="AU116">
        <v>12</v>
      </c>
      <c r="AV116">
        <v>1</v>
      </c>
      <c r="AW116" t="s">
        <v>432</v>
      </c>
      <c r="AX116" t="s">
        <v>298</v>
      </c>
      <c r="AY116" t="s">
        <v>224</v>
      </c>
      <c r="AZ116">
        <v>1</v>
      </c>
      <c r="BA116" t="s">
        <v>435</v>
      </c>
      <c r="BB116" t="s">
        <v>431</v>
      </c>
      <c r="BC116" t="s">
        <v>419</v>
      </c>
      <c r="BD116" t="s">
        <v>522</v>
      </c>
      <c r="BE116" t="s">
        <v>437</v>
      </c>
      <c r="BF116" t="s">
        <v>530</v>
      </c>
      <c r="BG116" t="s">
        <v>531</v>
      </c>
      <c r="BH116" t="s">
        <v>420</v>
      </c>
      <c r="BI116" t="s">
        <v>532</v>
      </c>
      <c r="BJ116" t="s">
        <v>68</v>
      </c>
      <c r="BK116" t="s">
        <v>236</v>
      </c>
      <c r="BL116" t="s">
        <v>236</v>
      </c>
      <c r="BM116" t="s">
        <v>236</v>
      </c>
      <c r="BN116" t="s">
        <v>68</v>
      </c>
      <c r="BO116" t="s">
        <v>236</v>
      </c>
      <c r="BP116" t="s">
        <v>236</v>
      </c>
      <c r="BQ116" t="s">
        <v>236</v>
      </c>
      <c r="BR116" t="s">
        <v>236</v>
      </c>
      <c r="BS116" t="s">
        <v>436</v>
      </c>
      <c r="BT116">
        <v>0</v>
      </c>
    </row>
    <row r="117" spans="1:72" x14ac:dyDescent="0.15">
      <c r="A117" s="43">
        <v>2022</v>
      </c>
      <c r="B117" s="8">
        <v>12</v>
      </c>
      <c r="C117" s="8">
        <v>1</v>
      </c>
      <c r="D117" s="8">
        <v>20</v>
      </c>
      <c r="E117" s="8" t="s">
        <v>236</v>
      </c>
      <c r="F117" s="8" t="s">
        <v>57</v>
      </c>
      <c r="G117" s="8">
        <v>2016</v>
      </c>
      <c r="H117" s="8">
        <v>12</v>
      </c>
      <c r="I117" s="8" t="s">
        <v>526</v>
      </c>
      <c r="J117" s="8" t="s">
        <v>236</v>
      </c>
      <c r="K117" s="8">
        <v>1977</v>
      </c>
      <c r="L117" s="17">
        <v>12</v>
      </c>
      <c r="M117" s="8">
        <v>1</v>
      </c>
      <c r="N117" s="8" t="s">
        <v>48</v>
      </c>
      <c r="O117" s="8" t="s">
        <v>298</v>
      </c>
      <c r="P117" s="8" t="s">
        <v>224</v>
      </c>
      <c r="Q117" s="8">
        <v>3000</v>
      </c>
      <c r="R117" s="8" t="s">
        <v>57</v>
      </c>
      <c r="S117" s="8" t="s">
        <v>52</v>
      </c>
      <c r="T117" s="8" t="s">
        <v>70</v>
      </c>
      <c r="U117" s="8" t="s">
        <v>68</v>
      </c>
      <c r="V117" s="8">
        <v>1000</v>
      </c>
      <c r="W117" s="8" t="s">
        <v>241</v>
      </c>
      <c r="X117" s="8">
        <v>5000</v>
      </c>
      <c r="Y117" s="8" t="s">
        <v>278</v>
      </c>
      <c r="Z117" s="8">
        <v>80</v>
      </c>
      <c r="AA117" s="8" t="s">
        <v>525</v>
      </c>
      <c r="AB117" s="8" t="s">
        <v>236</v>
      </c>
      <c r="AC117" s="8" t="s">
        <v>236</v>
      </c>
      <c r="AD117" s="8" t="s">
        <v>236</v>
      </c>
      <c r="AE117" s="8" t="s">
        <v>68</v>
      </c>
      <c r="AF117" s="8" t="s">
        <v>236</v>
      </c>
      <c r="AG117" s="8" t="s">
        <v>236</v>
      </c>
      <c r="AH117" s="8" t="s">
        <v>236</v>
      </c>
      <c r="AI117" s="8" t="s">
        <v>236</v>
      </c>
      <c r="AJ117" t="s">
        <v>519</v>
      </c>
      <c r="AK117">
        <v>12</v>
      </c>
      <c r="AL117">
        <v>1</v>
      </c>
      <c r="AM117" t="s">
        <v>85</v>
      </c>
      <c r="AN117" t="s">
        <v>236</v>
      </c>
      <c r="AO117" t="s">
        <v>529</v>
      </c>
      <c r="AP117" t="s">
        <v>113</v>
      </c>
      <c r="AQ117">
        <v>12</v>
      </c>
      <c r="AR117" t="s">
        <v>526</v>
      </c>
      <c r="AS117" t="s">
        <v>236</v>
      </c>
      <c r="AT117" t="s">
        <v>150</v>
      </c>
      <c r="AU117">
        <v>12</v>
      </c>
      <c r="AV117">
        <v>1</v>
      </c>
      <c r="AW117" t="s">
        <v>432</v>
      </c>
      <c r="AX117" t="s">
        <v>298</v>
      </c>
      <c r="AY117" t="s">
        <v>224</v>
      </c>
      <c r="AZ117">
        <v>1</v>
      </c>
      <c r="BA117" t="s">
        <v>435</v>
      </c>
      <c r="BB117" t="s">
        <v>431</v>
      </c>
      <c r="BC117" t="s">
        <v>419</v>
      </c>
      <c r="BD117" t="s">
        <v>522</v>
      </c>
      <c r="BE117" t="s">
        <v>437</v>
      </c>
      <c r="BF117" t="s">
        <v>530</v>
      </c>
      <c r="BG117" t="s">
        <v>531</v>
      </c>
      <c r="BH117" t="s">
        <v>420</v>
      </c>
      <c r="BI117" t="s">
        <v>532</v>
      </c>
      <c r="BJ117" t="s">
        <v>68</v>
      </c>
      <c r="BK117" t="s">
        <v>236</v>
      </c>
      <c r="BL117" t="s">
        <v>236</v>
      </c>
      <c r="BM117" t="s">
        <v>236</v>
      </c>
      <c r="BN117" t="s">
        <v>68</v>
      </c>
      <c r="BO117" t="s">
        <v>236</v>
      </c>
      <c r="BP117" t="s">
        <v>236</v>
      </c>
      <c r="BQ117" t="s">
        <v>236</v>
      </c>
      <c r="BR117" t="s">
        <v>236</v>
      </c>
      <c r="BS117" t="s">
        <v>436</v>
      </c>
      <c r="BT117">
        <v>0</v>
      </c>
    </row>
    <row r="118" spans="1:72" x14ac:dyDescent="0.15">
      <c r="A118" s="43">
        <v>2022</v>
      </c>
      <c r="B118" s="8">
        <v>12</v>
      </c>
      <c r="C118" s="8">
        <v>1</v>
      </c>
      <c r="D118" s="8">
        <v>20</v>
      </c>
      <c r="E118" s="8" t="s">
        <v>236</v>
      </c>
      <c r="F118" s="8" t="s">
        <v>57</v>
      </c>
      <c r="G118" s="8">
        <v>2016</v>
      </c>
      <c r="H118" s="8">
        <v>12</v>
      </c>
      <c r="I118" s="8" t="s">
        <v>526</v>
      </c>
      <c r="J118" s="8" t="s">
        <v>236</v>
      </c>
      <c r="K118" s="8">
        <v>1972</v>
      </c>
      <c r="L118" s="17">
        <v>12</v>
      </c>
      <c r="M118" s="8">
        <v>1</v>
      </c>
      <c r="N118" s="8" t="s">
        <v>48</v>
      </c>
      <c r="O118" s="8" t="s">
        <v>298</v>
      </c>
      <c r="P118" s="8" t="s">
        <v>224</v>
      </c>
      <c r="Q118" s="8">
        <v>3000</v>
      </c>
      <c r="R118" s="8" t="s">
        <v>57</v>
      </c>
      <c r="S118" s="8" t="s">
        <v>52</v>
      </c>
      <c r="T118" s="8" t="s">
        <v>70</v>
      </c>
      <c r="U118" s="8" t="s">
        <v>68</v>
      </c>
      <c r="V118" s="8">
        <v>1000</v>
      </c>
      <c r="W118" s="8" t="s">
        <v>241</v>
      </c>
      <c r="X118" s="8">
        <v>5000</v>
      </c>
      <c r="Y118" s="8" t="s">
        <v>278</v>
      </c>
      <c r="Z118" s="8">
        <v>80</v>
      </c>
      <c r="AA118" s="8" t="s">
        <v>525</v>
      </c>
      <c r="AB118" s="8" t="s">
        <v>236</v>
      </c>
      <c r="AC118" s="8" t="s">
        <v>236</v>
      </c>
      <c r="AD118" s="8" t="s">
        <v>236</v>
      </c>
      <c r="AE118" s="8" t="s">
        <v>68</v>
      </c>
      <c r="AF118" s="8" t="s">
        <v>236</v>
      </c>
      <c r="AG118" s="8" t="s">
        <v>236</v>
      </c>
      <c r="AH118" s="8" t="s">
        <v>236</v>
      </c>
      <c r="AI118" s="8" t="s">
        <v>236</v>
      </c>
      <c r="AJ118" t="s">
        <v>519</v>
      </c>
      <c r="AK118">
        <v>12</v>
      </c>
      <c r="AL118">
        <v>1</v>
      </c>
      <c r="AM118" t="s">
        <v>85</v>
      </c>
      <c r="AN118" t="s">
        <v>236</v>
      </c>
      <c r="AO118" t="s">
        <v>529</v>
      </c>
      <c r="AP118" t="s">
        <v>113</v>
      </c>
      <c r="AQ118">
        <v>12</v>
      </c>
      <c r="AR118" t="s">
        <v>526</v>
      </c>
      <c r="AS118" t="s">
        <v>236</v>
      </c>
      <c r="AT118" t="s">
        <v>155</v>
      </c>
      <c r="AU118">
        <v>12</v>
      </c>
      <c r="AV118">
        <v>1</v>
      </c>
      <c r="AW118" t="s">
        <v>432</v>
      </c>
      <c r="AX118" t="s">
        <v>298</v>
      </c>
      <c r="AY118" t="s">
        <v>224</v>
      </c>
      <c r="AZ118">
        <v>1</v>
      </c>
      <c r="BA118" t="s">
        <v>435</v>
      </c>
      <c r="BB118" t="s">
        <v>431</v>
      </c>
      <c r="BC118" t="s">
        <v>419</v>
      </c>
      <c r="BD118" t="s">
        <v>522</v>
      </c>
      <c r="BE118" t="s">
        <v>437</v>
      </c>
      <c r="BF118" t="s">
        <v>530</v>
      </c>
      <c r="BG118" t="s">
        <v>531</v>
      </c>
      <c r="BH118" t="s">
        <v>420</v>
      </c>
      <c r="BI118" t="s">
        <v>532</v>
      </c>
      <c r="BJ118" t="s">
        <v>68</v>
      </c>
      <c r="BK118" t="s">
        <v>236</v>
      </c>
      <c r="BL118" t="s">
        <v>236</v>
      </c>
      <c r="BM118" t="s">
        <v>236</v>
      </c>
      <c r="BN118" t="s">
        <v>68</v>
      </c>
      <c r="BO118" t="s">
        <v>236</v>
      </c>
      <c r="BP118" t="s">
        <v>236</v>
      </c>
      <c r="BQ118" t="s">
        <v>236</v>
      </c>
      <c r="BR118" t="s">
        <v>236</v>
      </c>
      <c r="BS118" t="s">
        <v>436</v>
      </c>
      <c r="BT118">
        <v>0</v>
      </c>
    </row>
    <row r="119" spans="1:72" x14ac:dyDescent="0.15">
      <c r="A119" s="43">
        <v>2022</v>
      </c>
      <c r="B119" s="8">
        <v>12</v>
      </c>
      <c r="C119" s="8">
        <v>1</v>
      </c>
      <c r="D119" s="8">
        <v>20</v>
      </c>
      <c r="E119" s="8" t="s">
        <v>236</v>
      </c>
      <c r="F119" s="8" t="s">
        <v>57</v>
      </c>
      <c r="G119" s="8">
        <v>2016</v>
      </c>
      <c r="H119" s="8">
        <v>12</v>
      </c>
      <c r="I119" s="8" t="s">
        <v>526</v>
      </c>
      <c r="J119" s="8" t="s">
        <v>236</v>
      </c>
      <c r="K119" s="8">
        <v>1962</v>
      </c>
      <c r="L119" s="17">
        <v>12</v>
      </c>
      <c r="M119" s="8">
        <v>1</v>
      </c>
      <c r="N119" s="8" t="s">
        <v>48</v>
      </c>
      <c r="O119" s="8" t="s">
        <v>298</v>
      </c>
      <c r="P119" s="8" t="s">
        <v>224</v>
      </c>
      <c r="Q119" s="8">
        <v>3000</v>
      </c>
      <c r="R119" s="8" t="s">
        <v>57</v>
      </c>
      <c r="S119" s="8" t="s">
        <v>52</v>
      </c>
      <c r="T119" s="8" t="s">
        <v>70</v>
      </c>
      <c r="U119" s="8" t="s">
        <v>68</v>
      </c>
      <c r="V119" s="8">
        <v>1000</v>
      </c>
      <c r="W119" s="8" t="s">
        <v>241</v>
      </c>
      <c r="X119" s="8">
        <v>5000</v>
      </c>
      <c r="Y119" s="8" t="s">
        <v>278</v>
      </c>
      <c r="Z119" s="8">
        <v>80</v>
      </c>
      <c r="AA119" s="8" t="s">
        <v>525</v>
      </c>
      <c r="AB119" s="8" t="s">
        <v>236</v>
      </c>
      <c r="AC119" s="8" t="s">
        <v>236</v>
      </c>
      <c r="AD119" s="8" t="s">
        <v>236</v>
      </c>
      <c r="AE119" s="8" t="s">
        <v>68</v>
      </c>
      <c r="AF119" s="8" t="s">
        <v>236</v>
      </c>
      <c r="AG119" s="8" t="s">
        <v>236</v>
      </c>
      <c r="AH119" s="8" t="s">
        <v>236</v>
      </c>
      <c r="AI119" s="8" t="s">
        <v>236</v>
      </c>
      <c r="AJ119" t="s">
        <v>519</v>
      </c>
      <c r="AK119">
        <v>12</v>
      </c>
      <c r="AL119">
        <v>1</v>
      </c>
      <c r="AM119" t="s">
        <v>85</v>
      </c>
      <c r="AN119" t="s">
        <v>236</v>
      </c>
      <c r="AO119" t="s">
        <v>529</v>
      </c>
      <c r="AP119" t="s">
        <v>113</v>
      </c>
      <c r="AQ119">
        <v>12</v>
      </c>
      <c r="AR119" t="s">
        <v>526</v>
      </c>
      <c r="AS119" t="s">
        <v>236</v>
      </c>
      <c r="AT119" t="s">
        <v>165</v>
      </c>
      <c r="AU119">
        <v>12</v>
      </c>
      <c r="AV119">
        <v>1</v>
      </c>
      <c r="AW119" t="s">
        <v>432</v>
      </c>
      <c r="AX119" t="s">
        <v>298</v>
      </c>
      <c r="AY119" t="s">
        <v>224</v>
      </c>
      <c r="AZ119">
        <v>1</v>
      </c>
      <c r="BA119" t="s">
        <v>435</v>
      </c>
      <c r="BB119" t="s">
        <v>431</v>
      </c>
      <c r="BC119" t="s">
        <v>419</v>
      </c>
      <c r="BD119" t="s">
        <v>522</v>
      </c>
      <c r="BE119" t="s">
        <v>437</v>
      </c>
      <c r="BF119" t="s">
        <v>530</v>
      </c>
      <c r="BG119" t="s">
        <v>531</v>
      </c>
      <c r="BH119" t="s">
        <v>420</v>
      </c>
      <c r="BI119" t="s">
        <v>532</v>
      </c>
      <c r="BJ119" t="s">
        <v>68</v>
      </c>
      <c r="BK119" t="s">
        <v>236</v>
      </c>
      <c r="BL119" t="s">
        <v>236</v>
      </c>
      <c r="BM119" t="s">
        <v>236</v>
      </c>
      <c r="BN119" t="s">
        <v>68</v>
      </c>
      <c r="BO119" t="s">
        <v>236</v>
      </c>
      <c r="BP119" t="s">
        <v>236</v>
      </c>
      <c r="BQ119" t="s">
        <v>236</v>
      </c>
      <c r="BR119" t="s">
        <v>236</v>
      </c>
      <c r="BS119" t="s">
        <v>436</v>
      </c>
      <c r="BT119">
        <v>0</v>
      </c>
    </row>
    <row r="120" spans="1:72" x14ac:dyDescent="0.15">
      <c r="A120" s="43">
        <v>2022</v>
      </c>
      <c r="B120" s="8">
        <v>12</v>
      </c>
      <c r="C120" s="8">
        <v>1</v>
      </c>
      <c r="D120" s="8">
        <v>20</v>
      </c>
      <c r="E120" s="8" t="s">
        <v>236</v>
      </c>
      <c r="F120" s="8" t="s">
        <v>57</v>
      </c>
      <c r="G120" s="8">
        <v>2016</v>
      </c>
      <c r="H120" s="8">
        <v>12</v>
      </c>
      <c r="I120" s="8" t="s">
        <v>526</v>
      </c>
      <c r="J120" s="8" t="s">
        <v>236</v>
      </c>
      <c r="K120" s="8">
        <v>1952</v>
      </c>
      <c r="L120" s="17">
        <v>12</v>
      </c>
      <c r="M120" s="8">
        <v>1</v>
      </c>
      <c r="N120" s="8" t="s">
        <v>48</v>
      </c>
      <c r="O120" s="8" t="s">
        <v>298</v>
      </c>
      <c r="P120" s="8" t="s">
        <v>224</v>
      </c>
      <c r="Q120" s="8">
        <v>3000</v>
      </c>
      <c r="R120" s="8" t="s">
        <v>57</v>
      </c>
      <c r="S120" s="8" t="s">
        <v>52</v>
      </c>
      <c r="T120" s="8" t="s">
        <v>70</v>
      </c>
      <c r="U120" s="8" t="s">
        <v>68</v>
      </c>
      <c r="V120" s="8">
        <v>1000</v>
      </c>
      <c r="W120" s="8" t="s">
        <v>241</v>
      </c>
      <c r="X120" s="8">
        <v>5000</v>
      </c>
      <c r="Y120" s="8" t="s">
        <v>278</v>
      </c>
      <c r="Z120" s="8">
        <v>80</v>
      </c>
      <c r="AA120" s="8" t="s">
        <v>525</v>
      </c>
      <c r="AB120" s="8" t="s">
        <v>236</v>
      </c>
      <c r="AC120" s="8" t="s">
        <v>236</v>
      </c>
      <c r="AD120" s="8" t="s">
        <v>236</v>
      </c>
      <c r="AE120" s="8" t="s">
        <v>68</v>
      </c>
      <c r="AF120" s="8" t="s">
        <v>236</v>
      </c>
      <c r="AG120" s="8" t="s">
        <v>236</v>
      </c>
      <c r="AH120" s="8" t="s">
        <v>236</v>
      </c>
      <c r="AI120" s="8" t="s">
        <v>236</v>
      </c>
      <c r="AJ120" t="s">
        <v>519</v>
      </c>
      <c r="AK120">
        <v>12</v>
      </c>
      <c r="AL120">
        <v>1</v>
      </c>
      <c r="AM120" t="s">
        <v>85</v>
      </c>
      <c r="AN120" t="s">
        <v>236</v>
      </c>
      <c r="AO120" t="s">
        <v>529</v>
      </c>
      <c r="AP120" t="s">
        <v>113</v>
      </c>
      <c r="AQ120">
        <v>12</v>
      </c>
      <c r="AR120" t="s">
        <v>526</v>
      </c>
      <c r="AS120" t="s">
        <v>236</v>
      </c>
      <c r="AT120" t="s">
        <v>175</v>
      </c>
      <c r="AU120">
        <v>12</v>
      </c>
      <c r="AV120">
        <v>1</v>
      </c>
      <c r="AW120" t="s">
        <v>432</v>
      </c>
      <c r="AX120" t="s">
        <v>298</v>
      </c>
      <c r="AY120" t="s">
        <v>224</v>
      </c>
      <c r="AZ120">
        <v>1</v>
      </c>
      <c r="BA120" t="s">
        <v>435</v>
      </c>
      <c r="BB120" t="s">
        <v>431</v>
      </c>
      <c r="BC120" t="s">
        <v>419</v>
      </c>
      <c r="BD120" t="s">
        <v>522</v>
      </c>
      <c r="BE120" t="s">
        <v>437</v>
      </c>
      <c r="BF120" t="s">
        <v>530</v>
      </c>
      <c r="BG120" t="s">
        <v>531</v>
      </c>
      <c r="BH120" t="s">
        <v>420</v>
      </c>
      <c r="BI120" t="s">
        <v>532</v>
      </c>
      <c r="BJ120" t="s">
        <v>68</v>
      </c>
      <c r="BK120" t="s">
        <v>236</v>
      </c>
      <c r="BL120" t="s">
        <v>236</v>
      </c>
      <c r="BM120" t="s">
        <v>236</v>
      </c>
      <c r="BN120" t="s">
        <v>68</v>
      </c>
      <c r="BO120" t="s">
        <v>236</v>
      </c>
      <c r="BP120" t="s">
        <v>236</v>
      </c>
      <c r="BQ120" t="s">
        <v>236</v>
      </c>
      <c r="BR120" t="s">
        <v>236</v>
      </c>
      <c r="BS120" t="s">
        <v>436</v>
      </c>
      <c r="BT120">
        <v>0</v>
      </c>
    </row>
    <row r="121" spans="1:72" x14ac:dyDescent="0.15">
      <c r="A121" s="43">
        <v>2022</v>
      </c>
      <c r="B121" s="8">
        <v>12</v>
      </c>
      <c r="C121" s="8">
        <v>1</v>
      </c>
      <c r="D121" s="8">
        <v>20</v>
      </c>
      <c r="E121" s="8" t="s">
        <v>236</v>
      </c>
      <c r="F121" s="8" t="s">
        <v>57</v>
      </c>
      <c r="G121" s="8">
        <v>2016</v>
      </c>
      <c r="H121" s="8">
        <v>12</v>
      </c>
      <c r="I121" s="8" t="s">
        <v>526</v>
      </c>
      <c r="J121" s="8" t="s">
        <v>236</v>
      </c>
      <c r="K121" s="8">
        <v>1992</v>
      </c>
      <c r="L121" s="17">
        <v>12</v>
      </c>
      <c r="M121" s="8">
        <v>1</v>
      </c>
      <c r="N121" s="8" t="s">
        <v>48</v>
      </c>
      <c r="O121" s="8" t="s">
        <v>298</v>
      </c>
      <c r="P121" s="8" t="s">
        <v>224</v>
      </c>
      <c r="Q121" s="8">
        <v>7000</v>
      </c>
      <c r="R121" s="8" t="s">
        <v>57</v>
      </c>
      <c r="S121" s="8" t="s">
        <v>52</v>
      </c>
      <c r="T121" s="8" t="s">
        <v>70</v>
      </c>
      <c r="U121" s="8" t="s">
        <v>68</v>
      </c>
      <c r="V121" s="8">
        <v>1000</v>
      </c>
      <c r="W121" s="8" t="s">
        <v>241</v>
      </c>
      <c r="X121" s="8">
        <v>5000</v>
      </c>
      <c r="Y121" s="8" t="s">
        <v>278</v>
      </c>
      <c r="Z121" s="8">
        <v>80</v>
      </c>
      <c r="AA121" s="8" t="s">
        <v>525</v>
      </c>
      <c r="AB121" s="8" t="s">
        <v>236</v>
      </c>
      <c r="AC121" s="8" t="s">
        <v>236</v>
      </c>
      <c r="AD121" s="8" t="s">
        <v>236</v>
      </c>
      <c r="AE121" s="8" t="s">
        <v>68</v>
      </c>
      <c r="AF121" s="8" t="s">
        <v>236</v>
      </c>
      <c r="AG121" s="8" t="s">
        <v>236</v>
      </c>
      <c r="AH121" s="8" t="s">
        <v>236</v>
      </c>
      <c r="AI121" s="8" t="s">
        <v>236</v>
      </c>
      <c r="AJ121" t="s">
        <v>519</v>
      </c>
      <c r="AK121">
        <v>12</v>
      </c>
      <c r="AL121">
        <v>1</v>
      </c>
      <c r="AM121" t="s">
        <v>85</v>
      </c>
      <c r="AN121" t="s">
        <v>236</v>
      </c>
      <c r="AO121" t="s">
        <v>529</v>
      </c>
      <c r="AP121" t="s">
        <v>113</v>
      </c>
      <c r="AQ121">
        <v>12</v>
      </c>
      <c r="AR121" t="s">
        <v>526</v>
      </c>
      <c r="AS121" t="s">
        <v>236</v>
      </c>
      <c r="AT121" t="s">
        <v>137</v>
      </c>
      <c r="AU121">
        <v>12</v>
      </c>
      <c r="AV121">
        <v>1</v>
      </c>
      <c r="AW121" t="s">
        <v>432</v>
      </c>
      <c r="AX121" t="s">
        <v>298</v>
      </c>
      <c r="AY121" t="s">
        <v>224</v>
      </c>
      <c r="AZ121">
        <v>3</v>
      </c>
      <c r="BA121" t="s">
        <v>435</v>
      </c>
      <c r="BB121" t="s">
        <v>431</v>
      </c>
      <c r="BC121" t="s">
        <v>419</v>
      </c>
      <c r="BD121" t="s">
        <v>522</v>
      </c>
      <c r="BE121" t="s">
        <v>437</v>
      </c>
      <c r="BF121" t="s">
        <v>530</v>
      </c>
      <c r="BG121" t="s">
        <v>531</v>
      </c>
      <c r="BH121" t="s">
        <v>420</v>
      </c>
      <c r="BI121" t="s">
        <v>532</v>
      </c>
      <c r="BJ121" t="s">
        <v>68</v>
      </c>
      <c r="BK121" t="s">
        <v>236</v>
      </c>
      <c r="BL121" t="s">
        <v>236</v>
      </c>
      <c r="BM121" t="s">
        <v>236</v>
      </c>
      <c r="BN121" t="s">
        <v>68</v>
      </c>
      <c r="BO121" t="s">
        <v>236</v>
      </c>
      <c r="BP121" t="s">
        <v>236</v>
      </c>
      <c r="BQ121" t="s">
        <v>236</v>
      </c>
      <c r="BR121" t="s">
        <v>236</v>
      </c>
      <c r="BS121" t="s">
        <v>436</v>
      </c>
      <c r="BT121">
        <v>0</v>
      </c>
    </row>
    <row r="122" spans="1:72" x14ac:dyDescent="0.15">
      <c r="A122" s="43">
        <v>2022</v>
      </c>
      <c r="B122" s="8">
        <v>12</v>
      </c>
      <c r="C122" s="8">
        <v>1</v>
      </c>
      <c r="D122" s="8">
        <v>20</v>
      </c>
      <c r="E122" s="8" t="s">
        <v>236</v>
      </c>
      <c r="F122" s="8" t="s">
        <v>57</v>
      </c>
      <c r="G122" s="8">
        <v>2016</v>
      </c>
      <c r="H122" s="8">
        <v>12</v>
      </c>
      <c r="I122" s="8" t="s">
        <v>526</v>
      </c>
      <c r="J122" s="8" t="s">
        <v>236</v>
      </c>
      <c r="K122" s="8">
        <v>1987</v>
      </c>
      <c r="L122" s="17">
        <v>12</v>
      </c>
      <c r="M122" s="8">
        <v>1</v>
      </c>
      <c r="N122" s="8" t="s">
        <v>48</v>
      </c>
      <c r="O122" s="8" t="s">
        <v>298</v>
      </c>
      <c r="P122" s="8" t="s">
        <v>224</v>
      </c>
      <c r="Q122" s="8">
        <v>7000</v>
      </c>
      <c r="R122" s="8" t="s">
        <v>57</v>
      </c>
      <c r="S122" s="8" t="s">
        <v>52</v>
      </c>
      <c r="T122" s="8" t="s">
        <v>70</v>
      </c>
      <c r="U122" s="8" t="s">
        <v>68</v>
      </c>
      <c r="V122" s="8">
        <v>1000</v>
      </c>
      <c r="W122" s="8" t="s">
        <v>241</v>
      </c>
      <c r="X122" s="8">
        <v>5000</v>
      </c>
      <c r="Y122" s="8" t="s">
        <v>278</v>
      </c>
      <c r="Z122" s="8">
        <v>80</v>
      </c>
      <c r="AA122" s="8" t="s">
        <v>525</v>
      </c>
      <c r="AB122" s="8" t="s">
        <v>236</v>
      </c>
      <c r="AC122" s="8" t="s">
        <v>236</v>
      </c>
      <c r="AD122" s="8" t="s">
        <v>236</v>
      </c>
      <c r="AE122" s="8" t="s">
        <v>68</v>
      </c>
      <c r="AF122" s="8" t="s">
        <v>236</v>
      </c>
      <c r="AG122" s="8" t="s">
        <v>236</v>
      </c>
      <c r="AH122" s="8" t="s">
        <v>236</v>
      </c>
      <c r="AI122" s="8" t="s">
        <v>236</v>
      </c>
      <c r="AJ122" t="s">
        <v>519</v>
      </c>
      <c r="AK122">
        <v>12</v>
      </c>
      <c r="AL122">
        <v>1</v>
      </c>
      <c r="AM122" t="s">
        <v>85</v>
      </c>
      <c r="AN122" t="s">
        <v>236</v>
      </c>
      <c r="AO122" t="s">
        <v>529</v>
      </c>
      <c r="AP122" t="s">
        <v>113</v>
      </c>
      <c r="AQ122">
        <v>12</v>
      </c>
      <c r="AR122" t="s">
        <v>526</v>
      </c>
      <c r="AS122" t="s">
        <v>236</v>
      </c>
      <c r="AT122" t="s">
        <v>140</v>
      </c>
      <c r="AU122">
        <v>12</v>
      </c>
      <c r="AV122">
        <v>1</v>
      </c>
      <c r="AW122" t="s">
        <v>432</v>
      </c>
      <c r="AX122" t="s">
        <v>298</v>
      </c>
      <c r="AY122" t="s">
        <v>224</v>
      </c>
      <c r="AZ122">
        <v>3</v>
      </c>
      <c r="BA122" t="s">
        <v>435</v>
      </c>
      <c r="BB122" t="s">
        <v>431</v>
      </c>
      <c r="BC122" t="s">
        <v>419</v>
      </c>
      <c r="BD122" t="s">
        <v>522</v>
      </c>
      <c r="BE122" t="s">
        <v>437</v>
      </c>
      <c r="BF122" t="s">
        <v>530</v>
      </c>
      <c r="BG122" t="s">
        <v>531</v>
      </c>
      <c r="BH122" t="s">
        <v>420</v>
      </c>
      <c r="BI122" t="s">
        <v>532</v>
      </c>
      <c r="BJ122" t="s">
        <v>68</v>
      </c>
      <c r="BK122" t="s">
        <v>236</v>
      </c>
      <c r="BL122" t="s">
        <v>236</v>
      </c>
      <c r="BM122" t="s">
        <v>236</v>
      </c>
      <c r="BN122" t="s">
        <v>68</v>
      </c>
      <c r="BO122" t="s">
        <v>236</v>
      </c>
      <c r="BP122" t="s">
        <v>236</v>
      </c>
      <c r="BQ122" t="s">
        <v>236</v>
      </c>
      <c r="BR122" t="s">
        <v>236</v>
      </c>
      <c r="BS122" t="s">
        <v>436</v>
      </c>
      <c r="BT122">
        <v>0</v>
      </c>
    </row>
    <row r="123" spans="1:72" x14ac:dyDescent="0.15">
      <c r="A123" s="43">
        <v>2022</v>
      </c>
      <c r="B123" s="8">
        <v>12</v>
      </c>
      <c r="C123" s="8">
        <v>1</v>
      </c>
      <c r="D123" s="8">
        <v>20</v>
      </c>
      <c r="E123" s="8" t="s">
        <v>236</v>
      </c>
      <c r="F123" s="8" t="s">
        <v>57</v>
      </c>
      <c r="G123" s="8">
        <v>2016</v>
      </c>
      <c r="H123" s="8">
        <v>12</v>
      </c>
      <c r="I123" s="8" t="s">
        <v>526</v>
      </c>
      <c r="J123" s="8" t="s">
        <v>236</v>
      </c>
      <c r="K123" s="8">
        <v>1982</v>
      </c>
      <c r="L123" s="17">
        <v>12</v>
      </c>
      <c r="M123" s="8">
        <v>1</v>
      </c>
      <c r="N123" s="8" t="s">
        <v>48</v>
      </c>
      <c r="O123" s="8" t="s">
        <v>298</v>
      </c>
      <c r="P123" s="8" t="s">
        <v>224</v>
      </c>
      <c r="Q123" s="8">
        <v>7000</v>
      </c>
      <c r="R123" s="8" t="s">
        <v>57</v>
      </c>
      <c r="S123" s="8" t="s">
        <v>52</v>
      </c>
      <c r="T123" s="8" t="s">
        <v>70</v>
      </c>
      <c r="U123" s="8" t="s">
        <v>68</v>
      </c>
      <c r="V123" s="8">
        <v>1000</v>
      </c>
      <c r="W123" s="8" t="s">
        <v>241</v>
      </c>
      <c r="X123" s="8">
        <v>5000</v>
      </c>
      <c r="Y123" s="8" t="s">
        <v>278</v>
      </c>
      <c r="Z123" s="8">
        <v>80</v>
      </c>
      <c r="AA123" s="8" t="s">
        <v>525</v>
      </c>
      <c r="AB123" s="8" t="s">
        <v>236</v>
      </c>
      <c r="AC123" s="8" t="s">
        <v>236</v>
      </c>
      <c r="AD123" s="8" t="s">
        <v>236</v>
      </c>
      <c r="AE123" s="8" t="s">
        <v>68</v>
      </c>
      <c r="AF123" s="8" t="s">
        <v>236</v>
      </c>
      <c r="AG123" s="8" t="s">
        <v>236</v>
      </c>
      <c r="AH123" s="8" t="s">
        <v>236</v>
      </c>
      <c r="AI123" s="8" t="s">
        <v>236</v>
      </c>
      <c r="AJ123" t="s">
        <v>519</v>
      </c>
      <c r="AK123">
        <v>12</v>
      </c>
      <c r="AL123">
        <v>1</v>
      </c>
      <c r="AM123" t="s">
        <v>85</v>
      </c>
      <c r="AN123" t="s">
        <v>236</v>
      </c>
      <c r="AO123" t="s">
        <v>529</v>
      </c>
      <c r="AP123" t="s">
        <v>113</v>
      </c>
      <c r="AQ123">
        <v>12</v>
      </c>
      <c r="AR123" t="s">
        <v>526</v>
      </c>
      <c r="AS123" t="s">
        <v>236</v>
      </c>
      <c r="AT123" t="s">
        <v>145</v>
      </c>
      <c r="AU123">
        <v>12</v>
      </c>
      <c r="AV123">
        <v>1</v>
      </c>
      <c r="AW123" t="s">
        <v>432</v>
      </c>
      <c r="AX123" t="s">
        <v>298</v>
      </c>
      <c r="AY123" t="s">
        <v>224</v>
      </c>
      <c r="AZ123">
        <v>3</v>
      </c>
      <c r="BA123" t="s">
        <v>435</v>
      </c>
      <c r="BB123" t="s">
        <v>431</v>
      </c>
      <c r="BC123" t="s">
        <v>419</v>
      </c>
      <c r="BD123" t="s">
        <v>522</v>
      </c>
      <c r="BE123" t="s">
        <v>437</v>
      </c>
      <c r="BF123" t="s">
        <v>530</v>
      </c>
      <c r="BG123" t="s">
        <v>531</v>
      </c>
      <c r="BH123" t="s">
        <v>420</v>
      </c>
      <c r="BI123" t="s">
        <v>532</v>
      </c>
      <c r="BJ123" t="s">
        <v>68</v>
      </c>
      <c r="BK123" t="s">
        <v>236</v>
      </c>
      <c r="BL123" t="s">
        <v>236</v>
      </c>
      <c r="BM123" t="s">
        <v>236</v>
      </c>
      <c r="BN123" t="s">
        <v>68</v>
      </c>
      <c r="BO123" t="s">
        <v>236</v>
      </c>
      <c r="BP123" t="s">
        <v>236</v>
      </c>
      <c r="BQ123" t="s">
        <v>236</v>
      </c>
      <c r="BR123" t="s">
        <v>236</v>
      </c>
      <c r="BS123" t="s">
        <v>436</v>
      </c>
      <c r="BT123">
        <v>0</v>
      </c>
    </row>
    <row r="124" spans="1:72" x14ac:dyDescent="0.15">
      <c r="A124" s="43">
        <v>2022</v>
      </c>
      <c r="B124" s="8">
        <v>12</v>
      </c>
      <c r="C124" s="8">
        <v>1</v>
      </c>
      <c r="D124" s="8">
        <v>20</v>
      </c>
      <c r="E124" s="8" t="s">
        <v>236</v>
      </c>
      <c r="F124" s="8" t="s">
        <v>57</v>
      </c>
      <c r="G124" s="8">
        <v>2016</v>
      </c>
      <c r="H124" s="8">
        <v>12</v>
      </c>
      <c r="I124" s="8" t="s">
        <v>526</v>
      </c>
      <c r="J124" s="8" t="s">
        <v>236</v>
      </c>
      <c r="K124" s="8">
        <v>1977</v>
      </c>
      <c r="L124" s="17">
        <v>12</v>
      </c>
      <c r="M124" s="8">
        <v>1</v>
      </c>
      <c r="N124" s="8" t="s">
        <v>48</v>
      </c>
      <c r="O124" s="8" t="s">
        <v>298</v>
      </c>
      <c r="P124" s="8" t="s">
        <v>224</v>
      </c>
      <c r="Q124" s="8">
        <v>7000</v>
      </c>
      <c r="R124" s="8" t="s">
        <v>57</v>
      </c>
      <c r="S124" s="8" t="s">
        <v>52</v>
      </c>
      <c r="T124" s="8" t="s">
        <v>70</v>
      </c>
      <c r="U124" s="8" t="s">
        <v>68</v>
      </c>
      <c r="V124" s="8">
        <v>1000</v>
      </c>
      <c r="W124" s="8" t="s">
        <v>241</v>
      </c>
      <c r="X124" s="8">
        <v>5000</v>
      </c>
      <c r="Y124" s="8" t="s">
        <v>278</v>
      </c>
      <c r="Z124" s="8">
        <v>80</v>
      </c>
      <c r="AA124" s="8" t="s">
        <v>525</v>
      </c>
      <c r="AB124" s="8" t="s">
        <v>236</v>
      </c>
      <c r="AC124" s="8" t="s">
        <v>236</v>
      </c>
      <c r="AD124" s="8" t="s">
        <v>236</v>
      </c>
      <c r="AE124" s="8" t="s">
        <v>68</v>
      </c>
      <c r="AF124" s="8" t="s">
        <v>236</v>
      </c>
      <c r="AG124" s="8" t="s">
        <v>236</v>
      </c>
      <c r="AH124" s="8" t="s">
        <v>236</v>
      </c>
      <c r="AI124" s="8" t="s">
        <v>236</v>
      </c>
      <c r="AJ124" t="s">
        <v>519</v>
      </c>
      <c r="AK124">
        <v>12</v>
      </c>
      <c r="AL124">
        <v>1</v>
      </c>
      <c r="AM124" t="s">
        <v>85</v>
      </c>
      <c r="AN124" t="s">
        <v>236</v>
      </c>
      <c r="AO124" t="s">
        <v>529</v>
      </c>
      <c r="AP124" t="s">
        <v>113</v>
      </c>
      <c r="AQ124">
        <v>12</v>
      </c>
      <c r="AR124" t="s">
        <v>526</v>
      </c>
      <c r="AS124" t="s">
        <v>236</v>
      </c>
      <c r="AT124" t="s">
        <v>150</v>
      </c>
      <c r="AU124">
        <v>12</v>
      </c>
      <c r="AV124">
        <v>1</v>
      </c>
      <c r="AW124" t="s">
        <v>432</v>
      </c>
      <c r="AX124" t="s">
        <v>298</v>
      </c>
      <c r="AY124" t="s">
        <v>224</v>
      </c>
      <c r="AZ124">
        <v>3</v>
      </c>
      <c r="BA124" t="s">
        <v>435</v>
      </c>
      <c r="BB124" t="s">
        <v>431</v>
      </c>
      <c r="BC124" t="s">
        <v>419</v>
      </c>
      <c r="BD124" t="s">
        <v>522</v>
      </c>
      <c r="BE124" t="s">
        <v>437</v>
      </c>
      <c r="BF124" t="s">
        <v>530</v>
      </c>
      <c r="BG124" t="s">
        <v>531</v>
      </c>
      <c r="BH124" t="s">
        <v>420</v>
      </c>
      <c r="BI124" t="s">
        <v>532</v>
      </c>
      <c r="BJ124" t="s">
        <v>68</v>
      </c>
      <c r="BK124" t="s">
        <v>236</v>
      </c>
      <c r="BL124" t="s">
        <v>236</v>
      </c>
      <c r="BM124" t="s">
        <v>236</v>
      </c>
      <c r="BN124" t="s">
        <v>68</v>
      </c>
      <c r="BO124" t="s">
        <v>236</v>
      </c>
      <c r="BP124" t="s">
        <v>236</v>
      </c>
      <c r="BQ124" t="s">
        <v>236</v>
      </c>
      <c r="BR124" t="s">
        <v>236</v>
      </c>
      <c r="BS124" t="s">
        <v>436</v>
      </c>
      <c r="BT124">
        <v>0</v>
      </c>
    </row>
    <row r="125" spans="1:72" x14ac:dyDescent="0.15">
      <c r="A125" s="43">
        <v>2022</v>
      </c>
      <c r="B125" s="8">
        <v>12</v>
      </c>
      <c r="C125" s="8">
        <v>1</v>
      </c>
      <c r="D125" s="8">
        <v>20</v>
      </c>
      <c r="E125" s="8" t="s">
        <v>236</v>
      </c>
      <c r="F125" s="8" t="s">
        <v>57</v>
      </c>
      <c r="G125" s="8">
        <v>2016</v>
      </c>
      <c r="H125" s="8">
        <v>12</v>
      </c>
      <c r="I125" s="8" t="s">
        <v>526</v>
      </c>
      <c r="J125" s="8" t="s">
        <v>236</v>
      </c>
      <c r="K125" s="8">
        <v>1972</v>
      </c>
      <c r="L125" s="17">
        <v>12</v>
      </c>
      <c r="M125" s="8">
        <v>1</v>
      </c>
      <c r="N125" s="8" t="s">
        <v>48</v>
      </c>
      <c r="O125" s="8" t="s">
        <v>298</v>
      </c>
      <c r="P125" s="8" t="s">
        <v>224</v>
      </c>
      <c r="Q125" s="8">
        <v>7000</v>
      </c>
      <c r="R125" s="8" t="s">
        <v>57</v>
      </c>
      <c r="S125" s="8" t="s">
        <v>52</v>
      </c>
      <c r="T125" s="8" t="s">
        <v>70</v>
      </c>
      <c r="U125" s="8" t="s">
        <v>68</v>
      </c>
      <c r="V125" s="8">
        <v>1000</v>
      </c>
      <c r="W125" s="8" t="s">
        <v>241</v>
      </c>
      <c r="X125" s="8">
        <v>5000</v>
      </c>
      <c r="Y125" s="8" t="s">
        <v>278</v>
      </c>
      <c r="Z125" s="8">
        <v>80</v>
      </c>
      <c r="AA125" s="8" t="s">
        <v>525</v>
      </c>
      <c r="AB125" s="8" t="s">
        <v>236</v>
      </c>
      <c r="AC125" s="8" t="s">
        <v>236</v>
      </c>
      <c r="AD125" s="8" t="s">
        <v>236</v>
      </c>
      <c r="AE125" s="8" t="s">
        <v>68</v>
      </c>
      <c r="AF125" s="8" t="s">
        <v>236</v>
      </c>
      <c r="AG125" s="8" t="s">
        <v>236</v>
      </c>
      <c r="AH125" s="8" t="s">
        <v>236</v>
      </c>
      <c r="AI125" s="8" t="s">
        <v>236</v>
      </c>
      <c r="AJ125" t="s">
        <v>519</v>
      </c>
      <c r="AK125">
        <v>12</v>
      </c>
      <c r="AL125">
        <v>1</v>
      </c>
      <c r="AM125" t="s">
        <v>85</v>
      </c>
      <c r="AN125" t="s">
        <v>236</v>
      </c>
      <c r="AO125" t="s">
        <v>529</v>
      </c>
      <c r="AP125" t="s">
        <v>113</v>
      </c>
      <c r="AQ125">
        <v>12</v>
      </c>
      <c r="AR125" t="s">
        <v>526</v>
      </c>
      <c r="AS125" t="s">
        <v>236</v>
      </c>
      <c r="AT125" t="s">
        <v>155</v>
      </c>
      <c r="AU125">
        <v>12</v>
      </c>
      <c r="AV125">
        <v>1</v>
      </c>
      <c r="AW125" t="s">
        <v>432</v>
      </c>
      <c r="AX125" t="s">
        <v>298</v>
      </c>
      <c r="AY125" t="s">
        <v>224</v>
      </c>
      <c r="AZ125">
        <v>3</v>
      </c>
      <c r="BA125" t="s">
        <v>435</v>
      </c>
      <c r="BB125" t="s">
        <v>431</v>
      </c>
      <c r="BC125" t="s">
        <v>419</v>
      </c>
      <c r="BD125" t="s">
        <v>522</v>
      </c>
      <c r="BE125" t="s">
        <v>437</v>
      </c>
      <c r="BF125" t="s">
        <v>530</v>
      </c>
      <c r="BG125" t="s">
        <v>531</v>
      </c>
      <c r="BH125" t="s">
        <v>420</v>
      </c>
      <c r="BI125" t="s">
        <v>532</v>
      </c>
      <c r="BJ125" t="s">
        <v>68</v>
      </c>
      <c r="BK125" t="s">
        <v>236</v>
      </c>
      <c r="BL125" t="s">
        <v>236</v>
      </c>
      <c r="BM125" t="s">
        <v>236</v>
      </c>
      <c r="BN125" t="s">
        <v>68</v>
      </c>
      <c r="BO125" t="s">
        <v>236</v>
      </c>
      <c r="BP125" t="s">
        <v>236</v>
      </c>
      <c r="BQ125" t="s">
        <v>236</v>
      </c>
      <c r="BR125" t="s">
        <v>236</v>
      </c>
      <c r="BS125" t="s">
        <v>436</v>
      </c>
      <c r="BT125">
        <v>0</v>
      </c>
    </row>
    <row r="126" spans="1:72" x14ac:dyDescent="0.15">
      <c r="A126" s="43">
        <v>2022</v>
      </c>
      <c r="B126" s="8">
        <v>12</v>
      </c>
      <c r="C126" s="8">
        <v>1</v>
      </c>
      <c r="D126" s="8">
        <v>20</v>
      </c>
      <c r="E126" s="8" t="s">
        <v>236</v>
      </c>
      <c r="F126" s="8" t="s">
        <v>57</v>
      </c>
      <c r="G126" s="8">
        <v>2016</v>
      </c>
      <c r="H126" s="8">
        <v>12</v>
      </c>
      <c r="I126" s="8" t="s">
        <v>526</v>
      </c>
      <c r="J126" s="8" t="s">
        <v>236</v>
      </c>
      <c r="K126" s="8">
        <v>1962</v>
      </c>
      <c r="L126" s="17">
        <v>12</v>
      </c>
      <c r="M126" s="8">
        <v>1</v>
      </c>
      <c r="N126" s="8" t="s">
        <v>48</v>
      </c>
      <c r="O126" s="8" t="s">
        <v>298</v>
      </c>
      <c r="P126" s="8" t="s">
        <v>224</v>
      </c>
      <c r="Q126" s="8">
        <v>7000</v>
      </c>
      <c r="R126" s="8" t="s">
        <v>57</v>
      </c>
      <c r="S126" s="8" t="s">
        <v>52</v>
      </c>
      <c r="T126" s="8" t="s">
        <v>70</v>
      </c>
      <c r="U126" s="8" t="s">
        <v>68</v>
      </c>
      <c r="V126" s="8">
        <v>1000</v>
      </c>
      <c r="W126" s="8" t="s">
        <v>241</v>
      </c>
      <c r="X126" s="8">
        <v>5000</v>
      </c>
      <c r="Y126" s="8" t="s">
        <v>278</v>
      </c>
      <c r="Z126" s="8">
        <v>80</v>
      </c>
      <c r="AA126" s="8" t="s">
        <v>525</v>
      </c>
      <c r="AB126" s="8" t="s">
        <v>236</v>
      </c>
      <c r="AC126" s="8" t="s">
        <v>236</v>
      </c>
      <c r="AD126" s="8" t="s">
        <v>236</v>
      </c>
      <c r="AE126" s="8" t="s">
        <v>68</v>
      </c>
      <c r="AF126" s="8" t="s">
        <v>236</v>
      </c>
      <c r="AG126" s="8" t="s">
        <v>236</v>
      </c>
      <c r="AH126" s="8" t="s">
        <v>236</v>
      </c>
      <c r="AI126" s="8" t="s">
        <v>236</v>
      </c>
      <c r="AJ126" t="s">
        <v>519</v>
      </c>
      <c r="AK126">
        <v>12</v>
      </c>
      <c r="AL126">
        <v>1</v>
      </c>
      <c r="AM126" t="s">
        <v>85</v>
      </c>
      <c r="AN126" t="s">
        <v>236</v>
      </c>
      <c r="AO126" t="s">
        <v>529</v>
      </c>
      <c r="AP126" t="s">
        <v>113</v>
      </c>
      <c r="AQ126">
        <v>12</v>
      </c>
      <c r="AR126" t="s">
        <v>526</v>
      </c>
      <c r="AS126" t="s">
        <v>236</v>
      </c>
      <c r="AT126" t="s">
        <v>165</v>
      </c>
      <c r="AU126">
        <v>12</v>
      </c>
      <c r="AV126">
        <v>1</v>
      </c>
      <c r="AW126" t="s">
        <v>432</v>
      </c>
      <c r="AX126" t="s">
        <v>298</v>
      </c>
      <c r="AY126" t="s">
        <v>224</v>
      </c>
      <c r="AZ126">
        <v>3</v>
      </c>
      <c r="BA126" t="s">
        <v>435</v>
      </c>
      <c r="BB126" t="s">
        <v>431</v>
      </c>
      <c r="BC126" t="s">
        <v>419</v>
      </c>
      <c r="BD126" t="s">
        <v>522</v>
      </c>
      <c r="BE126" t="s">
        <v>437</v>
      </c>
      <c r="BF126" t="s">
        <v>530</v>
      </c>
      <c r="BG126" t="s">
        <v>531</v>
      </c>
      <c r="BH126" t="s">
        <v>420</v>
      </c>
      <c r="BI126" t="s">
        <v>532</v>
      </c>
      <c r="BJ126" t="s">
        <v>68</v>
      </c>
      <c r="BK126" t="s">
        <v>236</v>
      </c>
      <c r="BL126" t="s">
        <v>236</v>
      </c>
      <c r="BM126" t="s">
        <v>236</v>
      </c>
      <c r="BN126" t="s">
        <v>68</v>
      </c>
      <c r="BO126" t="s">
        <v>236</v>
      </c>
      <c r="BP126" t="s">
        <v>236</v>
      </c>
      <c r="BQ126" t="s">
        <v>236</v>
      </c>
      <c r="BR126" t="s">
        <v>236</v>
      </c>
      <c r="BS126" t="s">
        <v>436</v>
      </c>
      <c r="BT126">
        <v>0</v>
      </c>
    </row>
    <row r="127" spans="1:72" x14ac:dyDescent="0.15">
      <c r="A127" s="43">
        <v>2022</v>
      </c>
      <c r="B127" s="8">
        <v>12</v>
      </c>
      <c r="C127" s="8">
        <v>1</v>
      </c>
      <c r="D127" s="8">
        <v>20</v>
      </c>
      <c r="E127" s="8" t="s">
        <v>236</v>
      </c>
      <c r="F127" s="8" t="s">
        <v>57</v>
      </c>
      <c r="G127" s="8">
        <v>2016</v>
      </c>
      <c r="H127" s="8">
        <v>12</v>
      </c>
      <c r="I127" s="8" t="s">
        <v>526</v>
      </c>
      <c r="J127" s="8" t="s">
        <v>236</v>
      </c>
      <c r="K127" s="8">
        <v>1952</v>
      </c>
      <c r="L127" s="17">
        <v>12</v>
      </c>
      <c r="M127" s="8">
        <v>1</v>
      </c>
      <c r="N127" s="8" t="s">
        <v>48</v>
      </c>
      <c r="O127" s="8" t="s">
        <v>298</v>
      </c>
      <c r="P127" s="8" t="s">
        <v>224</v>
      </c>
      <c r="Q127" s="8">
        <v>7000</v>
      </c>
      <c r="R127" s="8" t="s">
        <v>57</v>
      </c>
      <c r="S127" s="8" t="s">
        <v>52</v>
      </c>
      <c r="T127" s="8" t="s">
        <v>70</v>
      </c>
      <c r="U127" s="8" t="s">
        <v>68</v>
      </c>
      <c r="V127" s="8">
        <v>1000</v>
      </c>
      <c r="W127" s="8" t="s">
        <v>241</v>
      </c>
      <c r="X127" s="8">
        <v>5000</v>
      </c>
      <c r="Y127" s="8" t="s">
        <v>278</v>
      </c>
      <c r="Z127" s="8">
        <v>80</v>
      </c>
      <c r="AA127" s="8" t="s">
        <v>525</v>
      </c>
      <c r="AB127" s="8" t="s">
        <v>236</v>
      </c>
      <c r="AC127" s="8" t="s">
        <v>236</v>
      </c>
      <c r="AD127" s="8" t="s">
        <v>236</v>
      </c>
      <c r="AE127" s="8" t="s">
        <v>68</v>
      </c>
      <c r="AF127" s="8" t="s">
        <v>236</v>
      </c>
      <c r="AG127" s="8" t="s">
        <v>236</v>
      </c>
      <c r="AH127" s="8" t="s">
        <v>236</v>
      </c>
      <c r="AI127" s="8" t="s">
        <v>236</v>
      </c>
      <c r="AJ127" t="s">
        <v>519</v>
      </c>
      <c r="AK127">
        <v>12</v>
      </c>
      <c r="AL127">
        <v>1</v>
      </c>
      <c r="AM127" t="s">
        <v>85</v>
      </c>
      <c r="AN127" t="s">
        <v>236</v>
      </c>
      <c r="AO127" t="s">
        <v>529</v>
      </c>
      <c r="AP127" t="s">
        <v>113</v>
      </c>
      <c r="AQ127">
        <v>12</v>
      </c>
      <c r="AR127" t="s">
        <v>526</v>
      </c>
      <c r="AS127" t="s">
        <v>236</v>
      </c>
      <c r="AT127" t="s">
        <v>175</v>
      </c>
      <c r="AU127">
        <v>12</v>
      </c>
      <c r="AV127">
        <v>1</v>
      </c>
      <c r="AW127" t="s">
        <v>432</v>
      </c>
      <c r="AX127" t="s">
        <v>298</v>
      </c>
      <c r="AY127" t="s">
        <v>224</v>
      </c>
      <c r="AZ127">
        <v>3</v>
      </c>
      <c r="BA127" t="s">
        <v>435</v>
      </c>
      <c r="BB127" t="s">
        <v>431</v>
      </c>
      <c r="BC127" t="s">
        <v>419</v>
      </c>
      <c r="BD127" t="s">
        <v>522</v>
      </c>
      <c r="BE127" t="s">
        <v>437</v>
      </c>
      <c r="BF127" t="s">
        <v>530</v>
      </c>
      <c r="BG127" t="s">
        <v>531</v>
      </c>
      <c r="BH127" t="s">
        <v>420</v>
      </c>
      <c r="BI127" t="s">
        <v>532</v>
      </c>
      <c r="BJ127" t="s">
        <v>68</v>
      </c>
      <c r="BK127" t="s">
        <v>236</v>
      </c>
      <c r="BL127" t="s">
        <v>236</v>
      </c>
      <c r="BM127" t="s">
        <v>236</v>
      </c>
      <c r="BN127" t="s">
        <v>68</v>
      </c>
      <c r="BO127" t="s">
        <v>236</v>
      </c>
      <c r="BP127" t="s">
        <v>236</v>
      </c>
      <c r="BQ127" t="s">
        <v>236</v>
      </c>
      <c r="BR127" t="s">
        <v>236</v>
      </c>
      <c r="BS127" t="s">
        <v>436</v>
      </c>
      <c r="BT127">
        <v>0</v>
      </c>
    </row>
    <row r="128" spans="1:72" x14ac:dyDescent="0.15">
      <c r="A128" s="43">
        <v>2022</v>
      </c>
      <c r="B128" s="8">
        <v>12</v>
      </c>
      <c r="C128" s="8">
        <v>1</v>
      </c>
      <c r="D128" s="8">
        <v>20</v>
      </c>
      <c r="E128" s="8" t="s">
        <v>236</v>
      </c>
      <c r="F128" s="8" t="s">
        <v>57</v>
      </c>
      <c r="G128" s="8">
        <v>2016</v>
      </c>
      <c r="H128" s="8">
        <v>12</v>
      </c>
      <c r="I128" s="8" t="s">
        <v>526</v>
      </c>
      <c r="J128" s="8" t="s">
        <v>236</v>
      </c>
      <c r="K128" s="8">
        <v>1992</v>
      </c>
      <c r="L128" s="17">
        <v>12</v>
      </c>
      <c r="M128" s="8">
        <v>1</v>
      </c>
      <c r="N128" s="8" t="s">
        <v>48</v>
      </c>
      <c r="O128" s="8" t="s">
        <v>298</v>
      </c>
      <c r="P128" s="8" t="s">
        <v>295</v>
      </c>
      <c r="Q128" s="8">
        <v>3000</v>
      </c>
      <c r="R128" s="8" t="s">
        <v>57</v>
      </c>
      <c r="S128" s="8" t="s">
        <v>52</v>
      </c>
      <c r="T128" s="8" t="s">
        <v>70</v>
      </c>
      <c r="U128" s="8" t="s">
        <v>68</v>
      </c>
      <c r="V128" s="8">
        <v>1000</v>
      </c>
      <c r="W128" s="8" t="s">
        <v>241</v>
      </c>
      <c r="X128" s="8">
        <v>5000</v>
      </c>
      <c r="Y128" s="8" t="s">
        <v>278</v>
      </c>
      <c r="Z128" s="8">
        <v>80</v>
      </c>
      <c r="AA128" s="8" t="s">
        <v>525</v>
      </c>
      <c r="AB128" s="8" t="s">
        <v>236</v>
      </c>
      <c r="AC128" s="8" t="s">
        <v>236</v>
      </c>
      <c r="AD128" s="8" t="s">
        <v>236</v>
      </c>
      <c r="AE128" s="8" t="s">
        <v>68</v>
      </c>
      <c r="AF128" s="8" t="s">
        <v>236</v>
      </c>
      <c r="AG128" s="8" t="s">
        <v>236</v>
      </c>
      <c r="AH128" s="8" t="s">
        <v>236</v>
      </c>
      <c r="AI128" s="8" t="s">
        <v>236</v>
      </c>
      <c r="AJ128" t="s">
        <v>519</v>
      </c>
      <c r="AK128">
        <v>12</v>
      </c>
      <c r="AL128">
        <v>1</v>
      </c>
      <c r="AM128" t="s">
        <v>85</v>
      </c>
      <c r="AN128" t="s">
        <v>236</v>
      </c>
      <c r="AO128" t="s">
        <v>529</v>
      </c>
      <c r="AP128" t="s">
        <v>113</v>
      </c>
      <c r="AQ128">
        <v>12</v>
      </c>
      <c r="AR128" t="s">
        <v>526</v>
      </c>
      <c r="AS128" t="s">
        <v>236</v>
      </c>
      <c r="AT128" t="s">
        <v>137</v>
      </c>
      <c r="AU128">
        <v>12</v>
      </c>
      <c r="AV128">
        <v>1</v>
      </c>
      <c r="AW128" t="s">
        <v>432</v>
      </c>
      <c r="AX128" t="s">
        <v>298</v>
      </c>
      <c r="AY128" t="s">
        <v>295</v>
      </c>
      <c r="AZ128">
        <v>1</v>
      </c>
      <c r="BA128" t="s">
        <v>435</v>
      </c>
      <c r="BB128" t="s">
        <v>431</v>
      </c>
      <c r="BC128" t="s">
        <v>419</v>
      </c>
      <c r="BD128" t="s">
        <v>522</v>
      </c>
      <c r="BE128" t="s">
        <v>437</v>
      </c>
      <c r="BF128" t="s">
        <v>530</v>
      </c>
      <c r="BG128" t="s">
        <v>531</v>
      </c>
      <c r="BH128" t="s">
        <v>420</v>
      </c>
      <c r="BI128" t="s">
        <v>532</v>
      </c>
      <c r="BJ128" t="s">
        <v>68</v>
      </c>
      <c r="BK128" t="s">
        <v>236</v>
      </c>
      <c r="BL128" t="s">
        <v>236</v>
      </c>
      <c r="BM128" t="s">
        <v>236</v>
      </c>
      <c r="BN128" t="s">
        <v>68</v>
      </c>
      <c r="BO128" t="s">
        <v>236</v>
      </c>
      <c r="BP128" t="s">
        <v>236</v>
      </c>
      <c r="BQ128" t="s">
        <v>236</v>
      </c>
      <c r="BR128" t="s">
        <v>236</v>
      </c>
      <c r="BS128" t="s">
        <v>436</v>
      </c>
      <c r="BT128">
        <v>0</v>
      </c>
    </row>
    <row r="129" spans="1:72" x14ac:dyDescent="0.15">
      <c r="A129" s="43">
        <v>2022</v>
      </c>
      <c r="B129" s="8">
        <v>12</v>
      </c>
      <c r="C129" s="8">
        <v>1</v>
      </c>
      <c r="D129" s="8">
        <v>20</v>
      </c>
      <c r="E129" s="8" t="s">
        <v>236</v>
      </c>
      <c r="F129" s="8" t="s">
        <v>57</v>
      </c>
      <c r="G129" s="8">
        <v>2016</v>
      </c>
      <c r="H129" s="8">
        <v>12</v>
      </c>
      <c r="I129" s="8" t="s">
        <v>526</v>
      </c>
      <c r="J129" s="8" t="s">
        <v>236</v>
      </c>
      <c r="K129" s="8">
        <v>1987</v>
      </c>
      <c r="L129" s="17">
        <v>12</v>
      </c>
      <c r="M129" s="8">
        <v>1</v>
      </c>
      <c r="N129" s="8" t="s">
        <v>48</v>
      </c>
      <c r="O129" s="8" t="s">
        <v>298</v>
      </c>
      <c r="P129" s="8" t="s">
        <v>295</v>
      </c>
      <c r="Q129" s="8">
        <v>3000</v>
      </c>
      <c r="R129" s="8" t="s">
        <v>57</v>
      </c>
      <c r="S129" s="8" t="s">
        <v>52</v>
      </c>
      <c r="T129" s="8" t="s">
        <v>70</v>
      </c>
      <c r="U129" s="8" t="s">
        <v>68</v>
      </c>
      <c r="V129" s="8">
        <v>1000</v>
      </c>
      <c r="W129" s="8" t="s">
        <v>241</v>
      </c>
      <c r="X129" s="8">
        <v>5000</v>
      </c>
      <c r="Y129" s="8" t="s">
        <v>278</v>
      </c>
      <c r="Z129" s="8">
        <v>80</v>
      </c>
      <c r="AA129" s="8" t="s">
        <v>525</v>
      </c>
      <c r="AB129" s="8" t="s">
        <v>236</v>
      </c>
      <c r="AC129" s="8" t="s">
        <v>236</v>
      </c>
      <c r="AD129" s="8" t="s">
        <v>236</v>
      </c>
      <c r="AE129" s="8" t="s">
        <v>68</v>
      </c>
      <c r="AF129" s="8" t="s">
        <v>236</v>
      </c>
      <c r="AG129" s="8" t="s">
        <v>236</v>
      </c>
      <c r="AH129" s="8" t="s">
        <v>236</v>
      </c>
      <c r="AI129" s="8" t="s">
        <v>236</v>
      </c>
      <c r="AJ129" t="s">
        <v>519</v>
      </c>
      <c r="AK129">
        <v>12</v>
      </c>
      <c r="AL129">
        <v>1</v>
      </c>
      <c r="AM129" t="s">
        <v>85</v>
      </c>
      <c r="AN129" t="s">
        <v>236</v>
      </c>
      <c r="AO129" t="s">
        <v>529</v>
      </c>
      <c r="AP129" t="s">
        <v>113</v>
      </c>
      <c r="AQ129">
        <v>12</v>
      </c>
      <c r="AR129" t="s">
        <v>526</v>
      </c>
      <c r="AS129" t="s">
        <v>236</v>
      </c>
      <c r="AT129" t="s">
        <v>140</v>
      </c>
      <c r="AU129">
        <v>12</v>
      </c>
      <c r="AV129">
        <v>1</v>
      </c>
      <c r="AW129" t="s">
        <v>432</v>
      </c>
      <c r="AX129" t="s">
        <v>298</v>
      </c>
      <c r="AY129" t="s">
        <v>295</v>
      </c>
      <c r="AZ129">
        <v>1</v>
      </c>
      <c r="BA129" t="s">
        <v>435</v>
      </c>
      <c r="BB129" t="s">
        <v>431</v>
      </c>
      <c r="BC129" t="s">
        <v>419</v>
      </c>
      <c r="BD129" t="s">
        <v>522</v>
      </c>
      <c r="BE129" t="s">
        <v>437</v>
      </c>
      <c r="BF129" t="s">
        <v>530</v>
      </c>
      <c r="BG129" t="s">
        <v>531</v>
      </c>
      <c r="BH129" t="s">
        <v>420</v>
      </c>
      <c r="BI129" t="s">
        <v>532</v>
      </c>
      <c r="BJ129" t="s">
        <v>68</v>
      </c>
      <c r="BK129" t="s">
        <v>236</v>
      </c>
      <c r="BL129" t="s">
        <v>236</v>
      </c>
      <c r="BM129" t="s">
        <v>236</v>
      </c>
      <c r="BN129" t="s">
        <v>68</v>
      </c>
      <c r="BO129" t="s">
        <v>236</v>
      </c>
      <c r="BP129" t="s">
        <v>236</v>
      </c>
      <c r="BQ129" t="s">
        <v>236</v>
      </c>
      <c r="BR129" t="s">
        <v>236</v>
      </c>
      <c r="BS129" t="s">
        <v>436</v>
      </c>
      <c r="BT129">
        <v>0</v>
      </c>
    </row>
    <row r="130" spans="1:72" x14ac:dyDescent="0.15">
      <c r="A130" s="43">
        <v>2022</v>
      </c>
      <c r="B130" s="8">
        <v>12</v>
      </c>
      <c r="C130" s="8">
        <v>1</v>
      </c>
      <c r="D130" s="8">
        <v>20</v>
      </c>
      <c r="E130" s="8" t="s">
        <v>236</v>
      </c>
      <c r="F130" s="8" t="s">
        <v>57</v>
      </c>
      <c r="G130" s="8">
        <v>2016</v>
      </c>
      <c r="H130" s="8">
        <v>12</v>
      </c>
      <c r="I130" s="8" t="s">
        <v>526</v>
      </c>
      <c r="J130" s="8" t="s">
        <v>236</v>
      </c>
      <c r="K130" s="8">
        <v>1982</v>
      </c>
      <c r="L130" s="17">
        <v>12</v>
      </c>
      <c r="M130" s="8">
        <v>1</v>
      </c>
      <c r="N130" s="8" t="s">
        <v>48</v>
      </c>
      <c r="O130" s="8" t="s">
        <v>298</v>
      </c>
      <c r="P130" s="8" t="s">
        <v>295</v>
      </c>
      <c r="Q130" s="8">
        <v>3000</v>
      </c>
      <c r="R130" s="8" t="s">
        <v>57</v>
      </c>
      <c r="S130" s="8" t="s">
        <v>52</v>
      </c>
      <c r="T130" s="8" t="s">
        <v>70</v>
      </c>
      <c r="U130" s="8" t="s">
        <v>68</v>
      </c>
      <c r="V130" s="8">
        <v>1000</v>
      </c>
      <c r="W130" s="8" t="s">
        <v>241</v>
      </c>
      <c r="X130" s="8">
        <v>5000</v>
      </c>
      <c r="Y130" s="8" t="s">
        <v>278</v>
      </c>
      <c r="Z130" s="8">
        <v>80</v>
      </c>
      <c r="AA130" s="8" t="s">
        <v>525</v>
      </c>
      <c r="AB130" s="8" t="s">
        <v>236</v>
      </c>
      <c r="AC130" s="8" t="s">
        <v>236</v>
      </c>
      <c r="AD130" s="8" t="s">
        <v>236</v>
      </c>
      <c r="AE130" s="8" t="s">
        <v>68</v>
      </c>
      <c r="AF130" s="8" t="s">
        <v>236</v>
      </c>
      <c r="AG130" s="8" t="s">
        <v>236</v>
      </c>
      <c r="AH130" s="8" t="s">
        <v>236</v>
      </c>
      <c r="AI130" s="8" t="s">
        <v>236</v>
      </c>
      <c r="AJ130" t="s">
        <v>519</v>
      </c>
      <c r="AK130">
        <v>12</v>
      </c>
      <c r="AL130">
        <v>1</v>
      </c>
      <c r="AM130" t="s">
        <v>85</v>
      </c>
      <c r="AN130" t="s">
        <v>236</v>
      </c>
      <c r="AO130" t="s">
        <v>529</v>
      </c>
      <c r="AP130" t="s">
        <v>113</v>
      </c>
      <c r="AQ130">
        <v>12</v>
      </c>
      <c r="AR130" t="s">
        <v>526</v>
      </c>
      <c r="AS130" t="s">
        <v>236</v>
      </c>
      <c r="AT130" t="s">
        <v>145</v>
      </c>
      <c r="AU130">
        <v>12</v>
      </c>
      <c r="AV130">
        <v>1</v>
      </c>
      <c r="AW130" t="s">
        <v>432</v>
      </c>
      <c r="AX130" t="s">
        <v>298</v>
      </c>
      <c r="AY130" t="s">
        <v>295</v>
      </c>
      <c r="AZ130">
        <v>1</v>
      </c>
      <c r="BA130" t="s">
        <v>435</v>
      </c>
      <c r="BB130" t="s">
        <v>431</v>
      </c>
      <c r="BC130" t="s">
        <v>419</v>
      </c>
      <c r="BD130" t="s">
        <v>522</v>
      </c>
      <c r="BE130" t="s">
        <v>437</v>
      </c>
      <c r="BF130" t="s">
        <v>530</v>
      </c>
      <c r="BG130" t="s">
        <v>531</v>
      </c>
      <c r="BH130" t="s">
        <v>420</v>
      </c>
      <c r="BI130" t="s">
        <v>532</v>
      </c>
      <c r="BJ130" t="s">
        <v>68</v>
      </c>
      <c r="BK130" t="s">
        <v>236</v>
      </c>
      <c r="BL130" t="s">
        <v>236</v>
      </c>
      <c r="BM130" t="s">
        <v>236</v>
      </c>
      <c r="BN130" t="s">
        <v>68</v>
      </c>
      <c r="BO130" t="s">
        <v>236</v>
      </c>
      <c r="BP130" t="s">
        <v>236</v>
      </c>
      <c r="BQ130" t="s">
        <v>236</v>
      </c>
      <c r="BR130" t="s">
        <v>236</v>
      </c>
      <c r="BS130" t="s">
        <v>436</v>
      </c>
      <c r="BT130">
        <v>0</v>
      </c>
    </row>
    <row r="131" spans="1:72" x14ac:dyDescent="0.15">
      <c r="A131" s="43">
        <v>2022</v>
      </c>
      <c r="B131" s="8">
        <v>12</v>
      </c>
      <c r="C131" s="8">
        <v>1</v>
      </c>
      <c r="D131" s="8">
        <v>20</v>
      </c>
      <c r="E131" s="8" t="s">
        <v>236</v>
      </c>
      <c r="F131" s="8" t="s">
        <v>57</v>
      </c>
      <c r="G131" s="8">
        <v>2016</v>
      </c>
      <c r="H131" s="8">
        <v>12</v>
      </c>
      <c r="I131" s="8" t="s">
        <v>526</v>
      </c>
      <c r="J131" s="8" t="s">
        <v>236</v>
      </c>
      <c r="K131" s="8">
        <v>1977</v>
      </c>
      <c r="L131" s="17">
        <v>12</v>
      </c>
      <c r="M131" s="8">
        <v>1</v>
      </c>
      <c r="N131" s="8" t="s">
        <v>48</v>
      </c>
      <c r="O131" s="8" t="s">
        <v>298</v>
      </c>
      <c r="P131" s="8" t="s">
        <v>295</v>
      </c>
      <c r="Q131" s="8">
        <v>3000</v>
      </c>
      <c r="R131" s="8" t="s">
        <v>57</v>
      </c>
      <c r="S131" s="8" t="s">
        <v>52</v>
      </c>
      <c r="T131" s="8" t="s">
        <v>70</v>
      </c>
      <c r="U131" s="8" t="s">
        <v>68</v>
      </c>
      <c r="V131" s="8">
        <v>1000</v>
      </c>
      <c r="W131" s="8" t="s">
        <v>241</v>
      </c>
      <c r="X131" s="8">
        <v>5000</v>
      </c>
      <c r="Y131" s="8" t="s">
        <v>278</v>
      </c>
      <c r="Z131" s="8">
        <v>80</v>
      </c>
      <c r="AA131" s="8" t="s">
        <v>525</v>
      </c>
      <c r="AB131" s="8" t="s">
        <v>236</v>
      </c>
      <c r="AC131" s="8" t="s">
        <v>236</v>
      </c>
      <c r="AD131" s="8" t="s">
        <v>236</v>
      </c>
      <c r="AE131" s="8" t="s">
        <v>68</v>
      </c>
      <c r="AF131" s="8" t="s">
        <v>236</v>
      </c>
      <c r="AG131" s="8" t="s">
        <v>236</v>
      </c>
      <c r="AH131" s="8" t="s">
        <v>236</v>
      </c>
      <c r="AI131" s="8" t="s">
        <v>236</v>
      </c>
      <c r="AJ131" t="s">
        <v>519</v>
      </c>
      <c r="AK131">
        <v>12</v>
      </c>
      <c r="AL131">
        <v>1</v>
      </c>
      <c r="AM131" t="s">
        <v>85</v>
      </c>
      <c r="AN131" t="s">
        <v>236</v>
      </c>
      <c r="AO131" t="s">
        <v>529</v>
      </c>
      <c r="AP131" t="s">
        <v>113</v>
      </c>
      <c r="AQ131">
        <v>12</v>
      </c>
      <c r="AR131" t="s">
        <v>526</v>
      </c>
      <c r="AS131" t="s">
        <v>236</v>
      </c>
      <c r="AT131" t="s">
        <v>150</v>
      </c>
      <c r="AU131">
        <v>12</v>
      </c>
      <c r="AV131">
        <v>1</v>
      </c>
      <c r="AW131" t="s">
        <v>432</v>
      </c>
      <c r="AX131" t="s">
        <v>298</v>
      </c>
      <c r="AY131" t="s">
        <v>295</v>
      </c>
      <c r="AZ131">
        <v>1</v>
      </c>
      <c r="BA131" t="s">
        <v>435</v>
      </c>
      <c r="BB131" t="s">
        <v>431</v>
      </c>
      <c r="BC131" t="s">
        <v>419</v>
      </c>
      <c r="BD131" t="s">
        <v>522</v>
      </c>
      <c r="BE131" t="s">
        <v>437</v>
      </c>
      <c r="BF131" t="s">
        <v>530</v>
      </c>
      <c r="BG131" t="s">
        <v>531</v>
      </c>
      <c r="BH131" t="s">
        <v>420</v>
      </c>
      <c r="BI131" t="s">
        <v>532</v>
      </c>
      <c r="BJ131" t="s">
        <v>68</v>
      </c>
      <c r="BK131" t="s">
        <v>236</v>
      </c>
      <c r="BL131" t="s">
        <v>236</v>
      </c>
      <c r="BM131" t="s">
        <v>236</v>
      </c>
      <c r="BN131" t="s">
        <v>68</v>
      </c>
      <c r="BO131" t="s">
        <v>236</v>
      </c>
      <c r="BP131" t="s">
        <v>236</v>
      </c>
      <c r="BQ131" t="s">
        <v>236</v>
      </c>
      <c r="BR131" t="s">
        <v>236</v>
      </c>
      <c r="BS131" t="s">
        <v>436</v>
      </c>
      <c r="BT131">
        <v>0</v>
      </c>
    </row>
    <row r="132" spans="1:72" x14ac:dyDescent="0.15">
      <c r="A132" s="43">
        <v>2022</v>
      </c>
      <c r="B132" s="8">
        <v>12</v>
      </c>
      <c r="C132" s="8">
        <v>1</v>
      </c>
      <c r="D132" s="8">
        <v>20</v>
      </c>
      <c r="E132" s="8" t="s">
        <v>236</v>
      </c>
      <c r="F132" s="8" t="s">
        <v>57</v>
      </c>
      <c r="G132" s="8">
        <v>2016</v>
      </c>
      <c r="H132" s="8">
        <v>12</v>
      </c>
      <c r="I132" s="8" t="s">
        <v>526</v>
      </c>
      <c r="J132" s="8" t="s">
        <v>236</v>
      </c>
      <c r="K132" s="8">
        <v>1972</v>
      </c>
      <c r="L132" s="17">
        <v>12</v>
      </c>
      <c r="M132" s="8">
        <v>1</v>
      </c>
      <c r="N132" s="8" t="s">
        <v>48</v>
      </c>
      <c r="O132" s="8" t="s">
        <v>298</v>
      </c>
      <c r="P132" s="8" t="s">
        <v>295</v>
      </c>
      <c r="Q132" s="8">
        <v>3000</v>
      </c>
      <c r="R132" s="8" t="s">
        <v>57</v>
      </c>
      <c r="S132" s="8" t="s">
        <v>52</v>
      </c>
      <c r="T132" s="8" t="s">
        <v>70</v>
      </c>
      <c r="U132" s="8" t="s">
        <v>68</v>
      </c>
      <c r="V132" s="8">
        <v>1000</v>
      </c>
      <c r="W132" s="8" t="s">
        <v>241</v>
      </c>
      <c r="X132" s="8">
        <v>5000</v>
      </c>
      <c r="Y132" s="8" t="s">
        <v>278</v>
      </c>
      <c r="Z132" s="8">
        <v>80</v>
      </c>
      <c r="AA132" s="8" t="s">
        <v>525</v>
      </c>
      <c r="AB132" s="8" t="s">
        <v>236</v>
      </c>
      <c r="AC132" s="8" t="s">
        <v>236</v>
      </c>
      <c r="AD132" s="8" t="s">
        <v>236</v>
      </c>
      <c r="AE132" s="8" t="s">
        <v>68</v>
      </c>
      <c r="AF132" s="8" t="s">
        <v>236</v>
      </c>
      <c r="AG132" s="8" t="s">
        <v>236</v>
      </c>
      <c r="AH132" s="8" t="s">
        <v>236</v>
      </c>
      <c r="AI132" s="8" t="s">
        <v>236</v>
      </c>
      <c r="AJ132" t="s">
        <v>519</v>
      </c>
      <c r="AK132">
        <v>12</v>
      </c>
      <c r="AL132">
        <v>1</v>
      </c>
      <c r="AM132" t="s">
        <v>85</v>
      </c>
      <c r="AN132" t="s">
        <v>236</v>
      </c>
      <c r="AO132" t="s">
        <v>529</v>
      </c>
      <c r="AP132" t="s">
        <v>113</v>
      </c>
      <c r="AQ132">
        <v>12</v>
      </c>
      <c r="AR132" t="s">
        <v>526</v>
      </c>
      <c r="AS132" t="s">
        <v>236</v>
      </c>
      <c r="AT132" t="s">
        <v>155</v>
      </c>
      <c r="AU132">
        <v>12</v>
      </c>
      <c r="AV132">
        <v>1</v>
      </c>
      <c r="AW132" t="s">
        <v>432</v>
      </c>
      <c r="AX132" t="s">
        <v>298</v>
      </c>
      <c r="AY132" t="s">
        <v>295</v>
      </c>
      <c r="AZ132">
        <v>1</v>
      </c>
      <c r="BA132" t="s">
        <v>435</v>
      </c>
      <c r="BB132" t="s">
        <v>431</v>
      </c>
      <c r="BC132" t="s">
        <v>419</v>
      </c>
      <c r="BD132" t="s">
        <v>522</v>
      </c>
      <c r="BE132" t="s">
        <v>437</v>
      </c>
      <c r="BF132" t="s">
        <v>530</v>
      </c>
      <c r="BG132" t="s">
        <v>531</v>
      </c>
      <c r="BH132" t="s">
        <v>420</v>
      </c>
      <c r="BI132" t="s">
        <v>532</v>
      </c>
      <c r="BJ132" t="s">
        <v>68</v>
      </c>
      <c r="BK132" t="s">
        <v>236</v>
      </c>
      <c r="BL132" t="s">
        <v>236</v>
      </c>
      <c r="BM132" t="s">
        <v>236</v>
      </c>
      <c r="BN132" t="s">
        <v>68</v>
      </c>
      <c r="BO132" t="s">
        <v>236</v>
      </c>
      <c r="BP132" t="s">
        <v>236</v>
      </c>
      <c r="BQ132" t="s">
        <v>236</v>
      </c>
      <c r="BR132" t="s">
        <v>236</v>
      </c>
      <c r="BS132" t="s">
        <v>436</v>
      </c>
      <c r="BT132">
        <v>0</v>
      </c>
    </row>
    <row r="133" spans="1:72" x14ac:dyDescent="0.15">
      <c r="A133" s="43">
        <v>2022</v>
      </c>
      <c r="B133" s="8">
        <v>12</v>
      </c>
      <c r="C133" s="8">
        <v>1</v>
      </c>
      <c r="D133" s="8">
        <v>20</v>
      </c>
      <c r="E133" s="8" t="s">
        <v>236</v>
      </c>
      <c r="F133" s="8" t="s">
        <v>57</v>
      </c>
      <c r="G133" s="8">
        <v>2016</v>
      </c>
      <c r="H133" s="8">
        <v>12</v>
      </c>
      <c r="I133" s="8" t="s">
        <v>526</v>
      </c>
      <c r="J133" s="8" t="s">
        <v>236</v>
      </c>
      <c r="K133" s="8">
        <v>1962</v>
      </c>
      <c r="L133" s="17">
        <v>12</v>
      </c>
      <c r="M133" s="8">
        <v>1</v>
      </c>
      <c r="N133" s="8" t="s">
        <v>48</v>
      </c>
      <c r="O133" s="8" t="s">
        <v>298</v>
      </c>
      <c r="P133" s="8" t="s">
        <v>295</v>
      </c>
      <c r="Q133" s="8">
        <v>3000</v>
      </c>
      <c r="R133" s="8" t="s">
        <v>57</v>
      </c>
      <c r="S133" s="8" t="s">
        <v>52</v>
      </c>
      <c r="T133" s="8" t="s">
        <v>70</v>
      </c>
      <c r="U133" s="8" t="s">
        <v>68</v>
      </c>
      <c r="V133" s="8">
        <v>1000</v>
      </c>
      <c r="W133" s="8" t="s">
        <v>241</v>
      </c>
      <c r="X133" s="8">
        <v>5000</v>
      </c>
      <c r="Y133" s="8" t="s">
        <v>278</v>
      </c>
      <c r="Z133" s="8">
        <v>80</v>
      </c>
      <c r="AA133" s="8" t="s">
        <v>525</v>
      </c>
      <c r="AB133" s="8" t="s">
        <v>236</v>
      </c>
      <c r="AC133" s="8" t="s">
        <v>236</v>
      </c>
      <c r="AD133" s="8" t="s">
        <v>236</v>
      </c>
      <c r="AE133" s="8" t="s">
        <v>68</v>
      </c>
      <c r="AF133" s="8" t="s">
        <v>236</v>
      </c>
      <c r="AG133" s="8" t="s">
        <v>236</v>
      </c>
      <c r="AH133" s="8" t="s">
        <v>236</v>
      </c>
      <c r="AI133" s="8" t="s">
        <v>236</v>
      </c>
      <c r="AJ133" t="s">
        <v>519</v>
      </c>
      <c r="AK133">
        <v>12</v>
      </c>
      <c r="AL133">
        <v>1</v>
      </c>
      <c r="AM133" t="s">
        <v>85</v>
      </c>
      <c r="AN133" t="s">
        <v>236</v>
      </c>
      <c r="AO133" t="s">
        <v>529</v>
      </c>
      <c r="AP133" t="s">
        <v>113</v>
      </c>
      <c r="AQ133">
        <v>12</v>
      </c>
      <c r="AR133" t="s">
        <v>526</v>
      </c>
      <c r="AS133" t="s">
        <v>236</v>
      </c>
      <c r="AT133" t="s">
        <v>165</v>
      </c>
      <c r="AU133">
        <v>12</v>
      </c>
      <c r="AV133">
        <v>1</v>
      </c>
      <c r="AW133" t="s">
        <v>432</v>
      </c>
      <c r="AX133" t="s">
        <v>298</v>
      </c>
      <c r="AY133" t="s">
        <v>295</v>
      </c>
      <c r="AZ133">
        <v>1</v>
      </c>
      <c r="BA133" t="s">
        <v>435</v>
      </c>
      <c r="BB133" t="s">
        <v>431</v>
      </c>
      <c r="BC133" t="s">
        <v>419</v>
      </c>
      <c r="BD133" t="s">
        <v>522</v>
      </c>
      <c r="BE133" t="s">
        <v>437</v>
      </c>
      <c r="BF133" t="s">
        <v>530</v>
      </c>
      <c r="BG133" t="s">
        <v>531</v>
      </c>
      <c r="BH133" t="s">
        <v>420</v>
      </c>
      <c r="BI133" t="s">
        <v>532</v>
      </c>
      <c r="BJ133" t="s">
        <v>68</v>
      </c>
      <c r="BK133" t="s">
        <v>236</v>
      </c>
      <c r="BL133" t="s">
        <v>236</v>
      </c>
      <c r="BM133" t="s">
        <v>236</v>
      </c>
      <c r="BN133" t="s">
        <v>68</v>
      </c>
      <c r="BO133" t="s">
        <v>236</v>
      </c>
      <c r="BP133" t="s">
        <v>236</v>
      </c>
      <c r="BQ133" t="s">
        <v>236</v>
      </c>
      <c r="BR133" t="s">
        <v>236</v>
      </c>
      <c r="BS133" t="s">
        <v>436</v>
      </c>
      <c r="BT133">
        <v>0</v>
      </c>
    </row>
    <row r="134" spans="1:72" x14ac:dyDescent="0.15">
      <c r="A134" s="43">
        <v>2022</v>
      </c>
      <c r="B134" s="8">
        <v>12</v>
      </c>
      <c r="C134" s="8">
        <v>1</v>
      </c>
      <c r="D134" s="8">
        <v>20</v>
      </c>
      <c r="E134" s="8" t="s">
        <v>236</v>
      </c>
      <c r="F134" s="8" t="s">
        <v>57</v>
      </c>
      <c r="G134" s="8">
        <v>2016</v>
      </c>
      <c r="H134" s="8">
        <v>12</v>
      </c>
      <c r="I134" s="8" t="s">
        <v>526</v>
      </c>
      <c r="J134" s="8" t="s">
        <v>236</v>
      </c>
      <c r="K134" s="8">
        <v>1952</v>
      </c>
      <c r="L134" s="17">
        <v>12</v>
      </c>
      <c r="M134" s="8">
        <v>1</v>
      </c>
      <c r="N134" s="8" t="s">
        <v>48</v>
      </c>
      <c r="O134" s="8" t="s">
        <v>298</v>
      </c>
      <c r="P134" s="8" t="s">
        <v>295</v>
      </c>
      <c r="Q134" s="8">
        <v>3000</v>
      </c>
      <c r="R134" s="8" t="s">
        <v>57</v>
      </c>
      <c r="S134" s="8" t="s">
        <v>52</v>
      </c>
      <c r="T134" s="8" t="s">
        <v>70</v>
      </c>
      <c r="U134" s="8" t="s">
        <v>68</v>
      </c>
      <c r="V134" s="8">
        <v>1000</v>
      </c>
      <c r="W134" s="8" t="s">
        <v>241</v>
      </c>
      <c r="X134" s="8">
        <v>5000</v>
      </c>
      <c r="Y134" s="8" t="s">
        <v>278</v>
      </c>
      <c r="Z134" s="8">
        <v>80</v>
      </c>
      <c r="AA134" s="8" t="s">
        <v>525</v>
      </c>
      <c r="AB134" s="8" t="s">
        <v>236</v>
      </c>
      <c r="AC134" s="8" t="s">
        <v>236</v>
      </c>
      <c r="AD134" s="8" t="s">
        <v>236</v>
      </c>
      <c r="AE134" s="8" t="s">
        <v>68</v>
      </c>
      <c r="AF134" s="8" t="s">
        <v>236</v>
      </c>
      <c r="AG134" s="8" t="s">
        <v>236</v>
      </c>
      <c r="AH134" s="8" t="s">
        <v>236</v>
      </c>
      <c r="AI134" s="8" t="s">
        <v>236</v>
      </c>
      <c r="AJ134" t="s">
        <v>519</v>
      </c>
      <c r="AK134">
        <v>12</v>
      </c>
      <c r="AL134">
        <v>1</v>
      </c>
      <c r="AM134" t="s">
        <v>85</v>
      </c>
      <c r="AN134" t="s">
        <v>236</v>
      </c>
      <c r="AO134" t="s">
        <v>529</v>
      </c>
      <c r="AP134" t="s">
        <v>113</v>
      </c>
      <c r="AQ134">
        <v>12</v>
      </c>
      <c r="AR134" t="s">
        <v>526</v>
      </c>
      <c r="AS134" t="s">
        <v>236</v>
      </c>
      <c r="AT134" t="s">
        <v>175</v>
      </c>
      <c r="AU134">
        <v>12</v>
      </c>
      <c r="AV134">
        <v>1</v>
      </c>
      <c r="AW134" t="s">
        <v>432</v>
      </c>
      <c r="AX134" t="s">
        <v>298</v>
      </c>
      <c r="AY134" t="s">
        <v>295</v>
      </c>
      <c r="AZ134">
        <v>1</v>
      </c>
      <c r="BA134" t="s">
        <v>435</v>
      </c>
      <c r="BB134" t="s">
        <v>431</v>
      </c>
      <c r="BC134" t="s">
        <v>419</v>
      </c>
      <c r="BD134" t="s">
        <v>522</v>
      </c>
      <c r="BE134" t="s">
        <v>437</v>
      </c>
      <c r="BF134" t="s">
        <v>530</v>
      </c>
      <c r="BG134" t="s">
        <v>531</v>
      </c>
      <c r="BH134" t="s">
        <v>420</v>
      </c>
      <c r="BI134" t="s">
        <v>532</v>
      </c>
      <c r="BJ134" t="s">
        <v>68</v>
      </c>
      <c r="BK134" t="s">
        <v>236</v>
      </c>
      <c r="BL134" t="s">
        <v>236</v>
      </c>
      <c r="BM134" t="s">
        <v>236</v>
      </c>
      <c r="BN134" t="s">
        <v>68</v>
      </c>
      <c r="BO134" t="s">
        <v>236</v>
      </c>
      <c r="BP134" t="s">
        <v>236</v>
      </c>
      <c r="BQ134" t="s">
        <v>236</v>
      </c>
      <c r="BR134" t="s">
        <v>236</v>
      </c>
      <c r="BS134" t="s">
        <v>436</v>
      </c>
      <c r="BT134">
        <v>0</v>
      </c>
    </row>
    <row r="135" spans="1:72" x14ac:dyDescent="0.15">
      <c r="A135" s="43">
        <v>2022</v>
      </c>
      <c r="B135" s="8">
        <v>12</v>
      </c>
      <c r="C135" s="8">
        <v>1</v>
      </c>
      <c r="D135" s="8">
        <v>20</v>
      </c>
      <c r="E135" s="8" t="s">
        <v>236</v>
      </c>
      <c r="F135" s="8" t="s">
        <v>57</v>
      </c>
      <c r="G135" s="8">
        <v>2016</v>
      </c>
      <c r="H135" s="8">
        <v>12</v>
      </c>
      <c r="I135" s="8" t="s">
        <v>526</v>
      </c>
      <c r="J135" s="8" t="s">
        <v>236</v>
      </c>
      <c r="K135" s="8">
        <v>1992</v>
      </c>
      <c r="L135" s="17">
        <v>12</v>
      </c>
      <c r="M135" s="8">
        <v>1</v>
      </c>
      <c r="N135" s="8" t="s">
        <v>48</v>
      </c>
      <c r="O135" s="8" t="s">
        <v>298</v>
      </c>
      <c r="P135" s="8" t="s">
        <v>295</v>
      </c>
      <c r="Q135" s="8">
        <v>7000</v>
      </c>
      <c r="R135" s="8" t="s">
        <v>57</v>
      </c>
      <c r="S135" s="8" t="s">
        <v>52</v>
      </c>
      <c r="T135" s="8" t="s">
        <v>70</v>
      </c>
      <c r="U135" s="8" t="s">
        <v>68</v>
      </c>
      <c r="V135" s="8">
        <v>1000</v>
      </c>
      <c r="W135" s="8" t="s">
        <v>241</v>
      </c>
      <c r="X135" s="8">
        <v>5000</v>
      </c>
      <c r="Y135" s="8" t="s">
        <v>278</v>
      </c>
      <c r="Z135" s="8">
        <v>80</v>
      </c>
      <c r="AA135" s="8" t="s">
        <v>525</v>
      </c>
      <c r="AB135" s="8" t="s">
        <v>236</v>
      </c>
      <c r="AC135" s="8" t="s">
        <v>236</v>
      </c>
      <c r="AD135" s="8" t="s">
        <v>236</v>
      </c>
      <c r="AE135" s="8" t="s">
        <v>68</v>
      </c>
      <c r="AF135" s="8" t="s">
        <v>236</v>
      </c>
      <c r="AG135" s="8" t="s">
        <v>236</v>
      </c>
      <c r="AH135" s="8" t="s">
        <v>236</v>
      </c>
      <c r="AI135" s="8" t="s">
        <v>236</v>
      </c>
      <c r="AJ135" t="s">
        <v>519</v>
      </c>
      <c r="AK135">
        <v>12</v>
      </c>
      <c r="AL135">
        <v>1</v>
      </c>
      <c r="AM135" t="s">
        <v>85</v>
      </c>
      <c r="AN135" t="s">
        <v>236</v>
      </c>
      <c r="AO135" t="s">
        <v>529</v>
      </c>
      <c r="AP135" t="s">
        <v>113</v>
      </c>
      <c r="AQ135">
        <v>12</v>
      </c>
      <c r="AR135" t="s">
        <v>526</v>
      </c>
      <c r="AS135" t="s">
        <v>236</v>
      </c>
      <c r="AT135" t="s">
        <v>137</v>
      </c>
      <c r="AU135">
        <v>12</v>
      </c>
      <c r="AV135">
        <v>1</v>
      </c>
      <c r="AW135" t="s">
        <v>432</v>
      </c>
      <c r="AX135" t="s">
        <v>298</v>
      </c>
      <c r="AY135" t="s">
        <v>295</v>
      </c>
      <c r="AZ135">
        <v>3</v>
      </c>
      <c r="BA135" t="s">
        <v>435</v>
      </c>
      <c r="BB135" t="s">
        <v>431</v>
      </c>
      <c r="BC135" t="s">
        <v>419</v>
      </c>
      <c r="BD135" t="s">
        <v>522</v>
      </c>
      <c r="BE135" t="s">
        <v>437</v>
      </c>
      <c r="BF135" t="s">
        <v>530</v>
      </c>
      <c r="BG135" t="s">
        <v>531</v>
      </c>
      <c r="BH135" t="s">
        <v>420</v>
      </c>
      <c r="BI135" t="s">
        <v>532</v>
      </c>
      <c r="BJ135" t="s">
        <v>68</v>
      </c>
      <c r="BK135" t="s">
        <v>236</v>
      </c>
      <c r="BL135" t="s">
        <v>236</v>
      </c>
      <c r="BM135" t="s">
        <v>236</v>
      </c>
      <c r="BN135" t="s">
        <v>68</v>
      </c>
      <c r="BO135" t="s">
        <v>236</v>
      </c>
      <c r="BP135" t="s">
        <v>236</v>
      </c>
      <c r="BQ135" t="s">
        <v>236</v>
      </c>
      <c r="BR135" t="s">
        <v>236</v>
      </c>
      <c r="BS135" t="s">
        <v>436</v>
      </c>
      <c r="BT135">
        <v>0</v>
      </c>
    </row>
    <row r="136" spans="1:72" x14ac:dyDescent="0.15">
      <c r="A136" s="43">
        <v>2022</v>
      </c>
      <c r="B136" s="8">
        <v>12</v>
      </c>
      <c r="C136" s="8">
        <v>1</v>
      </c>
      <c r="D136" s="8">
        <v>20</v>
      </c>
      <c r="E136" s="8" t="s">
        <v>236</v>
      </c>
      <c r="F136" s="8" t="s">
        <v>57</v>
      </c>
      <c r="G136" s="8">
        <v>2016</v>
      </c>
      <c r="H136" s="8">
        <v>12</v>
      </c>
      <c r="I136" s="8" t="s">
        <v>526</v>
      </c>
      <c r="J136" s="8" t="s">
        <v>236</v>
      </c>
      <c r="K136" s="8">
        <v>1987</v>
      </c>
      <c r="L136" s="17">
        <v>12</v>
      </c>
      <c r="M136" s="8">
        <v>1</v>
      </c>
      <c r="N136" s="8" t="s">
        <v>48</v>
      </c>
      <c r="O136" s="8" t="s">
        <v>298</v>
      </c>
      <c r="P136" s="8" t="s">
        <v>295</v>
      </c>
      <c r="Q136" s="8">
        <v>7000</v>
      </c>
      <c r="R136" s="8" t="s">
        <v>57</v>
      </c>
      <c r="S136" s="8" t="s">
        <v>52</v>
      </c>
      <c r="T136" s="8" t="s">
        <v>70</v>
      </c>
      <c r="U136" s="8" t="s">
        <v>68</v>
      </c>
      <c r="V136" s="8">
        <v>1000</v>
      </c>
      <c r="W136" s="8" t="s">
        <v>241</v>
      </c>
      <c r="X136" s="8">
        <v>5000</v>
      </c>
      <c r="Y136" s="8" t="s">
        <v>278</v>
      </c>
      <c r="Z136" s="8">
        <v>80</v>
      </c>
      <c r="AA136" s="8" t="s">
        <v>525</v>
      </c>
      <c r="AB136" s="8" t="s">
        <v>236</v>
      </c>
      <c r="AC136" s="8" t="s">
        <v>236</v>
      </c>
      <c r="AD136" s="8" t="s">
        <v>236</v>
      </c>
      <c r="AE136" s="8" t="s">
        <v>68</v>
      </c>
      <c r="AF136" s="8" t="s">
        <v>236</v>
      </c>
      <c r="AG136" s="8" t="s">
        <v>236</v>
      </c>
      <c r="AH136" s="8" t="s">
        <v>236</v>
      </c>
      <c r="AI136" s="8" t="s">
        <v>236</v>
      </c>
      <c r="AJ136" t="s">
        <v>519</v>
      </c>
      <c r="AK136">
        <v>12</v>
      </c>
      <c r="AL136">
        <v>1</v>
      </c>
      <c r="AM136" t="s">
        <v>85</v>
      </c>
      <c r="AN136" t="s">
        <v>236</v>
      </c>
      <c r="AO136" t="s">
        <v>529</v>
      </c>
      <c r="AP136" t="s">
        <v>113</v>
      </c>
      <c r="AQ136">
        <v>12</v>
      </c>
      <c r="AR136" t="s">
        <v>526</v>
      </c>
      <c r="AS136" t="s">
        <v>236</v>
      </c>
      <c r="AT136" t="s">
        <v>140</v>
      </c>
      <c r="AU136">
        <v>12</v>
      </c>
      <c r="AV136">
        <v>1</v>
      </c>
      <c r="AW136" t="s">
        <v>432</v>
      </c>
      <c r="AX136" t="s">
        <v>298</v>
      </c>
      <c r="AY136" t="s">
        <v>295</v>
      </c>
      <c r="AZ136">
        <v>3</v>
      </c>
      <c r="BA136" t="s">
        <v>435</v>
      </c>
      <c r="BB136" t="s">
        <v>431</v>
      </c>
      <c r="BC136" t="s">
        <v>419</v>
      </c>
      <c r="BD136" t="s">
        <v>522</v>
      </c>
      <c r="BE136" t="s">
        <v>437</v>
      </c>
      <c r="BF136" t="s">
        <v>530</v>
      </c>
      <c r="BG136" t="s">
        <v>531</v>
      </c>
      <c r="BH136" t="s">
        <v>420</v>
      </c>
      <c r="BI136" t="s">
        <v>532</v>
      </c>
      <c r="BJ136" t="s">
        <v>68</v>
      </c>
      <c r="BK136" t="s">
        <v>236</v>
      </c>
      <c r="BL136" t="s">
        <v>236</v>
      </c>
      <c r="BM136" t="s">
        <v>236</v>
      </c>
      <c r="BN136" t="s">
        <v>68</v>
      </c>
      <c r="BO136" t="s">
        <v>236</v>
      </c>
      <c r="BP136" t="s">
        <v>236</v>
      </c>
      <c r="BQ136" t="s">
        <v>236</v>
      </c>
      <c r="BR136" t="s">
        <v>236</v>
      </c>
      <c r="BS136" t="s">
        <v>436</v>
      </c>
      <c r="BT136">
        <v>0</v>
      </c>
    </row>
    <row r="137" spans="1:72" x14ac:dyDescent="0.15">
      <c r="A137" s="43">
        <v>2022</v>
      </c>
      <c r="B137" s="8">
        <v>12</v>
      </c>
      <c r="C137" s="8">
        <v>1</v>
      </c>
      <c r="D137" s="8">
        <v>20</v>
      </c>
      <c r="E137" s="8" t="s">
        <v>236</v>
      </c>
      <c r="F137" s="8" t="s">
        <v>57</v>
      </c>
      <c r="G137" s="8">
        <v>2016</v>
      </c>
      <c r="H137" s="8">
        <v>12</v>
      </c>
      <c r="I137" s="8" t="s">
        <v>526</v>
      </c>
      <c r="J137" s="8" t="s">
        <v>236</v>
      </c>
      <c r="K137" s="8">
        <v>1982</v>
      </c>
      <c r="L137" s="17">
        <v>12</v>
      </c>
      <c r="M137" s="8">
        <v>1</v>
      </c>
      <c r="N137" s="8" t="s">
        <v>48</v>
      </c>
      <c r="O137" s="8" t="s">
        <v>298</v>
      </c>
      <c r="P137" s="8" t="s">
        <v>295</v>
      </c>
      <c r="Q137" s="8">
        <v>7000</v>
      </c>
      <c r="R137" s="8" t="s">
        <v>57</v>
      </c>
      <c r="S137" s="8" t="s">
        <v>52</v>
      </c>
      <c r="T137" s="8" t="s">
        <v>70</v>
      </c>
      <c r="U137" s="8" t="s">
        <v>68</v>
      </c>
      <c r="V137" s="8">
        <v>1000</v>
      </c>
      <c r="W137" s="8" t="s">
        <v>241</v>
      </c>
      <c r="X137" s="8">
        <v>5000</v>
      </c>
      <c r="Y137" s="8" t="s">
        <v>278</v>
      </c>
      <c r="Z137" s="8">
        <v>80</v>
      </c>
      <c r="AA137" s="8" t="s">
        <v>525</v>
      </c>
      <c r="AB137" s="8" t="s">
        <v>236</v>
      </c>
      <c r="AC137" s="8" t="s">
        <v>236</v>
      </c>
      <c r="AD137" s="8" t="s">
        <v>236</v>
      </c>
      <c r="AE137" s="8" t="s">
        <v>68</v>
      </c>
      <c r="AF137" s="8" t="s">
        <v>236</v>
      </c>
      <c r="AG137" s="8" t="s">
        <v>236</v>
      </c>
      <c r="AH137" s="8" t="s">
        <v>236</v>
      </c>
      <c r="AI137" s="8" t="s">
        <v>236</v>
      </c>
      <c r="AJ137" t="s">
        <v>519</v>
      </c>
      <c r="AK137">
        <v>12</v>
      </c>
      <c r="AL137">
        <v>1</v>
      </c>
      <c r="AM137" t="s">
        <v>85</v>
      </c>
      <c r="AN137" t="s">
        <v>236</v>
      </c>
      <c r="AO137" t="s">
        <v>529</v>
      </c>
      <c r="AP137" t="s">
        <v>113</v>
      </c>
      <c r="AQ137">
        <v>12</v>
      </c>
      <c r="AR137" t="s">
        <v>526</v>
      </c>
      <c r="AS137" t="s">
        <v>236</v>
      </c>
      <c r="AT137" t="s">
        <v>145</v>
      </c>
      <c r="AU137">
        <v>12</v>
      </c>
      <c r="AV137">
        <v>1</v>
      </c>
      <c r="AW137" t="s">
        <v>432</v>
      </c>
      <c r="AX137" t="s">
        <v>298</v>
      </c>
      <c r="AY137" t="s">
        <v>295</v>
      </c>
      <c r="AZ137">
        <v>3</v>
      </c>
      <c r="BA137" t="s">
        <v>435</v>
      </c>
      <c r="BB137" t="s">
        <v>431</v>
      </c>
      <c r="BC137" t="s">
        <v>419</v>
      </c>
      <c r="BD137" t="s">
        <v>522</v>
      </c>
      <c r="BE137" t="s">
        <v>437</v>
      </c>
      <c r="BF137" t="s">
        <v>530</v>
      </c>
      <c r="BG137" t="s">
        <v>531</v>
      </c>
      <c r="BH137" t="s">
        <v>420</v>
      </c>
      <c r="BI137" t="s">
        <v>532</v>
      </c>
      <c r="BJ137" t="s">
        <v>68</v>
      </c>
      <c r="BK137" t="s">
        <v>236</v>
      </c>
      <c r="BL137" t="s">
        <v>236</v>
      </c>
      <c r="BM137" t="s">
        <v>236</v>
      </c>
      <c r="BN137" t="s">
        <v>68</v>
      </c>
      <c r="BO137" t="s">
        <v>236</v>
      </c>
      <c r="BP137" t="s">
        <v>236</v>
      </c>
      <c r="BQ137" t="s">
        <v>236</v>
      </c>
      <c r="BR137" t="s">
        <v>236</v>
      </c>
      <c r="BS137" t="s">
        <v>436</v>
      </c>
      <c r="BT137">
        <v>0</v>
      </c>
    </row>
    <row r="138" spans="1:72" x14ac:dyDescent="0.15">
      <c r="A138" s="43">
        <v>2022</v>
      </c>
      <c r="B138" s="8">
        <v>12</v>
      </c>
      <c r="C138" s="8">
        <v>1</v>
      </c>
      <c r="D138" s="8">
        <v>20</v>
      </c>
      <c r="E138" s="8" t="s">
        <v>236</v>
      </c>
      <c r="F138" s="8" t="s">
        <v>57</v>
      </c>
      <c r="G138" s="8">
        <v>2016</v>
      </c>
      <c r="H138" s="8">
        <v>12</v>
      </c>
      <c r="I138" s="8" t="s">
        <v>526</v>
      </c>
      <c r="J138" s="8" t="s">
        <v>236</v>
      </c>
      <c r="K138" s="8">
        <v>1977</v>
      </c>
      <c r="L138" s="17">
        <v>12</v>
      </c>
      <c r="M138" s="8">
        <v>1</v>
      </c>
      <c r="N138" s="8" t="s">
        <v>48</v>
      </c>
      <c r="O138" s="8" t="s">
        <v>298</v>
      </c>
      <c r="P138" s="8" t="s">
        <v>295</v>
      </c>
      <c r="Q138" s="8">
        <v>7000</v>
      </c>
      <c r="R138" s="8" t="s">
        <v>57</v>
      </c>
      <c r="S138" s="8" t="s">
        <v>52</v>
      </c>
      <c r="T138" s="8" t="s">
        <v>70</v>
      </c>
      <c r="U138" s="8" t="s">
        <v>68</v>
      </c>
      <c r="V138" s="8">
        <v>1000</v>
      </c>
      <c r="W138" s="8" t="s">
        <v>241</v>
      </c>
      <c r="X138" s="8">
        <v>5000</v>
      </c>
      <c r="Y138" s="8" t="s">
        <v>278</v>
      </c>
      <c r="Z138" s="8">
        <v>80</v>
      </c>
      <c r="AA138" s="8" t="s">
        <v>525</v>
      </c>
      <c r="AB138" s="8" t="s">
        <v>236</v>
      </c>
      <c r="AC138" s="8" t="s">
        <v>236</v>
      </c>
      <c r="AD138" s="8" t="s">
        <v>236</v>
      </c>
      <c r="AE138" s="8" t="s">
        <v>68</v>
      </c>
      <c r="AF138" s="8" t="s">
        <v>236</v>
      </c>
      <c r="AG138" s="8" t="s">
        <v>236</v>
      </c>
      <c r="AH138" s="8" t="s">
        <v>236</v>
      </c>
      <c r="AI138" s="8" t="s">
        <v>236</v>
      </c>
      <c r="AJ138" t="s">
        <v>519</v>
      </c>
      <c r="AK138">
        <v>12</v>
      </c>
      <c r="AL138">
        <v>1</v>
      </c>
      <c r="AM138" t="s">
        <v>85</v>
      </c>
      <c r="AN138" t="s">
        <v>236</v>
      </c>
      <c r="AO138" t="s">
        <v>529</v>
      </c>
      <c r="AP138" t="s">
        <v>113</v>
      </c>
      <c r="AQ138">
        <v>12</v>
      </c>
      <c r="AR138" t="s">
        <v>526</v>
      </c>
      <c r="AS138" t="s">
        <v>236</v>
      </c>
      <c r="AT138" t="s">
        <v>150</v>
      </c>
      <c r="AU138">
        <v>12</v>
      </c>
      <c r="AV138">
        <v>1</v>
      </c>
      <c r="AW138" t="s">
        <v>432</v>
      </c>
      <c r="AX138" t="s">
        <v>298</v>
      </c>
      <c r="AY138" t="s">
        <v>295</v>
      </c>
      <c r="AZ138">
        <v>3</v>
      </c>
      <c r="BA138" t="s">
        <v>435</v>
      </c>
      <c r="BB138" t="s">
        <v>431</v>
      </c>
      <c r="BC138" t="s">
        <v>419</v>
      </c>
      <c r="BD138" t="s">
        <v>522</v>
      </c>
      <c r="BE138" t="s">
        <v>437</v>
      </c>
      <c r="BF138" t="s">
        <v>530</v>
      </c>
      <c r="BG138" t="s">
        <v>531</v>
      </c>
      <c r="BH138" t="s">
        <v>420</v>
      </c>
      <c r="BI138" t="s">
        <v>532</v>
      </c>
      <c r="BJ138" t="s">
        <v>68</v>
      </c>
      <c r="BK138" t="s">
        <v>236</v>
      </c>
      <c r="BL138" t="s">
        <v>236</v>
      </c>
      <c r="BM138" t="s">
        <v>236</v>
      </c>
      <c r="BN138" t="s">
        <v>68</v>
      </c>
      <c r="BO138" t="s">
        <v>236</v>
      </c>
      <c r="BP138" t="s">
        <v>236</v>
      </c>
      <c r="BQ138" t="s">
        <v>236</v>
      </c>
      <c r="BR138" t="s">
        <v>236</v>
      </c>
      <c r="BS138" t="s">
        <v>436</v>
      </c>
      <c r="BT138">
        <v>0</v>
      </c>
    </row>
    <row r="139" spans="1:72" x14ac:dyDescent="0.15">
      <c r="A139" s="43">
        <v>2022</v>
      </c>
      <c r="B139" s="8">
        <v>12</v>
      </c>
      <c r="C139" s="8">
        <v>1</v>
      </c>
      <c r="D139" s="8">
        <v>20</v>
      </c>
      <c r="E139" s="8" t="s">
        <v>236</v>
      </c>
      <c r="F139" s="8" t="s">
        <v>57</v>
      </c>
      <c r="G139" s="8">
        <v>2016</v>
      </c>
      <c r="H139" s="8">
        <v>12</v>
      </c>
      <c r="I139" s="8" t="s">
        <v>526</v>
      </c>
      <c r="J139" s="8" t="s">
        <v>236</v>
      </c>
      <c r="K139" s="8">
        <v>1972</v>
      </c>
      <c r="L139" s="17">
        <v>12</v>
      </c>
      <c r="M139" s="8">
        <v>1</v>
      </c>
      <c r="N139" s="8" t="s">
        <v>48</v>
      </c>
      <c r="O139" s="8" t="s">
        <v>298</v>
      </c>
      <c r="P139" s="8" t="s">
        <v>295</v>
      </c>
      <c r="Q139" s="8">
        <v>7000</v>
      </c>
      <c r="R139" s="8" t="s">
        <v>57</v>
      </c>
      <c r="S139" s="8" t="s">
        <v>52</v>
      </c>
      <c r="T139" s="8" t="s">
        <v>70</v>
      </c>
      <c r="U139" s="8" t="s">
        <v>68</v>
      </c>
      <c r="V139" s="8">
        <v>1000</v>
      </c>
      <c r="W139" s="8" t="s">
        <v>241</v>
      </c>
      <c r="X139" s="8">
        <v>5000</v>
      </c>
      <c r="Y139" s="8" t="s">
        <v>278</v>
      </c>
      <c r="Z139" s="8">
        <v>80</v>
      </c>
      <c r="AA139" s="8" t="s">
        <v>525</v>
      </c>
      <c r="AB139" s="8" t="s">
        <v>236</v>
      </c>
      <c r="AC139" s="8" t="s">
        <v>236</v>
      </c>
      <c r="AD139" s="8" t="s">
        <v>236</v>
      </c>
      <c r="AE139" s="8" t="s">
        <v>68</v>
      </c>
      <c r="AF139" s="8" t="s">
        <v>236</v>
      </c>
      <c r="AG139" s="8" t="s">
        <v>236</v>
      </c>
      <c r="AH139" s="8" t="s">
        <v>236</v>
      </c>
      <c r="AI139" s="8" t="s">
        <v>236</v>
      </c>
      <c r="AJ139" t="s">
        <v>519</v>
      </c>
      <c r="AK139">
        <v>12</v>
      </c>
      <c r="AL139">
        <v>1</v>
      </c>
      <c r="AM139" t="s">
        <v>85</v>
      </c>
      <c r="AN139" t="s">
        <v>236</v>
      </c>
      <c r="AO139" t="s">
        <v>529</v>
      </c>
      <c r="AP139" t="s">
        <v>113</v>
      </c>
      <c r="AQ139">
        <v>12</v>
      </c>
      <c r="AR139" t="s">
        <v>526</v>
      </c>
      <c r="AS139" t="s">
        <v>236</v>
      </c>
      <c r="AT139" t="s">
        <v>155</v>
      </c>
      <c r="AU139">
        <v>12</v>
      </c>
      <c r="AV139">
        <v>1</v>
      </c>
      <c r="AW139" t="s">
        <v>432</v>
      </c>
      <c r="AX139" t="s">
        <v>298</v>
      </c>
      <c r="AY139" t="s">
        <v>295</v>
      </c>
      <c r="AZ139">
        <v>3</v>
      </c>
      <c r="BA139" t="s">
        <v>435</v>
      </c>
      <c r="BB139" t="s">
        <v>431</v>
      </c>
      <c r="BC139" t="s">
        <v>419</v>
      </c>
      <c r="BD139" t="s">
        <v>522</v>
      </c>
      <c r="BE139" t="s">
        <v>437</v>
      </c>
      <c r="BF139" t="s">
        <v>530</v>
      </c>
      <c r="BG139" t="s">
        <v>531</v>
      </c>
      <c r="BH139" t="s">
        <v>420</v>
      </c>
      <c r="BI139" t="s">
        <v>532</v>
      </c>
      <c r="BJ139" t="s">
        <v>68</v>
      </c>
      <c r="BK139" t="s">
        <v>236</v>
      </c>
      <c r="BL139" t="s">
        <v>236</v>
      </c>
      <c r="BM139" t="s">
        <v>236</v>
      </c>
      <c r="BN139" t="s">
        <v>68</v>
      </c>
      <c r="BO139" t="s">
        <v>236</v>
      </c>
      <c r="BP139" t="s">
        <v>236</v>
      </c>
      <c r="BQ139" t="s">
        <v>236</v>
      </c>
      <c r="BR139" t="s">
        <v>236</v>
      </c>
      <c r="BS139" t="s">
        <v>436</v>
      </c>
      <c r="BT139">
        <v>0</v>
      </c>
    </row>
    <row r="140" spans="1:72" x14ac:dyDescent="0.15">
      <c r="A140" s="43">
        <v>2022</v>
      </c>
      <c r="B140" s="8">
        <v>12</v>
      </c>
      <c r="C140" s="8">
        <v>1</v>
      </c>
      <c r="D140" s="8">
        <v>20</v>
      </c>
      <c r="E140" s="8" t="s">
        <v>236</v>
      </c>
      <c r="F140" s="8" t="s">
        <v>57</v>
      </c>
      <c r="G140" s="8">
        <v>2016</v>
      </c>
      <c r="H140" s="8">
        <v>12</v>
      </c>
      <c r="I140" s="8" t="s">
        <v>526</v>
      </c>
      <c r="J140" s="8" t="s">
        <v>236</v>
      </c>
      <c r="K140" s="8">
        <v>1962</v>
      </c>
      <c r="L140" s="17">
        <v>12</v>
      </c>
      <c r="M140" s="8">
        <v>1</v>
      </c>
      <c r="N140" s="8" t="s">
        <v>48</v>
      </c>
      <c r="O140" s="8" t="s">
        <v>298</v>
      </c>
      <c r="P140" s="8" t="s">
        <v>295</v>
      </c>
      <c r="Q140" s="8">
        <v>7000</v>
      </c>
      <c r="R140" s="8" t="s">
        <v>57</v>
      </c>
      <c r="S140" s="8" t="s">
        <v>52</v>
      </c>
      <c r="T140" s="8" t="s">
        <v>70</v>
      </c>
      <c r="U140" s="8" t="s">
        <v>68</v>
      </c>
      <c r="V140" s="8">
        <v>1000</v>
      </c>
      <c r="W140" s="8" t="s">
        <v>241</v>
      </c>
      <c r="X140" s="8">
        <v>5000</v>
      </c>
      <c r="Y140" s="8" t="s">
        <v>278</v>
      </c>
      <c r="Z140" s="8">
        <v>80</v>
      </c>
      <c r="AA140" s="8" t="s">
        <v>525</v>
      </c>
      <c r="AB140" s="8" t="s">
        <v>236</v>
      </c>
      <c r="AC140" s="8" t="s">
        <v>236</v>
      </c>
      <c r="AD140" s="8" t="s">
        <v>236</v>
      </c>
      <c r="AE140" s="8" t="s">
        <v>68</v>
      </c>
      <c r="AF140" s="8" t="s">
        <v>236</v>
      </c>
      <c r="AG140" s="8" t="s">
        <v>236</v>
      </c>
      <c r="AH140" s="8" t="s">
        <v>236</v>
      </c>
      <c r="AI140" s="8" t="s">
        <v>236</v>
      </c>
      <c r="AJ140" t="s">
        <v>519</v>
      </c>
      <c r="AK140">
        <v>12</v>
      </c>
      <c r="AL140">
        <v>1</v>
      </c>
      <c r="AM140" t="s">
        <v>85</v>
      </c>
      <c r="AN140" t="s">
        <v>236</v>
      </c>
      <c r="AO140" t="s">
        <v>529</v>
      </c>
      <c r="AP140" t="s">
        <v>113</v>
      </c>
      <c r="AQ140">
        <v>12</v>
      </c>
      <c r="AR140" t="s">
        <v>526</v>
      </c>
      <c r="AS140" t="s">
        <v>236</v>
      </c>
      <c r="AT140" t="s">
        <v>165</v>
      </c>
      <c r="AU140">
        <v>12</v>
      </c>
      <c r="AV140">
        <v>1</v>
      </c>
      <c r="AW140" t="s">
        <v>432</v>
      </c>
      <c r="AX140" t="s">
        <v>298</v>
      </c>
      <c r="AY140" t="s">
        <v>295</v>
      </c>
      <c r="AZ140">
        <v>3</v>
      </c>
      <c r="BA140" t="s">
        <v>435</v>
      </c>
      <c r="BB140" t="s">
        <v>431</v>
      </c>
      <c r="BC140" t="s">
        <v>419</v>
      </c>
      <c r="BD140" t="s">
        <v>522</v>
      </c>
      <c r="BE140" t="s">
        <v>437</v>
      </c>
      <c r="BF140" t="s">
        <v>530</v>
      </c>
      <c r="BG140" t="s">
        <v>531</v>
      </c>
      <c r="BH140" t="s">
        <v>420</v>
      </c>
      <c r="BI140" t="s">
        <v>532</v>
      </c>
      <c r="BJ140" t="s">
        <v>68</v>
      </c>
      <c r="BK140" t="s">
        <v>236</v>
      </c>
      <c r="BL140" t="s">
        <v>236</v>
      </c>
      <c r="BM140" t="s">
        <v>236</v>
      </c>
      <c r="BN140" t="s">
        <v>68</v>
      </c>
      <c r="BO140" t="s">
        <v>236</v>
      </c>
      <c r="BP140" t="s">
        <v>236</v>
      </c>
      <c r="BQ140" t="s">
        <v>236</v>
      </c>
      <c r="BR140" t="s">
        <v>236</v>
      </c>
      <c r="BS140" t="s">
        <v>436</v>
      </c>
      <c r="BT140">
        <v>0</v>
      </c>
    </row>
    <row r="141" spans="1:72" x14ac:dyDescent="0.15">
      <c r="A141" s="43">
        <v>2022</v>
      </c>
      <c r="B141" s="8">
        <v>12</v>
      </c>
      <c r="C141" s="8">
        <v>1</v>
      </c>
      <c r="D141" s="8">
        <v>20</v>
      </c>
      <c r="E141" s="8" t="s">
        <v>236</v>
      </c>
      <c r="F141" s="8" t="s">
        <v>57</v>
      </c>
      <c r="G141" s="8">
        <v>2016</v>
      </c>
      <c r="H141" s="8">
        <v>12</v>
      </c>
      <c r="I141" s="8" t="s">
        <v>526</v>
      </c>
      <c r="J141" s="8" t="s">
        <v>236</v>
      </c>
      <c r="K141" s="8">
        <v>1952</v>
      </c>
      <c r="L141" s="17">
        <v>12</v>
      </c>
      <c r="M141" s="8">
        <v>1</v>
      </c>
      <c r="N141" s="8" t="s">
        <v>48</v>
      </c>
      <c r="O141" s="8" t="s">
        <v>298</v>
      </c>
      <c r="P141" s="8" t="s">
        <v>295</v>
      </c>
      <c r="Q141" s="8">
        <v>7000</v>
      </c>
      <c r="R141" s="8" t="s">
        <v>57</v>
      </c>
      <c r="S141" s="8" t="s">
        <v>52</v>
      </c>
      <c r="T141" s="8" t="s">
        <v>70</v>
      </c>
      <c r="U141" s="8" t="s">
        <v>68</v>
      </c>
      <c r="V141" s="8">
        <v>1000</v>
      </c>
      <c r="W141" s="8" t="s">
        <v>241</v>
      </c>
      <c r="X141" s="8">
        <v>5000</v>
      </c>
      <c r="Y141" s="8" t="s">
        <v>278</v>
      </c>
      <c r="Z141" s="8">
        <v>80</v>
      </c>
      <c r="AA141" s="8" t="s">
        <v>525</v>
      </c>
      <c r="AB141" s="8" t="s">
        <v>236</v>
      </c>
      <c r="AC141" s="8" t="s">
        <v>236</v>
      </c>
      <c r="AD141" s="8" t="s">
        <v>236</v>
      </c>
      <c r="AE141" s="8" t="s">
        <v>68</v>
      </c>
      <c r="AF141" s="8" t="s">
        <v>236</v>
      </c>
      <c r="AG141" s="8" t="s">
        <v>236</v>
      </c>
      <c r="AH141" s="8" t="s">
        <v>236</v>
      </c>
      <c r="AI141" s="8" t="s">
        <v>236</v>
      </c>
      <c r="AJ141" t="s">
        <v>519</v>
      </c>
      <c r="AK141">
        <v>12</v>
      </c>
      <c r="AL141">
        <v>1</v>
      </c>
      <c r="AM141" t="s">
        <v>85</v>
      </c>
      <c r="AN141" t="s">
        <v>236</v>
      </c>
      <c r="AO141" t="s">
        <v>529</v>
      </c>
      <c r="AP141" t="s">
        <v>113</v>
      </c>
      <c r="AQ141">
        <v>12</v>
      </c>
      <c r="AR141" t="s">
        <v>526</v>
      </c>
      <c r="AS141" t="s">
        <v>236</v>
      </c>
      <c r="AT141" t="s">
        <v>175</v>
      </c>
      <c r="AU141">
        <v>12</v>
      </c>
      <c r="AV141">
        <v>1</v>
      </c>
      <c r="AW141" t="s">
        <v>432</v>
      </c>
      <c r="AX141" t="s">
        <v>298</v>
      </c>
      <c r="AY141" t="s">
        <v>295</v>
      </c>
      <c r="AZ141">
        <v>3</v>
      </c>
      <c r="BA141" t="s">
        <v>435</v>
      </c>
      <c r="BB141" t="s">
        <v>431</v>
      </c>
      <c r="BC141" t="s">
        <v>419</v>
      </c>
      <c r="BD141" t="s">
        <v>522</v>
      </c>
      <c r="BE141" t="s">
        <v>437</v>
      </c>
      <c r="BF141" t="s">
        <v>530</v>
      </c>
      <c r="BG141" t="s">
        <v>531</v>
      </c>
      <c r="BH141" t="s">
        <v>420</v>
      </c>
      <c r="BI141" t="s">
        <v>532</v>
      </c>
      <c r="BJ141" t="s">
        <v>68</v>
      </c>
      <c r="BK141" t="s">
        <v>236</v>
      </c>
      <c r="BL141" t="s">
        <v>236</v>
      </c>
      <c r="BM141" t="s">
        <v>236</v>
      </c>
      <c r="BN141" t="s">
        <v>68</v>
      </c>
      <c r="BO141" t="s">
        <v>236</v>
      </c>
      <c r="BP141" t="s">
        <v>236</v>
      </c>
      <c r="BQ141" t="s">
        <v>236</v>
      </c>
      <c r="BR141" t="s">
        <v>236</v>
      </c>
      <c r="BS141" t="s">
        <v>436</v>
      </c>
      <c r="BT141">
        <v>0</v>
      </c>
    </row>
    <row r="142" spans="1:72" x14ac:dyDescent="0.15">
      <c r="A142" s="43">
        <v>2022</v>
      </c>
      <c r="B142" s="8">
        <v>12</v>
      </c>
      <c r="C142" s="8">
        <v>1</v>
      </c>
      <c r="D142" s="8">
        <v>17</v>
      </c>
      <c r="E142" s="8" t="s">
        <v>236</v>
      </c>
      <c r="F142" s="8" t="s">
        <v>57</v>
      </c>
      <c r="G142" s="8">
        <v>2016</v>
      </c>
      <c r="H142" s="8">
        <v>12</v>
      </c>
      <c r="I142" s="8" t="s">
        <v>526</v>
      </c>
      <c r="J142" s="8" t="s">
        <v>236</v>
      </c>
      <c r="K142" s="8">
        <v>1992</v>
      </c>
      <c r="L142" s="17">
        <v>12</v>
      </c>
      <c r="M142" s="8">
        <v>1</v>
      </c>
      <c r="N142" s="8" t="s">
        <v>48</v>
      </c>
      <c r="O142" s="8" t="s">
        <v>298</v>
      </c>
      <c r="P142" s="8" t="s">
        <v>224</v>
      </c>
      <c r="Q142" s="8">
        <v>3000</v>
      </c>
      <c r="R142" s="8" t="s">
        <v>57</v>
      </c>
      <c r="S142" s="8" t="s">
        <v>52</v>
      </c>
      <c r="T142" s="8" t="s">
        <v>70</v>
      </c>
      <c r="U142" s="8" t="s">
        <v>68</v>
      </c>
      <c r="V142" s="8">
        <v>1000</v>
      </c>
      <c r="W142" s="8" t="s">
        <v>241</v>
      </c>
      <c r="X142" s="8">
        <v>5000</v>
      </c>
      <c r="Y142" s="8" t="s">
        <v>278</v>
      </c>
      <c r="Z142" s="8">
        <v>80</v>
      </c>
      <c r="AA142" s="8" t="s">
        <v>525</v>
      </c>
      <c r="AB142" s="8" t="s">
        <v>236</v>
      </c>
      <c r="AC142" s="8" t="s">
        <v>236</v>
      </c>
      <c r="AD142" s="8" t="s">
        <v>236</v>
      </c>
      <c r="AE142" s="8" t="s">
        <v>68</v>
      </c>
      <c r="AF142" s="8" t="s">
        <v>236</v>
      </c>
      <c r="AG142" s="8" t="s">
        <v>236</v>
      </c>
      <c r="AH142" s="8" t="s">
        <v>236</v>
      </c>
      <c r="AI142" s="8" t="s">
        <v>236</v>
      </c>
      <c r="AJ142" t="s">
        <v>519</v>
      </c>
      <c r="AK142">
        <v>12</v>
      </c>
      <c r="AL142">
        <v>1</v>
      </c>
      <c r="AM142" t="s">
        <v>88</v>
      </c>
      <c r="AN142" t="s">
        <v>236</v>
      </c>
      <c r="AO142" t="s">
        <v>529</v>
      </c>
      <c r="AP142" t="s">
        <v>113</v>
      </c>
      <c r="AQ142">
        <v>12</v>
      </c>
      <c r="AR142" t="s">
        <v>526</v>
      </c>
      <c r="AS142" t="s">
        <v>236</v>
      </c>
      <c r="AT142" t="s">
        <v>137</v>
      </c>
      <c r="AU142">
        <v>12</v>
      </c>
      <c r="AV142">
        <v>1</v>
      </c>
      <c r="AW142" t="s">
        <v>432</v>
      </c>
      <c r="AX142" t="s">
        <v>298</v>
      </c>
      <c r="AY142" t="s">
        <v>224</v>
      </c>
      <c r="AZ142">
        <v>1</v>
      </c>
      <c r="BA142" t="s">
        <v>435</v>
      </c>
      <c r="BB142" t="s">
        <v>431</v>
      </c>
      <c r="BC142" t="s">
        <v>419</v>
      </c>
      <c r="BD142" t="s">
        <v>522</v>
      </c>
      <c r="BE142" t="s">
        <v>437</v>
      </c>
      <c r="BF142" t="s">
        <v>530</v>
      </c>
      <c r="BG142" t="s">
        <v>531</v>
      </c>
      <c r="BH142" t="s">
        <v>420</v>
      </c>
      <c r="BI142" t="s">
        <v>532</v>
      </c>
      <c r="BJ142" t="s">
        <v>68</v>
      </c>
      <c r="BK142" t="s">
        <v>236</v>
      </c>
      <c r="BL142" t="s">
        <v>236</v>
      </c>
      <c r="BM142" t="s">
        <v>236</v>
      </c>
      <c r="BN142" t="s">
        <v>68</v>
      </c>
      <c r="BO142" t="s">
        <v>236</v>
      </c>
      <c r="BP142" t="s">
        <v>236</v>
      </c>
      <c r="BQ142" t="s">
        <v>236</v>
      </c>
      <c r="BR142" t="s">
        <v>236</v>
      </c>
      <c r="BS142" t="s">
        <v>436</v>
      </c>
      <c r="BT142">
        <v>0</v>
      </c>
    </row>
    <row r="143" spans="1:72" x14ac:dyDescent="0.15">
      <c r="A143" s="43">
        <v>2022</v>
      </c>
      <c r="B143" s="8">
        <v>12</v>
      </c>
      <c r="C143" s="8">
        <v>1</v>
      </c>
      <c r="D143" s="8">
        <v>17</v>
      </c>
      <c r="E143" s="8" t="s">
        <v>236</v>
      </c>
      <c r="F143" s="8" t="s">
        <v>57</v>
      </c>
      <c r="G143" s="8">
        <v>2016</v>
      </c>
      <c r="H143" s="8">
        <v>12</v>
      </c>
      <c r="I143" s="8" t="s">
        <v>526</v>
      </c>
      <c r="J143" s="8" t="s">
        <v>236</v>
      </c>
      <c r="K143" s="8">
        <v>1987</v>
      </c>
      <c r="L143" s="17">
        <v>12</v>
      </c>
      <c r="M143" s="8">
        <v>1</v>
      </c>
      <c r="N143" s="8" t="s">
        <v>48</v>
      </c>
      <c r="O143" s="8" t="s">
        <v>298</v>
      </c>
      <c r="P143" s="8" t="s">
        <v>224</v>
      </c>
      <c r="Q143" s="8">
        <v>3000</v>
      </c>
      <c r="R143" s="8" t="s">
        <v>57</v>
      </c>
      <c r="S143" s="8" t="s">
        <v>52</v>
      </c>
      <c r="T143" s="8" t="s">
        <v>70</v>
      </c>
      <c r="U143" s="8" t="s">
        <v>68</v>
      </c>
      <c r="V143" s="8">
        <v>1000</v>
      </c>
      <c r="W143" s="8" t="s">
        <v>241</v>
      </c>
      <c r="X143" s="8">
        <v>5000</v>
      </c>
      <c r="Y143" s="8" t="s">
        <v>278</v>
      </c>
      <c r="Z143" s="8">
        <v>80</v>
      </c>
      <c r="AA143" s="8" t="s">
        <v>525</v>
      </c>
      <c r="AB143" s="8" t="s">
        <v>236</v>
      </c>
      <c r="AC143" s="8" t="s">
        <v>236</v>
      </c>
      <c r="AD143" s="8" t="s">
        <v>236</v>
      </c>
      <c r="AE143" s="8" t="s">
        <v>68</v>
      </c>
      <c r="AF143" s="8" t="s">
        <v>236</v>
      </c>
      <c r="AG143" s="8" t="s">
        <v>236</v>
      </c>
      <c r="AH143" s="8" t="s">
        <v>236</v>
      </c>
      <c r="AI143" s="8" t="s">
        <v>236</v>
      </c>
      <c r="AJ143" t="s">
        <v>519</v>
      </c>
      <c r="AK143">
        <v>12</v>
      </c>
      <c r="AL143">
        <v>1</v>
      </c>
      <c r="AM143" t="s">
        <v>88</v>
      </c>
      <c r="AN143" t="s">
        <v>236</v>
      </c>
      <c r="AO143" t="s">
        <v>529</v>
      </c>
      <c r="AP143" t="s">
        <v>113</v>
      </c>
      <c r="AQ143">
        <v>12</v>
      </c>
      <c r="AR143" t="s">
        <v>526</v>
      </c>
      <c r="AS143" t="s">
        <v>236</v>
      </c>
      <c r="AT143" t="s">
        <v>140</v>
      </c>
      <c r="AU143">
        <v>12</v>
      </c>
      <c r="AV143">
        <v>1</v>
      </c>
      <c r="AW143" t="s">
        <v>432</v>
      </c>
      <c r="AX143" t="s">
        <v>298</v>
      </c>
      <c r="AY143" t="s">
        <v>224</v>
      </c>
      <c r="AZ143">
        <v>1</v>
      </c>
      <c r="BA143" t="s">
        <v>435</v>
      </c>
      <c r="BB143" t="s">
        <v>431</v>
      </c>
      <c r="BC143" t="s">
        <v>419</v>
      </c>
      <c r="BD143" t="s">
        <v>522</v>
      </c>
      <c r="BE143" t="s">
        <v>437</v>
      </c>
      <c r="BF143" t="s">
        <v>530</v>
      </c>
      <c r="BG143" t="s">
        <v>531</v>
      </c>
      <c r="BH143" t="s">
        <v>420</v>
      </c>
      <c r="BI143" t="s">
        <v>532</v>
      </c>
      <c r="BJ143" t="s">
        <v>68</v>
      </c>
      <c r="BK143" t="s">
        <v>236</v>
      </c>
      <c r="BL143" t="s">
        <v>236</v>
      </c>
      <c r="BM143" t="s">
        <v>236</v>
      </c>
      <c r="BN143" t="s">
        <v>68</v>
      </c>
      <c r="BO143" t="s">
        <v>236</v>
      </c>
      <c r="BP143" t="s">
        <v>236</v>
      </c>
      <c r="BQ143" t="s">
        <v>236</v>
      </c>
      <c r="BR143" t="s">
        <v>236</v>
      </c>
      <c r="BS143" t="s">
        <v>436</v>
      </c>
      <c r="BT143">
        <v>0</v>
      </c>
    </row>
    <row r="144" spans="1:72" x14ac:dyDescent="0.15">
      <c r="A144" s="43">
        <v>2022</v>
      </c>
      <c r="B144" s="8">
        <v>12</v>
      </c>
      <c r="C144" s="8">
        <v>1</v>
      </c>
      <c r="D144" s="8">
        <v>17</v>
      </c>
      <c r="E144" s="8" t="s">
        <v>236</v>
      </c>
      <c r="F144" s="8" t="s">
        <v>57</v>
      </c>
      <c r="G144" s="8">
        <v>2016</v>
      </c>
      <c r="H144" s="8">
        <v>12</v>
      </c>
      <c r="I144" s="8" t="s">
        <v>526</v>
      </c>
      <c r="J144" s="8" t="s">
        <v>236</v>
      </c>
      <c r="K144" s="8">
        <v>1982</v>
      </c>
      <c r="L144" s="17">
        <v>12</v>
      </c>
      <c r="M144" s="8">
        <v>1</v>
      </c>
      <c r="N144" s="8" t="s">
        <v>48</v>
      </c>
      <c r="O144" s="8" t="s">
        <v>298</v>
      </c>
      <c r="P144" s="8" t="s">
        <v>224</v>
      </c>
      <c r="Q144" s="8">
        <v>3000</v>
      </c>
      <c r="R144" s="8" t="s">
        <v>57</v>
      </c>
      <c r="S144" s="8" t="s">
        <v>52</v>
      </c>
      <c r="T144" s="8" t="s">
        <v>70</v>
      </c>
      <c r="U144" s="8" t="s">
        <v>68</v>
      </c>
      <c r="V144" s="8">
        <v>1000</v>
      </c>
      <c r="W144" s="8" t="s">
        <v>241</v>
      </c>
      <c r="X144" s="8">
        <v>5000</v>
      </c>
      <c r="Y144" s="8" t="s">
        <v>278</v>
      </c>
      <c r="Z144" s="8">
        <v>80</v>
      </c>
      <c r="AA144" s="8" t="s">
        <v>525</v>
      </c>
      <c r="AB144" s="8" t="s">
        <v>236</v>
      </c>
      <c r="AC144" s="8" t="s">
        <v>236</v>
      </c>
      <c r="AD144" s="8" t="s">
        <v>236</v>
      </c>
      <c r="AE144" s="8" t="s">
        <v>68</v>
      </c>
      <c r="AF144" s="8" t="s">
        <v>236</v>
      </c>
      <c r="AG144" s="8" t="s">
        <v>236</v>
      </c>
      <c r="AH144" s="8" t="s">
        <v>236</v>
      </c>
      <c r="AI144" s="8" t="s">
        <v>236</v>
      </c>
      <c r="AJ144" t="s">
        <v>519</v>
      </c>
      <c r="AK144">
        <v>12</v>
      </c>
      <c r="AL144">
        <v>1</v>
      </c>
      <c r="AM144" t="s">
        <v>88</v>
      </c>
      <c r="AN144" t="s">
        <v>236</v>
      </c>
      <c r="AO144" t="s">
        <v>529</v>
      </c>
      <c r="AP144" t="s">
        <v>113</v>
      </c>
      <c r="AQ144">
        <v>12</v>
      </c>
      <c r="AR144" t="s">
        <v>526</v>
      </c>
      <c r="AS144" t="s">
        <v>236</v>
      </c>
      <c r="AT144" t="s">
        <v>145</v>
      </c>
      <c r="AU144">
        <v>12</v>
      </c>
      <c r="AV144">
        <v>1</v>
      </c>
      <c r="AW144" t="s">
        <v>432</v>
      </c>
      <c r="AX144" t="s">
        <v>298</v>
      </c>
      <c r="AY144" t="s">
        <v>224</v>
      </c>
      <c r="AZ144">
        <v>1</v>
      </c>
      <c r="BA144" t="s">
        <v>435</v>
      </c>
      <c r="BB144" t="s">
        <v>431</v>
      </c>
      <c r="BC144" t="s">
        <v>419</v>
      </c>
      <c r="BD144" t="s">
        <v>522</v>
      </c>
      <c r="BE144" t="s">
        <v>437</v>
      </c>
      <c r="BF144" t="s">
        <v>530</v>
      </c>
      <c r="BG144" t="s">
        <v>531</v>
      </c>
      <c r="BH144" t="s">
        <v>420</v>
      </c>
      <c r="BI144" t="s">
        <v>532</v>
      </c>
      <c r="BJ144" t="s">
        <v>68</v>
      </c>
      <c r="BK144" t="s">
        <v>236</v>
      </c>
      <c r="BL144" t="s">
        <v>236</v>
      </c>
      <c r="BM144" t="s">
        <v>236</v>
      </c>
      <c r="BN144" t="s">
        <v>68</v>
      </c>
      <c r="BO144" t="s">
        <v>236</v>
      </c>
      <c r="BP144" t="s">
        <v>236</v>
      </c>
      <c r="BQ144" t="s">
        <v>236</v>
      </c>
      <c r="BR144" t="s">
        <v>236</v>
      </c>
      <c r="BS144" t="s">
        <v>436</v>
      </c>
      <c r="BT144">
        <v>0</v>
      </c>
    </row>
    <row r="145" spans="1:72" x14ac:dyDescent="0.15">
      <c r="A145" s="43">
        <v>2022</v>
      </c>
      <c r="B145" s="8">
        <v>12</v>
      </c>
      <c r="C145" s="8">
        <v>1</v>
      </c>
      <c r="D145" s="8">
        <v>17</v>
      </c>
      <c r="E145" s="8" t="s">
        <v>236</v>
      </c>
      <c r="F145" s="8" t="s">
        <v>57</v>
      </c>
      <c r="G145" s="8">
        <v>2016</v>
      </c>
      <c r="H145" s="8">
        <v>12</v>
      </c>
      <c r="I145" s="8" t="s">
        <v>526</v>
      </c>
      <c r="J145" s="8" t="s">
        <v>236</v>
      </c>
      <c r="K145" s="8">
        <v>1977</v>
      </c>
      <c r="L145" s="17">
        <v>12</v>
      </c>
      <c r="M145" s="8">
        <v>1</v>
      </c>
      <c r="N145" s="8" t="s">
        <v>48</v>
      </c>
      <c r="O145" s="8" t="s">
        <v>298</v>
      </c>
      <c r="P145" s="8" t="s">
        <v>224</v>
      </c>
      <c r="Q145" s="8">
        <v>3000</v>
      </c>
      <c r="R145" s="8" t="s">
        <v>57</v>
      </c>
      <c r="S145" s="8" t="s">
        <v>52</v>
      </c>
      <c r="T145" s="8" t="s">
        <v>70</v>
      </c>
      <c r="U145" s="8" t="s">
        <v>68</v>
      </c>
      <c r="V145" s="8">
        <v>1000</v>
      </c>
      <c r="W145" s="8" t="s">
        <v>241</v>
      </c>
      <c r="X145" s="8">
        <v>5000</v>
      </c>
      <c r="Y145" s="8" t="s">
        <v>278</v>
      </c>
      <c r="Z145" s="8">
        <v>80</v>
      </c>
      <c r="AA145" s="8" t="s">
        <v>525</v>
      </c>
      <c r="AB145" s="8" t="s">
        <v>236</v>
      </c>
      <c r="AC145" s="8" t="s">
        <v>236</v>
      </c>
      <c r="AD145" s="8" t="s">
        <v>236</v>
      </c>
      <c r="AE145" s="8" t="s">
        <v>68</v>
      </c>
      <c r="AF145" s="8" t="s">
        <v>236</v>
      </c>
      <c r="AG145" s="8" t="s">
        <v>236</v>
      </c>
      <c r="AH145" s="8" t="s">
        <v>236</v>
      </c>
      <c r="AI145" s="8" t="s">
        <v>236</v>
      </c>
      <c r="AJ145" t="s">
        <v>519</v>
      </c>
      <c r="AK145">
        <v>12</v>
      </c>
      <c r="AL145">
        <v>1</v>
      </c>
      <c r="AM145" t="s">
        <v>88</v>
      </c>
      <c r="AN145" t="s">
        <v>236</v>
      </c>
      <c r="AO145" t="s">
        <v>529</v>
      </c>
      <c r="AP145" t="s">
        <v>113</v>
      </c>
      <c r="AQ145">
        <v>12</v>
      </c>
      <c r="AR145" t="s">
        <v>526</v>
      </c>
      <c r="AS145" t="s">
        <v>236</v>
      </c>
      <c r="AT145" t="s">
        <v>150</v>
      </c>
      <c r="AU145">
        <v>12</v>
      </c>
      <c r="AV145">
        <v>1</v>
      </c>
      <c r="AW145" t="s">
        <v>432</v>
      </c>
      <c r="AX145" t="s">
        <v>298</v>
      </c>
      <c r="AY145" t="s">
        <v>224</v>
      </c>
      <c r="AZ145">
        <v>1</v>
      </c>
      <c r="BA145" t="s">
        <v>435</v>
      </c>
      <c r="BB145" t="s">
        <v>431</v>
      </c>
      <c r="BC145" t="s">
        <v>419</v>
      </c>
      <c r="BD145" t="s">
        <v>522</v>
      </c>
      <c r="BE145" t="s">
        <v>437</v>
      </c>
      <c r="BF145" t="s">
        <v>530</v>
      </c>
      <c r="BG145" t="s">
        <v>531</v>
      </c>
      <c r="BH145" t="s">
        <v>420</v>
      </c>
      <c r="BI145" t="s">
        <v>532</v>
      </c>
      <c r="BJ145" t="s">
        <v>68</v>
      </c>
      <c r="BK145" t="s">
        <v>236</v>
      </c>
      <c r="BL145" t="s">
        <v>236</v>
      </c>
      <c r="BM145" t="s">
        <v>236</v>
      </c>
      <c r="BN145" t="s">
        <v>68</v>
      </c>
      <c r="BO145" t="s">
        <v>236</v>
      </c>
      <c r="BP145" t="s">
        <v>236</v>
      </c>
      <c r="BQ145" t="s">
        <v>236</v>
      </c>
      <c r="BR145" t="s">
        <v>236</v>
      </c>
      <c r="BS145" t="s">
        <v>436</v>
      </c>
      <c r="BT145">
        <v>0</v>
      </c>
    </row>
    <row r="146" spans="1:72" x14ac:dyDescent="0.15">
      <c r="A146" s="43">
        <v>2022</v>
      </c>
      <c r="B146" s="8">
        <v>12</v>
      </c>
      <c r="C146" s="8">
        <v>1</v>
      </c>
      <c r="D146" s="8">
        <v>17</v>
      </c>
      <c r="E146" s="8" t="s">
        <v>236</v>
      </c>
      <c r="F146" s="8" t="s">
        <v>57</v>
      </c>
      <c r="G146" s="8">
        <v>2016</v>
      </c>
      <c r="H146" s="8">
        <v>12</v>
      </c>
      <c r="I146" s="8" t="s">
        <v>526</v>
      </c>
      <c r="J146" s="8" t="s">
        <v>236</v>
      </c>
      <c r="K146" s="8">
        <v>1972</v>
      </c>
      <c r="L146" s="17">
        <v>12</v>
      </c>
      <c r="M146" s="8">
        <v>1</v>
      </c>
      <c r="N146" s="8" t="s">
        <v>48</v>
      </c>
      <c r="O146" s="8" t="s">
        <v>298</v>
      </c>
      <c r="P146" s="8" t="s">
        <v>224</v>
      </c>
      <c r="Q146" s="8">
        <v>3000</v>
      </c>
      <c r="R146" s="8" t="s">
        <v>57</v>
      </c>
      <c r="S146" s="8" t="s">
        <v>52</v>
      </c>
      <c r="T146" s="8" t="s">
        <v>70</v>
      </c>
      <c r="U146" s="8" t="s">
        <v>68</v>
      </c>
      <c r="V146" s="8">
        <v>1000</v>
      </c>
      <c r="W146" s="8" t="s">
        <v>241</v>
      </c>
      <c r="X146" s="8">
        <v>5000</v>
      </c>
      <c r="Y146" s="8" t="s">
        <v>278</v>
      </c>
      <c r="Z146" s="8">
        <v>80</v>
      </c>
      <c r="AA146" s="8" t="s">
        <v>525</v>
      </c>
      <c r="AB146" s="8" t="s">
        <v>236</v>
      </c>
      <c r="AC146" s="8" t="s">
        <v>236</v>
      </c>
      <c r="AD146" s="8" t="s">
        <v>236</v>
      </c>
      <c r="AE146" s="8" t="s">
        <v>68</v>
      </c>
      <c r="AF146" s="8" t="s">
        <v>236</v>
      </c>
      <c r="AG146" s="8" t="s">
        <v>236</v>
      </c>
      <c r="AH146" s="8" t="s">
        <v>236</v>
      </c>
      <c r="AI146" s="8" t="s">
        <v>236</v>
      </c>
      <c r="AJ146" t="s">
        <v>519</v>
      </c>
      <c r="AK146">
        <v>12</v>
      </c>
      <c r="AL146">
        <v>1</v>
      </c>
      <c r="AM146" t="s">
        <v>88</v>
      </c>
      <c r="AN146" t="s">
        <v>236</v>
      </c>
      <c r="AO146" t="s">
        <v>529</v>
      </c>
      <c r="AP146" t="s">
        <v>113</v>
      </c>
      <c r="AQ146">
        <v>12</v>
      </c>
      <c r="AR146" t="s">
        <v>526</v>
      </c>
      <c r="AS146" t="s">
        <v>236</v>
      </c>
      <c r="AT146" t="s">
        <v>155</v>
      </c>
      <c r="AU146">
        <v>12</v>
      </c>
      <c r="AV146">
        <v>1</v>
      </c>
      <c r="AW146" t="s">
        <v>432</v>
      </c>
      <c r="AX146" t="s">
        <v>298</v>
      </c>
      <c r="AY146" t="s">
        <v>224</v>
      </c>
      <c r="AZ146">
        <v>1</v>
      </c>
      <c r="BA146" t="s">
        <v>435</v>
      </c>
      <c r="BB146" t="s">
        <v>431</v>
      </c>
      <c r="BC146" t="s">
        <v>419</v>
      </c>
      <c r="BD146" t="s">
        <v>522</v>
      </c>
      <c r="BE146" t="s">
        <v>437</v>
      </c>
      <c r="BF146" t="s">
        <v>530</v>
      </c>
      <c r="BG146" t="s">
        <v>531</v>
      </c>
      <c r="BH146" t="s">
        <v>420</v>
      </c>
      <c r="BI146" t="s">
        <v>532</v>
      </c>
      <c r="BJ146" t="s">
        <v>68</v>
      </c>
      <c r="BK146" t="s">
        <v>236</v>
      </c>
      <c r="BL146" t="s">
        <v>236</v>
      </c>
      <c r="BM146" t="s">
        <v>236</v>
      </c>
      <c r="BN146" t="s">
        <v>68</v>
      </c>
      <c r="BO146" t="s">
        <v>236</v>
      </c>
      <c r="BP146" t="s">
        <v>236</v>
      </c>
      <c r="BQ146" t="s">
        <v>236</v>
      </c>
      <c r="BR146" t="s">
        <v>236</v>
      </c>
      <c r="BS146" t="s">
        <v>436</v>
      </c>
      <c r="BT146">
        <v>0</v>
      </c>
    </row>
    <row r="147" spans="1:72" x14ac:dyDescent="0.15">
      <c r="A147" s="43">
        <v>2022</v>
      </c>
      <c r="B147" s="8">
        <v>12</v>
      </c>
      <c r="C147" s="8">
        <v>1</v>
      </c>
      <c r="D147" s="8">
        <v>17</v>
      </c>
      <c r="E147" s="8" t="s">
        <v>236</v>
      </c>
      <c r="F147" s="8" t="s">
        <v>57</v>
      </c>
      <c r="G147" s="8">
        <v>2016</v>
      </c>
      <c r="H147" s="8">
        <v>12</v>
      </c>
      <c r="I147" s="8" t="s">
        <v>526</v>
      </c>
      <c r="J147" s="8" t="s">
        <v>236</v>
      </c>
      <c r="K147" s="8">
        <v>1962</v>
      </c>
      <c r="L147" s="17">
        <v>12</v>
      </c>
      <c r="M147" s="8">
        <v>1</v>
      </c>
      <c r="N147" s="8" t="s">
        <v>48</v>
      </c>
      <c r="O147" s="8" t="s">
        <v>298</v>
      </c>
      <c r="P147" s="8" t="s">
        <v>224</v>
      </c>
      <c r="Q147" s="8">
        <v>3000</v>
      </c>
      <c r="R147" s="8" t="s">
        <v>57</v>
      </c>
      <c r="S147" s="8" t="s">
        <v>52</v>
      </c>
      <c r="T147" s="8" t="s">
        <v>70</v>
      </c>
      <c r="U147" s="8" t="s">
        <v>68</v>
      </c>
      <c r="V147" s="8">
        <v>1000</v>
      </c>
      <c r="W147" s="8" t="s">
        <v>241</v>
      </c>
      <c r="X147" s="8">
        <v>5000</v>
      </c>
      <c r="Y147" s="8" t="s">
        <v>278</v>
      </c>
      <c r="Z147" s="8">
        <v>80</v>
      </c>
      <c r="AA147" s="8" t="s">
        <v>525</v>
      </c>
      <c r="AB147" s="8" t="s">
        <v>236</v>
      </c>
      <c r="AC147" s="8" t="s">
        <v>236</v>
      </c>
      <c r="AD147" s="8" t="s">
        <v>236</v>
      </c>
      <c r="AE147" s="8" t="s">
        <v>68</v>
      </c>
      <c r="AF147" s="8" t="s">
        <v>236</v>
      </c>
      <c r="AG147" s="8" t="s">
        <v>236</v>
      </c>
      <c r="AH147" s="8" t="s">
        <v>236</v>
      </c>
      <c r="AI147" s="8" t="s">
        <v>236</v>
      </c>
      <c r="AJ147" t="s">
        <v>519</v>
      </c>
      <c r="AK147">
        <v>12</v>
      </c>
      <c r="AL147">
        <v>1</v>
      </c>
      <c r="AM147" t="s">
        <v>88</v>
      </c>
      <c r="AN147" t="s">
        <v>236</v>
      </c>
      <c r="AO147" t="s">
        <v>529</v>
      </c>
      <c r="AP147" t="s">
        <v>113</v>
      </c>
      <c r="AQ147">
        <v>12</v>
      </c>
      <c r="AR147" t="s">
        <v>526</v>
      </c>
      <c r="AS147" t="s">
        <v>236</v>
      </c>
      <c r="AT147" t="s">
        <v>165</v>
      </c>
      <c r="AU147">
        <v>12</v>
      </c>
      <c r="AV147">
        <v>1</v>
      </c>
      <c r="AW147" t="s">
        <v>432</v>
      </c>
      <c r="AX147" t="s">
        <v>298</v>
      </c>
      <c r="AY147" t="s">
        <v>224</v>
      </c>
      <c r="AZ147">
        <v>1</v>
      </c>
      <c r="BA147" t="s">
        <v>435</v>
      </c>
      <c r="BB147" t="s">
        <v>431</v>
      </c>
      <c r="BC147" t="s">
        <v>419</v>
      </c>
      <c r="BD147" t="s">
        <v>522</v>
      </c>
      <c r="BE147" t="s">
        <v>437</v>
      </c>
      <c r="BF147" t="s">
        <v>530</v>
      </c>
      <c r="BG147" t="s">
        <v>531</v>
      </c>
      <c r="BH147" t="s">
        <v>420</v>
      </c>
      <c r="BI147" t="s">
        <v>532</v>
      </c>
      <c r="BJ147" t="s">
        <v>68</v>
      </c>
      <c r="BK147" t="s">
        <v>236</v>
      </c>
      <c r="BL147" t="s">
        <v>236</v>
      </c>
      <c r="BM147" t="s">
        <v>236</v>
      </c>
      <c r="BN147" t="s">
        <v>68</v>
      </c>
      <c r="BO147" t="s">
        <v>236</v>
      </c>
      <c r="BP147" t="s">
        <v>236</v>
      </c>
      <c r="BQ147" t="s">
        <v>236</v>
      </c>
      <c r="BR147" t="s">
        <v>236</v>
      </c>
      <c r="BS147" t="s">
        <v>436</v>
      </c>
      <c r="BT147">
        <v>0</v>
      </c>
    </row>
    <row r="148" spans="1:72" x14ac:dyDescent="0.15">
      <c r="A148" s="43">
        <v>2022</v>
      </c>
      <c r="B148" s="8">
        <v>12</v>
      </c>
      <c r="C148" s="8">
        <v>1</v>
      </c>
      <c r="D148" s="8">
        <v>17</v>
      </c>
      <c r="E148" s="8" t="s">
        <v>236</v>
      </c>
      <c r="F148" s="8" t="s">
        <v>57</v>
      </c>
      <c r="G148" s="8">
        <v>2016</v>
      </c>
      <c r="H148" s="8">
        <v>12</v>
      </c>
      <c r="I148" s="8" t="s">
        <v>526</v>
      </c>
      <c r="J148" s="8" t="s">
        <v>236</v>
      </c>
      <c r="K148" s="8">
        <v>1952</v>
      </c>
      <c r="L148" s="17">
        <v>12</v>
      </c>
      <c r="M148" s="8">
        <v>1</v>
      </c>
      <c r="N148" s="8" t="s">
        <v>48</v>
      </c>
      <c r="O148" s="8" t="s">
        <v>298</v>
      </c>
      <c r="P148" s="8" t="s">
        <v>224</v>
      </c>
      <c r="Q148" s="8">
        <v>3000</v>
      </c>
      <c r="R148" s="8" t="s">
        <v>57</v>
      </c>
      <c r="S148" s="8" t="s">
        <v>52</v>
      </c>
      <c r="T148" s="8" t="s">
        <v>70</v>
      </c>
      <c r="U148" s="8" t="s">
        <v>68</v>
      </c>
      <c r="V148" s="8">
        <v>1000</v>
      </c>
      <c r="W148" s="8" t="s">
        <v>241</v>
      </c>
      <c r="X148" s="8">
        <v>5000</v>
      </c>
      <c r="Y148" s="8" t="s">
        <v>278</v>
      </c>
      <c r="Z148" s="8">
        <v>80</v>
      </c>
      <c r="AA148" s="8" t="s">
        <v>525</v>
      </c>
      <c r="AB148" s="8" t="s">
        <v>236</v>
      </c>
      <c r="AC148" s="8" t="s">
        <v>236</v>
      </c>
      <c r="AD148" s="8" t="s">
        <v>236</v>
      </c>
      <c r="AE148" s="8" t="s">
        <v>68</v>
      </c>
      <c r="AF148" s="8" t="s">
        <v>236</v>
      </c>
      <c r="AG148" s="8" t="s">
        <v>236</v>
      </c>
      <c r="AH148" s="8" t="s">
        <v>236</v>
      </c>
      <c r="AI148" s="8" t="s">
        <v>236</v>
      </c>
      <c r="AJ148" t="s">
        <v>519</v>
      </c>
      <c r="AK148">
        <v>12</v>
      </c>
      <c r="AL148">
        <v>1</v>
      </c>
      <c r="AM148" t="s">
        <v>88</v>
      </c>
      <c r="AN148" t="s">
        <v>236</v>
      </c>
      <c r="AO148" t="s">
        <v>529</v>
      </c>
      <c r="AP148" t="s">
        <v>113</v>
      </c>
      <c r="AQ148">
        <v>12</v>
      </c>
      <c r="AR148" t="s">
        <v>526</v>
      </c>
      <c r="AS148" t="s">
        <v>236</v>
      </c>
      <c r="AT148" t="s">
        <v>175</v>
      </c>
      <c r="AU148">
        <v>12</v>
      </c>
      <c r="AV148">
        <v>1</v>
      </c>
      <c r="AW148" t="s">
        <v>432</v>
      </c>
      <c r="AX148" t="s">
        <v>298</v>
      </c>
      <c r="AY148" t="s">
        <v>224</v>
      </c>
      <c r="AZ148">
        <v>1</v>
      </c>
      <c r="BA148" t="s">
        <v>435</v>
      </c>
      <c r="BB148" t="s">
        <v>431</v>
      </c>
      <c r="BC148" t="s">
        <v>419</v>
      </c>
      <c r="BD148" t="s">
        <v>522</v>
      </c>
      <c r="BE148" t="s">
        <v>437</v>
      </c>
      <c r="BF148" t="s">
        <v>530</v>
      </c>
      <c r="BG148" t="s">
        <v>531</v>
      </c>
      <c r="BH148" t="s">
        <v>420</v>
      </c>
      <c r="BI148" t="s">
        <v>532</v>
      </c>
      <c r="BJ148" t="s">
        <v>68</v>
      </c>
      <c r="BK148" t="s">
        <v>236</v>
      </c>
      <c r="BL148" t="s">
        <v>236</v>
      </c>
      <c r="BM148" t="s">
        <v>236</v>
      </c>
      <c r="BN148" t="s">
        <v>68</v>
      </c>
      <c r="BO148" t="s">
        <v>236</v>
      </c>
      <c r="BP148" t="s">
        <v>236</v>
      </c>
      <c r="BQ148" t="s">
        <v>236</v>
      </c>
      <c r="BR148" t="s">
        <v>236</v>
      </c>
      <c r="BS148" t="s">
        <v>436</v>
      </c>
      <c r="BT148">
        <v>0</v>
      </c>
    </row>
    <row r="149" spans="1:72" x14ac:dyDescent="0.15">
      <c r="A149" s="43">
        <v>2022</v>
      </c>
      <c r="B149" s="8">
        <v>12</v>
      </c>
      <c r="C149" s="8">
        <v>1</v>
      </c>
      <c r="D149" s="8">
        <v>17</v>
      </c>
      <c r="E149" s="8" t="s">
        <v>236</v>
      </c>
      <c r="F149" s="8" t="s">
        <v>57</v>
      </c>
      <c r="G149" s="8">
        <v>2016</v>
      </c>
      <c r="H149" s="8">
        <v>12</v>
      </c>
      <c r="I149" s="8" t="s">
        <v>526</v>
      </c>
      <c r="J149" s="8" t="s">
        <v>236</v>
      </c>
      <c r="K149" s="8">
        <v>1992</v>
      </c>
      <c r="L149" s="17">
        <v>12</v>
      </c>
      <c r="M149" s="8">
        <v>1</v>
      </c>
      <c r="N149" s="8" t="s">
        <v>48</v>
      </c>
      <c r="O149" s="8" t="s">
        <v>298</v>
      </c>
      <c r="P149" s="8" t="s">
        <v>224</v>
      </c>
      <c r="Q149" s="8">
        <v>7000</v>
      </c>
      <c r="R149" s="8" t="s">
        <v>57</v>
      </c>
      <c r="S149" s="8" t="s">
        <v>52</v>
      </c>
      <c r="T149" s="8" t="s">
        <v>70</v>
      </c>
      <c r="U149" s="8" t="s">
        <v>68</v>
      </c>
      <c r="V149" s="8">
        <v>1000</v>
      </c>
      <c r="W149" s="8" t="s">
        <v>241</v>
      </c>
      <c r="X149" s="8">
        <v>5000</v>
      </c>
      <c r="Y149" s="8" t="s">
        <v>278</v>
      </c>
      <c r="Z149" s="8">
        <v>80</v>
      </c>
      <c r="AA149" s="8" t="s">
        <v>525</v>
      </c>
      <c r="AB149" s="8" t="s">
        <v>236</v>
      </c>
      <c r="AC149" s="8" t="s">
        <v>236</v>
      </c>
      <c r="AD149" s="8" t="s">
        <v>236</v>
      </c>
      <c r="AE149" s="8" t="s">
        <v>68</v>
      </c>
      <c r="AF149" s="8" t="s">
        <v>236</v>
      </c>
      <c r="AG149" s="8" t="s">
        <v>236</v>
      </c>
      <c r="AH149" s="8" t="s">
        <v>236</v>
      </c>
      <c r="AI149" s="8" t="s">
        <v>236</v>
      </c>
      <c r="AJ149" t="s">
        <v>519</v>
      </c>
      <c r="AK149">
        <v>12</v>
      </c>
      <c r="AL149">
        <v>1</v>
      </c>
      <c r="AM149" t="s">
        <v>88</v>
      </c>
      <c r="AN149" t="s">
        <v>236</v>
      </c>
      <c r="AO149" t="s">
        <v>529</v>
      </c>
      <c r="AP149" t="s">
        <v>113</v>
      </c>
      <c r="AQ149">
        <v>12</v>
      </c>
      <c r="AR149" t="s">
        <v>526</v>
      </c>
      <c r="AS149" t="s">
        <v>236</v>
      </c>
      <c r="AT149" t="s">
        <v>137</v>
      </c>
      <c r="AU149">
        <v>12</v>
      </c>
      <c r="AV149">
        <v>1</v>
      </c>
      <c r="AW149" t="s">
        <v>432</v>
      </c>
      <c r="AX149" t="s">
        <v>298</v>
      </c>
      <c r="AY149" t="s">
        <v>224</v>
      </c>
      <c r="AZ149">
        <v>3</v>
      </c>
      <c r="BA149" t="s">
        <v>435</v>
      </c>
      <c r="BB149" t="s">
        <v>431</v>
      </c>
      <c r="BC149" t="s">
        <v>419</v>
      </c>
      <c r="BD149" t="s">
        <v>522</v>
      </c>
      <c r="BE149" t="s">
        <v>437</v>
      </c>
      <c r="BF149" t="s">
        <v>530</v>
      </c>
      <c r="BG149" t="s">
        <v>531</v>
      </c>
      <c r="BH149" t="s">
        <v>420</v>
      </c>
      <c r="BI149" t="s">
        <v>532</v>
      </c>
      <c r="BJ149" t="s">
        <v>68</v>
      </c>
      <c r="BK149" t="s">
        <v>236</v>
      </c>
      <c r="BL149" t="s">
        <v>236</v>
      </c>
      <c r="BM149" t="s">
        <v>236</v>
      </c>
      <c r="BN149" t="s">
        <v>68</v>
      </c>
      <c r="BO149" t="s">
        <v>236</v>
      </c>
      <c r="BP149" t="s">
        <v>236</v>
      </c>
      <c r="BQ149" t="s">
        <v>236</v>
      </c>
      <c r="BR149" t="s">
        <v>236</v>
      </c>
      <c r="BS149" t="s">
        <v>436</v>
      </c>
      <c r="BT149">
        <v>0</v>
      </c>
    </row>
    <row r="150" spans="1:72" x14ac:dyDescent="0.15">
      <c r="A150" s="43">
        <v>2022</v>
      </c>
      <c r="B150" s="8">
        <v>12</v>
      </c>
      <c r="C150" s="8">
        <v>1</v>
      </c>
      <c r="D150" s="8">
        <v>17</v>
      </c>
      <c r="E150" s="8" t="s">
        <v>236</v>
      </c>
      <c r="F150" s="8" t="s">
        <v>57</v>
      </c>
      <c r="G150" s="8">
        <v>2016</v>
      </c>
      <c r="H150" s="8">
        <v>12</v>
      </c>
      <c r="I150" s="8" t="s">
        <v>526</v>
      </c>
      <c r="J150" s="8" t="s">
        <v>236</v>
      </c>
      <c r="K150" s="8">
        <v>1987</v>
      </c>
      <c r="L150" s="17">
        <v>12</v>
      </c>
      <c r="M150" s="8">
        <v>1</v>
      </c>
      <c r="N150" s="8" t="s">
        <v>48</v>
      </c>
      <c r="O150" s="8" t="s">
        <v>298</v>
      </c>
      <c r="P150" s="8" t="s">
        <v>224</v>
      </c>
      <c r="Q150" s="8">
        <v>7000</v>
      </c>
      <c r="R150" s="8" t="s">
        <v>57</v>
      </c>
      <c r="S150" s="8" t="s">
        <v>52</v>
      </c>
      <c r="T150" s="8" t="s">
        <v>70</v>
      </c>
      <c r="U150" s="8" t="s">
        <v>68</v>
      </c>
      <c r="V150" s="8">
        <v>1000</v>
      </c>
      <c r="W150" s="8" t="s">
        <v>241</v>
      </c>
      <c r="X150" s="8">
        <v>5000</v>
      </c>
      <c r="Y150" s="8" t="s">
        <v>278</v>
      </c>
      <c r="Z150" s="8">
        <v>80</v>
      </c>
      <c r="AA150" s="8" t="s">
        <v>525</v>
      </c>
      <c r="AB150" s="8" t="s">
        <v>236</v>
      </c>
      <c r="AC150" s="8" t="s">
        <v>236</v>
      </c>
      <c r="AD150" s="8" t="s">
        <v>236</v>
      </c>
      <c r="AE150" s="8" t="s">
        <v>68</v>
      </c>
      <c r="AF150" s="8" t="s">
        <v>236</v>
      </c>
      <c r="AG150" s="8" t="s">
        <v>236</v>
      </c>
      <c r="AH150" s="8" t="s">
        <v>236</v>
      </c>
      <c r="AI150" s="8" t="s">
        <v>236</v>
      </c>
      <c r="AJ150" t="s">
        <v>519</v>
      </c>
      <c r="AK150">
        <v>12</v>
      </c>
      <c r="AL150">
        <v>1</v>
      </c>
      <c r="AM150" t="s">
        <v>88</v>
      </c>
      <c r="AN150" t="s">
        <v>236</v>
      </c>
      <c r="AO150" t="s">
        <v>529</v>
      </c>
      <c r="AP150" t="s">
        <v>113</v>
      </c>
      <c r="AQ150">
        <v>12</v>
      </c>
      <c r="AR150" t="s">
        <v>526</v>
      </c>
      <c r="AS150" t="s">
        <v>236</v>
      </c>
      <c r="AT150" t="s">
        <v>140</v>
      </c>
      <c r="AU150">
        <v>12</v>
      </c>
      <c r="AV150">
        <v>1</v>
      </c>
      <c r="AW150" t="s">
        <v>432</v>
      </c>
      <c r="AX150" t="s">
        <v>298</v>
      </c>
      <c r="AY150" t="s">
        <v>224</v>
      </c>
      <c r="AZ150">
        <v>3</v>
      </c>
      <c r="BA150" t="s">
        <v>435</v>
      </c>
      <c r="BB150" t="s">
        <v>431</v>
      </c>
      <c r="BC150" t="s">
        <v>419</v>
      </c>
      <c r="BD150" t="s">
        <v>522</v>
      </c>
      <c r="BE150" t="s">
        <v>437</v>
      </c>
      <c r="BF150" t="s">
        <v>530</v>
      </c>
      <c r="BG150" t="s">
        <v>531</v>
      </c>
      <c r="BH150" t="s">
        <v>420</v>
      </c>
      <c r="BI150" t="s">
        <v>532</v>
      </c>
      <c r="BJ150" t="s">
        <v>68</v>
      </c>
      <c r="BK150" t="s">
        <v>236</v>
      </c>
      <c r="BL150" t="s">
        <v>236</v>
      </c>
      <c r="BM150" t="s">
        <v>236</v>
      </c>
      <c r="BN150" t="s">
        <v>68</v>
      </c>
      <c r="BO150" t="s">
        <v>236</v>
      </c>
      <c r="BP150" t="s">
        <v>236</v>
      </c>
      <c r="BQ150" t="s">
        <v>236</v>
      </c>
      <c r="BR150" t="s">
        <v>236</v>
      </c>
      <c r="BS150" t="s">
        <v>436</v>
      </c>
      <c r="BT150">
        <v>0</v>
      </c>
    </row>
    <row r="151" spans="1:72" x14ac:dyDescent="0.15">
      <c r="A151" s="43">
        <v>2022</v>
      </c>
      <c r="B151" s="8">
        <v>12</v>
      </c>
      <c r="C151" s="8">
        <v>1</v>
      </c>
      <c r="D151" s="8">
        <v>17</v>
      </c>
      <c r="E151" s="8" t="s">
        <v>236</v>
      </c>
      <c r="F151" s="8" t="s">
        <v>57</v>
      </c>
      <c r="G151" s="8">
        <v>2016</v>
      </c>
      <c r="H151" s="8">
        <v>12</v>
      </c>
      <c r="I151" s="8" t="s">
        <v>526</v>
      </c>
      <c r="J151" s="8" t="s">
        <v>236</v>
      </c>
      <c r="K151" s="8">
        <v>1982</v>
      </c>
      <c r="L151" s="17">
        <v>12</v>
      </c>
      <c r="M151" s="8">
        <v>1</v>
      </c>
      <c r="N151" s="8" t="s">
        <v>48</v>
      </c>
      <c r="O151" s="8" t="s">
        <v>298</v>
      </c>
      <c r="P151" s="8" t="s">
        <v>224</v>
      </c>
      <c r="Q151" s="8">
        <v>7000</v>
      </c>
      <c r="R151" s="8" t="s">
        <v>57</v>
      </c>
      <c r="S151" s="8" t="s">
        <v>52</v>
      </c>
      <c r="T151" s="8" t="s">
        <v>70</v>
      </c>
      <c r="U151" s="8" t="s">
        <v>68</v>
      </c>
      <c r="V151" s="8">
        <v>1000</v>
      </c>
      <c r="W151" s="8" t="s">
        <v>241</v>
      </c>
      <c r="X151" s="8">
        <v>5000</v>
      </c>
      <c r="Y151" s="8" t="s">
        <v>278</v>
      </c>
      <c r="Z151" s="8">
        <v>80</v>
      </c>
      <c r="AA151" s="8" t="s">
        <v>525</v>
      </c>
      <c r="AB151" s="8" t="s">
        <v>236</v>
      </c>
      <c r="AC151" s="8" t="s">
        <v>236</v>
      </c>
      <c r="AD151" s="8" t="s">
        <v>236</v>
      </c>
      <c r="AE151" s="8" t="s">
        <v>68</v>
      </c>
      <c r="AF151" s="8" t="s">
        <v>236</v>
      </c>
      <c r="AG151" s="8" t="s">
        <v>236</v>
      </c>
      <c r="AH151" s="8" t="s">
        <v>236</v>
      </c>
      <c r="AI151" s="8" t="s">
        <v>236</v>
      </c>
      <c r="AJ151" t="s">
        <v>519</v>
      </c>
      <c r="AK151">
        <v>12</v>
      </c>
      <c r="AL151">
        <v>1</v>
      </c>
      <c r="AM151" t="s">
        <v>88</v>
      </c>
      <c r="AN151" t="s">
        <v>236</v>
      </c>
      <c r="AO151" t="s">
        <v>529</v>
      </c>
      <c r="AP151" t="s">
        <v>113</v>
      </c>
      <c r="AQ151">
        <v>12</v>
      </c>
      <c r="AR151" t="s">
        <v>526</v>
      </c>
      <c r="AS151" t="s">
        <v>236</v>
      </c>
      <c r="AT151" t="s">
        <v>145</v>
      </c>
      <c r="AU151">
        <v>12</v>
      </c>
      <c r="AV151">
        <v>1</v>
      </c>
      <c r="AW151" t="s">
        <v>432</v>
      </c>
      <c r="AX151" t="s">
        <v>298</v>
      </c>
      <c r="AY151" t="s">
        <v>224</v>
      </c>
      <c r="AZ151">
        <v>3</v>
      </c>
      <c r="BA151" t="s">
        <v>435</v>
      </c>
      <c r="BB151" t="s">
        <v>431</v>
      </c>
      <c r="BC151" t="s">
        <v>419</v>
      </c>
      <c r="BD151" t="s">
        <v>522</v>
      </c>
      <c r="BE151" t="s">
        <v>437</v>
      </c>
      <c r="BF151" t="s">
        <v>530</v>
      </c>
      <c r="BG151" t="s">
        <v>531</v>
      </c>
      <c r="BH151" t="s">
        <v>420</v>
      </c>
      <c r="BI151" t="s">
        <v>532</v>
      </c>
      <c r="BJ151" t="s">
        <v>68</v>
      </c>
      <c r="BK151" t="s">
        <v>236</v>
      </c>
      <c r="BL151" t="s">
        <v>236</v>
      </c>
      <c r="BM151" t="s">
        <v>236</v>
      </c>
      <c r="BN151" t="s">
        <v>68</v>
      </c>
      <c r="BO151" t="s">
        <v>236</v>
      </c>
      <c r="BP151" t="s">
        <v>236</v>
      </c>
      <c r="BQ151" t="s">
        <v>236</v>
      </c>
      <c r="BR151" t="s">
        <v>236</v>
      </c>
      <c r="BS151" t="s">
        <v>436</v>
      </c>
      <c r="BT151">
        <v>0</v>
      </c>
    </row>
    <row r="152" spans="1:72" x14ac:dyDescent="0.15">
      <c r="A152" s="43">
        <v>2022</v>
      </c>
      <c r="B152" s="8">
        <v>12</v>
      </c>
      <c r="C152" s="8">
        <v>1</v>
      </c>
      <c r="D152" s="8">
        <v>17</v>
      </c>
      <c r="E152" s="8" t="s">
        <v>236</v>
      </c>
      <c r="F152" s="8" t="s">
        <v>57</v>
      </c>
      <c r="G152" s="8">
        <v>2016</v>
      </c>
      <c r="H152" s="8">
        <v>12</v>
      </c>
      <c r="I152" s="8" t="s">
        <v>526</v>
      </c>
      <c r="J152" s="8" t="s">
        <v>236</v>
      </c>
      <c r="K152" s="8">
        <v>1977</v>
      </c>
      <c r="L152" s="17">
        <v>12</v>
      </c>
      <c r="M152" s="8">
        <v>1</v>
      </c>
      <c r="N152" s="8" t="s">
        <v>48</v>
      </c>
      <c r="O152" s="8" t="s">
        <v>298</v>
      </c>
      <c r="P152" s="8" t="s">
        <v>224</v>
      </c>
      <c r="Q152" s="8">
        <v>7000</v>
      </c>
      <c r="R152" s="8" t="s">
        <v>57</v>
      </c>
      <c r="S152" s="8" t="s">
        <v>52</v>
      </c>
      <c r="T152" s="8" t="s">
        <v>70</v>
      </c>
      <c r="U152" s="8" t="s">
        <v>68</v>
      </c>
      <c r="V152" s="8">
        <v>1000</v>
      </c>
      <c r="W152" s="8" t="s">
        <v>241</v>
      </c>
      <c r="X152" s="8">
        <v>5000</v>
      </c>
      <c r="Y152" s="8" t="s">
        <v>278</v>
      </c>
      <c r="Z152" s="8">
        <v>80</v>
      </c>
      <c r="AA152" s="8" t="s">
        <v>525</v>
      </c>
      <c r="AB152" s="8" t="s">
        <v>236</v>
      </c>
      <c r="AC152" s="8" t="s">
        <v>236</v>
      </c>
      <c r="AD152" s="8" t="s">
        <v>236</v>
      </c>
      <c r="AE152" s="8" t="s">
        <v>68</v>
      </c>
      <c r="AF152" s="8" t="s">
        <v>236</v>
      </c>
      <c r="AG152" s="8" t="s">
        <v>236</v>
      </c>
      <c r="AH152" s="8" t="s">
        <v>236</v>
      </c>
      <c r="AI152" s="8" t="s">
        <v>236</v>
      </c>
      <c r="AJ152" t="s">
        <v>519</v>
      </c>
      <c r="AK152">
        <v>12</v>
      </c>
      <c r="AL152">
        <v>1</v>
      </c>
      <c r="AM152" t="s">
        <v>88</v>
      </c>
      <c r="AN152" t="s">
        <v>236</v>
      </c>
      <c r="AO152" t="s">
        <v>529</v>
      </c>
      <c r="AP152" t="s">
        <v>113</v>
      </c>
      <c r="AQ152">
        <v>12</v>
      </c>
      <c r="AR152" t="s">
        <v>526</v>
      </c>
      <c r="AS152" t="s">
        <v>236</v>
      </c>
      <c r="AT152" t="s">
        <v>150</v>
      </c>
      <c r="AU152">
        <v>12</v>
      </c>
      <c r="AV152">
        <v>1</v>
      </c>
      <c r="AW152" t="s">
        <v>432</v>
      </c>
      <c r="AX152" t="s">
        <v>298</v>
      </c>
      <c r="AY152" t="s">
        <v>224</v>
      </c>
      <c r="AZ152">
        <v>3</v>
      </c>
      <c r="BA152" t="s">
        <v>435</v>
      </c>
      <c r="BB152" t="s">
        <v>431</v>
      </c>
      <c r="BC152" t="s">
        <v>419</v>
      </c>
      <c r="BD152" t="s">
        <v>522</v>
      </c>
      <c r="BE152" t="s">
        <v>437</v>
      </c>
      <c r="BF152" t="s">
        <v>530</v>
      </c>
      <c r="BG152" t="s">
        <v>531</v>
      </c>
      <c r="BH152" t="s">
        <v>420</v>
      </c>
      <c r="BI152" t="s">
        <v>532</v>
      </c>
      <c r="BJ152" t="s">
        <v>68</v>
      </c>
      <c r="BK152" t="s">
        <v>236</v>
      </c>
      <c r="BL152" t="s">
        <v>236</v>
      </c>
      <c r="BM152" t="s">
        <v>236</v>
      </c>
      <c r="BN152" t="s">
        <v>68</v>
      </c>
      <c r="BO152" t="s">
        <v>236</v>
      </c>
      <c r="BP152" t="s">
        <v>236</v>
      </c>
      <c r="BQ152" t="s">
        <v>236</v>
      </c>
      <c r="BR152" t="s">
        <v>236</v>
      </c>
      <c r="BS152" t="s">
        <v>436</v>
      </c>
      <c r="BT152">
        <v>0</v>
      </c>
    </row>
    <row r="153" spans="1:72" x14ac:dyDescent="0.15">
      <c r="A153" s="43">
        <v>2022</v>
      </c>
      <c r="B153" s="8">
        <v>12</v>
      </c>
      <c r="C153" s="8">
        <v>1</v>
      </c>
      <c r="D153" s="8">
        <v>17</v>
      </c>
      <c r="E153" s="8" t="s">
        <v>236</v>
      </c>
      <c r="F153" s="8" t="s">
        <v>57</v>
      </c>
      <c r="G153" s="8">
        <v>2016</v>
      </c>
      <c r="H153" s="8">
        <v>12</v>
      </c>
      <c r="I153" s="8" t="s">
        <v>526</v>
      </c>
      <c r="J153" s="8" t="s">
        <v>236</v>
      </c>
      <c r="K153" s="8">
        <v>1972</v>
      </c>
      <c r="L153" s="17">
        <v>12</v>
      </c>
      <c r="M153" s="8">
        <v>1</v>
      </c>
      <c r="N153" s="8" t="s">
        <v>48</v>
      </c>
      <c r="O153" s="8" t="s">
        <v>298</v>
      </c>
      <c r="P153" s="8" t="s">
        <v>224</v>
      </c>
      <c r="Q153" s="8">
        <v>7000</v>
      </c>
      <c r="R153" s="8" t="s">
        <v>57</v>
      </c>
      <c r="S153" s="8" t="s">
        <v>52</v>
      </c>
      <c r="T153" s="8" t="s">
        <v>70</v>
      </c>
      <c r="U153" s="8" t="s">
        <v>68</v>
      </c>
      <c r="V153" s="8">
        <v>1000</v>
      </c>
      <c r="W153" s="8" t="s">
        <v>241</v>
      </c>
      <c r="X153" s="8">
        <v>5000</v>
      </c>
      <c r="Y153" s="8" t="s">
        <v>278</v>
      </c>
      <c r="Z153" s="8">
        <v>80</v>
      </c>
      <c r="AA153" s="8" t="s">
        <v>525</v>
      </c>
      <c r="AB153" s="8" t="s">
        <v>236</v>
      </c>
      <c r="AC153" s="8" t="s">
        <v>236</v>
      </c>
      <c r="AD153" s="8" t="s">
        <v>236</v>
      </c>
      <c r="AE153" s="8" t="s">
        <v>68</v>
      </c>
      <c r="AF153" s="8" t="s">
        <v>236</v>
      </c>
      <c r="AG153" s="8" t="s">
        <v>236</v>
      </c>
      <c r="AH153" s="8" t="s">
        <v>236</v>
      </c>
      <c r="AI153" s="8" t="s">
        <v>236</v>
      </c>
      <c r="AJ153" t="s">
        <v>519</v>
      </c>
      <c r="AK153">
        <v>12</v>
      </c>
      <c r="AL153">
        <v>1</v>
      </c>
      <c r="AM153" t="s">
        <v>88</v>
      </c>
      <c r="AN153" t="s">
        <v>236</v>
      </c>
      <c r="AO153" t="s">
        <v>529</v>
      </c>
      <c r="AP153" t="s">
        <v>113</v>
      </c>
      <c r="AQ153">
        <v>12</v>
      </c>
      <c r="AR153" t="s">
        <v>526</v>
      </c>
      <c r="AS153" t="s">
        <v>236</v>
      </c>
      <c r="AT153" t="s">
        <v>155</v>
      </c>
      <c r="AU153">
        <v>12</v>
      </c>
      <c r="AV153">
        <v>1</v>
      </c>
      <c r="AW153" t="s">
        <v>432</v>
      </c>
      <c r="AX153" t="s">
        <v>298</v>
      </c>
      <c r="AY153" t="s">
        <v>224</v>
      </c>
      <c r="AZ153">
        <v>3</v>
      </c>
      <c r="BA153" t="s">
        <v>435</v>
      </c>
      <c r="BB153" t="s">
        <v>431</v>
      </c>
      <c r="BC153" t="s">
        <v>419</v>
      </c>
      <c r="BD153" t="s">
        <v>522</v>
      </c>
      <c r="BE153" t="s">
        <v>437</v>
      </c>
      <c r="BF153" t="s">
        <v>530</v>
      </c>
      <c r="BG153" t="s">
        <v>531</v>
      </c>
      <c r="BH153" t="s">
        <v>420</v>
      </c>
      <c r="BI153" t="s">
        <v>532</v>
      </c>
      <c r="BJ153" t="s">
        <v>68</v>
      </c>
      <c r="BK153" t="s">
        <v>236</v>
      </c>
      <c r="BL153" t="s">
        <v>236</v>
      </c>
      <c r="BM153" t="s">
        <v>236</v>
      </c>
      <c r="BN153" t="s">
        <v>68</v>
      </c>
      <c r="BO153" t="s">
        <v>236</v>
      </c>
      <c r="BP153" t="s">
        <v>236</v>
      </c>
      <c r="BQ153" t="s">
        <v>236</v>
      </c>
      <c r="BR153" t="s">
        <v>236</v>
      </c>
      <c r="BS153" t="s">
        <v>436</v>
      </c>
      <c r="BT153">
        <v>0</v>
      </c>
    </row>
    <row r="154" spans="1:72" x14ac:dyDescent="0.15">
      <c r="A154" s="43">
        <v>2022</v>
      </c>
      <c r="B154" s="8">
        <v>12</v>
      </c>
      <c r="C154" s="8">
        <v>1</v>
      </c>
      <c r="D154" s="8">
        <v>17</v>
      </c>
      <c r="E154" s="8" t="s">
        <v>236</v>
      </c>
      <c r="F154" s="8" t="s">
        <v>57</v>
      </c>
      <c r="G154" s="8">
        <v>2016</v>
      </c>
      <c r="H154" s="8">
        <v>12</v>
      </c>
      <c r="I154" s="8" t="s">
        <v>526</v>
      </c>
      <c r="J154" s="8" t="s">
        <v>236</v>
      </c>
      <c r="K154" s="8">
        <v>1962</v>
      </c>
      <c r="L154" s="17">
        <v>12</v>
      </c>
      <c r="M154" s="8">
        <v>1</v>
      </c>
      <c r="N154" s="8" t="s">
        <v>48</v>
      </c>
      <c r="O154" s="8" t="s">
        <v>298</v>
      </c>
      <c r="P154" s="8" t="s">
        <v>224</v>
      </c>
      <c r="Q154" s="8">
        <v>7000</v>
      </c>
      <c r="R154" s="8" t="s">
        <v>57</v>
      </c>
      <c r="S154" s="8" t="s">
        <v>52</v>
      </c>
      <c r="T154" s="8" t="s">
        <v>70</v>
      </c>
      <c r="U154" s="8" t="s">
        <v>68</v>
      </c>
      <c r="V154" s="8">
        <v>1000</v>
      </c>
      <c r="W154" s="8" t="s">
        <v>241</v>
      </c>
      <c r="X154" s="8">
        <v>5000</v>
      </c>
      <c r="Y154" s="8" t="s">
        <v>278</v>
      </c>
      <c r="Z154" s="8">
        <v>80</v>
      </c>
      <c r="AA154" s="8" t="s">
        <v>525</v>
      </c>
      <c r="AB154" s="8" t="s">
        <v>236</v>
      </c>
      <c r="AC154" s="8" t="s">
        <v>236</v>
      </c>
      <c r="AD154" s="8" t="s">
        <v>236</v>
      </c>
      <c r="AE154" s="8" t="s">
        <v>68</v>
      </c>
      <c r="AF154" s="8" t="s">
        <v>236</v>
      </c>
      <c r="AG154" s="8" t="s">
        <v>236</v>
      </c>
      <c r="AH154" s="8" t="s">
        <v>236</v>
      </c>
      <c r="AI154" s="8" t="s">
        <v>236</v>
      </c>
      <c r="AJ154" t="s">
        <v>519</v>
      </c>
      <c r="AK154">
        <v>12</v>
      </c>
      <c r="AL154">
        <v>1</v>
      </c>
      <c r="AM154" t="s">
        <v>88</v>
      </c>
      <c r="AN154" t="s">
        <v>236</v>
      </c>
      <c r="AO154" t="s">
        <v>529</v>
      </c>
      <c r="AP154" t="s">
        <v>113</v>
      </c>
      <c r="AQ154">
        <v>12</v>
      </c>
      <c r="AR154" t="s">
        <v>526</v>
      </c>
      <c r="AS154" t="s">
        <v>236</v>
      </c>
      <c r="AT154" t="s">
        <v>165</v>
      </c>
      <c r="AU154">
        <v>12</v>
      </c>
      <c r="AV154">
        <v>1</v>
      </c>
      <c r="AW154" t="s">
        <v>432</v>
      </c>
      <c r="AX154" t="s">
        <v>298</v>
      </c>
      <c r="AY154" t="s">
        <v>224</v>
      </c>
      <c r="AZ154">
        <v>3</v>
      </c>
      <c r="BA154" t="s">
        <v>435</v>
      </c>
      <c r="BB154" t="s">
        <v>431</v>
      </c>
      <c r="BC154" t="s">
        <v>419</v>
      </c>
      <c r="BD154" t="s">
        <v>522</v>
      </c>
      <c r="BE154" t="s">
        <v>437</v>
      </c>
      <c r="BF154" t="s">
        <v>530</v>
      </c>
      <c r="BG154" t="s">
        <v>531</v>
      </c>
      <c r="BH154" t="s">
        <v>420</v>
      </c>
      <c r="BI154" t="s">
        <v>532</v>
      </c>
      <c r="BJ154" t="s">
        <v>68</v>
      </c>
      <c r="BK154" t="s">
        <v>236</v>
      </c>
      <c r="BL154" t="s">
        <v>236</v>
      </c>
      <c r="BM154" t="s">
        <v>236</v>
      </c>
      <c r="BN154" t="s">
        <v>68</v>
      </c>
      <c r="BO154" t="s">
        <v>236</v>
      </c>
      <c r="BP154" t="s">
        <v>236</v>
      </c>
      <c r="BQ154" t="s">
        <v>236</v>
      </c>
      <c r="BR154" t="s">
        <v>236</v>
      </c>
      <c r="BS154" t="s">
        <v>436</v>
      </c>
      <c r="BT154">
        <v>0</v>
      </c>
    </row>
    <row r="155" spans="1:72" x14ac:dyDescent="0.15">
      <c r="A155" s="43">
        <v>2022</v>
      </c>
      <c r="B155" s="8">
        <v>12</v>
      </c>
      <c r="C155" s="8">
        <v>1</v>
      </c>
      <c r="D155" s="8">
        <v>17</v>
      </c>
      <c r="E155" s="8" t="s">
        <v>236</v>
      </c>
      <c r="F155" s="8" t="s">
        <v>57</v>
      </c>
      <c r="G155" s="8">
        <v>2016</v>
      </c>
      <c r="H155" s="8">
        <v>12</v>
      </c>
      <c r="I155" s="8" t="s">
        <v>526</v>
      </c>
      <c r="J155" s="8" t="s">
        <v>236</v>
      </c>
      <c r="K155" s="8">
        <v>1952</v>
      </c>
      <c r="L155" s="17">
        <v>12</v>
      </c>
      <c r="M155" s="8">
        <v>1</v>
      </c>
      <c r="N155" s="8" t="s">
        <v>48</v>
      </c>
      <c r="O155" s="8" t="s">
        <v>298</v>
      </c>
      <c r="P155" s="8" t="s">
        <v>224</v>
      </c>
      <c r="Q155" s="8">
        <v>7000</v>
      </c>
      <c r="R155" s="8" t="s">
        <v>57</v>
      </c>
      <c r="S155" s="8" t="s">
        <v>52</v>
      </c>
      <c r="T155" s="8" t="s">
        <v>70</v>
      </c>
      <c r="U155" s="8" t="s">
        <v>68</v>
      </c>
      <c r="V155" s="8">
        <v>1000</v>
      </c>
      <c r="W155" s="8" t="s">
        <v>241</v>
      </c>
      <c r="X155" s="8">
        <v>5000</v>
      </c>
      <c r="Y155" s="8" t="s">
        <v>278</v>
      </c>
      <c r="Z155" s="8">
        <v>80</v>
      </c>
      <c r="AA155" s="8" t="s">
        <v>525</v>
      </c>
      <c r="AB155" s="8" t="s">
        <v>236</v>
      </c>
      <c r="AC155" s="8" t="s">
        <v>236</v>
      </c>
      <c r="AD155" s="8" t="s">
        <v>236</v>
      </c>
      <c r="AE155" s="8" t="s">
        <v>68</v>
      </c>
      <c r="AF155" s="8" t="s">
        <v>236</v>
      </c>
      <c r="AG155" s="8" t="s">
        <v>236</v>
      </c>
      <c r="AH155" s="8" t="s">
        <v>236</v>
      </c>
      <c r="AI155" s="8" t="s">
        <v>236</v>
      </c>
      <c r="AJ155" t="s">
        <v>519</v>
      </c>
      <c r="AK155">
        <v>12</v>
      </c>
      <c r="AL155">
        <v>1</v>
      </c>
      <c r="AM155" t="s">
        <v>88</v>
      </c>
      <c r="AN155" t="s">
        <v>236</v>
      </c>
      <c r="AO155" t="s">
        <v>529</v>
      </c>
      <c r="AP155" t="s">
        <v>113</v>
      </c>
      <c r="AQ155">
        <v>12</v>
      </c>
      <c r="AR155" t="s">
        <v>526</v>
      </c>
      <c r="AS155" t="s">
        <v>236</v>
      </c>
      <c r="AT155" t="s">
        <v>175</v>
      </c>
      <c r="AU155">
        <v>12</v>
      </c>
      <c r="AV155">
        <v>1</v>
      </c>
      <c r="AW155" t="s">
        <v>432</v>
      </c>
      <c r="AX155" t="s">
        <v>298</v>
      </c>
      <c r="AY155" t="s">
        <v>224</v>
      </c>
      <c r="AZ155">
        <v>3</v>
      </c>
      <c r="BA155" t="s">
        <v>435</v>
      </c>
      <c r="BB155" t="s">
        <v>431</v>
      </c>
      <c r="BC155" t="s">
        <v>419</v>
      </c>
      <c r="BD155" t="s">
        <v>522</v>
      </c>
      <c r="BE155" t="s">
        <v>437</v>
      </c>
      <c r="BF155" t="s">
        <v>530</v>
      </c>
      <c r="BG155" t="s">
        <v>531</v>
      </c>
      <c r="BH155" t="s">
        <v>420</v>
      </c>
      <c r="BI155" t="s">
        <v>532</v>
      </c>
      <c r="BJ155" t="s">
        <v>68</v>
      </c>
      <c r="BK155" t="s">
        <v>236</v>
      </c>
      <c r="BL155" t="s">
        <v>236</v>
      </c>
      <c r="BM155" t="s">
        <v>236</v>
      </c>
      <c r="BN155" t="s">
        <v>68</v>
      </c>
      <c r="BO155" t="s">
        <v>236</v>
      </c>
      <c r="BP155" t="s">
        <v>236</v>
      </c>
      <c r="BQ155" t="s">
        <v>236</v>
      </c>
      <c r="BR155" t="s">
        <v>236</v>
      </c>
      <c r="BS155" t="s">
        <v>436</v>
      </c>
      <c r="BT155">
        <v>0</v>
      </c>
    </row>
    <row r="156" spans="1:72" x14ac:dyDescent="0.15">
      <c r="A156" s="43">
        <v>2022</v>
      </c>
      <c r="B156" s="8">
        <v>12</v>
      </c>
      <c r="C156" s="8">
        <v>1</v>
      </c>
      <c r="D156" s="8">
        <v>17</v>
      </c>
      <c r="E156" s="8" t="s">
        <v>236</v>
      </c>
      <c r="F156" s="8" t="s">
        <v>57</v>
      </c>
      <c r="G156" s="8">
        <v>2016</v>
      </c>
      <c r="H156" s="8">
        <v>12</v>
      </c>
      <c r="I156" s="8" t="s">
        <v>526</v>
      </c>
      <c r="J156" s="8" t="s">
        <v>236</v>
      </c>
      <c r="K156" s="8">
        <v>1992</v>
      </c>
      <c r="L156" s="17">
        <v>12</v>
      </c>
      <c r="M156" s="8">
        <v>1</v>
      </c>
      <c r="N156" s="8" t="s">
        <v>48</v>
      </c>
      <c r="O156" s="8" t="s">
        <v>298</v>
      </c>
      <c r="P156" s="8" t="s">
        <v>295</v>
      </c>
      <c r="Q156" s="8">
        <v>3000</v>
      </c>
      <c r="R156" s="8" t="s">
        <v>57</v>
      </c>
      <c r="S156" s="8" t="s">
        <v>52</v>
      </c>
      <c r="T156" s="8" t="s">
        <v>70</v>
      </c>
      <c r="U156" s="8" t="s">
        <v>68</v>
      </c>
      <c r="V156" s="8">
        <v>1000</v>
      </c>
      <c r="W156" s="8" t="s">
        <v>241</v>
      </c>
      <c r="X156" s="8">
        <v>5000</v>
      </c>
      <c r="Y156" s="8" t="s">
        <v>278</v>
      </c>
      <c r="Z156" s="8">
        <v>80</v>
      </c>
      <c r="AA156" s="8" t="s">
        <v>525</v>
      </c>
      <c r="AB156" s="8" t="s">
        <v>236</v>
      </c>
      <c r="AC156" s="8" t="s">
        <v>236</v>
      </c>
      <c r="AD156" s="8" t="s">
        <v>236</v>
      </c>
      <c r="AE156" s="8" t="s">
        <v>68</v>
      </c>
      <c r="AF156" s="8" t="s">
        <v>236</v>
      </c>
      <c r="AG156" s="8" t="s">
        <v>236</v>
      </c>
      <c r="AH156" s="8" t="s">
        <v>236</v>
      </c>
      <c r="AI156" s="8" t="s">
        <v>236</v>
      </c>
      <c r="AJ156" t="s">
        <v>519</v>
      </c>
      <c r="AK156">
        <v>12</v>
      </c>
      <c r="AL156">
        <v>1</v>
      </c>
      <c r="AM156" t="s">
        <v>88</v>
      </c>
      <c r="AN156" t="s">
        <v>236</v>
      </c>
      <c r="AO156" t="s">
        <v>529</v>
      </c>
      <c r="AP156" t="s">
        <v>113</v>
      </c>
      <c r="AQ156">
        <v>12</v>
      </c>
      <c r="AR156" t="s">
        <v>526</v>
      </c>
      <c r="AS156" t="s">
        <v>236</v>
      </c>
      <c r="AT156" t="s">
        <v>137</v>
      </c>
      <c r="AU156">
        <v>12</v>
      </c>
      <c r="AV156">
        <v>1</v>
      </c>
      <c r="AW156" t="s">
        <v>432</v>
      </c>
      <c r="AX156" t="s">
        <v>298</v>
      </c>
      <c r="AY156" t="s">
        <v>295</v>
      </c>
      <c r="AZ156">
        <v>1</v>
      </c>
      <c r="BA156" t="s">
        <v>435</v>
      </c>
      <c r="BB156" t="s">
        <v>431</v>
      </c>
      <c r="BC156" t="s">
        <v>419</v>
      </c>
      <c r="BD156" t="s">
        <v>522</v>
      </c>
      <c r="BE156" t="s">
        <v>437</v>
      </c>
      <c r="BF156" t="s">
        <v>530</v>
      </c>
      <c r="BG156" t="s">
        <v>531</v>
      </c>
      <c r="BH156" t="s">
        <v>420</v>
      </c>
      <c r="BI156" t="s">
        <v>532</v>
      </c>
      <c r="BJ156" t="s">
        <v>68</v>
      </c>
      <c r="BK156" t="s">
        <v>236</v>
      </c>
      <c r="BL156" t="s">
        <v>236</v>
      </c>
      <c r="BM156" t="s">
        <v>236</v>
      </c>
      <c r="BN156" t="s">
        <v>68</v>
      </c>
      <c r="BO156" t="s">
        <v>236</v>
      </c>
      <c r="BP156" t="s">
        <v>236</v>
      </c>
      <c r="BQ156" t="s">
        <v>236</v>
      </c>
      <c r="BR156" t="s">
        <v>236</v>
      </c>
      <c r="BS156" t="s">
        <v>436</v>
      </c>
      <c r="BT156">
        <v>0</v>
      </c>
    </row>
    <row r="157" spans="1:72" x14ac:dyDescent="0.15">
      <c r="A157" s="43">
        <v>2022</v>
      </c>
      <c r="B157" s="8">
        <v>12</v>
      </c>
      <c r="C157" s="8">
        <v>1</v>
      </c>
      <c r="D157" s="8">
        <v>17</v>
      </c>
      <c r="E157" s="8" t="s">
        <v>236</v>
      </c>
      <c r="F157" s="8" t="s">
        <v>57</v>
      </c>
      <c r="G157" s="8">
        <v>2016</v>
      </c>
      <c r="H157" s="8">
        <v>12</v>
      </c>
      <c r="I157" s="8" t="s">
        <v>526</v>
      </c>
      <c r="J157" s="8" t="s">
        <v>236</v>
      </c>
      <c r="K157" s="8">
        <v>1987</v>
      </c>
      <c r="L157" s="17">
        <v>12</v>
      </c>
      <c r="M157" s="8">
        <v>1</v>
      </c>
      <c r="N157" s="8" t="s">
        <v>48</v>
      </c>
      <c r="O157" s="8" t="s">
        <v>298</v>
      </c>
      <c r="P157" s="8" t="s">
        <v>295</v>
      </c>
      <c r="Q157" s="8">
        <v>3000</v>
      </c>
      <c r="R157" s="8" t="s">
        <v>57</v>
      </c>
      <c r="S157" s="8" t="s">
        <v>52</v>
      </c>
      <c r="T157" s="8" t="s">
        <v>70</v>
      </c>
      <c r="U157" s="8" t="s">
        <v>68</v>
      </c>
      <c r="V157" s="8">
        <v>1000</v>
      </c>
      <c r="W157" s="8" t="s">
        <v>241</v>
      </c>
      <c r="X157" s="8">
        <v>5000</v>
      </c>
      <c r="Y157" s="8" t="s">
        <v>278</v>
      </c>
      <c r="Z157" s="8">
        <v>80</v>
      </c>
      <c r="AA157" s="8" t="s">
        <v>525</v>
      </c>
      <c r="AB157" s="8" t="s">
        <v>236</v>
      </c>
      <c r="AC157" s="8" t="s">
        <v>236</v>
      </c>
      <c r="AD157" s="8" t="s">
        <v>236</v>
      </c>
      <c r="AE157" s="8" t="s">
        <v>68</v>
      </c>
      <c r="AF157" s="8" t="s">
        <v>236</v>
      </c>
      <c r="AG157" s="8" t="s">
        <v>236</v>
      </c>
      <c r="AH157" s="8" t="s">
        <v>236</v>
      </c>
      <c r="AI157" s="8" t="s">
        <v>236</v>
      </c>
      <c r="AJ157" t="s">
        <v>519</v>
      </c>
      <c r="AK157">
        <v>12</v>
      </c>
      <c r="AL157">
        <v>1</v>
      </c>
      <c r="AM157" t="s">
        <v>88</v>
      </c>
      <c r="AN157" t="s">
        <v>236</v>
      </c>
      <c r="AO157" t="s">
        <v>529</v>
      </c>
      <c r="AP157" t="s">
        <v>113</v>
      </c>
      <c r="AQ157">
        <v>12</v>
      </c>
      <c r="AR157" t="s">
        <v>526</v>
      </c>
      <c r="AS157" t="s">
        <v>236</v>
      </c>
      <c r="AT157" t="s">
        <v>140</v>
      </c>
      <c r="AU157">
        <v>12</v>
      </c>
      <c r="AV157">
        <v>1</v>
      </c>
      <c r="AW157" t="s">
        <v>432</v>
      </c>
      <c r="AX157" t="s">
        <v>298</v>
      </c>
      <c r="AY157" t="s">
        <v>295</v>
      </c>
      <c r="AZ157">
        <v>1</v>
      </c>
      <c r="BA157" t="s">
        <v>435</v>
      </c>
      <c r="BB157" t="s">
        <v>431</v>
      </c>
      <c r="BC157" t="s">
        <v>419</v>
      </c>
      <c r="BD157" t="s">
        <v>522</v>
      </c>
      <c r="BE157" t="s">
        <v>437</v>
      </c>
      <c r="BF157" t="s">
        <v>530</v>
      </c>
      <c r="BG157" t="s">
        <v>531</v>
      </c>
      <c r="BH157" t="s">
        <v>420</v>
      </c>
      <c r="BI157" t="s">
        <v>532</v>
      </c>
      <c r="BJ157" t="s">
        <v>68</v>
      </c>
      <c r="BK157" t="s">
        <v>236</v>
      </c>
      <c r="BL157" t="s">
        <v>236</v>
      </c>
      <c r="BM157" t="s">
        <v>236</v>
      </c>
      <c r="BN157" t="s">
        <v>68</v>
      </c>
      <c r="BO157" t="s">
        <v>236</v>
      </c>
      <c r="BP157" t="s">
        <v>236</v>
      </c>
      <c r="BQ157" t="s">
        <v>236</v>
      </c>
      <c r="BR157" t="s">
        <v>236</v>
      </c>
      <c r="BS157" t="s">
        <v>436</v>
      </c>
      <c r="BT157">
        <v>0</v>
      </c>
    </row>
    <row r="158" spans="1:72" x14ac:dyDescent="0.15">
      <c r="A158" s="43">
        <v>2022</v>
      </c>
      <c r="B158" s="8">
        <v>12</v>
      </c>
      <c r="C158" s="8">
        <v>1</v>
      </c>
      <c r="D158" s="8">
        <v>17</v>
      </c>
      <c r="E158" s="8" t="s">
        <v>236</v>
      </c>
      <c r="F158" s="8" t="s">
        <v>57</v>
      </c>
      <c r="G158" s="8">
        <v>2016</v>
      </c>
      <c r="H158" s="8">
        <v>12</v>
      </c>
      <c r="I158" s="8" t="s">
        <v>526</v>
      </c>
      <c r="J158" s="8" t="s">
        <v>236</v>
      </c>
      <c r="K158" s="8">
        <v>1982</v>
      </c>
      <c r="L158" s="17">
        <v>12</v>
      </c>
      <c r="M158" s="8">
        <v>1</v>
      </c>
      <c r="N158" s="8" t="s">
        <v>48</v>
      </c>
      <c r="O158" s="8" t="s">
        <v>298</v>
      </c>
      <c r="P158" s="8" t="s">
        <v>295</v>
      </c>
      <c r="Q158" s="8">
        <v>3000</v>
      </c>
      <c r="R158" s="8" t="s">
        <v>57</v>
      </c>
      <c r="S158" s="8" t="s">
        <v>52</v>
      </c>
      <c r="T158" s="8" t="s">
        <v>70</v>
      </c>
      <c r="U158" s="8" t="s">
        <v>68</v>
      </c>
      <c r="V158" s="8">
        <v>1000</v>
      </c>
      <c r="W158" s="8" t="s">
        <v>241</v>
      </c>
      <c r="X158" s="8">
        <v>5000</v>
      </c>
      <c r="Y158" s="8" t="s">
        <v>278</v>
      </c>
      <c r="Z158" s="8">
        <v>80</v>
      </c>
      <c r="AA158" s="8" t="s">
        <v>525</v>
      </c>
      <c r="AB158" s="8" t="s">
        <v>236</v>
      </c>
      <c r="AC158" s="8" t="s">
        <v>236</v>
      </c>
      <c r="AD158" s="8" t="s">
        <v>236</v>
      </c>
      <c r="AE158" s="8" t="s">
        <v>68</v>
      </c>
      <c r="AF158" s="8" t="s">
        <v>236</v>
      </c>
      <c r="AG158" s="8" t="s">
        <v>236</v>
      </c>
      <c r="AH158" s="8" t="s">
        <v>236</v>
      </c>
      <c r="AI158" s="8" t="s">
        <v>236</v>
      </c>
      <c r="AJ158" t="s">
        <v>519</v>
      </c>
      <c r="AK158">
        <v>12</v>
      </c>
      <c r="AL158">
        <v>1</v>
      </c>
      <c r="AM158" t="s">
        <v>88</v>
      </c>
      <c r="AN158" t="s">
        <v>236</v>
      </c>
      <c r="AO158" t="s">
        <v>529</v>
      </c>
      <c r="AP158" t="s">
        <v>113</v>
      </c>
      <c r="AQ158">
        <v>12</v>
      </c>
      <c r="AR158" t="s">
        <v>526</v>
      </c>
      <c r="AS158" t="s">
        <v>236</v>
      </c>
      <c r="AT158" t="s">
        <v>145</v>
      </c>
      <c r="AU158">
        <v>12</v>
      </c>
      <c r="AV158">
        <v>1</v>
      </c>
      <c r="AW158" t="s">
        <v>432</v>
      </c>
      <c r="AX158" t="s">
        <v>298</v>
      </c>
      <c r="AY158" t="s">
        <v>295</v>
      </c>
      <c r="AZ158">
        <v>1</v>
      </c>
      <c r="BA158" t="s">
        <v>435</v>
      </c>
      <c r="BB158" t="s">
        <v>431</v>
      </c>
      <c r="BC158" t="s">
        <v>419</v>
      </c>
      <c r="BD158" t="s">
        <v>522</v>
      </c>
      <c r="BE158" t="s">
        <v>437</v>
      </c>
      <c r="BF158" t="s">
        <v>530</v>
      </c>
      <c r="BG158" t="s">
        <v>531</v>
      </c>
      <c r="BH158" t="s">
        <v>420</v>
      </c>
      <c r="BI158" t="s">
        <v>532</v>
      </c>
      <c r="BJ158" t="s">
        <v>68</v>
      </c>
      <c r="BK158" t="s">
        <v>236</v>
      </c>
      <c r="BL158" t="s">
        <v>236</v>
      </c>
      <c r="BM158" t="s">
        <v>236</v>
      </c>
      <c r="BN158" t="s">
        <v>68</v>
      </c>
      <c r="BO158" t="s">
        <v>236</v>
      </c>
      <c r="BP158" t="s">
        <v>236</v>
      </c>
      <c r="BQ158" t="s">
        <v>236</v>
      </c>
      <c r="BR158" t="s">
        <v>236</v>
      </c>
      <c r="BS158" t="s">
        <v>436</v>
      </c>
      <c r="BT158">
        <v>0</v>
      </c>
    </row>
    <row r="159" spans="1:72" x14ac:dyDescent="0.15">
      <c r="A159" s="43">
        <v>2022</v>
      </c>
      <c r="B159" s="8">
        <v>12</v>
      </c>
      <c r="C159" s="8">
        <v>1</v>
      </c>
      <c r="D159" s="8">
        <v>17</v>
      </c>
      <c r="E159" s="8" t="s">
        <v>236</v>
      </c>
      <c r="F159" s="8" t="s">
        <v>57</v>
      </c>
      <c r="G159" s="8">
        <v>2016</v>
      </c>
      <c r="H159" s="8">
        <v>12</v>
      </c>
      <c r="I159" s="8" t="s">
        <v>526</v>
      </c>
      <c r="J159" s="8" t="s">
        <v>236</v>
      </c>
      <c r="K159" s="8">
        <v>1977</v>
      </c>
      <c r="L159" s="17">
        <v>12</v>
      </c>
      <c r="M159" s="8">
        <v>1</v>
      </c>
      <c r="N159" s="8" t="s">
        <v>48</v>
      </c>
      <c r="O159" s="8" t="s">
        <v>298</v>
      </c>
      <c r="P159" s="8" t="s">
        <v>295</v>
      </c>
      <c r="Q159" s="8">
        <v>3000</v>
      </c>
      <c r="R159" s="8" t="s">
        <v>57</v>
      </c>
      <c r="S159" s="8" t="s">
        <v>52</v>
      </c>
      <c r="T159" s="8" t="s">
        <v>70</v>
      </c>
      <c r="U159" s="8" t="s">
        <v>68</v>
      </c>
      <c r="V159" s="8">
        <v>1000</v>
      </c>
      <c r="W159" s="8" t="s">
        <v>241</v>
      </c>
      <c r="X159" s="8">
        <v>5000</v>
      </c>
      <c r="Y159" s="8" t="s">
        <v>278</v>
      </c>
      <c r="Z159" s="8">
        <v>80</v>
      </c>
      <c r="AA159" s="8" t="s">
        <v>525</v>
      </c>
      <c r="AB159" s="8" t="s">
        <v>236</v>
      </c>
      <c r="AC159" s="8" t="s">
        <v>236</v>
      </c>
      <c r="AD159" s="8" t="s">
        <v>236</v>
      </c>
      <c r="AE159" s="8" t="s">
        <v>68</v>
      </c>
      <c r="AF159" s="8" t="s">
        <v>236</v>
      </c>
      <c r="AG159" s="8" t="s">
        <v>236</v>
      </c>
      <c r="AH159" s="8" t="s">
        <v>236</v>
      </c>
      <c r="AI159" s="8" t="s">
        <v>236</v>
      </c>
      <c r="AJ159" t="s">
        <v>519</v>
      </c>
      <c r="AK159">
        <v>12</v>
      </c>
      <c r="AL159">
        <v>1</v>
      </c>
      <c r="AM159" t="s">
        <v>88</v>
      </c>
      <c r="AN159" t="s">
        <v>236</v>
      </c>
      <c r="AO159" t="s">
        <v>529</v>
      </c>
      <c r="AP159" t="s">
        <v>113</v>
      </c>
      <c r="AQ159">
        <v>12</v>
      </c>
      <c r="AR159" t="s">
        <v>526</v>
      </c>
      <c r="AS159" t="s">
        <v>236</v>
      </c>
      <c r="AT159" t="s">
        <v>150</v>
      </c>
      <c r="AU159">
        <v>12</v>
      </c>
      <c r="AV159">
        <v>1</v>
      </c>
      <c r="AW159" t="s">
        <v>432</v>
      </c>
      <c r="AX159" t="s">
        <v>298</v>
      </c>
      <c r="AY159" t="s">
        <v>295</v>
      </c>
      <c r="AZ159">
        <v>1</v>
      </c>
      <c r="BA159" t="s">
        <v>435</v>
      </c>
      <c r="BB159" t="s">
        <v>431</v>
      </c>
      <c r="BC159" t="s">
        <v>419</v>
      </c>
      <c r="BD159" t="s">
        <v>522</v>
      </c>
      <c r="BE159" t="s">
        <v>437</v>
      </c>
      <c r="BF159" t="s">
        <v>530</v>
      </c>
      <c r="BG159" t="s">
        <v>531</v>
      </c>
      <c r="BH159" t="s">
        <v>420</v>
      </c>
      <c r="BI159" t="s">
        <v>532</v>
      </c>
      <c r="BJ159" t="s">
        <v>68</v>
      </c>
      <c r="BK159" t="s">
        <v>236</v>
      </c>
      <c r="BL159" t="s">
        <v>236</v>
      </c>
      <c r="BM159" t="s">
        <v>236</v>
      </c>
      <c r="BN159" t="s">
        <v>68</v>
      </c>
      <c r="BO159" t="s">
        <v>236</v>
      </c>
      <c r="BP159" t="s">
        <v>236</v>
      </c>
      <c r="BQ159" t="s">
        <v>236</v>
      </c>
      <c r="BR159" t="s">
        <v>236</v>
      </c>
      <c r="BS159" t="s">
        <v>436</v>
      </c>
      <c r="BT159">
        <v>0</v>
      </c>
    </row>
    <row r="160" spans="1:72" x14ac:dyDescent="0.15">
      <c r="A160" s="43">
        <v>2022</v>
      </c>
      <c r="B160" s="8">
        <v>12</v>
      </c>
      <c r="C160" s="8">
        <v>1</v>
      </c>
      <c r="D160" s="8">
        <v>17</v>
      </c>
      <c r="E160" s="8" t="s">
        <v>236</v>
      </c>
      <c r="F160" s="8" t="s">
        <v>57</v>
      </c>
      <c r="G160" s="8">
        <v>2016</v>
      </c>
      <c r="H160" s="8">
        <v>12</v>
      </c>
      <c r="I160" s="8" t="s">
        <v>526</v>
      </c>
      <c r="J160" s="8" t="s">
        <v>236</v>
      </c>
      <c r="K160" s="8">
        <v>1972</v>
      </c>
      <c r="L160" s="17">
        <v>12</v>
      </c>
      <c r="M160" s="8">
        <v>1</v>
      </c>
      <c r="N160" s="8" t="s">
        <v>48</v>
      </c>
      <c r="O160" s="8" t="s">
        <v>298</v>
      </c>
      <c r="P160" s="8" t="s">
        <v>295</v>
      </c>
      <c r="Q160" s="8">
        <v>3000</v>
      </c>
      <c r="R160" s="8" t="s">
        <v>57</v>
      </c>
      <c r="S160" s="8" t="s">
        <v>52</v>
      </c>
      <c r="T160" s="8" t="s">
        <v>70</v>
      </c>
      <c r="U160" s="8" t="s">
        <v>68</v>
      </c>
      <c r="V160" s="8">
        <v>1000</v>
      </c>
      <c r="W160" s="8" t="s">
        <v>241</v>
      </c>
      <c r="X160" s="8">
        <v>5000</v>
      </c>
      <c r="Y160" s="8" t="s">
        <v>278</v>
      </c>
      <c r="Z160" s="8">
        <v>80</v>
      </c>
      <c r="AA160" s="8" t="s">
        <v>525</v>
      </c>
      <c r="AB160" s="8" t="s">
        <v>236</v>
      </c>
      <c r="AC160" s="8" t="s">
        <v>236</v>
      </c>
      <c r="AD160" s="8" t="s">
        <v>236</v>
      </c>
      <c r="AE160" s="8" t="s">
        <v>68</v>
      </c>
      <c r="AF160" s="8" t="s">
        <v>236</v>
      </c>
      <c r="AG160" s="8" t="s">
        <v>236</v>
      </c>
      <c r="AH160" s="8" t="s">
        <v>236</v>
      </c>
      <c r="AI160" s="8" t="s">
        <v>236</v>
      </c>
      <c r="AJ160" t="s">
        <v>519</v>
      </c>
      <c r="AK160">
        <v>12</v>
      </c>
      <c r="AL160">
        <v>1</v>
      </c>
      <c r="AM160" t="s">
        <v>88</v>
      </c>
      <c r="AN160" t="s">
        <v>236</v>
      </c>
      <c r="AO160" t="s">
        <v>529</v>
      </c>
      <c r="AP160" t="s">
        <v>113</v>
      </c>
      <c r="AQ160">
        <v>12</v>
      </c>
      <c r="AR160" t="s">
        <v>526</v>
      </c>
      <c r="AS160" t="s">
        <v>236</v>
      </c>
      <c r="AT160" t="s">
        <v>155</v>
      </c>
      <c r="AU160">
        <v>12</v>
      </c>
      <c r="AV160">
        <v>1</v>
      </c>
      <c r="AW160" t="s">
        <v>432</v>
      </c>
      <c r="AX160" t="s">
        <v>298</v>
      </c>
      <c r="AY160" t="s">
        <v>295</v>
      </c>
      <c r="AZ160">
        <v>1</v>
      </c>
      <c r="BA160" t="s">
        <v>435</v>
      </c>
      <c r="BB160" t="s">
        <v>431</v>
      </c>
      <c r="BC160" t="s">
        <v>419</v>
      </c>
      <c r="BD160" t="s">
        <v>522</v>
      </c>
      <c r="BE160" t="s">
        <v>437</v>
      </c>
      <c r="BF160" t="s">
        <v>530</v>
      </c>
      <c r="BG160" t="s">
        <v>531</v>
      </c>
      <c r="BH160" t="s">
        <v>420</v>
      </c>
      <c r="BI160" t="s">
        <v>532</v>
      </c>
      <c r="BJ160" t="s">
        <v>68</v>
      </c>
      <c r="BK160" t="s">
        <v>236</v>
      </c>
      <c r="BL160" t="s">
        <v>236</v>
      </c>
      <c r="BM160" t="s">
        <v>236</v>
      </c>
      <c r="BN160" t="s">
        <v>68</v>
      </c>
      <c r="BO160" t="s">
        <v>236</v>
      </c>
      <c r="BP160" t="s">
        <v>236</v>
      </c>
      <c r="BQ160" t="s">
        <v>236</v>
      </c>
      <c r="BR160" t="s">
        <v>236</v>
      </c>
      <c r="BS160" t="s">
        <v>436</v>
      </c>
      <c r="BT160">
        <v>0</v>
      </c>
    </row>
    <row r="161" spans="1:72" x14ac:dyDescent="0.15">
      <c r="A161" s="43">
        <v>2022</v>
      </c>
      <c r="B161" s="8">
        <v>12</v>
      </c>
      <c r="C161" s="8">
        <v>1</v>
      </c>
      <c r="D161" s="8">
        <v>17</v>
      </c>
      <c r="E161" s="8" t="s">
        <v>236</v>
      </c>
      <c r="F161" s="8" t="s">
        <v>57</v>
      </c>
      <c r="G161" s="8">
        <v>2016</v>
      </c>
      <c r="H161" s="8">
        <v>12</v>
      </c>
      <c r="I161" s="8" t="s">
        <v>526</v>
      </c>
      <c r="J161" s="8" t="s">
        <v>236</v>
      </c>
      <c r="K161" s="8">
        <v>1962</v>
      </c>
      <c r="L161" s="17">
        <v>12</v>
      </c>
      <c r="M161" s="8">
        <v>1</v>
      </c>
      <c r="N161" s="8" t="s">
        <v>48</v>
      </c>
      <c r="O161" s="8" t="s">
        <v>298</v>
      </c>
      <c r="P161" s="8" t="s">
        <v>295</v>
      </c>
      <c r="Q161" s="8">
        <v>3000</v>
      </c>
      <c r="R161" s="8" t="s">
        <v>57</v>
      </c>
      <c r="S161" s="8" t="s">
        <v>52</v>
      </c>
      <c r="T161" s="8" t="s">
        <v>70</v>
      </c>
      <c r="U161" s="8" t="s">
        <v>68</v>
      </c>
      <c r="V161" s="8">
        <v>1000</v>
      </c>
      <c r="W161" s="8" t="s">
        <v>241</v>
      </c>
      <c r="X161" s="8">
        <v>5000</v>
      </c>
      <c r="Y161" s="8" t="s">
        <v>278</v>
      </c>
      <c r="Z161" s="8">
        <v>80</v>
      </c>
      <c r="AA161" s="8" t="s">
        <v>525</v>
      </c>
      <c r="AB161" s="8" t="s">
        <v>236</v>
      </c>
      <c r="AC161" s="8" t="s">
        <v>236</v>
      </c>
      <c r="AD161" s="8" t="s">
        <v>236</v>
      </c>
      <c r="AE161" s="8" t="s">
        <v>68</v>
      </c>
      <c r="AF161" s="8" t="s">
        <v>236</v>
      </c>
      <c r="AG161" s="8" t="s">
        <v>236</v>
      </c>
      <c r="AH161" s="8" t="s">
        <v>236</v>
      </c>
      <c r="AI161" s="8" t="s">
        <v>236</v>
      </c>
      <c r="AJ161" t="s">
        <v>519</v>
      </c>
      <c r="AK161">
        <v>12</v>
      </c>
      <c r="AL161">
        <v>1</v>
      </c>
      <c r="AM161" t="s">
        <v>88</v>
      </c>
      <c r="AN161" t="s">
        <v>236</v>
      </c>
      <c r="AO161" t="s">
        <v>529</v>
      </c>
      <c r="AP161" t="s">
        <v>113</v>
      </c>
      <c r="AQ161">
        <v>12</v>
      </c>
      <c r="AR161" t="s">
        <v>526</v>
      </c>
      <c r="AS161" t="s">
        <v>236</v>
      </c>
      <c r="AT161" t="s">
        <v>165</v>
      </c>
      <c r="AU161">
        <v>12</v>
      </c>
      <c r="AV161">
        <v>1</v>
      </c>
      <c r="AW161" t="s">
        <v>432</v>
      </c>
      <c r="AX161" t="s">
        <v>298</v>
      </c>
      <c r="AY161" t="s">
        <v>295</v>
      </c>
      <c r="AZ161">
        <v>1</v>
      </c>
      <c r="BA161" t="s">
        <v>435</v>
      </c>
      <c r="BB161" t="s">
        <v>431</v>
      </c>
      <c r="BC161" t="s">
        <v>419</v>
      </c>
      <c r="BD161" t="s">
        <v>522</v>
      </c>
      <c r="BE161" t="s">
        <v>437</v>
      </c>
      <c r="BF161" t="s">
        <v>530</v>
      </c>
      <c r="BG161" t="s">
        <v>531</v>
      </c>
      <c r="BH161" t="s">
        <v>420</v>
      </c>
      <c r="BI161" t="s">
        <v>532</v>
      </c>
      <c r="BJ161" t="s">
        <v>68</v>
      </c>
      <c r="BK161" t="s">
        <v>236</v>
      </c>
      <c r="BL161" t="s">
        <v>236</v>
      </c>
      <c r="BM161" t="s">
        <v>236</v>
      </c>
      <c r="BN161" t="s">
        <v>68</v>
      </c>
      <c r="BO161" t="s">
        <v>236</v>
      </c>
      <c r="BP161" t="s">
        <v>236</v>
      </c>
      <c r="BQ161" t="s">
        <v>236</v>
      </c>
      <c r="BR161" t="s">
        <v>236</v>
      </c>
      <c r="BS161" t="s">
        <v>436</v>
      </c>
      <c r="BT161">
        <v>0</v>
      </c>
    </row>
    <row r="162" spans="1:72" x14ac:dyDescent="0.15">
      <c r="A162" s="43">
        <v>2022</v>
      </c>
      <c r="B162" s="8">
        <v>12</v>
      </c>
      <c r="C162" s="8">
        <v>1</v>
      </c>
      <c r="D162" s="8">
        <v>17</v>
      </c>
      <c r="E162" s="8" t="s">
        <v>236</v>
      </c>
      <c r="F162" s="8" t="s">
        <v>57</v>
      </c>
      <c r="G162" s="8">
        <v>2016</v>
      </c>
      <c r="H162" s="8">
        <v>12</v>
      </c>
      <c r="I162" s="8" t="s">
        <v>526</v>
      </c>
      <c r="J162" s="8" t="s">
        <v>236</v>
      </c>
      <c r="K162" s="8">
        <v>1952</v>
      </c>
      <c r="L162" s="17">
        <v>12</v>
      </c>
      <c r="M162" s="8">
        <v>1</v>
      </c>
      <c r="N162" s="8" t="s">
        <v>48</v>
      </c>
      <c r="O162" s="8" t="s">
        <v>298</v>
      </c>
      <c r="P162" s="8" t="s">
        <v>295</v>
      </c>
      <c r="Q162" s="8">
        <v>3000</v>
      </c>
      <c r="R162" s="8" t="s">
        <v>57</v>
      </c>
      <c r="S162" s="8" t="s">
        <v>52</v>
      </c>
      <c r="T162" s="8" t="s">
        <v>70</v>
      </c>
      <c r="U162" s="8" t="s">
        <v>68</v>
      </c>
      <c r="V162" s="8">
        <v>1000</v>
      </c>
      <c r="W162" s="8" t="s">
        <v>241</v>
      </c>
      <c r="X162" s="8">
        <v>5000</v>
      </c>
      <c r="Y162" s="8" t="s">
        <v>278</v>
      </c>
      <c r="Z162" s="8">
        <v>80</v>
      </c>
      <c r="AA162" s="8" t="s">
        <v>525</v>
      </c>
      <c r="AB162" s="8" t="s">
        <v>236</v>
      </c>
      <c r="AC162" s="8" t="s">
        <v>236</v>
      </c>
      <c r="AD162" s="8" t="s">
        <v>236</v>
      </c>
      <c r="AE162" s="8" t="s">
        <v>68</v>
      </c>
      <c r="AF162" s="8" t="s">
        <v>236</v>
      </c>
      <c r="AG162" s="8" t="s">
        <v>236</v>
      </c>
      <c r="AH162" s="8" t="s">
        <v>236</v>
      </c>
      <c r="AI162" s="8" t="s">
        <v>236</v>
      </c>
      <c r="AJ162" t="s">
        <v>519</v>
      </c>
      <c r="AK162">
        <v>12</v>
      </c>
      <c r="AL162">
        <v>1</v>
      </c>
      <c r="AM162" t="s">
        <v>88</v>
      </c>
      <c r="AN162" t="s">
        <v>236</v>
      </c>
      <c r="AO162" t="s">
        <v>529</v>
      </c>
      <c r="AP162" t="s">
        <v>113</v>
      </c>
      <c r="AQ162">
        <v>12</v>
      </c>
      <c r="AR162" t="s">
        <v>526</v>
      </c>
      <c r="AS162" t="s">
        <v>236</v>
      </c>
      <c r="AT162" t="s">
        <v>175</v>
      </c>
      <c r="AU162">
        <v>12</v>
      </c>
      <c r="AV162">
        <v>1</v>
      </c>
      <c r="AW162" t="s">
        <v>432</v>
      </c>
      <c r="AX162" t="s">
        <v>298</v>
      </c>
      <c r="AY162" t="s">
        <v>295</v>
      </c>
      <c r="AZ162">
        <v>1</v>
      </c>
      <c r="BA162" t="s">
        <v>435</v>
      </c>
      <c r="BB162" t="s">
        <v>431</v>
      </c>
      <c r="BC162" t="s">
        <v>419</v>
      </c>
      <c r="BD162" t="s">
        <v>522</v>
      </c>
      <c r="BE162" t="s">
        <v>437</v>
      </c>
      <c r="BF162" t="s">
        <v>530</v>
      </c>
      <c r="BG162" t="s">
        <v>531</v>
      </c>
      <c r="BH162" t="s">
        <v>420</v>
      </c>
      <c r="BI162" t="s">
        <v>532</v>
      </c>
      <c r="BJ162" t="s">
        <v>68</v>
      </c>
      <c r="BK162" t="s">
        <v>236</v>
      </c>
      <c r="BL162" t="s">
        <v>236</v>
      </c>
      <c r="BM162" t="s">
        <v>236</v>
      </c>
      <c r="BN162" t="s">
        <v>68</v>
      </c>
      <c r="BO162" t="s">
        <v>236</v>
      </c>
      <c r="BP162" t="s">
        <v>236</v>
      </c>
      <c r="BQ162" t="s">
        <v>236</v>
      </c>
      <c r="BR162" t="s">
        <v>236</v>
      </c>
      <c r="BS162" t="s">
        <v>436</v>
      </c>
      <c r="BT162">
        <v>0</v>
      </c>
    </row>
    <row r="163" spans="1:72" x14ac:dyDescent="0.15">
      <c r="A163" s="43">
        <v>2022</v>
      </c>
      <c r="B163" s="8">
        <v>12</v>
      </c>
      <c r="C163" s="8">
        <v>1</v>
      </c>
      <c r="D163" s="8">
        <v>17</v>
      </c>
      <c r="E163" s="8" t="s">
        <v>236</v>
      </c>
      <c r="F163" s="8" t="s">
        <v>57</v>
      </c>
      <c r="G163" s="8">
        <v>2016</v>
      </c>
      <c r="H163" s="8">
        <v>12</v>
      </c>
      <c r="I163" s="8" t="s">
        <v>526</v>
      </c>
      <c r="J163" s="8" t="s">
        <v>236</v>
      </c>
      <c r="K163" s="8">
        <v>1992</v>
      </c>
      <c r="L163" s="17">
        <v>12</v>
      </c>
      <c r="M163" s="8">
        <v>1</v>
      </c>
      <c r="N163" s="8" t="s">
        <v>48</v>
      </c>
      <c r="O163" s="8" t="s">
        <v>298</v>
      </c>
      <c r="P163" s="8" t="s">
        <v>295</v>
      </c>
      <c r="Q163" s="8">
        <v>7000</v>
      </c>
      <c r="R163" s="8" t="s">
        <v>57</v>
      </c>
      <c r="S163" s="8" t="s">
        <v>52</v>
      </c>
      <c r="T163" s="8" t="s">
        <v>70</v>
      </c>
      <c r="U163" s="8" t="s">
        <v>68</v>
      </c>
      <c r="V163" s="8">
        <v>1000</v>
      </c>
      <c r="W163" s="8" t="s">
        <v>241</v>
      </c>
      <c r="X163" s="8">
        <v>5000</v>
      </c>
      <c r="Y163" s="8" t="s">
        <v>278</v>
      </c>
      <c r="Z163" s="8">
        <v>80</v>
      </c>
      <c r="AA163" s="8" t="s">
        <v>525</v>
      </c>
      <c r="AB163" s="8" t="s">
        <v>236</v>
      </c>
      <c r="AC163" s="8" t="s">
        <v>236</v>
      </c>
      <c r="AD163" s="8" t="s">
        <v>236</v>
      </c>
      <c r="AE163" s="8" t="s">
        <v>68</v>
      </c>
      <c r="AF163" s="8" t="s">
        <v>236</v>
      </c>
      <c r="AG163" s="8" t="s">
        <v>236</v>
      </c>
      <c r="AH163" s="8" t="s">
        <v>236</v>
      </c>
      <c r="AI163" s="8" t="s">
        <v>236</v>
      </c>
      <c r="AJ163" t="s">
        <v>519</v>
      </c>
      <c r="AK163">
        <v>12</v>
      </c>
      <c r="AL163">
        <v>1</v>
      </c>
      <c r="AM163" t="s">
        <v>88</v>
      </c>
      <c r="AN163" t="s">
        <v>236</v>
      </c>
      <c r="AO163" t="s">
        <v>529</v>
      </c>
      <c r="AP163" t="s">
        <v>113</v>
      </c>
      <c r="AQ163">
        <v>12</v>
      </c>
      <c r="AR163" t="s">
        <v>526</v>
      </c>
      <c r="AS163" t="s">
        <v>236</v>
      </c>
      <c r="AT163" t="s">
        <v>137</v>
      </c>
      <c r="AU163">
        <v>12</v>
      </c>
      <c r="AV163">
        <v>1</v>
      </c>
      <c r="AW163" t="s">
        <v>432</v>
      </c>
      <c r="AX163" t="s">
        <v>298</v>
      </c>
      <c r="AY163" t="s">
        <v>295</v>
      </c>
      <c r="AZ163">
        <v>3</v>
      </c>
      <c r="BA163" t="s">
        <v>435</v>
      </c>
      <c r="BB163" t="s">
        <v>431</v>
      </c>
      <c r="BC163" t="s">
        <v>419</v>
      </c>
      <c r="BD163" t="s">
        <v>522</v>
      </c>
      <c r="BE163" t="s">
        <v>437</v>
      </c>
      <c r="BF163" t="s">
        <v>530</v>
      </c>
      <c r="BG163" t="s">
        <v>531</v>
      </c>
      <c r="BH163" t="s">
        <v>420</v>
      </c>
      <c r="BI163" t="s">
        <v>532</v>
      </c>
      <c r="BJ163" t="s">
        <v>68</v>
      </c>
      <c r="BK163" t="s">
        <v>236</v>
      </c>
      <c r="BL163" t="s">
        <v>236</v>
      </c>
      <c r="BM163" t="s">
        <v>236</v>
      </c>
      <c r="BN163" t="s">
        <v>68</v>
      </c>
      <c r="BO163" t="s">
        <v>236</v>
      </c>
      <c r="BP163" t="s">
        <v>236</v>
      </c>
      <c r="BQ163" t="s">
        <v>236</v>
      </c>
      <c r="BR163" t="s">
        <v>236</v>
      </c>
      <c r="BS163" t="s">
        <v>436</v>
      </c>
      <c r="BT163">
        <v>0</v>
      </c>
    </row>
    <row r="164" spans="1:72" x14ac:dyDescent="0.15">
      <c r="A164" s="43">
        <v>2022</v>
      </c>
      <c r="B164" s="8">
        <v>12</v>
      </c>
      <c r="C164" s="8">
        <v>1</v>
      </c>
      <c r="D164" s="8">
        <v>17</v>
      </c>
      <c r="E164" s="8" t="s">
        <v>236</v>
      </c>
      <c r="F164" s="8" t="s">
        <v>57</v>
      </c>
      <c r="G164" s="8">
        <v>2016</v>
      </c>
      <c r="H164" s="8">
        <v>12</v>
      </c>
      <c r="I164" s="8" t="s">
        <v>526</v>
      </c>
      <c r="J164" s="8" t="s">
        <v>236</v>
      </c>
      <c r="K164" s="8">
        <v>1987</v>
      </c>
      <c r="L164" s="17">
        <v>12</v>
      </c>
      <c r="M164" s="8">
        <v>1</v>
      </c>
      <c r="N164" s="8" t="s">
        <v>48</v>
      </c>
      <c r="O164" s="8" t="s">
        <v>298</v>
      </c>
      <c r="P164" s="8" t="s">
        <v>295</v>
      </c>
      <c r="Q164" s="8">
        <v>7000</v>
      </c>
      <c r="R164" s="8" t="s">
        <v>57</v>
      </c>
      <c r="S164" s="8" t="s">
        <v>52</v>
      </c>
      <c r="T164" s="8" t="s">
        <v>70</v>
      </c>
      <c r="U164" s="8" t="s">
        <v>68</v>
      </c>
      <c r="V164" s="8">
        <v>1000</v>
      </c>
      <c r="W164" s="8" t="s">
        <v>241</v>
      </c>
      <c r="X164" s="8">
        <v>5000</v>
      </c>
      <c r="Y164" s="8" t="s">
        <v>278</v>
      </c>
      <c r="Z164" s="8">
        <v>80</v>
      </c>
      <c r="AA164" s="8" t="s">
        <v>525</v>
      </c>
      <c r="AB164" s="8" t="s">
        <v>236</v>
      </c>
      <c r="AC164" s="8" t="s">
        <v>236</v>
      </c>
      <c r="AD164" s="8" t="s">
        <v>236</v>
      </c>
      <c r="AE164" s="8" t="s">
        <v>68</v>
      </c>
      <c r="AF164" s="8" t="s">
        <v>236</v>
      </c>
      <c r="AG164" s="8" t="s">
        <v>236</v>
      </c>
      <c r="AH164" s="8" t="s">
        <v>236</v>
      </c>
      <c r="AI164" s="8" t="s">
        <v>236</v>
      </c>
      <c r="AJ164" t="s">
        <v>519</v>
      </c>
      <c r="AK164">
        <v>12</v>
      </c>
      <c r="AL164">
        <v>1</v>
      </c>
      <c r="AM164" t="s">
        <v>88</v>
      </c>
      <c r="AN164" t="s">
        <v>236</v>
      </c>
      <c r="AO164" t="s">
        <v>529</v>
      </c>
      <c r="AP164" t="s">
        <v>113</v>
      </c>
      <c r="AQ164">
        <v>12</v>
      </c>
      <c r="AR164" t="s">
        <v>526</v>
      </c>
      <c r="AS164" t="s">
        <v>236</v>
      </c>
      <c r="AT164" t="s">
        <v>140</v>
      </c>
      <c r="AU164">
        <v>12</v>
      </c>
      <c r="AV164">
        <v>1</v>
      </c>
      <c r="AW164" t="s">
        <v>432</v>
      </c>
      <c r="AX164" t="s">
        <v>298</v>
      </c>
      <c r="AY164" t="s">
        <v>295</v>
      </c>
      <c r="AZ164">
        <v>3</v>
      </c>
      <c r="BA164" t="s">
        <v>435</v>
      </c>
      <c r="BB164" t="s">
        <v>431</v>
      </c>
      <c r="BC164" t="s">
        <v>419</v>
      </c>
      <c r="BD164" t="s">
        <v>522</v>
      </c>
      <c r="BE164" t="s">
        <v>437</v>
      </c>
      <c r="BF164" t="s">
        <v>530</v>
      </c>
      <c r="BG164" t="s">
        <v>531</v>
      </c>
      <c r="BH164" t="s">
        <v>420</v>
      </c>
      <c r="BI164" t="s">
        <v>532</v>
      </c>
      <c r="BJ164" t="s">
        <v>68</v>
      </c>
      <c r="BK164" t="s">
        <v>236</v>
      </c>
      <c r="BL164" t="s">
        <v>236</v>
      </c>
      <c r="BM164" t="s">
        <v>236</v>
      </c>
      <c r="BN164" t="s">
        <v>68</v>
      </c>
      <c r="BO164" t="s">
        <v>236</v>
      </c>
      <c r="BP164" t="s">
        <v>236</v>
      </c>
      <c r="BQ164" t="s">
        <v>236</v>
      </c>
      <c r="BR164" t="s">
        <v>236</v>
      </c>
      <c r="BS164" t="s">
        <v>436</v>
      </c>
      <c r="BT164">
        <v>0</v>
      </c>
    </row>
    <row r="165" spans="1:72" x14ac:dyDescent="0.15">
      <c r="A165" s="43">
        <v>2022</v>
      </c>
      <c r="B165" s="8">
        <v>12</v>
      </c>
      <c r="C165" s="8">
        <v>1</v>
      </c>
      <c r="D165" s="8">
        <v>17</v>
      </c>
      <c r="E165" s="8" t="s">
        <v>236</v>
      </c>
      <c r="F165" s="8" t="s">
        <v>57</v>
      </c>
      <c r="G165" s="8">
        <v>2016</v>
      </c>
      <c r="H165" s="8">
        <v>12</v>
      </c>
      <c r="I165" s="8" t="s">
        <v>526</v>
      </c>
      <c r="J165" s="8" t="s">
        <v>236</v>
      </c>
      <c r="K165" s="8">
        <v>1982</v>
      </c>
      <c r="L165" s="17">
        <v>12</v>
      </c>
      <c r="M165" s="8">
        <v>1</v>
      </c>
      <c r="N165" s="8" t="s">
        <v>48</v>
      </c>
      <c r="O165" s="8" t="s">
        <v>298</v>
      </c>
      <c r="P165" s="8" t="s">
        <v>295</v>
      </c>
      <c r="Q165" s="8">
        <v>7000</v>
      </c>
      <c r="R165" s="8" t="s">
        <v>57</v>
      </c>
      <c r="S165" s="8" t="s">
        <v>52</v>
      </c>
      <c r="T165" s="8" t="s">
        <v>70</v>
      </c>
      <c r="U165" s="8" t="s">
        <v>68</v>
      </c>
      <c r="V165" s="8">
        <v>1000</v>
      </c>
      <c r="W165" s="8" t="s">
        <v>241</v>
      </c>
      <c r="X165" s="8">
        <v>5000</v>
      </c>
      <c r="Y165" s="8" t="s">
        <v>278</v>
      </c>
      <c r="Z165" s="8">
        <v>80</v>
      </c>
      <c r="AA165" s="8" t="s">
        <v>525</v>
      </c>
      <c r="AB165" s="8" t="s">
        <v>236</v>
      </c>
      <c r="AC165" s="8" t="s">
        <v>236</v>
      </c>
      <c r="AD165" s="8" t="s">
        <v>236</v>
      </c>
      <c r="AE165" s="8" t="s">
        <v>68</v>
      </c>
      <c r="AF165" s="8" t="s">
        <v>236</v>
      </c>
      <c r="AG165" s="8" t="s">
        <v>236</v>
      </c>
      <c r="AH165" s="8" t="s">
        <v>236</v>
      </c>
      <c r="AI165" s="8" t="s">
        <v>236</v>
      </c>
      <c r="AJ165" t="s">
        <v>519</v>
      </c>
      <c r="AK165">
        <v>12</v>
      </c>
      <c r="AL165">
        <v>1</v>
      </c>
      <c r="AM165" t="s">
        <v>88</v>
      </c>
      <c r="AN165" t="s">
        <v>236</v>
      </c>
      <c r="AO165" t="s">
        <v>529</v>
      </c>
      <c r="AP165" t="s">
        <v>113</v>
      </c>
      <c r="AQ165">
        <v>12</v>
      </c>
      <c r="AR165" t="s">
        <v>526</v>
      </c>
      <c r="AS165" t="s">
        <v>236</v>
      </c>
      <c r="AT165" t="s">
        <v>145</v>
      </c>
      <c r="AU165">
        <v>12</v>
      </c>
      <c r="AV165">
        <v>1</v>
      </c>
      <c r="AW165" t="s">
        <v>432</v>
      </c>
      <c r="AX165" t="s">
        <v>298</v>
      </c>
      <c r="AY165" t="s">
        <v>295</v>
      </c>
      <c r="AZ165">
        <v>3</v>
      </c>
      <c r="BA165" t="s">
        <v>435</v>
      </c>
      <c r="BB165" t="s">
        <v>431</v>
      </c>
      <c r="BC165" t="s">
        <v>419</v>
      </c>
      <c r="BD165" t="s">
        <v>522</v>
      </c>
      <c r="BE165" t="s">
        <v>437</v>
      </c>
      <c r="BF165" t="s">
        <v>530</v>
      </c>
      <c r="BG165" t="s">
        <v>531</v>
      </c>
      <c r="BH165" t="s">
        <v>420</v>
      </c>
      <c r="BI165" t="s">
        <v>532</v>
      </c>
      <c r="BJ165" t="s">
        <v>68</v>
      </c>
      <c r="BK165" t="s">
        <v>236</v>
      </c>
      <c r="BL165" t="s">
        <v>236</v>
      </c>
      <c r="BM165" t="s">
        <v>236</v>
      </c>
      <c r="BN165" t="s">
        <v>68</v>
      </c>
      <c r="BO165" t="s">
        <v>236</v>
      </c>
      <c r="BP165" t="s">
        <v>236</v>
      </c>
      <c r="BQ165" t="s">
        <v>236</v>
      </c>
      <c r="BR165" t="s">
        <v>236</v>
      </c>
      <c r="BS165" t="s">
        <v>436</v>
      </c>
      <c r="BT165">
        <v>0</v>
      </c>
    </row>
    <row r="166" spans="1:72" x14ac:dyDescent="0.15">
      <c r="A166" s="43">
        <v>2022</v>
      </c>
      <c r="B166" s="8">
        <v>12</v>
      </c>
      <c r="C166" s="8">
        <v>1</v>
      </c>
      <c r="D166" s="8">
        <v>17</v>
      </c>
      <c r="E166" s="8" t="s">
        <v>236</v>
      </c>
      <c r="F166" s="8" t="s">
        <v>57</v>
      </c>
      <c r="G166" s="8">
        <v>2016</v>
      </c>
      <c r="H166" s="8">
        <v>12</v>
      </c>
      <c r="I166" s="8" t="s">
        <v>526</v>
      </c>
      <c r="J166" s="8" t="s">
        <v>236</v>
      </c>
      <c r="K166" s="8">
        <v>1977</v>
      </c>
      <c r="L166" s="17">
        <v>12</v>
      </c>
      <c r="M166" s="8">
        <v>1</v>
      </c>
      <c r="N166" s="8" t="s">
        <v>48</v>
      </c>
      <c r="O166" s="8" t="s">
        <v>298</v>
      </c>
      <c r="P166" s="8" t="s">
        <v>295</v>
      </c>
      <c r="Q166" s="8">
        <v>7000</v>
      </c>
      <c r="R166" s="8" t="s">
        <v>57</v>
      </c>
      <c r="S166" s="8" t="s">
        <v>52</v>
      </c>
      <c r="T166" s="8" t="s">
        <v>70</v>
      </c>
      <c r="U166" s="8" t="s">
        <v>68</v>
      </c>
      <c r="V166" s="8">
        <v>1000</v>
      </c>
      <c r="W166" s="8" t="s">
        <v>241</v>
      </c>
      <c r="X166" s="8">
        <v>5000</v>
      </c>
      <c r="Y166" s="8" t="s">
        <v>278</v>
      </c>
      <c r="Z166" s="8">
        <v>80</v>
      </c>
      <c r="AA166" s="8" t="s">
        <v>525</v>
      </c>
      <c r="AB166" s="8" t="s">
        <v>236</v>
      </c>
      <c r="AC166" s="8" t="s">
        <v>236</v>
      </c>
      <c r="AD166" s="8" t="s">
        <v>236</v>
      </c>
      <c r="AE166" s="8" t="s">
        <v>68</v>
      </c>
      <c r="AF166" s="8" t="s">
        <v>236</v>
      </c>
      <c r="AG166" s="8" t="s">
        <v>236</v>
      </c>
      <c r="AH166" s="8" t="s">
        <v>236</v>
      </c>
      <c r="AI166" s="8" t="s">
        <v>236</v>
      </c>
      <c r="AJ166" t="s">
        <v>519</v>
      </c>
      <c r="AK166">
        <v>12</v>
      </c>
      <c r="AL166">
        <v>1</v>
      </c>
      <c r="AM166" t="s">
        <v>88</v>
      </c>
      <c r="AN166" t="s">
        <v>236</v>
      </c>
      <c r="AO166" t="s">
        <v>529</v>
      </c>
      <c r="AP166" t="s">
        <v>113</v>
      </c>
      <c r="AQ166">
        <v>12</v>
      </c>
      <c r="AR166" t="s">
        <v>526</v>
      </c>
      <c r="AS166" t="s">
        <v>236</v>
      </c>
      <c r="AT166" t="s">
        <v>150</v>
      </c>
      <c r="AU166">
        <v>12</v>
      </c>
      <c r="AV166">
        <v>1</v>
      </c>
      <c r="AW166" t="s">
        <v>432</v>
      </c>
      <c r="AX166" t="s">
        <v>298</v>
      </c>
      <c r="AY166" t="s">
        <v>295</v>
      </c>
      <c r="AZ166">
        <v>3</v>
      </c>
      <c r="BA166" t="s">
        <v>435</v>
      </c>
      <c r="BB166" t="s">
        <v>431</v>
      </c>
      <c r="BC166" t="s">
        <v>419</v>
      </c>
      <c r="BD166" t="s">
        <v>522</v>
      </c>
      <c r="BE166" t="s">
        <v>437</v>
      </c>
      <c r="BF166" t="s">
        <v>530</v>
      </c>
      <c r="BG166" t="s">
        <v>531</v>
      </c>
      <c r="BH166" t="s">
        <v>420</v>
      </c>
      <c r="BI166" t="s">
        <v>532</v>
      </c>
      <c r="BJ166" t="s">
        <v>68</v>
      </c>
      <c r="BK166" t="s">
        <v>236</v>
      </c>
      <c r="BL166" t="s">
        <v>236</v>
      </c>
      <c r="BM166" t="s">
        <v>236</v>
      </c>
      <c r="BN166" t="s">
        <v>68</v>
      </c>
      <c r="BO166" t="s">
        <v>236</v>
      </c>
      <c r="BP166" t="s">
        <v>236</v>
      </c>
      <c r="BQ166" t="s">
        <v>236</v>
      </c>
      <c r="BR166" t="s">
        <v>236</v>
      </c>
      <c r="BS166" t="s">
        <v>436</v>
      </c>
      <c r="BT166">
        <v>0</v>
      </c>
    </row>
    <row r="167" spans="1:72" x14ac:dyDescent="0.15">
      <c r="A167" s="43">
        <v>2022</v>
      </c>
      <c r="B167" s="8">
        <v>12</v>
      </c>
      <c r="C167" s="8">
        <v>1</v>
      </c>
      <c r="D167" s="8">
        <v>17</v>
      </c>
      <c r="E167" s="8" t="s">
        <v>236</v>
      </c>
      <c r="F167" s="8" t="s">
        <v>57</v>
      </c>
      <c r="G167" s="8">
        <v>2016</v>
      </c>
      <c r="H167" s="8">
        <v>12</v>
      </c>
      <c r="I167" s="8" t="s">
        <v>526</v>
      </c>
      <c r="J167" s="8" t="s">
        <v>236</v>
      </c>
      <c r="K167" s="8">
        <v>1972</v>
      </c>
      <c r="L167" s="17">
        <v>12</v>
      </c>
      <c r="M167" s="8">
        <v>1</v>
      </c>
      <c r="N167" s="8" t="s">
        <v>48</v>
      </c>
      <c r="O167" s="8" t="s">
        <v>298</v>
      </c>
      <c r="P167" s="8" t="s">
        <v>295</v>
      </c>
      <c r="Q167" s="8">
        <v>7000</v>
      </c>
      <c r="R167" s="8" t="s">
        <v>57</v>
      </c>
      <c r="S167" s="8" t="s">
        <v>52</v>
      </c>
      <c r="T167" s="8" t="s">
        <v>70</v>
      </c>
      <c r="U167" s="8" t="s">
        <v>68</v>
      </c>
      <c r="V167" s="8">
        <v>1000</v>
      </c>
      <c r="W167" s="8" t="s">
        <v>241</v>
      </c>
      <c r="X167" s="8">
        <v>5000</v>
      </c>
      <c r="Y167" s="8" t="s">
        <v>278</v>
      </c>
      <c r="Z167" s="8">
        <v>80</v>
      </c>
      <c r="AA167" s="8" t="s">
        <v>525</v>
      </c>
      <c r="AB167" s="8" t="s">
        <v>236</v>
      </c>
      <c r="AC167" s="8" t="s">
        <v>236</v>
      </c>
      <c r="AD167" s="8" t="s">
        <v>236</v>
      </c>
      <c r="AE167" s="8" t="s">
        <v>68</v>
      </c>
      <c r="AF167" s="8" t="s">
        <v>236</v>
      </c>
      <c r="AG167" s="8" t="s">
        <v>236</v>
      </c>
      <c r="AH167" s="8" t="s">
        <v>236</v>
      </c>
      <c r="AI167" s="8" t="s">
        <v>236</v>
      </c>
      <c r="AJ167" t="s">
        <v>519</v>
      </c>
      <c r="AK167">
        <v>12</v>
      </c>
      <c r="AL167">
        <v>1</v>
      </c>
      <c r="AM167" t="s">
        <v>88</v>
      </c>
      <c r="AN167" t="s">
        <v>236</v>
      </c>
      <c r="AO167" t="s">
        <v>529</v>
      </c>
      <c r="AP167" t="s">
        <v>113</v>
      </c>
      <c r="AQ167">
        <v>12</v>
      </c>
      <c r="AR167" t="s">
        <v>526</v>
      </c>
      <c r="AS167" t="s">
        <v>236</v>
      </c>
      <c r="AT167" t="s">
        <v>155</v>
      </c>
      <c r="AU167">
        <v>12</v>
      </c>
      <c r="AV167">
        <v>1</v>
      </c>
      <c r="AW167" t="s">
        <v>432</v>
      </c>
      <c r="AX167" t="s">
        <v>298</v>
      </c>
      <c r="AY167" t="s">
        <v>295</v>
      </c>
      <c r="AZ167">
        <v>3</v>
      </c>
      <c r="BA167" t="s">
        <v>435</v>
      </c>
      <c r="BB167" t="s">
        <v>431</v>
      </c>
      <c r="BC167" t="s">
        <v>419</v>
      </c>
      <c r="BD167" t="s">
        <v>522</v>
      </c>
      <c r="BE167" t="s">
        <v>437</v>
      </c>
      <c r="BF167" t="s">
        <v>530</v>
      </c>
      <c r="BG167" t="s">
        <v>531</v>
      </c>
      <c r="BH167" t="s">
        <v>420</v>
      </c>
      <c r="BI167" t="s">
        <v>532</v>
      </c>
      <c r="BJ167" t="s">
        <v>68</v>
      </c>
      <c r="BK167" t="s">
        <v>236</v>
      </c>
      <c r="BL167" t="s">
        <v>236</v>
      </c>
      <c r="BM167" t="s">
        <v>236</v>
      </c>
      <c r="BN167" t="s">
        <v>68</v>
      </c>
      <c r="BO167" t="s">
        <v>236</v>
      </c>
      <c r="BP167" t="s">
        <v>236</v>
      </c>
      <c r="BQ167" t="s">
        <v>236</v>
      </c>
      <c r="BR167" t="s">
        <v>236</v>
      </c>
      <c r="BS167" t="s">
        <v>436</v>
      </c>
      <c r="BT167">
        <v>0</v>
      </c>
    </row>
    <row r="168" spans="1:72" x14ac:dyDescent="0.15">
      <c r="A168" s="43">
        <v>2022</v>
      </c>
      <c r="B168" s="8">
        <v>12</v>
      </c>
      <c r="C168" s="8">
        <v>1</v>
      </c>
      <c r="D168" s="8">
        <v>17</v>
      </c>
      <c r="E168" s="8" t="s">
        <v>236</v>
      </c>
      <c r="F168" s="8" t="s">
        <v>57</v>
      </c>
      <c r="G168" s="8">
        <v>2016</v>
      </c>
      <c r="H168" s="8">
        <v>12</v>
      </c>
      <c r="I168" s="8" t="s">
        <v>526</v>
      </c>
      <c r="J168" s="8" t="s">
        <v>236</v>
      </c>
      <c r="K168" s="8">
        <v>1962</v>
      </c>
      <c r="L168" s="17">
        <v>12</v>
      </c>
      <c r="M168" s="8">
        <v>1</v>
      </c>
      <c r="N168" s="8" t="s">
        <v>48</v>
      </c>
      <c r="O168" s="8" t="s">
        <v>298</v>
      </c>
      <c r="P168" s="8" t="s">
        <v>295</v>
      </c>
      <c r="Q168" s="8">
        <v>7000</v>
      </c>
      <c r="R168" s="8" t="s">
        <v>57</v>
      </c>
      <c r="S168" s="8" t="s">
        <v>52</v>
      </c>
      <c r="T168" s="8" t="s">
        <v>70</v>
      </c>
      <c r="U168" s="8" t="s">
        <v>68</v>
      </c>
      <c r="V168" s="8">
        <v>1000</v>
      </c>
      <c r="W168" s="8" t="s">
        <v>241</v>
      </c>
      <c r="X168" s="8">
        <v>5000</v>
      </c>
      <c r="Y168" s="8" t="s">
        <v>278</v>
      </c>
      <c r="Z168" s="8">
        <v>80</v>
      </c>
      <c r="AA168" s="8" t="s">
        <v>525</v>
      </c>
      <c r="AB168" s="8" t="s">
        <v>236</v>
      </c>
      <c r="AC168" s="8" t="s">
        <v>236</v>
      </c>
      <c r="AD168" s="8" t="s">
        <v>236</v>
      </c>
      <c r="AE168" s="8" t="s">
        <v>68</v>
      </c>
      <c r="AF168" s="8" t="s">
        <v>236</v>
      </c>
      <c r="AG168" s="8" t="s">
        <v>236</v>
      </c>
      <c r="AH168" s="8" t="s">
        <v>236</v>
      </c>
      <c r="AI168" s="8" t="s">
        <v>236</v>
      </c>
      <c r="AJ168" t="s">
        <v>519</v>
      </c>
      <c r="AK168">
        <v>12</v>
      </c>
      <c r="AL168">
        <v>1</v>
      </c>
      <c r="AM168" t="s">
        <v>88</v>
      </c>
      <c r="AN168" t="s">
        <v>236</v>
      </c>
      <c r="AO168" t="s">
        <v>529</v>
      </c>
      <c r="AP168" t="s">
        <v>113</v>
      </c>
      <c r="AQ168">
        <v>12</v>
      </c>
      <c r="AR168" t="s">
        <v>526</v>
      </c>
      <c r="AS168" t="s">
        <v>236</v>
      </c>
      <c r="AT168" t="s">
        <v>165</v>
      </c>
      <c r="AU168">
        <v>12</v>
      </c>
      <c r="AV168">
        <v>1</v>
      </c>
      <c r="AW168" t="s">
        <v>432</v>
      </c>
      <c r="AX168" t="s">
        <v>298</v>
      </c>
      <c r="AY168" t="s">
        <v>295</v>
      </c>
      <c r="AZ168">
        <v>3</v>
      </c>
      <c r="BA168" t="s">
        <v>435</v>
      </c>
      <c r="BB168" t="s">
        <v>431</v>
      </c>
      <c r="BC168" t="s">
        <v>419</v>
      </c>
      <c r="BD168" t="s">
        <v>522</v>
      </c>
      <c r="BE168" t="s">
        <v>437</v>
      </c>
      <c r="BF168" t="s">
        <v>530</v>
      </c>
      <c r="BG168" t="s">
        <v>531</v>
      </c>
      <c r="BH168" t="s">
        <v>420</v>
      </c>
      <c r="BI168" t="s">
        <v>532</v>
      </c>
      <c r="BJ168" t="s">
        <v>68</v>
      </c>
      <c r="BK168" t="s">
        <v>236</v>
      </c>
      <c r="BL168" t="s">
        <v>236</v>
      </c>
      <c r="BM168" t="s">
        <v>236</v>
      </c>
      <c r="BN168" t="s">
        <v>68</v>
      </c>
      <c r="BO168" t="s">
        <v>236</v>
      </c>
      <c r="BP168" t="s">
        <v>236</v>
      </c>
      <c r="BQ168" t="s">
        <v>236</v>
      </c>
      <c r="BR168" t="s">
        <v>236</v>
      </c>
      <c r="BS168" t="s">
        <v>436</v>
      </c>
      <c r="BT168">
        <v>0</v>
      </c>
    </row>
    <row r="169" spans="1:72" x14ac:dyDescent="0.15">
      <c r="A169" s="43">
        <v>2022</v>
      </c>
      <c r="B169" s="8">
        <v>12</v>
      </c>
      <c r="C169" s="8">
        <v>1</v>
      </c>
      <c r="D169" s="8">
        <v>17</v>
      </c>
      <c r="E169" s="8" t="s">
        <v>236</v>
      </c>
      <c r="F169" s="8" t="s">
        <v>57</v>
      </c>
      <c r="G169" s="8">
        <v>2016</v>
      </c>
      <c r="H169" s="8">
        <v>12</v>
      </c>
      <c r="I169" s="8" t="s">
        <v>526</v>
      </c>
      <c r="J169" s="8" t="s">
        <v>236</v>
      </c>
      <c r="K169" s="8">
        <v>1952</v>
      </c>
      <c r="L169" s="17">
        <v>12</v>
      </c>
      <c r="M169" s="8">
        <v>1</v>
      </c>
      <c r="N169" s="8" t="s">
        <v>48</v>
      </c>
      <c r="O169" s="8" t="s">
        <v>298</v>
      </c>
      <c r="P169" s="8" t="s">
        <v>295</v>
      </c>
      <c r="Q169" s="8">
        <v>7000</v>
      </c>
      <c r="R169" s="8" t="s">
        <v>57</v>
      </c>
      <c r="S169" s="8" t="s">
        <v>52</v>
      </c>
      <c r="T169" s="8" t="s">
        <v>70</v>
      </c>
      <c r="U169" s="8" t="s">
        <v>68</v>
      </c>
      <c r="V169" s="8">
        <v>1000</v>
      </c>
      <c r="W169" s="8" t="s">
        <v>241</v>
      </c>
      <c r="X169" s="8">
        <v>5000</v>
      </c>
      <c r="Y169" s="8" t="s">
        <v>278</v>
      </c>
      <c r="Z169" s="8">
        <v>80</v>
      </c>
      <c r="AA169" s="8" t="s">
        <v>525</v>
      </c>
      <c r="AB169" s="8" t="s">
        <v>236</v>
      </c>
      <c r="AC169" s="8" t="s">
        <v>236</v>
      </c>
      <c r="AD169" s="8" t="s">
        <v>236</v>
      </c>
      <c r="AE169" s="8" t="s">
        <v>68</v>
      </c>
      <c r="AF169" s="8" t="s">
        <v>236</v>
      </c>
      <c r="AG169" s="8" t="s">
        <v>236</v>
      </c>
      <c r="AH169" s="8" t="s">
        <v>236</v>
      </c>
      <c r="AI169" s="8" t="s">
        <v>236</v>
      </c>
      <c r="AJ169" t="s">
        <v>519</v>
      </c>
      <c r="AK169">
        <v>12</v>
      </c>
      <c r="AL169">
        <v>1</v>
      </c>
      <c r="AM169" t="s">
        <v>88</v>
      </c>
      <c r="AN169" t="s">
        <v>236</v>
      </c>
      <c r="AO169" t="s">
        <v>529</v>
      </c>
      <c r="AP169" t="s">
        <v>113</v>
      </c>
      <c r="AQ169">
        <v>12</v>
      </c>
      <c r="AR169" t="s">
        <v>526</v>
      </c>
      <c r="AS169" t="s">
        <v>236</v>
      </c>
      <c r="AT169" t="s">
        <v>175</v>
      </c>
      <c r="AU169">
        <v>12</v>
      </c>
      <c r="AV169">
        <v>1</v>
      </c>
      <c r="AW169" t="s">
        <v>432</v>
      </c>
      <c r="AX169" t="s">
        <v>298</v>
      </c>
      <c r="AY169" t="s">
        <v>295</v>
      </c>
      <c r="AZ169">
        <v>3</v>
      </c>
      <c r="BA169" t="s">
        <v>435</v>
      </c>
      <c r="BB169" t="s">
        <v>431</v>
      </c>
      <c r="BC169" t="s">
        <v>419</v>
      </c>
      <c r="BD169" t="s">
        <v>522</v>
      </c>
      <c r="BE169" t="s">
        <v>437</v>
      </c>
      <c r="BF169" t="s">
        <v>530</v>
      </c>
      <c r="BG169" t="s">
        <v>531</v>
      </c>
      <c r="BH169" t="s">
        <v>420</v>
      </c>
      <c r="BI169" t="s">
        <v>532</v>
      </c>
      <c r="BJ169" t="s">
        <v>68</v>
      </c>
      <c r="BK169" t="s">
        <v>236</v>
      </c>
      <c r="BL169" t="s">
        <v>236</v>
      </c>
      <c r="BM169" t="s">
        <v>236</v>
      </c>
      <c r="BN169" t="s">
        <v>68</v>
      </c>
      <c r="BO169" t="s">
        <v>236</v>
      </c>
      <c r="BP169" t="s">
        <v>236</v>
      </c>
      <c r="BQ169" t="s">
        <v>236</v>
      </c>
      <c r="BR169" t="s">
        <v>236</v>
      </c>
      <c r="BS169" t="s">
        <v>436</v>
      </c>
      <c r="BT169">
        <v>0</v>
      </c>
    </row>
    <row r="170" spans="1:72" x14ac:dyDescent="0.15">
      <c r="A170" s="43">
        <v>2022</v>
      </c>
      <c r="B170" s="8">
        <v>12</v>
      </c>
      <c r="C170" s="8">
        <v>1</v>
      </c>
      <c r="D170" s="8" t="s">
        <v>297</v>
      </c>
      <c r="E170" s="8" t="s">
        <v>236</v>
      </c>
      <c r="F170" s="8" t="s">
        <v>57</v>
      </c>
      <c r="G170" s="8">
        <v>2016</v>
      </c>
      <c r="H170" s="8">
        <v>12</v>
      </c>
      <c r="I170" s="8" t="s">
        <v>526</v>
      </c>
      <c r="J170" s="8" t="s">
        <v>236</v>
      </c>
      <c r="K170" s="8">
        <v>1992</v>
      </c>
      <c r="L170" s="17">
        <v>12</v>
      </c>
      <c r="M170" s="8">
        <v>1</v>
      </c>
      <c r="N170" s="8" t="s">
        <v>48</v>
      </c>
      <c r="O170" s="8" t="s">
        <v>298</v>
      </c>
      <c r="P170" s="8" t="s">
        <v>224</v>
      </c>
      <c r="Q170" s="8">
        <v>3000</v>
      </c>
      <c r="R170" s="8" t="s">
        <v>57</v>
      </c>
      <c r="S170" s="8" t="s">
        <v>52</v>
      </c>
      <c r="T170" s="8" t="s">
        <v>70</v>
      </c>
      <c r="U170" s="8" t="s">
        <v>68</v>
      </c>
      <c r="V170" s="8">
        <v>1000</v>
      </c>
      <c r="W170" s="8" t="s">
        <v>241</v>
      </c>
      <c r="X170" s="8">
        <v>5000</v>
      </c>
      <c r="Y170" s="8" t="s">
        <v>278</v>
      </c>
      <c r="Z170" s="8">
        <v>80</v>
      </c>
      <c r="AA170" s="8" t="s">
        <v>525</v>
      </c>
      <c r="AB170" s="8" t="s">
        <v>236</v>
      </c>
      <c r="AC170" s="8" t="s">
        <v>236</v>
      </c>
      <c r="AD170" s="8" t="s">
        <v>236</v>
      </c>
      <c r="AE170" s="8" t="s">
        <v>68</v>
      </c>
      <c r="AF170" s="8" t="s">
        <v>236</v>
      </c>
      <c r="AG170" s="8" t="s">
        <v>236</v>
      </c>
      <c r="AH170" s="8" t="s">
        <v>236</v>
      </c>
      <c r="AI170" s="8" t="s">
        <v>236</v>
      </c>
      <c r="AJ170" t="s">
        <v>519</v>
      </c>
      <c r="AK170">
        <v>12</v>
      </c>
      <c r="AL170">
        <v>1</v>
      </c>
      <c r="AM170" t="s">
        <v>297</v>
      </c>
      <c r="AN170" t="s">
        <v>236</v>
      </c>
      <c r="AO170" t="s">
        <v>529</v>
      </c>
      <c r="AP170" t="s">
        <v>113</v>
      </c>
      <c r="AQ170">
        <v>12</v>
      </c>
      <c r="AR170" t="s">
        <v>526</v>
      </c>
      <c r="AS170" t="s">
        <v>236</v>
      </c>
      <c r="AT170" t="s">
        <v>137</v>
      </c>
      <c r="AU170">
        <v>12</v>
      </c>
      <c r="AV170">
        <v>1</v>
      </c>
      <c r="AW170" t="s">
        <v>432</v>
      </c>
      <c r="AX170" t="s">
        <v>298</v>
      </c>
      <c r="AY170" t="s">
        <v>224</v>
      </c>
      <c r="AZ170">
        <v>1</v>
      </c>
      <c r="BA170" t="s">
        <v>435</v>
      </c>
      <c r="BB170" t="s">
        <v>431</v>
      </c>
      <c r="BC170" t="s">
        <v>419</v>
      </c>
      <c r="BD170" t="s">
        <v>522</v>
      </c>
      <c r="BE170" t="s">
        <v>437</v>
      </c>
      <c r="BF170" t="s">
        <v>530</v>
      </c>
      <c r="BG170" t="s">
        <v>531</v>
      </c>
      <c r="BH170" t="s">
        <v>420</v>
      </c>
      <c r="BI170" t="s">
        <v>532</v>
      </c>
      <c r="BJ170" t="s">
        <v>68</v>
      </c>
      <c r="BK170" t="s">
        <v>236</v>
      </c>
      <c r="BL170" t="s">
        <v>236</v>
      </c>
      <c r="BM170" t="s">
        <v>236</v>
      </c>
      <c r="BN170" t="s">
        <v>68</v>
      </c>
      <c r="BO170" t="s">
        <v>236</v>
      </c>
      <c r="BP170" t="s">
        <v>236</v>
      </c>
      <c r="BQ170" t="s">
        <v>236</v>
      </c>
      <c r="BR170" t="s">
        <v>236</v>
      </c>
      <c r="BS170" t="s">
        <v>521</v>
      </c>
      <c r="BT170">
        <v>0</v>
      </c>
    </row>
    <row r="171" spans="1:72" x14ac:dyDescent="0.15">
      <c r="A171" s="43">
        <v>2022</v>
      </c>
      <c r="B171" s="8">
        <v>12</v>
      </c>
      <c r="C171" s="8">
        <v>1</v>
      </c>
      <c r="D171" s="8" t="s">
        <v>297</v>
      </c>
      <c r="E171" s="8" t="s">
        <v>236</v>
      </c>
      <c r="F171" s="8" t="s">
        <v>57</v>
      </c>
      <c r="G171" s="8">
        <v>2016</v>
      </c>
      <c r="H171" s="8">
        <v>12</v>
      </c>
      <c r="I171" s="8" t="s">
        <v>526</v>
      </c>
      <c r="J171" s="8" t="s">
        <v>236</v>
      </c>
      <c r="K171" s="8">
        <v>1987</v>
      </c>
      <c r="L171" s="17">
        <v>12</v>
      </c>
      <c r="M171" s="8">
        <v>1</v>
      </c>
      <c r="N171" s="8" t="s">
        <v>48</v>
      </c>
      <c r="O171" s="8" t="s">
        <v>298</v>
      </c>
      <c r="P171" s="8" t="s">
        <v>224</v>
      </c>
      <c r="Q171" s="8">
        <v>3000</v>
      </c>
      <c r="R171" s="8" t="s">
        <v>57</v>
      </c>
      <c r="S171" s="8" t="s">
        <v>52</v>
      </c>
      <c r="T171" s="8" t="s">
        <v>70</v>
      </c>
      <c r="U171" s="8" t="s">
        <v>68</v>
      </c>
      <c r="V171" s="8">
        <v>1000</v>
      </c>
      <c r="W171" s="8" t="s">
        <v>241</v>
      </c>
      <c r="X171" s="8">
        <v>5000</v>
      </c>
      <c r="Y171" s="8" t="s">
        <v>278</v>
      </c>
      <c r="Z171" s="8">
        <v>80</v>
      </c>
      <c r="AA171" s="8" t="s">
        <v>525</v>
      </c>
      <c r="AB171" s="8" t="s">
        <v>236</v>
      </c>
      <c r="AC171" s="8" t="s">
        <v>236</v>
      </c>
      <c r="AD171" s="8" t="s">
        <v>236</v>
      </c>
      <c r="AE171" s="8" t="s">
        <v>68</v>
      </c>
      <c r="AF171" s="8" t="s">
        <v>236</v>
      </c>
      <c r="AG171" s="8" t="s">
        <v>236</v>
      </c>
      <c r="AH171" s="8" t="s">
        <v>236</v>
      </c>
      <c r="AI171" s="8" t="s">
        <v>236</v>
      </c>
      <c r="AJ171" t="s">
        <v>519</v>
      </c>
      <c r="AK171">
        <v>12</v>
      </c>
      <c r="AL171">
        <v>1</v>
      </c>
      <c r="AM171" t="s">
        <v>297</v>
      </c>
      <c r="AN171" t="s">
        <v>236</v>
      </c>
      <c r="AO171" t="s">
        <v>529</v>
      </c>
      <c r="AP171" t="s">
        <v>113</v>
      </c>
      <c r="AQ171">
        <v>12</v>
      </c>
      <c r="AR171" t="s">
        <v>526</v>
      </c>
      <c r="AS171" t="s">
        <v>236</v>
      </c>
      <c r="AT171" t="s">
        <v>140</v>
      </c>
      <c r="AU171">
        <v>12</v>
      </c>
      <c r="AV171">
        <v>1</v>
      </c>
      <c r="AW171" t="s">
        <v>432</v>
      </c>
      <c r="AX171" t="s">
        <v>298</v>
      </c>
      <c r="AY171" t="s">
        <v>224</v>
      </c>
      <c r="AZ171">
        <v>1</v>
      </c>
      <c r="BA171" t="s">
        <v>435</v>
      </c>
      <c r="BB171" t="s">
        <v>431</v>
      </c>
      <c r="BC171" t="s">
        <v>419</v>
      </c>
      <c r="BD171" t="s">
        <v>522</v>
      </c>
      <c r="BE171" t="s">
        <v>437</v>
      </c>
      <c r="BF171" t="s">
        <v>530</v>
      </c>
      <c r="BG171" t="s">
        <v>531</v>
      </c>
      <c r="BH171" t="s">
        <v>420</v>
      </c>
      <c r="BI171" t="s">
        <v>532</v>
      </c>
      <c r="BJ171" t="s">
        <v>68</v>
      </c>
      <c r="BK171" t="s">
        <v>236</v>
      </c>
      <c r="BL171" t="s">
        <v>236</v>
      </c>
      <c r="BM171" t="s">
        <v>236</v>
      </c>
      <c r="BN171" t="s">
        <v>68</v>
      </c>
      <c r="BO171" t="s">
        <v>236</v>
      </c>
      <c r="BP171" t="s">
        <v>236</v>
      </c>
      <c r="BQ171" t="s">
        <v>236</v>
      </c>
      <c r="BR171" t="s">
        <v>236</v>
      </c>
      <c r="BS171" t="s">
        <v>521</v>
      </c>
      <c r="BT171">
        <v>0</v>
      </c>
    </row>
    <row r="172" spans="1:72" x14ac:dyDescent="0.15">
      <c r="A172" s="43">
        <v>2022</v>
      </c>
      <c r="B172" s="8">
        <v>12</v>
      </c>
      <c r="C172" s="8">
        <v>1</v>
      </c>
      <c r="D172" s="8" t="s">
        <v>297</v>
      </c>
      <c r="E172" s="8" t="s">
        <v>236</v>
      </c>
      <c r="F172" s="8" t="s">
        <v>57</v>
      </c>
      <c r="G172" s="8">
        <v>2016</v>
      </c>
      <c r="H172" s="8">
        <v>12</v>
      </c>
      <c r="I172" s="8" t="s">
        <v>526</v>
      </c>
      <c r="J172" s="8" t="s">
        <v>236</v>
      </c>
      <c r="K172" s="8">
        <v>1982</v>
      </c>
      <c r="L172" s="17">
        <v>12</v>
      </c>
      <c r="M172" s="8">
        <v>1</v>
      </c>
      <c r="N172" s="8" t="s">
        <v>48</v>
      </c>
      <c r="O172" s="8" t="s">
        <v>298</v>
      </c>
      <c r="P172" s="8" t="s">
        <v>224</v>
      </c>
      <c r="Q172" s="8">
        <v>3000</v>
      </c>
      <c r="R172" s="8" t="s">
        <v>57</v>
      </c>
      <c r="S172" s="8" t="s">
        <v>52</v>
      </c>
      <c r="T172" s="8" t="s">
        <v>70</v>
      </c>
      <c r="U172" s="8" t="s">
        <v>68</v>
      </c>
      <c r="V172" s="8">
        <v>1000</v>
      </c>
      <c r="W172" s="8" t="s">
        <v>241</v>
      </c>
      <c r="X172" s="8">
        <v>5000</v>
      </c>
      <c r="Y172" s="8" t="s">
        <v>278</v>
      </c>
      <c r="Z172" s="8">
        <v>80</v>
      </c>
      <c r="AA172" s="8" t="s">
        <v>525</v>
      </c>
      <c r="AB172" s="8" t="s">
        <v>236</v>
      </c>
      <c r="AC172" s="8" t="s">
        <v>236</v>
      </c>
      <c r="AD172" s="8" t="s">
        <v>236</v>
      </c>
      <c r="AE172" s="8" t="s">
        <v>68</v>
      </c>
      <c r="AF172" s="8" t="s">
        <v>236</v>
      </c>
      <c r="AG172" s="8" t="s">
        <v>236</v>
      </c>
      <c r="AH172" s="8" t="s">
        <v>236</v>
      </c>
      <c r="AI172" s="8" t="s">
        <v>236</v>
      </c>
      <c r="AJ172" t="s">
        <v>519</v>
      </c>
      <c r="AK172">
        <v>12</v>
      </c>
      <c r="AL172">
        <v>1</v>
      </c>
      <c r="AM172" t="s">
        <v>297</v>
      </c>
      <c r="AN172" t="s">
        <v>236</v>
      </c>
      <c r="AO172" t="s">
        <v>529</v>
      </c>
      <c r="AP172" t="s">
        <v>113</v>
      </c>
      <c r="AQ172">
        <v>12</v>
      </c>
      <c r="AR172" t="s">
        <v>526</v>
      </c>
      <c r="AS172" t="s">
        <v>236</v>
      </c>
      <c r="AT172" t="s">
        <v>145</v>
      </c>
      <c r="AU172">
        <v>12</v>
      </c>
      <c r="AV172">
        <v>1</v>
      </c>
      <c r="AW172" t="s">
        <v>432</v>
      </c>
      <c r="AX172" t="s">
        <v>298</v>
      </c>
      <c r="AY172" t="s">
        <v>224</v>
      </c>
      <c r="AZ172">
        <v>1</v>
      </c>
      <c r="BA172" t="s">
        <v>435</v>
      </c>
      <c r="BB172" t="s">
        <v>431</v>
      </c>
      <c r="BC172" t="s">
        <v>419</v>
      </c>
      <c r="BD172" t="s">
        <v>522</v>
      </c>
      <c r="BE172" t="s">
        <v>437</v>
      </c>
      <c r="BF172" t="s">
        <v>530</v>
      </c>
      <c r="BG172" t="s">
        <v>531</v>
      </c>
      <c r="BH172" t="s">
        <v>420</v>
      </c>
      <c r="BI172" t="s">
        <v>532</v>
      </c>
      <c r="BJ172" t="s">
        <v>68</v>
      </c>
      <c r="BK172" t="s">
        <v>236</v>
      </c>
      <c r="BL172" t="s">
        <v>236</v>
      </c>
      <c r="BM172" t="s">
        <v>236</v>
      </c>
      <c r="BN172" t="s">
        <v>68</v>
      </c>
      <c r="BO172" t="s">
        <v>236</v>
      </c>
      <c r="BP172" t="s">
        <v>236</v>
      </c>
      <c r="BQ172" t="s">
        <v>236</v>
      </c>
      <c r="BR172" t="s">
        <v>236</v>
      </c>
      <c r="BS172" t="s">
        <v>521</v>
      </c>
      <c r="BT172">
        <v>0</v>
      </c>
    </row>
    <row r="173" spans="1:72" x14ac:dyDescent="0.15">
      <c r="A173" s="43">
        <v>2022</v>
      </c>
      <c r="B173" s="8">
        <v>12</v>
      </c>
      <c r="C173" s="8">
        <v>1</v>
      </c>
      <c r="D173" s="8" t="s">
        <v>297</v>
      </c>
      <c r="E173" s="8" t="s">
        <v>236</v>
      </c>
      <c r="F173" s="8" t="s">
        <v>57</v>
      </c>
      <c r="G173" s="8">
        <v>2016</v>
      </c>
      <c r="H173" s="8">
        <v>12</v>
      </c>
      <c r="I173" s="8" t="s">
        <v>526</v>
      </c>
      <c r="J173" s="8" t="s">
        <v>236</v>
      </c>
      <c r="K173" s="8">
        <v>1977</v>
      </c>
      <c r="L173" s="17">
        <v>12</v>
      </c>
      <c r="M173" s="8">
        <v>1</v>
      </c>
      <c r="N173" s="8" t="s">
        <v>48</v>
      </c>
      <c r="O173" s="8" t="s">
        <v>298</v>
      </c>
      <c r="P173" s="8" t="s">
        <v>224</v>
      </c>
      <c r="Q173" s="8">
        <v>3000</v>
      </c>
      <c r="R173" s="8" t="s">
        <v>57</v>
      </c>
      <c r="S173" s="8" t="s">
        <v>52</v>
      </c>
      <c r="T173" s="8" t="s">
        <v>70</v>
      </c>
      <c r="U173" s="8" t="s">
        <v>68</v>
      </c>
      <c r="V173" s="8">
        <v>1000</v>
      </c>
      <c r="W173" s="8" t="s">
        <v>241</v>
      </c>
      <c r="X173" s="8">
        <v>5000</v>
      </c>
      <c r="Y173" s="8" t="s">
        <v>278</v>
      </c>
      <c r="Z173" s="8">
        <v>80</v>
      </c>
      <c r="AA173" s="8" t="s">
        <v>525</v>
      </c>
      <c r="AB173" s="8" t="s">
        <v>236</v>
      </c>
      <c r="AC173" s="8" t="s">
        <v>236</v>
      </c>
      <c r="AD173" s="8" t="s">
        <v>236</v>
      </c>
      <c r="AE173" s="8" t="s">
        <v>68</v>
      </c>
      <c r="AF173" s="8" t="s">
        <v>236</v>
      </c>
      <c r="AG173" s="8" t="s">
        <v>236</v>
      </c>
      <c r="AH173" s="8" t="s">
        <v>236</v>
      </c>
      <c r="AI173" s="8" t="s">
        <v>236</v>
      </c>
      <c r="AJ173" t="s">
        <v>519</v>
      </c>
      <c r="AK173">
        <v>12</v>
      </c>
      <c r="AL173">
        <v>1</v>
      </c>
      <c r="AM173" t="s">
        <v>297</v>
      </c>
      <c r="AN173" t="s">
        <v>236</v>
      </c>
      <c r="AO173" t="s">
        <v>529</v>
      </c>
      <c r="AP173" t="s">
        <v>113</v>
      </c>
      <c r="AQ173">
        <v>12</v>
      </c>
      <c r="AR173" t="s">
        <v>526</v>
      </c>
      <c r="AS173" t="s">
        <v>236</v>
      </c>
      <c r="AT173" t="s">
        <v>150</v>
      </c>
      <c r="AU173">
        <v>12</v>
      </c>
      <c r="AV173">
        <v>1</v>
      </c>
      <c r="AW173" t="s">
        <v>432</v>
      </c>
      <c r="AX173" t="s">
        <v>298</v>
      </c>
      <c r="AY173" t="s">
        <v>224</v>
      </c>
      <c r="AZ173">
        <v>1</v>
      </c>
      <c r="BA173" t="s">
        <v>435</v>
      </c>
      <c r="BB173" t="s">
        <v>431</v>
      </c>
      <c r="BC173" t="s">
        <v>419</v>
      </c>
      <c r="BD173" t="s">
        <v>522</v>
      </c>
      <c r="BE173" t="s">
        <v>437</v>
      </c>
      <c r="BF173" t="s">
        <v>530</v>
      </c>
      <c r="BG173" t="s">
        <v>531</v>
      </c>
      <c r="BH173" t="s">
        <v>420</v>
      </c>
      <c r="BI173" t="s">
        <v>532</v>
      </c>
      <c r="BJ173" t="s">
        <v>68</v>
      </c>
      <c r="BK173" t="s">
        <v>236</v>
      </c>
      <c r="BL173" t="s">
        <v>236</v>
      </c>
      <c r="BM173" t="s">
        <v>236</v>
      </c>
      <c r="BN173" t="s">
        <v>68</v>
      </c>
      <c r="BO173" t="s">
        <v>236</v>
      </c>
      <c r="BP173" t="s">
        <v>236</v>
      </c>
      <c r="BQ173" t="s">
        <v>236</v>
      </c>
      <c r="BR173" t="s">
        <v>236</v>
      </c>
      <c r="BS173" t="s">
        <v>521</v>
      </c>
      <c r="BT173">
        <v>0</v>
      </c>
    </row>
    <row r="174" spans="1:72" x14ac:dyDescent="0.15">
      <c r="A174" s="43">
        <v>2022</v>
      </c>
      <c r="B174" s="8">
        <v>12</v>
      </c>
      <c r="C174" s="8">
        <v>1</v>
      </c>
      <c r="D174" s="8" t="s">
        <v>297</v>
      </c>
      <c r="E174" s="8" t="s">
        <v>236</v>
      </c>
      <c r="F174" s="8" t="s">
        <v>57</v>
      </c>
      <c r="G174" s="8">
        <v>2016</v>
      </c>
      <c r="H174" s="8">
        <v>12</v>
      </c>
      <c r="I174" s="8" t="s">
        <v>526</v>
      </c>
      <c r="J174" s="8" t="s">
        <v>236</v>
      </c>
      <c r="K174" s="8">
        <v>1972</v>
      </c>
      <c r="L174" s="17">
        <v>12</v>
      </c>
      <c r="M174" s="8">
        <v>1</v>
      </c>
      <c r="N174" s="8" t="s">
        <v>48</v>
      </c>
      <c r="O174" s="8" t="s">
        <v>298</v>
      </c>
      <c r="P174" s="8" t="s">
        <v>224</v>
      </c>
      <c r="Q174" s="8">
        <v>3000</v>
      </c>
      <c r="R174" s="8" t="s">
        <v>57</v>
      </c>
      <c r="S174" s="8" t="s">
        <v>52</v>
      </c>
      <c r="T174" s="8" t="s">
        <v>70</v>
      </c>
      <c r="U174" s="8" t="s">
        <v>68</v>
      </c>
      <c r="V174" s="8">
        <v>1000</v>
      </c>
      <c r="W174" s="8" t="s">
        <v>241</v>
      </c>
      <c r="X174" s="8">
        <v>5000</v>
      </c>
      <c r="Y174" s="8" t="s">
        <v>278</v>
      </c>
      <c r="Z174" s="8">
        <v>80</v>
      </c>
      <c r="AA174" s="8" t="s">
        <v>525</v>
      </c>
      <c r="AB174" s="8" t="s">
        <v>236</v>
      </c>
      <c r="AC174" s="8" t="s">
        <v>236</v>
      </c>
      <c r="AD174" s="8" t="s">
        <v>236</v>
      </c>
      <c r="AE174" s="8" t="s">
        <v>68</v>
      </c>
      <c r="AF174" s="8" t="s">
        <v>236</v>
      </c>
      <c r="AG174" s="8" t="s">
        <v>236</v>
      </c>
      <c r="AH174" s="8" t="s">
        <v>236</v>
      </c>
      <c r="AI174" s="8" t="s">
        <v>236</v>
      </c>
      <c r="AJ174" t="s">
        <v>519</v>
      </c>
      <c r="AK174">
        <v>12</v>
      </c>
      <c r="AL174">
        <v>1</v>
      </c>
      <c r="AM174" t="s">
        <v>297</v>
      </c>
      <c r="AN174" t="s">
        <v>236</v>
      </c>
      <c r="AO174" t="s">
        <v>529</v>
      </c>
      <c r="AP174" t="s">
        <v>113</v>
      </c>
      <c r="AQ174">
        <v>12</v>
      </c>
      <c r="AR174" t="s">
        <v>526</v>
      </c>
      <c r="AS174" t="s">
        <v>236</v>
      </c>
      <c r="AT174" t="s">
        <v>155</v>
      </c>
      <c r="AU174">
        <v>12</v>
      </c>
      <c r="AV174">
        <v>1</v>
      </c>
      <c r="AW174" t="s">
        <v>432</v>
      </c>
      <c r="AX174" t="s">
        <v>298</v>
      </c>
      <c r="AY174" t="s">
        <v>224</v>
      </c>
      <c r="AZ174">
        <v>1</v>
      </c>
      <c r="BA174" t="s">
        <v>435</v>
      </c>
      <c r="BB174" t="s">
        <v>431</v>
      </c>
      <c r="BC174" t="s">
        <v>419</v>
      </c>
      <c r="BD174" t="s">
        <v>522</v>
      </c>
      <c r="BE174" t="s">
        <v>437</v>
      </c>
      <c r="BF174" t="s">
        <v>530</v>
      </c>
      <c r="BG174" t="s">
        <v>531</v>
      </c>
      <c r="BH174" t="s">
        <v>420</v>
      </c>
      <c r="BI174" t="s">
        <v>532</v>
      </c>
      <c r="BJ174" t="s">
        <v>68</v>
      </c>
      <c r="BK174" t="s">
        <v>236</v>
      </c>
      <c r="BL174" t="s">
        <v>236</v>
      </c>
      <c r="BM174" t="s">
        <v>236</v>
      </c>
      <c r="BN174" t="s">
        <v>68</v>
      </c>
      <c r="BO174" t="s">
        <v>236</v>
      </c>
      <c r="BP174" t="s">
        <v>236</v>
      </c>
      <c r="BQ174" t="s">
        <v>236</v>
      </c>
      <c r="BR174" t="s">
        <v>236</v>
      </c>
      <c r="BS174" t="s">
        <v>521</v>
      </c>
      <c r="BT174">
        <v>0</v>
      </c>
    </row>
    <row r="175" spans="1:72" x14ac:dyDescent="0.15">
      <c r="A175" s="43">
        <v>2022</v>
      </c>
      <c r="B175" s="8">
        <v>12</v>
      </c>
      <c r="C175" s="8">
        <v>1</v>
      </c>
      <c r="D175" s="8" t="s">
        <v>297</v>
      </c>
      <c r="E175" s="8" t="s">
        <v>236</v>
      </c>
      <c r="F175" s="8" t="s">
        <v>57</v>
      </c>
      <c r="G175" s="8">
        <v>2016</v>
      </c>
      <c r="H175" s="8">
        <v>12</v>
      </c>
      <c r="I175" s="8" t="s">
        <v>526</v>
      </c>
      <c r="J175" s="8" t="s">
        <v>236</v>
      </c>
      <c r="K175" s="8">
        <v>1962</v>
      </c>
      <c r="L175" s="17">
        <v>12</v>
      </c>
      <c r="M175" s="8">
        <v>1</v>
      </c>
      <c r="N175" s="8" t="s">
        <v>48</v>
      </c>
      <c r="O175" s="8" t="s">
        <v>298</v>
      </c>
      <c r="P175" s="8" t="s">
        <v>224</v>
      </c>
      <c r="Q175" s="8">
        <v>3000</v>
      </c>
      <c r="R175" s="8" t="s">
        <v>57</v>
      </c>
      <c r="S175" s="8" t="s">
        <v>52</v>
      </c>
      <c r="T175" s="8" t="s">
        <v>70</v>
      </c>
      <c r="U175" s="8" t="s">
        <v>68</v>
      </c>
      <c r="V175" s="8">
        <v>1000</v>
      </c>
      <c r="W175" s="8" t="s">
        <v>241</v>
      </c>
      <c r="X175" s="8">
        <v>5000</v>
      </c>
      <c r="Y175" s="8" t="s">
        <v>278</v>
      </c>
      <c r="Z175" s="8">
        <v>80</v>
      </c>
      <c r="AA175" s="8" t="s">
        <v>525</v>
      </c>
      <c r="AB175" s="8" t="s">
        <v>236</v>
      </c>
      <c r="AC175" s="8" t="s">
        <v>236</v>
      </c>
      <c r="AD175" s="8" t="s">
        <v>236</v>
      </c>
      <c r="AE175" s="8" t="s">
        <v>68</v>
      </c>
      <c r="AF175" s="8" t="s">
        <v>236</v>
      </c>
      <c r="AG175" s="8" t="s">
        <v>236</v>
      </c>
      <c r="AH175" s="8" t="s">
        <v>236</v>
      </c>
      <c r="AI175" s="8" t="s">
        <v>236</v>
      </c>
      <c r="AJ175" t="s">
        <v>519</v>
      </c>
      <c r="AK175">
        <v>12</v>
      </c>
      <c r="AL175">
        <v>1</v>
      </c>
      <c r="AM175" t="s">
        <v>297</v>
      </c>
      <c r="AN175" t="s">
        <v>236</v>
      </c>
      <c r="AO175" t="s">
        <v>529</v>
      </c>
      <c r="AP175" t="s">
        <v>113</v>
      </c>
      <c r="AQ175">
        <v>12</v>
      </c>
      <c r="AR175" t="s">
        <v>526</v>
      </c>
      <c r="AS175" t="s">
        <v>236</v>
      </c>
      <c r="AT175" t="s">
        <v>165</v>
      </c>
      <c r="AU175">
        <v>12</v>
      </c>
      <c r="AV175">
        <v>1</v>
      </c>
      <c r="AW175" t="s">
        <v>432</v>
      </c>
      <c r="AX175" t="s">
        <v>298</v>
      </c>
      <c r="AY175" t="s">
        <v>224</v>
      </c>
      <c r="AZ175">
        <v>1</v>
      </c>
      <c r="BA175" t="s">
        <v>435</v>
      </c>
      <c r="BB175" t="s">
        <v>431</v>
      </c>
      <c r="BC175" t="s">
        <v>419</v>
      </c>
      <c r="BD175" t="s">
        <v>522</v>
      </c>
      <c r="BE175" t="s">
        <v>437</v>
      </c>
      <c r="BF175" t="s">
        <v>530</v>
      </c>
      <c r="BG175" t="s">
        <v>531</v>
      </c>
      <c r="BH175" t="s">
        <v>420</v>
      </c>
      <c r="BI175" t="s">
        <v>532</v>
      </c>
      <c r="BJ175" t="s">
        <v>68</v>
      </c>
      <c r="BK175" t="s">
        <v>236</v>
      </c>
      <c r="BL175" t="s">
        <v>236</v>
      </c>
      <c r="BM175" t="s">
        <v>236</v>
      </c>
      <c r="BN175" t="s">
        <v>68</v>
      </c>
      <c r="BO175" t="s">
        <v>236</v>
      </c>
      <c r="BP175" t="s">
        <v>236</v>
      </c>
      <c r="BQ175" t="s">
        <v>236</v>
      </c>
      <c r="BR175" t="s">
        <v>236</v>
      </c>
      <c r="BS175" t="s">
        <v>521</v>
      </c>
      <c r="BT175">
        <v>0</v>
      </c>
    </row>
    <row r="176" spans="1:72" x14ac:dyDescent="0.15">
      <c r="A176" s="43">
        <v>2022</v>
      </c>
      <c r="B176" s="8">
        <v>12</v>
      </c>
      <c r="C176" s="8">
        <v>1</v>
      </c>
      <c r="D176" s="8" t="s">
        <v>297</v>
      </c>
      <c r="E176" s="8" t="s">
        <v>236</v>
      </c>
      <c r="F176" s="8" t="s">
        <v>57</v>
      </c>
      <c r="G176" s="8">
        <v>2016</v>
      </c>
      <c r="H176" s="8">
        <v>12</v>
      </c>
      <c r="I176" s="8" t="s">
        <v>526</v>
      </c>
      <c r="J176" s="8" t="s">
        <v>236</v>
      </c>
      <c r="K176" s="8">
        <v>1952</v>
      </c>
      <c r="L176" s="17">
        <v>12</v>
      </c>
      <c r="M176" s="8">
        <v>1</v>
      </c>
      <c r="N176" s="8" t="s">
        <v>48</v>
      </c>
      <c r="O176" s="8" t="s">
        <v>298</v>
      </c>
      <c r="P176" s="8" t="s">
        <v>224</v>
      </c>
      <c r="Q176" s="8">
        <v>3000</v>
      </c>
      <c r="R176" s="8" t="s">
        <v>57</v>
      </c>
      <c r="S176" s="8" t="s">
        <v>52</v>
      </c>
      <c r="T176" s="8" t="s">
        <v>70</v>
      </c>
      <c r="U176" s="8" t="s">
        <v>68</v>
      </c>
      <c r="V176" s="8">
        <v>1000</v>
      </c>
      <c r="W176" s="8" t="s">
        <v>241</v>
      </c>
      <c r="X176" s="8">
        <v>5000</v>
      </c>
      <c r="Y176" s="8" t="s">
        <v>278</v>
      </c>
      <c r="Z176" s="8">
        <v>80</v>
      </c>
      <c r="AA176" s="8" t="s">
        <v>525</v>
      </c>
      <c r="AB176" s="8" t="s">
        <v>236</v>
      </c>
      <c r="AC176" s="8" t="s">
        <v>236</v>
      </c>
      <c r="AD176" s="8" t="s">
        <v>236</v>
      </c>
      <c r="AE176" s="8" t="s">
        <v>68</v>
      </c>
      <c r="AF176" s="8" t="s">
        <v>236</v>
      </c>
      <c r="AG176" s="8" t="s">
        <v>236</v>
      </c>
      <c r="AH176" s="8" t="s">
        <v>236</v>
      </c>
      <c r="AI176" s="8" t="s">
        <v>236</v>
      </c>
      <c r="AJ176" t="s">
        <v>519</v>
      </c>
      <c r="AK176">
        <v>12</v>
      </c>
      <c r="AL176">
        <v>1</v>
      </c>
      <c r="AM176" t="s">
        <v>297</v>
      </c>
      <c r="AN176" t="s">
        <v>236</v>
      </c>
      <c r="AO176" t="s">
        <v>529</v>
      </c>
      <c r="AP176" t="s">
        <v>113</v>
      </c>
      <c r="AQ176">
        <v>12</v>
      </c>
      <c r="AR176" t="s">
        <v>526</v>
      </c>
      <c r="AS176" t="s">
        <v>236</v>
      </c>
      <c r="AT176" t="s">
        <v>175</v>
      </c>
      <c r="AU176">
        <v>12</v>
      </c>
      <c r="AV176">
        <v>1</v>
      </c>
      <c r="AW176" t="s">
        <v>432</v>
      </c>
      <c r="AX176" t="s">
        <v>298</v>
      </c>
      <c r="AY176" t="s">
        <v>224</v>
      </c>
      <c r="AZ176">
        <v>1</v>
      </c>
      <c r="BA176" t="s">
        <v>435</v>
      </c>
      <c r="BB176" t="s">
        <v>431</v>
      </c>
      <c r="BC176" t="s">
        <v>419</v>
      </c>
      <c r="BD176" t="s">
        <v>522</v>
      </c>
      <c r="BE176" t="s">
        <v>437</v>
      </c>
      <c r="BF176" t="s">
        <v>530</v>
      </c>
      <c r="BG176" t="s">
        <v>531</v>
      </c>
      <c r="BH176" t="s">
        <v>420</v>
      </c>
      <c r="BI176" t="s">
        <v>532</v>
      </c>
      <c r="BJ176" t="s">
        <v>68</v>
      </c>
      <c r="BK176" t="s">
        <v>236</v>
      </c>
      <c r="BL176" t="s">
        <v>236</v>
      </c>
      <c r="BM176" t="s">
        <v>236</v>
      </c>
      <c r="BN176" t="s">
        <v>68</v>
      </c>
      <c r="BO176" t="s">
        <v>236</v>
      </c>
      <c r="BP176" t="s">
        <v>236</v>
      </c>
      <c r="BQ176" t="s">
        <v>236</v>
      </c>
      <c r="BR176" t="s">
        <v>236</v>
      </c>
      <c r="BS176" t="s">
        <v>521</v>
      </c>
      <c r="BT176">
        <v>0</v>
      </c>
    </row>
    <row r="177" spans="1:72" x14ac:dyDescent="0.15">
      <c r="A177" s="43">
        <v>2022</v>
      </c>
      <c r="B177" s="8">
        <v>12</v>
      </c>
      <c r="C177" s="8">
        <v>1</v>
      </c>
      <c r="D177" s="8" t="s">
        <v>297</v>
      </c>
      <c r="E177" s="8" t="s">
        <v>236</v>
      </c>
      <c r="F177" s="8" t="s">
        <v>57</v>
      </c>
      <c r="G177" s="8">
        <v>2016</v>
      </c>
      <c r="H177" s="8">
        <v>12</v>
      </c>
      <c r="I177" s="8" t="s">
        <v>526</v>
      </c>
      <c r="J177" s="8" t="s">
        <v>236</v>
      </c>
      <c r="K177" s="8">
        <v>1992</v>
      </c>
      <c r="L177" s="17">
        <v>12</v>
      </c>
      <c r="M177" s="8">
        <v>1</v>
      </c>
      <c r="N177" s="8" t="s">
        <v>48</v>
      </c>
      <c r="O177" s="8" t="s">
        <v>298</v>
      </c>
      <c r="P177" s="8" t="s">
        <v>224</v>
      </c>
      <c r="Q177" s="8">
        <v>7000</v>
      </c>
      <c r="R177" s="8" t="s">
        <v>57</v>
      </c>
      <c r="S177" s="8" t="s">
        <v>52</v>
      </c>
      <c r="T177" s="8" t="s">
        <v>70</v>
      </c>
      <c r="U177" s="8" t="s">
        <v>68</v>
      </c>
      <c r="V177" s="8">
        <v>1000</v>
      </c>
      <c r="W177" s="8" t="s">
        <v>241</v>
      </c>
      <c r="X177" s="8">
        <v>5000</v>
      </c>
      <c r="Y177" s="8" t="s">
        <v>278</v>
      </c>
      <c r="Z177" s="8">
        <v>80</v>
      </c>
      <c r="AA177" s="8" t="s">
        <v>525</v>
      </c>
      <c r="AB177" s="8" t="s">
        <v>236</v>
      </c>
      <c r="AC177" s="8" t="s">
        <v>236</v>
      </c>
      <c r="AD177" s="8" t="s">
        <v>236</v>
      </c>
      <c r="AE177" s="8" t="s">
        <v>68</v>
      </c>
      <c r="AF177" s="8" t="s">
        <v>236</v>
      </c>
      <c r="AG177" s="8" t="s">
        <v>236</v>
      </c>
      <c r="AH177" s="8" t="s">
        <v>236</v>
      </c>
      <c r="AI177" s="8" t="s">
        <v>236</v>
      </c>
      <c r="AJ177" t="s">
        <v>519</v>
      </c>
      <c r="AK177">
        <v>12</v>
      </c>
      <c r="AL177">
        <v>1</v>
      </c>
      <c r="AM177" t="s">
        <v>297</v>
      </c>
      <c r="AN177" t="s">
        <v>236</v>
      </c>
      <c r="AO177" t="s">
        <v>529</v>
      </c>
      <c r="AP177" t="s">
        <v>113</v>
      </c>
      <c r="AQ177">
        <v>12</v>
      </c>
      <c r="AR177" t="s">
        <v>526</v>
      </c>
      <c r="AS177" t="s">
        <v>236</v>
      </c>
      <c r="AT177" t="s">
        <v>137</v>
      </c>
      <c r="AU177">
        <v>12</v>
      </c>
      <c r="AV177">
        <v>1</v>
      </c>
      <c r="AW177" t="s">
        <v>432</v>
      </c>
      <c r="AX177" t="s">
        <v>298</v>
      </c>
      <c r="AY177" t="s">
        <v>224</v>
      </c>
      <c r="AZ177">
        <v>3</v>
      </c>
      <c r="BA177" t="s">
        <v>435</v>
      </c>
      <c r="BB177" t="s">
        <v>431</v>
      </c>
      <c r="BC177" t="s">
        <v>419</v>
      </c>
      <c r="BD177" t="s">
        <v>522</v>
      </c>
      <c r="BE177" t="s">
        <v>437</v>
      </c>
      <c r="BF177" t="s">
        <v>530</v>
      </c>
      <c r="BG177" t="s">
        <v>531</v>
      </c>
      <c r="BH177" t="s">
        <v>420</v>
      </c>
      <c r="BI177" t="s">
        <v>532</v>
      </c>
      <c r="BJ177" t="s">
        <v>68</v>
      </c>
      <c r="BK177" t="s">
        <v>236</v>
      </c>
      <c r="BL177" t="s">
        <v>236</v>
      </c>
      <c r="BM177" t="s">
        <v>236</v>
      </c>
      <c r="BN177" t="s">
        <v>68</v>
      </c>
      <c r="BO177" t="s">
        <v>236</v>
      </c>
      <c r="BP177" t="s">
        <v>236</v>
      </c>
      <c r="BQ177" t="s">
        <v>236</v>
      </c>
      <c r="BR177" t="s">
        <v>236</v>
      </c>
      <c r="BS177" t="s">
        <v>521</v>
      </c>
      <c r="BT177">
        <v>0</v>
      </c>
    </row>
    <row r="178" spans="1:72" x14ac:dyDescent="0.15">
      <c r="A178" s="43">
        <v>2022</v>
      </c>
      <c r="B178" s="8">
        <v>12</v>
      </c>
      <c r="C178" s="8">
        <v>1</v>
      </c>
      <c r="D178" s="8" t="s">
        <v>297</v>
      </c>
      <c r="E178" s="8" t="s">
        <v>236</v>
      </c>
      <c r="F178" s="8" t="s">
        <v>57</v>
      </c>
      <c r="G178" s="8">
        <v>2016</v>
      </c>
      <c r="H178" s="8">
        <v>12</v>
      </c>
      <c r="I178" s="8" t="s">
        <v>526</v>
      </c>
      <c r="J178" s="8" t="s">
        <v>236</v>
      </c>
      <c r="K178" s="8">
        <v>1987</v>
      </c>
      <c r="L178" s="17">
        <v>12</v>
      </c>
      <c r="M178" s="8">
        <v>1</v>
      </c>
      <c r="N178" s="8" t="s">
        <v>48</v>
      </c>
      <c r="O178" s="8" t="s">
        <v>298</v>
      </c>
      <c r="P178" s="8" t="s">
        <v>224</v>
      </c>
      <c r="Q178" s="8">
        <v>7000</v>
      </c>
      <c r="R178" s="8" t="s">
        <v>57</v>
      </c>
      <c r="S178" s="8" t="s">
        <v>52</v>
      </c>
      <c r="T178" s="8" t="s">
        <v>70</v>
      </c>
      <c r="U178" s="8" t="s">
        <v>68</v>
      </c>
      <c r="V178" s="8">
        <v>1000</v>
      </c>
      <c r="W178" s="8" t="s">
        <v>241</v>
      </c>
      <c r="X178" s="8">
        <v>5000</v>
      </c>
      <c r="Y178" s="8" t="s">
        <v>278</v>
      </c>
      <c r="Z178" s="8">
        <v>80</v>
      </c>
      <c r="AA178" s="8" t="s">
        <v>525</v>
      </c>
      <c r="AB178" s="8" t="s">
        <v>236</v>
      </c>
      <c r="AC178" s="8" t="s">
        <v>236</v>
      </c>
      <c r="AD178" s="8" t="s">
        <v>236</v>
      </c>
      <c r="AE178" s="8" t="s">
        <v>68</v>
      </c>
      <c r="AF178" s="8" t="s">
        <v>236</v>
      </c>
      <c r="AG178" s="8" t="s">
        <v>236</v>
      </c>
      <c r="AH178" s="8" t="s">
        <v>236</v>
      </c>
      <c r="AI178" s="8" t="s">
        <v>236</v>
      </c>
      <c r="AJ178" t="s">
        <v>519</v>
      </c>
      <c r="AK178">
        <v>12</v>
      </c>
      <c r="AL178">
        <v>1</v>
      </c>
      <c r="AM178" t="s">
        <v>297</v>
      </c>
      <c r="AN178" t="s">
        <v>236</v>
      </c>
      <c r="AO178" t="s">
        <v>529</v>
      </c>
      <c r="AP178" t="s">
        <v>113</v>
      </c>
      <c r="AQ178">
        <v>12</v>
      </c>
      <c r="AR178" t="s">
        <v>526</v>
      </c>
      <c r="AS178" t="s">
        <v>236</v>
      </c>
      <c r="AT178" t="s">
        <v>140</v>
      </c>
      <c r="AU178">
        <v>12</v>
      </c>
      <c r="AV178">
        <v>1</v>
      </c>
      <c r="AW178" t="s">
        <v>432</v>
      </c>
      <c r="AX178" t="s">
        <v>298</v>
      </c>
      <c r="AY178" t="s">
        <v>224</v>
      </c>
      <c r="AZ178">
        <v>3</v>
      </c>
      <c r="BA178" t="s">
        <v>435</v>
      </c>
      <c r="BB178" t="s">
        <v>431</v>
      </c>
      <c r="BC178" t="s">
        <v>419</v>
      </c>
      <c r="BD178" t="s">
        <v>522</v>
      </c>
      <c r="BE178" t="s">
        <v>437</v>
      </c>
      <c r="BF178" t="s">
        <v>530</v>
      </c>
      <c r="BG178" t="s">
        <v>531</v>
      </c>
      <c r="BH178" t="s">
        <v>420</v>
      </c>
      <c r="BI178" t="s">
        <v>532</v>
      </c>
      <c r="BJ178" t="s">
        <v>68</v>
      </c>
      <c r="BK178" t="s">
        <v>236</v>
      </c>
      <c r="BL178" t="s">
        <v>236</v>
      </c>
      <c r="BM178" t="s">
        <v>236</v>
      </c>
      <c r="BN178" t="s">
        <v>68</v>
      </c>
      <c r="BO178" t="s">
        <v>236</v>
      </c>
      <c r="BP178" t="s">
        <v>236</v>
      </c>
      <c r="BQ178" t="s">
        <v>236</v>
      </c>
      <c r="BR178" t="s">
        <v>236</v>
      </c>
      <c r="BS178" t="s">
        <v>521</v>
      </c>
      <c r="BT178">
        <v>0</v>
      </c>
    </row>
    <row r="179" spans="1:72" x14ac:dyDescent="0.15">
      <c r="A179" s="43">
        <v>2022</v>
      </c>
      <c r="B179" s="8">
        <v>12</v>
      </c>
      <c r="C179" s="8">
        <v>1</v>
      </c>
      <c r="D179" s="8" t="s">
        <v>297</v>
      </c>
      <c r="E179" s="8" t="s">
        <v>236</v>
      </c>
      <c r="F179" s="8" t="s">
        <v>57</v>
      </c>
      <c r="G179" s="8">
        <v>2016</v>
      </c>
      <c r="H179" s="8">
        <v>12</v>
      </c>
      <c r="I179" s="8" t="s">
        <v>526</v>
      </c>
      <c r="J179" s="8" t="s">
        <v>236</v>
      </c>
      <c r="K179" s="8">
        <v>1982</v>
      </c>
      <c r="L179" s="17">
        <v>12</v>
      </c>
      <c r="M179" s="8">
        <v>1</v>
      </c>
      <c r="N179" s="8" t="s">
        <v>48</v>
      </c>
      <c r="O179" s="8" t="s">
        <v>298</v>
      </c>
      <c r="P179" s="8" t="s">
        <v>224</v>
      </c>
      <c r="Q179" s="8">
        <v>7000</v>
      </c>
      <c r="R179" s="8" t="s">
        <v>57</v>
      </c>
      <c r="S179" s="8" t="s">
        <v>52</v>
      </c>
      <c r="T179" s="8" t="s">
        <v>70</v>
      </c>
      <c r="U179" s="8" t="s">
        <v>68</v>
      </c>
      <c r="V179" s="8">
        <v>1000</v>
      </c>
      <c r="W179" s="8" t="s">
        <v>241</v>
      </c>
      <c r="X179" s="8">
        <v>5000</v>
      </c>
      <c r="Y179" s="8" t="s">
        <v>278</v>
      </c>
      <c r="Z179" s="8">
        <v>80</v>
      </c>
      <c r="AA179" s="8" t="s">
        <v>525</v>
      </c>
      <c r="AB179" s="8" t="s">
        <v>236</v>
      </c>
      <c r="AC179" s="8" t="s">
        <v>236</v>
      </c>
      <c r="AD179" s="8" t="s">
        <v>236</v>
      </c>
      <c r="AE179" s="8" t="s">
        <v>68</v>
      </c>
      <c r="AF179" s="8" t="s">
        <v>236</v>
      </c>
      <c r="AG179" s="8" t="s">
        <v>236</v>
      </c>
      <c r="AH179" s="8" t="s">
        <v>236</v>
      </c>
      <c r="AI179" s="8" t="s">
        <v>236</v>
      </c>
      <c r="AJ179" t="s">
        <v>519</v>
      </c>
      <c r="AK179">
        <v>12</v>
      </c>
      <c r="AL179">
        <v>1</v>
      </c>
      <c r="AM179" t="s">
        <v>297</v>
      </c>
      <c r="AN179" t="s">
        <v>236</v>
      </c>
      <c r="AO179" t="s">
        <v>529</v>
      </c>
      <c r="AP179" t="s">
        <v>113</v>
      </c>
      <c r="AQ179">
        <v>12</v>
      </c>
      <c r="AR179" t="s">
        <v>526</v>
      </c>
      <c r="AS179" t="s">
        <v>236</v>
      </c>
      <c r="AT179" t="s">
        <v>145</v>
      </c>
      <c r="AU179">
        <v>12</v>
      </c>
      <c r="AV179">
        <v>1</v>
      </c>
      <c r="AW179" t="s">
        <v>432</v>
      </c>
      <c r="AX179" t="s">
        <v>298</v>
      </c>
      <c r="AY179" t="s">
        <v>224</v>
      </c>
      <c r="AZ179">
        <v>3</v>
      </c>
      <c r="BA179" t="s">
        <v>435</v>
      </c>
      <c r="BB179" t="s">
        <v>431</v>
      </c>
      <c r="BC179" t="s">
        <v>419</v>
      </c>
      <c r="BD179" t="s">
        <v>522</v>
      </c>
      <c r="BE179" t="s">
        <v>437</v>
      </c>
      <c r="BF179" t="s">
        <v>530</v>
      </c>
      <c r="BG179" t="s">
        <v>531</v>
      </c>
      <c r="BH179" t="s">
        <v>420</v>
      </c>
      <c r="BI179" t="s">
        <v>532</v>
      </c>
      <c r="BJ179" t="s">
        <v>68</v>
      </c>
      <c r="BK179" t="s">
        <v>236</v>
      </c>
      <c r="BL179" t="s">
        <v>236</v>
      </c>
      <c r="BM179" t="s">
        <v>236</v>
      </c>
      <c r="BN179" t="s">
        <v>68</v>
      </c>
      <c r="BO179" t="s">
        <v>236</v>
      </c>
      <c r="BP179" t="s">
        <v>236</v>
      </c>
      <c r="BQ179" t="s">
        <v>236</v>
      </c>
      <c r="BR179" t="s">
        <v>236</v>
      </c>
      <c r="BS179" t="s">
        <v>521</v>
      </c>
      <c r="BT179">
        <v>0</v>
      </c>
    </row>
    <row r="180" spans="1:72" x14ac:dyDescent="0.15">
      <c r="A180" s="43">
        <v>2022</v>
      </c>
      <c r="B180" s="8">
        <v>12</v>
      </c>
      <c r="C180" s="8">
        <v>1</v>
      </c>
      <c r="D180" s="8" t="s">
        <v>297</v>
      </c>
      <c r="E180" s="8" t="s">
        <v>236</v>
      </c>
      <c r="F180" s="8" t="s">
        <v>57</v>
      </c>
      <c r="G180" s="8">
        <v>2016</v>
      </c>
      <c r="H180" s="8">
        <v>12</v>
      </c>
      <c r="I180" s="8" t="s">
        <v>526</v>
      </c>
      <c r="J180" s="8" t="s">
        <v>236</v>
      </c>
      <c r="K180" s="8">
        <v>1977</v>
      </c>
      <c r="L180" s="17">
        <v>12</v>
      </c>
      <c r="M180" s="8">
        <v>1</v>
      </c>
      <c r="N180" s="8" t="s">
        <v>48</v>
      </c>
      <c r="O180" s="8" t="s">
        <v>298</v>
      </c>
      <c r="P180" s="8" t="s">
        <v>224</v>
      </c>
      <c r="Q180" s="8">
        <v>7000</v>
      </c>
      <c r="R180" s="8" t="s">
        <v>57</v>
      </c>
      <c r="S180" s="8" t="s">
        <v>52</v>
      </c>
      <c r="T180" s="8" t="s">
        <v>70</v>
      </c>
      <c r="U180" s="8" t="s">
        <v>68</v>
      </c>
      <c r="V180" s="8">
        <v>1000</v>
      </c>
      <c r="W180" s="8" t="s">
        <v>241</v>
      </c>
      <c r="X180" s="8">
        <v>5000</v>
      </c>
      <c r="Y180" s="8" t="s">
        <v>278</v>
      </c>
      <c r="Z180" s="8">
        <v>80</v>
      </c>
      <c r="AA180" s="8" t="s">
        <v>525</v>
      </c>
      <c r="AB180" s="8" t="s">
        <v>236</v>
      </c>
      <c r="AC180" s="8" t="s">
        <v>236</v>
      </c>
      <c r="AD180" s="8" t="s">
        <v>236</v>
      </c>
      <c r="AE180" s="8" t="s">
        <v>68</v>
      </c>
      <c r="AF180" s="8" t="s">
        <v>236</v>
      </c>
      <c r="AG180" s="8" t="s">
        <v>236</v>
      </c>
      <c r="AH180" s="8" t="s">
        <v>236</v>
      </c>
      <c r="AI180" s="8" t="s">
        <v>236</v>
      </c>
      <c r="AJ180" t="s">
        <v>519</v>
      </c>
      <c r="AK180">
        <v>12</v>
      </c>
      <c r="AL180">
        <v>1</v>
      </c>
      <c r="AM180" t="s">
        <v>297</v>
      </c>
      <c r="AN180" t="s">
        <v>236</v>
      </c>
      <c r="AO180" t="s">
        <v>529</v>
      </c>
      <c r="AP180" t="s">
        <v>113</v>
      </c>
      <c r="AQ180">
        <v>12</v>
      </c>
      <c r="AR180" t="s">
        <v>526</v>
      </c>
      <c r="AS180" t="s">
        <v>236</v>
      </c>
      <c r="AT180" t="s">
        <v>150</v>
      </c>
      <c r="AU180">
        <v>12</v>
      </c>
      <c r="AV180">
        <v>1</v>
      </c>
      <c r="AW180" t="s">
        <v>432</v>
      </c>
      <c r="AX180" t="s">
        <v>298</v>
      </c>
      <c r="AY180" t="s">
        <v>224</v>
      </c>
      <c r="AZ180">
        <v>3</v>
      </c>
      <c r="BA180" t="s">
        <v>435</v>
      </c>
      <c r="BB180" t="s">
        <v>431</v>
      </c>
      <c r="BC180" t="s">
        <v>419</v>
      </c>
      <c r="BD180" t="s">
        <v>522</v>
      </c>
      <c r="BE180" t="s">
        <v>437</v>
      </c>
      <c r="BF180" t="s">
        <v>530</v>
      </c>
      <c r="BG180" t="s">
        <v>531</v>
      </c>
      <c r="BH180" t="s">
        <v>420</v>
      </c>
      <c r="BI180" t="s">
        <v>532</v>
      </c>
      <c r="BJ180" t="s">
        <v>68</v>
      </c>
      <c r="BK180" t="s">
        <v>236</v>
      </c>
      <c r="BL180" t="s">
        <v>236</v>
      </c>
      <c r="BM180" t="s">
        <v>236</v>
      </c>
      <c r="BN180" t="s">
        <v>68</v>
      </c>
      <c r="BO180" t="s">
        <v>236</v>
      </c>
      <c r="BP180" t="s">
        <v>236</v>
      </c>
      <c r="BQ180" t="s">
        <v>236</v>
      </c>
      <c r="BR180" t="s">
        <v>236</v>
      </c>
      <c r="BS180" t="s">
        <v>521</v>
      </c>
      <c r="BT180">
        <v>0</v>
      </c>
    </row>
    <row r="181" spans="1:72" x14ac:dyDescent="0.15">
      <c r="A181" s="43">
        <v>2022</v>
      </c>
      <c r="B181" s="8">
        <v>12</v>
      </c>
      <c r="C181" s="8">
        <v>1</v>
      </c>
      <c r="D181" s="8" t="s">
        <v>297</v>
      </c>
      <c r="E181" s="8" t="s">
        <v>236</v>
      </c>
      <c r="F181" s="8" t="s">
        <v>57</v>
      </c>
      <c r="G181" s="8">
        <v>2016</v>
      </c>
      <c r="H181" s="8">
        <v>12</v>
      </c>
      <c r="I181" s="8" t="s">
        <v>526</v>
      </c>
      <c r="J181" s="8" t="s">
        <v>236</v>
      </c>
      <c r="K181" s="8">
        <v>1972</v>
      </c>
      <c r="L181" s="17">
        <v>12</v>
      </c>
      <c r="M181" s="8">
        <v>1</v>
      </c>
      <c r="N181" s="8" t="s">
        <v>48</v>
      </c>
      <c r="O181" s="8" t="s">
        <v>298</v>
      </c>
      <c r="P181" s="8" t="s">
        <v>224</v>
      </c>
      <c r="Q181" s="8">
        <v>7000</v>
      </c>
      <c r="R181" s="8" t="s">
        <v>57</v>
      </c>
      <c r="S181" s="8" t="s">
        <v>52</v>
      </c>
      <c r="T181" s="8" t="s">
        <v>70</v>
      </c>
      <c r="U181" s="8" t="s">
        <v>68</v>
      </c>
      <c r="V181" s="8">
        <v>1000</v>
      </c>
      <c r="W181" s="8" t="s">
        <v>241</v>
      </c>
      <c r="X181" s="8">
        <v>5000</v>
      </c>
      <c r="Y181" s="8" t="s">
        <v>278</v>
      </c>
      <c r="Z181" s="8">
        <v>80</v>
      </c>
      <c r="AA181" s="8" t="s">
        <v>525</v>
      </c>
      <c r="AB181" s="8" t="s">
        <v>236</v>
      </c>
      <c r="AC181" s="8" t="s">
        <v>236</v>
      </c>
      <c r="AD181" s="8" t="s">
        <v>236</v>
      </c>
      <c r="AE181" s="8" t="s">
        <v>68</v>
      </c>
      <c r="AF181" s="8" t="s">
        <v>236</v>
      </c>
      <c r="AG181" s="8" t="s">
        <v>236</v>
      </c>
      <c r="AH181" s="8" t="s">
        <v>236</v>
      </c>
      <c r="AI181" s="8" t="s">
        <v>236</v>
      </c>
      <c r="AJ181" t="s">
        <v>519</v>
      </c>
      <c r="AK181">
        <v>12</v>
      </c>
      <c r="AL181">
        <v>1</v>
      </c>
      <c r="AM181" t="s">
        <v>297</v>
      </c>
      <c r="AN181" t="s">
        <v>236</v>
      </c>
      <c r="AO181" t="s">
        <v>529</v>
      </c>
      <c r="AP181" t="s">
        <v>113</v>
      </c>
      <c r="AQ181">
        <v>12</v>
      </c>
      <c r="AR181" t="s">
        <v>526</v>
      </c>
      <c r="AS181" t="s">
        <v>236</v>
      </c>
      <c r="AT181" t="s">
        <v>155</v>
      </c>
      <c r="AU181">
        <v>12</v>
      </c>
      <c r="AV181">
        <v>1</v>
      </c>
      <c r="AW181" t="s">
        <v>432</v>
      </c>
      <c r="AX181" t="s">
        <v>298</v>
      </c>
      <c r="AY181" t="s">
        <v>224</v>
      </c>
      <c r="AZ181">
        <v>3</v>
      </c>
      <c r="BA181" t="s">
        <v>435</v>
      </c>
      <c r="BB181" t="s">
        <v>431</v>
      </c>
      <c r="BC181" t="s">
        <v>419</v>
      </c>
      <c r="BD181" t="s">
        <v>522</v>
      </c>
      <c r="BE181" t="s">
        <v>437</v>
      </c>
      <c r="BF181" t="s">
        <v>530</v>
      </c>
      <c r="BG181" t="s">
        <v>531</v>
      </c>
      <c r="BH181" t="s">
        <v>420</v>
      </c>
      <c r="BI181" t="s">
        <v>532</v>
      </c>
      <c r="BJ181" t="s">
        <v>68</v>
      </c>
      <c r="BK181" t="s">
        <v>236</v>
      </c>
      <c r="BL181" t="s">
        <v>236</v>
      </c>
      <c r="BM181" t="s">
        <v>236</v>
      </c>
      <c r="BN181" t="s">
        <v>68</v>
      </c>
      <c r="BO181" t="s">
        <v>236</v>
      </c>
      <c r="BP181" t="s">
        <v>236</v>
      </c>
      <c r="BQ181" t="s">
        <v>236</v>
      </c>
      <c r="BR181" t="s">
        <v>236</v>
      </c>
      <c r="BS181" t="s">
        <v>521</v>
      </c>
      <c r="BT181">
        <v>0</v>
      </c>
    </row>
    <row r="182" spans="1:72" x14ac:dyDescent="0.15">
      <c r="A182" s="43">
        <v>2022</v>
      </c>
      <c r="B182" s="8">
        <v>12</v>
      </c>
      <c r="C182" s="8">
        <v>1</v>
      </c>
      <c r="D182" s="8" t="s">
        <v>297</v>
      </c>
      <c r="E182" s="8" t="s">
        <v>236</v>
      </c>
      <c r="F182" s="8" t="s">
        <v>57</v>
      </c>
      <c r="G182" s="8">
        <v>2016</v>
      </c>
      <c r="H182" s="8">
        <v>12</v>
      </c>
      <c r="I182" s="8" t="s">
        <v>526</v>
      </c>
      <c r="J182" s="8" t="s">
        <v>236</v>
      </c>
      <c r="K182" s="8">
        <v>1962</v>
      </c>
      <c r="L182" s="17">
        <v>12</v>
      </c>
      <c r="M182" s="8">
        <v>1</v>
      </c>
      <c r="N182" s="8" t="s">
        <v>48</v>
      </c>
      <c r="O182" s="8" t="s">
        <v>298</v>
      </c>
      <c r="P182" s="8" t="s">
        <v>224</v>
      </c>
      <c r="Q182" s="8">
        <v>7000</v>
      </c>
      <c r="R182" s="8" t="s">
        <v>57</v>
      </c>
      <c r="S182" s="8" t="s">
        <v>52</v>
      </c>
      <c r="T182" s="8" t="s">
        <v>70</v>
      </c>
      <c r="U182" s="8" t="s">
        <v>68</v>
      </c>
      <c r="V182" s="8">
        <v>1000</v>
      </c>
      <c r="W182" s="8" t="s">
        <v>241</v>
      </c>
      <c r="X182" s="8">
        <v>5000</v>
      </c>
      <c r="Y182" s="8" t="s">
        <v>278</v>
      </c>
      <c r="Z182" s="8">
        <v>80</v>
      </c>
      <c r="AA182" s="8" t="s">
        <v>525</v>
      </c>
      <c r="AB182" s="8" t="s">
        <v>236</v>
      </c>
      <c r="AC182" s="8" t="s">
        <v>236</v>
      </c>
      <c r="AD182" s="8" t="s">
        <v>236</v>
      </c>
      <c r="AE182" s="8" t="s">
        <v>68</v>
      </c>
      <c r="AF182" s="8" t="s">
        <v>236</v>
      </c>
      <c r="AG182" s="8" t="s">
        <v>236</v>
      </c>
      <c r="AH182" s="8" t="s">
        <v>236</v>
      </c>
      <c r="AI182" s="8" t="s">
        <v>236</v>
      </c>
      <c r="AJ182" t="s">
        <v>519</v>
      </c>
      <c r="AK182">
        <v>12</v>
      </c>
      <c r="AL182">
        <v>1</v>
      </c>
      <c r="AM182" t="s">
        <v>297</v>
      </c>
      <c r="AN182" t="s">
        <v>236</v>
      </c>
      <c r="AO182" t="s">
        <v>529</v>
      </c>
      <c r="AP182" t="s">
        <v>113</v>
      </c>
      <c r="AQ182">
        <v>12</v>
      </c>
      <c r="AR182" t="s">
        <v>526</v>
      </c>
      <c r="AS182" t="s">
        <v>236</v>
      </c>
      <c r="AT182" t="s">
        <v>165</v>
      </c>
      <c r="AU182">
        <v>12</v>
      </c>
      <c r="AV182">
        <v>1</v>
      </c>
      <c r="AW182" t="s">
        <v>432</v>
      </c>
      <c r="AX182" t="s">
        <v>298</v>
      </c>
      <c r="AY182" t="s">
        <v>224</v>
      </c>
      <c r="AZ182">
        <v>3</v>
      </c>
      <c r="BA182" t="s">
        <v>435</v>
      </c>
      <c r="BB182" t="s">
        <v>431</v>
      </c>
      <c r="BC182" t="s">
        <v>419</v>
      </c>
      <c r="BD182" t="s">
        <v>522</v>
      </c>
      <c r="BE182" t="s">
        <v>437</v>
      </c>
      <c r="BF182" t="s">
        <v>530</v>
      </c>
      <c r="BG182" t="s">
        <v>531</v>
      </c>
      <c r="BH182" t="s">
        <v>420</v>
      </c>
      <c r="BI182" t="s">
        <v>532</v>
      </c>
      <c r="BJ182" t="s">
        <v>68</v>
      </c>
      <c r="BK182" t="s">
        <v>236</v>
      </c>
      <c r="BL182" t="s">
        <v>236</v>
      </c>
      <c r="BM182" t="s">
        <v>236</v>
      </c>
      <c r="BN182" t="s">
        <v>68</v>
      </c>
      <c r="BO182" t="s">
        <v>236</v>
      </c>
      <c r="BP182" t="s">
        <v>236</v>
      </c>
      <c r="BQ182" t="s">
        <v>236</v>
      </c>
      <c r="BR182" t="s">
        <v>236</v>
      </c>
      <c r="BS182" t="s">
        <v>521</v>
      </c>
      <c r="BT182">
        <v>0</v>
      </c>
    </row>
    <row r="183" spans="1:72" x14ac:dyDescent="0.15">
      <c r="A183" s="43">
        <v>2022</v>
      </c>
      <c r="B183" s="8">
        <v>12</v>
      </c>
      <c r="C183" s="8">
        <v>1</v>
      </c>
      <c r="D183" s="8" t="s">
        <v>297</v>
      </c>
      <c r="E183" s="8" t="s">
        <v>236</v>
      </c>
      <c r="F183" s="8" t="s">
        <v>57</v>
      </c>
      <c r="G183" s="8">
        <v>2016</v>
      </c>
      <c r="H183" s="8">
        <v>12</v>
      </c>
      <c r="I183" s="8" t="s">
        <v>526</v>
      </c>
      <c r="J183" s="8" t="s">
        <v>236</v>
      </c>
      <c r="K183" s="8">
        <v>1952</v>
      </c>
      <c r="L183" s="17">
        <v>12</v>
      </c>
      <c r="M183" s="8">
        <v>1</v>
      </c>
      <c r="N183" s="8" t="s">
        <v>48</v>
      </c>
      <c r="O183" s="8" t="s">
        <v>298</v>
      </c>
      <c r="P183" s="8" t="s">
        <v>224</v>
      </c>
      <c r="Q183" s="8">
        <v>7000</v>
      </c>
      <c r="R183" s="8" t="s">
        <v>57</v>
      </c>
      <c r="S183" s="8" t="s">
        <v>52</v>
      </c>
      <c r="T183" s="8" t="s">
        <v>70</v>
      </c>
      <c r="U183" s="8" t="s">
        <v>68</v>
      </c>
      <c r="V183" s="8">
        <v>1000</v>
      </c>
      <c r="W183" s="8" t="s">
        <v>241</v>
      </c>
      <c r="X183" s="8">
        <v>5000</v>
      </c>
      <c r="Y183" s="8" t="s">
        <v>278</v>
      </c>
      <c r="Z183" s="8">
        <v>80</v>
      </c>
      <c r="AA183" s="8" t="s">
        <v>525</v>
      </c>
      <c r="AB183" s="8" t="s">
        <v>236</v>
      </c>
      <c r="AC183" s="8" t="s">
        <v>236</v>
      </c>
      <c r="AD183" s="8" t="s">
        <v>236</v>
      </c>
      <c r="AE183" s="8" t="s">
        <v>68</v>
      </c>
      <c r="AF183" s="8" t="s">
        <v>236</v>
      </c>
      <c r="AG183" s="8" t="s">
        <v>236</v>
      </c>
      <c r="AH183" s="8" t="s">
        <v>236</v>
      </c>
      <c r="AI183" s="8" t="s">
        <v>236</v>
      </c>
      <c r="AJ183" t="s">
        <v>519</v>
      </c>
      <c r="AK183">
        <v>12</v>
      </c>
      <c r="AL183">
        <v>1</v>
      </c>
      <c r="AM183" t="s">
        <v>297</v>
      </c>
      <c r="AN183" t="s">
        <v>236</v>
      </c>
      <c r="AO183" t="s">
        <v>529</v>
      </c>
      <c r="AP183" t="s">
        <v>113</v>
      </c>
      <c r="AQ183">
        <v>12</v>
      </c>
      <c r="AR183" t="s">
        <v>526</v>
      </c>
      <c r="AS183" t="s">
        <v>236</v>
      </c>
      <c r="AT183" t="s">
        <v>175</v>
      </c>
      <c r="AU183">
        <v>12</v>
      </c>
      <c r="AV183">
        <v>1</v>
      </c>
      <c r="AW183" t="s">
        <v>432</v>
      </c>
      <c r="AX183" t="s">
        <v>298</v>
      </c>
      <c r="AY183" t="s">
        <v>224</v>
      </c>
      <c r="AZ183">
        <v>3</v>
      </c>
      <c r="BA183" t="s">
        <v>435</v>
      </c>
      <c r="BB183" t="s">
        <v>431</v>
      </c>
      <c r="BC183" t="s">
        <v>419</v>
      </c>
      <c r="BD183" t="s">
        <v>522</v>
      </c>
      <c r="BE183" t="s">
        <v>437</v>
      </c>
      <c r="BF183" t="s">
        <v>530</v>
      </c>
      <c r="BG183" t="s">
        <v>531</v>
      </c>
      <c r="BH183" t="s">
        <v>420</v>
      </c>
      <c r="BI183" t="s">
        <v>532</v>
      </c>
      <c r="BJ183" t="s">
        <v>68</v>
      </c>
      <c r="BK183" t="s">
        <v>236</v>
      </c>
      <c r="BL183" t="s">
        <v>236</v>
      </c>
      <c r="BM183" t="s">
        <v>236</v>
      </c>
      <c r="BN183" t="s">
        <v>68</v>
      </c>
      <c r="BO183" t="s">
        <v>236</v>
      </c>
      <c r="BP183" t="s">
        <v>236</v>
      </c>
      <c r="BQ183" t="s">
        <v>236</v>
      </c>
      <c r="BR183" t="s">
        <v>236</v>
      </c>
      <c r="BS183" t="s">
        <v>521</v>
      </c>
      <c r="BT183">
        <v>0</v>
      </c>
    </row>
    <row r="184" spans="1:72" x14ac:dyDescent="0.15">
      <c r="A184" s="43">
        <v>2022</v>
      </c>
      <c r="B184" s="8">
        <v>12</v>
      </c>
      <c r="C184" s="8">
        <v>1</v>
      </c>
      <c r="D184" s="8" t="s">
        <v>297</v>
      </c>
      <c r="E184" s="8" t="s">
        <v>236</v>
      </c>
      <c r="F184" s="8" t="s">
        <v>57</v>
      </c>
      <c r="G184" s="8">
        <v>2016</v>
      </c>
      <c r="H184" s="8">
        <v>12</v>
      </c>
      <c r="I184" s="8" t="s">
        <v>526</v>
      </c>
      <c r="J184" s="8" t="s">
        <v>236</v>
      </c>
      <c r="K184" s="8">
        <v>1992</v>
      </c>
      <c r="L184" s="17">
        <v>12</v>
      </c>
      <c r="M184" s="8">
        <v>1</v>
      </c>
      <c r="N184" s="8" t="s">
        <v>48</v>
      </c>
      <c r="O184" s="8" t="s">
        <v>298</v>
      </c>
      <c r="P184" s="8" t="s">
        <v>295</v>
      </c>
      <c r="Q184" s="8">
        <v>3000</v>
      </c>
      <c r="R184" s="8" t="s">
        <v>57</v>
      </c>
      <c r="S184" s="8" t="s">
        <v>52</v>
      </c>
      <c r="T184" s="8" t="s">
        <v>70</v>
      </c>
      <c r="U184" s="8" t="s">
        <v>68</v>
      </c>
      <c r="V184" s="8">
        <v>1000</v>
      </c>
      <c r="W184" s="8" t="s">
        <v>241</v>
      </c>
      <c r="X184" s="8">
        <v>5000</v>
      </c>
      <c r="Y184" s="8" t="s">
        <v>278</v>
      </c>
      <c r="Z184" s="8">
        <v>80</v>
      </c>
      <c r="AA184" s="8" t="s">
        <v>525</v>
      </c>
      <c r="AB184" s="8" t="s">
        <v>236</v>
      </c>
      <c r="AC184" s="8" t="s">
        <v>236</v>
      </c>
      <c r="AD184" s="8" t="s">
        <v>236</v>
      </c>
      <c r="AE184" s="8" t="s">
        <v>68</v>
      </c>
      <c r="AF184" s="8" t="s">
        <v>236</v>
      </c>
      <c r="AG184" s="8" t="s">
        <v>236</v>
      </c>
      <c r="AH184" s="8" t="s">
        <v>236</v>
      </c>
      <c r="AI184" s="8" t="s">
        <v>236</v>
      </c>
      <c r="AJ184" t="s">
        <v>519</v>
      </c>
      <c r="AK184">
        <v>12</v>
      </c>
      <c r="AL184">
        <v>1</v>
      </c>
      <c r="AM184" t="s">
        <v>297</v>
      </c>
      <c r="AN184" t="s">
        <v>236</v>
      </c>
      <c r="AO184" t="s">
        <v>529</v>
      </c>
      <c r="AP184" t="s">
        <v>113</v>
      </c>
      <c r="AQ184">
        <v>12</v>
      </c>
      <c r="AR184" t="s">
        <v>526</v>
      </c>
      <c r="AS184" t="s">
        <v>236</v>
      </c>
      <c r="AT184" t="s">
        <v>137</v>
      </c>
      <c r="AU184">
        <v>12</v>
      </c>
      <c r="AV184">
        <v>1</v>
      </c>
      <c r="AW184" t="s">
        <v>432</v>
      </c>
      <c r="AX184" t="s">
        <v>298</v>
      </c>
      <c r="AY184" t="s">
        <v>295</v>
      </c>
      <c r="AZ184">
        <v>1</v>
      </c>
      <c r="BA184" t="s">
        <v>435</v>
      </c>
      <c r="BB184" t="s">
        <v>431</v>
      </c>
      <c r="BC184" t="s">
        <v>419</v>
      </c>
      <c r="BD184" t="s">
        <v>522</v>
      </c>
      <c r="BE184" t="s">
        <v>437</v>
      </c>
      <c r="BF184" t="s">
        <v>530</v>
      </c>
      <c r="BG184" t="s">
        <v>531</v>
      </c>
      <c r="BH184" t="s">
        <v>420</v>
      </c>
      <c r="BI184" t="s">
        <v>532</v>
      </c>
      <c r="BJ184" t="s">
        <v>68</v>
      </c>
      <c r="BK184" t="s">
        <v>236</v>
      </c>
      <c r="BL184" t="s">
        <v>236</v>
      </c>
      <c r="BM184" t="s">
        <v>236</v>
      </c>
      <c r="BN184" t="s">
        <v>68</v>
      </c>
      <c r="BO184" t="s">
        <v>236</v>
      </c>
      <c r="BP184" t="s">
        <v>236</v>
      </c>
      <c r="BQ184" t="s">
        <v>236</v>
      </c>
      <c r="BR184" t="s">
        <v>236</v>
      </c>
      <c r="BS184" t="s">
        <v>521</v>
      </c>
      <c r="BT184">
        <v>0</v>
      </c>
    </row>
    <row r="185" spans="1:72" x14ac:dyDescent="0.15">
      <c r="A185" s="43">
        <v>2022</v>
      </c>
      <c r="B185" s="8">
        <v>12</v>
      </c>
      <c r="C185" s="8">
        <v>1</v>
      </c>
      <c r="D185" s="8" t="s">
        <v>297</v>
      </c>
      <c r="E185" s="8" t="s">
        <v>236</v>
      </c>
      <c r="F185" s="8" t="s">
        <v>57</v>
      </c>
      <c r="G185" s="8">
        <v>2016</v>
      </c>
      <c r="H185" s="8">
        <v>12</v>
      </c>
      <c r="I185" s="8" t="s">
        <v>526</v>
      </c>
      <c r="J185" s="8" t="s">
        <v>236</v>
      </c>
      <c r="K185" s="8">
        <v>1987</v>
      </c>
      <c r="L185" s="17">
        <v>12</v>
      </c>
      <c r="M185" s="8">
        <v>1</v>
      </c>
      <c r="N185" s="8" t="s">
        <v>48</v>
      </c>
      <c r="O185" s="8" t="s">
        <v>298</v>
      </c>
      <c r="P185" s="8" t="s">
        <v>295</v>
      </c>
      <c r="Q185" s="8">
        <v>3000</v>
      </c>
      <c r="R185" s="8" t="s">
        <v>57</v>
      </c>
      <c r="S185" s="8" t="s">
        <v>52</v>
      </c>
      <c r="T185" s="8" t="s">
        <v>70</v>
      </c>
      <c r="U185" s="8" t="s">
        <v>68</v>
      </c>
      <c r="V185" s="8">
        <v>1000</v>
      </c>
      <c r="W185" s="8" t="s">
        <v>241</v>
      </c>
      <c r="X185" s="8">
        <v>5000</v>
      </c>
      <c r="Y185" s="8" t="s">
        <v>278</v>
      </c>
      <c r="Z185" s="8">
        <v>80</v>
      </c>
      <c r="AA185" s="8" t="s">
        <v>525</v>
      </c>
      <c r="AB185" s="8" t="s">
        <v>236</v>
      </c>
      <c r="AC185" s="8" t="s">
        <v>236</v>
      </c>
      <c r="AD185" s="8" t="s">
        <v>236</v>
      </c>
      <c r="AE185" s="8" t="s">
        <v>68</v>
      </c>
      <c r="AF185" s="8" t="s">
        <v>236</v>
      </c>
      <c r="AG185" s="8" t="s">
        <v>236</v>
      </c>
      <c r="AH185" s="8" t="s">
        <v>236</v>
      </c>
      <c r="AI185" s="8" t="s">
        <v>236</v>
      </c>
      <c r="AJ185" t="s">
        <v>519</v>
      </c>
      <c r="AK185">
        <v>12</v>
      </c>
      <c r="AL185">
        <v>1</v>
      </c>
      <c r="AM185" t="s">
        <v>297</v>
      </c>
      <c r="AN185" t="s">
        <v>236</v>
      </c>
      <c r="AO185" t="s">
        <v>529</v>
      </c>
      <c r="AP185" t="s">
        <v>113</v>
      </c>
      <c r="AQ185">
        <v>12</v>
      </c>
      <c r="AR185" t="s">
        <v>526</v>
      </c>
      <c r="AS185" t="s">
        <v>236</v>
      </c>
      <c r="AT185" t="s">
        <v>140</v>
      </c>
      <c r="AU185">
        <v>12</v>
      </c>
      <c r="AV185">
        <v>1</v>
      </c>
      <c r="AW185" t="s">
        <v>432</v>
      </c>
      <c r="AX185" t="s">
        <v>298</v>
      </c>
      <c r="AY185" t="s">
        <v>295</v>
      </c>
      <c r="AZ185">
        <v>1</v>
      </c>
      <c r="BA185" t="s">
        <v>435</v>
      </c>
      <c r="BB185" t="s">
        <v>431</v>
      </c>
      <c r="BC185" t="s">
        <v>419</v>
      </c>
      <c r="BD185" t="s">
        <v>522</v>
      </c>
      <c r="BE185" t="s">
        <v>437</v>
      </c>
      <c r="BF185" t="s">
        <v>530</v>
      </c>
      <c r="BG185" t="s">
        <v>531</v>
      </c>
      <c r="BH185" t="s">
        <v>420</v>
      </c>
      <c r="BI185" t="s">
        <v>532</v>
      </c>
      <c r="BJ185" t="s">
        <v>68</v>
      </c>
      <c r="BK185" t="s">
        <v>236</v>
      </c>
      <c r="BL185" t="s">
        <v>236</v>
      </c>
      <c r="BM185" t="s">
        <v>236</v>
      </c>
      <c r="BN185" t="s">
        <v>68</v>
      </c>
      <c r="BO185" t="s">
        <v>236</v>
      </c>
      <c r="BP185" t="s">
        <v>236</v>
      </c>
      <c r="BQ185" t="s">
        <v>236</v>
      </c>
      <c r="BR185" t="s">
        <v>236</v>
      </c>
      <c r="BS185" t="s">
        <v>521</v>
      </c>
      <c r="BT185">
        <v>0</v>
      </c>
    </row>
    <row r="186" spans="1:72" x14ac:dyDescent="0.15">
      <c r="A186" s="43">
        <v>2022</v>
      </c>
      <c r="B186" s="8">
        <v>12</v>
      </c>
      <c r="C186" s="8">
        <v>1</v>
      </c>
      <c r="D186" s="8" t="s">
        <v>297</v>
      </c>
      <c r="E186" s="8" t="s">
        <v>236</v>
      </c>
      <c r="F186" s="8" t="s">
        <v>57</v>
      </c>
      <c r="G186" s="8">
        <v>2016</v>
      </c>
      <c r="H186" s="8">
        <v>12</v>
      </c>
      <c r="I186" s="8" t="s">
        <v>526</v>
      </c>
      <c r="J186" s="8" t="s">
        <v>236</v>
      </c>
      <c r="K186" s="8">
        <v>1982</v>
      </c>
      <c r="L186" s="17">
        <v>12</v>
      </c>
      <c r="M186" s="8">
        <v>1</v>
      </c>
      <c r="N186" s="8" t="s">
        <v>48</v>
      </c>
      <c r="O186" s="8" t="s">
        <v>298</v>
      </c>
      <c r="P186" s="8" t="s">
        <v>295</v>
      </c>
      <c r="Q186" s="8">
        <v>3000</v>
      </c>
      <c r="R186" s="8" t="s">
        <v>57</v>
      </c>
      <c r="S186" s="8" t="s">
        <v>52</v>
      </c>
      <c r="T186" s="8" t="s">
        <v>70</v>
      </c>
      <c r="U186" s="8" t="s">
        <v>68</v>
      </c>
      <c r="V186" s="8">
        <v>1000</v>
      </c>
      <c r="W186" s="8" t="s">
        <v>241</v>
      </c>
      <c r="X186" s="8">
        <v>5000</v>
      </c>
      <c r="Y186" s="8" t="s">
        <v>278</v>
      </c>
      <c r="Z186" s="8">
        <v>80</v>
      </c>
      <c r="AA186" s="8" t="s">
        <v>525</v>
      </c>
      <c r="AB186" s="8" t="s">
        <v>236</v>
      </c>
      <c r="AC186" s="8" t="s">
        <v>236</v>
      </c>
      <c r="AD186" s="8" t="s">
        <v>236</v>
      </c>
      <c r="AE186" s="8" t="s">
        <v>68</v>
      </c>
      <c r="AF186" s="8" t="s">
        <v>236</v>
      </c>
      <c r="AG186" s="8" t="s">
        <v>236</v>
      </c>
      <c r="AH186" s="8" t="s">
        <v>236</v>
      </c>
      <c r="AI186" s="8" t="s">
        <v>236</v>
      </c>
      <c r="AJ186" t="s">
        <v>519</v>
      </c>
      <c r="AK186">
        <v>12</v>
      </c>
      <c r="AL186">
        <v>1</v>
      </c>
      <c r="AM186" t="s">
        <v>297</v>
      </c>
      <c r="AN186" t="s">
        <v>236</v>
      </c>
      <c r="AO186" t="s">
        <v>529</v>
      </c>
      <c r="AP186" t="s">
        <v>113</v>
      </c>
      <c r="AQ186">
        <v>12</v>
      </c>
      <c r="AR186" t="s">
        <v>526</v>
      </c>
      <c r="AS186" t="s">
        <v>236</v>
      </c>
      <c r="AT186" t="s">
        <v>145</v>
      </c>
      <c r="AU186">
        <v>12</v>
      </c>
      <c r="AV186">
        <v>1</v>
      </c>
      <c r="AW186" t="s">
        <v>432</v>
      </c>
      <c r="AX186" t="s">
        <v>298</v>
      </c>
      <c r="AY186" t="s">
        <v>295</v>
      </c>
      <c r="AZ186">
        <v>1</v>
      </c>
      <c r="BA186" t="s">
        <v>435</v>
      </c>
      <c r="BB186" t="s">
        <v>431</v>
      </c>
      <c r="BC186" t="s">
        <v>419</v>
      </c>
      <c r="BD186" t="s">
        <v>522</v>
      </c>
      <c r="BE186" t="s">
        <v>437</v>
      </c>
      <c r="BF186" t="s">
        <v>530</v>
      </c>
      <c r="BG186" t="s">
        <v>531</v>
      </c>
      <c r="BH186" t="s">
        <v>420</v>
      </c>
      <c r="BI186" t="s">
        <v>532</v>
      </c>
      <c r="BJ186" t="s">
        <v>68</v>
      </c>
      <c r="BK186" t="s">
        <v>236</v>
      </c>
      <c r="BL186" t="s">
        <v>236</v>
      </c>
      <c r="BM186" t="s">
        <v>236</v>
      </c>
      <c r="BN186" t="s">
        <v>68</v>
      </c>
      <c r="BO186" t="s">
        <v>236</v>
      </c>
      <c r="BP186" t="s">
        <v>236</v>
      </c>
      <c r="BQ186" t="s">
        <v>236</v>
      </c>
      <c r="BR186" t="s">
        <v>236</v>
      </c>
      <c r="BS186" t="s">
        <v>521</v>
      </c>
      <c r="BT186">
        <v>0</v>
      </c>
    </row>
    <row r="187" spans="1:72" x14ac:dyDescent="0.15">
      <c r="A187" s="43">
        <v>2022</v>
      </c>
      <c r="B187" s="8">
        <v>12</v>
      </c>
      <c r="C187" s="8">
        <v>1</v>
      </c>
      <c r="D187" s="8" t="s">
        <v>297</v>
      </c>
      <c r="E187" s="8" t="s">
        <v>236</v>
      </c>
      <c r="F187" s="8" t="s">
        <v>57</v>
      </c>
      <c r="G187" s="8">
        <v>2016</v>
      </c>
      <c r="H187" s="8">
        <v>12</v>
      </c>
      <c r="I187" s="8" t="s">
        <v>526</v>
      </c>
      <c r="J187" s="8" t="s">
        <v>236</v>
      </c>
      <c r="K187" s="8">
        <v>1977</v>
      </c>
      <c r="L187" s="17">
        <v>12</v>
      </c>
      <c r="M187" s="8">
        <v>1</v>
      </c>
      <c r="N187" s="8" t="s">
        <v>48</v>
      </c>
      <c r="O187" s="8" t="s">
        <v>298</v>
      </c>
      <c r="P187" s="8" t="s">
        <v>295</v>
      </c>
      <c r="Q187" s="8">
        <v>3000</v>
      </c>
      <c r="R187" s="8" t="s">
        <v>57</v>
      </c>
      <c r="S187" s="8" t="s">
        <v>52</v>
      </c>
      <c r="T187" s="8" t="s">
        <v>70</v>
      </c>
      <c r="U187" s="8" t="s">
        <v>68</v>
      </c>
      <c r="V187" s="8">
        <v>1000</v>
      </c>
      <c r="W187" s="8" t="s">
        <v>241</v>
      </c>
      <c r="X187" s="8">
        <v>5000</v>
      </c>
      <c r="Y187" s="8" t="s">
        <v>278</v>
      </c>
      <c r="Z187" s="8">
        <v>80</v>
      </c>
      <c r="AA187" s="8" t="s">
        <v>525</v>
      </c>
      <c r="AB187" s="8" t="s">
        <v>236</v>
      </c>
      <c r="AC187" s="8" t="s">
        <v>236</v>
      </c>
      <c r="AD187" s="8" t="s">
        <v>236</v>
      </c>
      <c r="AE187" s="8" t="s">
        <v>68</v>
      </c>
      <c r="AF187" s="8" t="s">
        <v>236</v>
      </c>
      <c r="AG187" s="8" t="s">
        <v>236</v>
      </c>
      <c r="AH187" s="8" t="s">
        <v>236</v>
      </c>
      <c r="AI187" s="8" t="s">
        <v>236</v>
      </c>
      <c r="AJ187" t="s">
        <v>519</v>
      </c>
      <c r="AK187">
        <v>12</v>
      </c>
      <c r="AL187">
        <v>1</v>
      </c>
      <c r="AM187" t="s">
        <v>297</v>
      </c>
      <c r="AN187" t="s">
        <v>236</v>
      </c>
      <c r="AO187" t="s">
        <v>529</v>
      </c>
      <c r="AP187" t="s">
        <v>113</v>
      </c>
      <c r="AQ187">
        <v>12</v>
      </c>
      <c r="AR187" t="s">
        <v>526</v>
      </c>
      <c r="AS187" t="s">
        <v>236</v>
      </c>
      <c r="AT187" t="s">
        <v>150</v>
      </c>
      <c r="AU187">
        <v>12</v>
      </c>
      <c r="AV187">
        <v>1</v>
      </c>
      <c r="AW187" t="s">
        <v>432</v>
      </c>
      <c r="AX187" t="s">
        <v>298</v>
      </c>
      <c r="AY187" t="s">
        <v>295</v>
      </c>
      <c r="AZ187">
        <v>1</v>
      </c>
      <c r="BA187" t="s">
        <v>435</v>
      </c>
      <c r="BB187" t="s">
        <v>431</v>
      </c>
      <c r="BC187" t="s">
        <v>419</v>
      </c>
      <c r="BD187" t="s">
        <v>522</v>
      </c>
      <c r="BE187" t="s">
        <v>437</v>
      </c>
      <c r="BF187" t="s">
        <v>530</v>
      </c>
      <c r="BG187" t="s">
        <v>531</v>
      </c>
      <c r="BH187" t="s">
        <v>420</v>
      </c>
      <c r="BI187" t="s">
        <v>532</v>
      </c>
      <c r="BJ187" t="s">
        <v>68</v>
      </c>
      <c r="BK187" t="s">
        <v>236</v>
      </c>
      <c r="BL187" t="s">
        <v>236</v>
      </c>
      <c r="BM187" t="s">
        <v>236</v>
      </c>
      <c r="BN187" t="s">
        <v>68</v>
      </c>
      <c r="BO187" t="s">
        <v>236</v>
      </c>
      <c r="BP187" t="s">
        <v>236</v>
      </c>
      <c r="BQ187" t="s">
        <v>236</v>
      </c>
      <c r="BR187" t="s">
        <v>236</v>
      </c>
      <c r="BS187" t="s">
        <v>521</v>
      </c>
      <c r="BT187">
        <v>0</v>
      </c>
    </row>
    <row r="188" spans="1:72" x14ac:dyDescent="0.15">
      <c r="A188" s="43">
        <v>2022</v>
      </c>
      <c r="B188" s="8">
        <v>12</v>
      </c>
      <c r="C188" s="8">
        <v>1</v>
      </c>
      <c r="D188" s="8" t="s">
        <v>297</v>
      </c>
      <c r="E188" s="8" t="s">
        <v>236</v>
      </c>
      <c r="F188" s="8" t="s">
        <v>57</v>
      </c>
      <c r="G188" s="8">
        <v>2016</v>
      </c>
      <c r="H188" s="8">
        <v>12</v>
      </c>
      <c r="I188" s="8" t="s">
        <v>526</v>
      </c>
      <c r="J188" s="8" t="s">
        <v>236</v>
      </c>
      <c r="K188" s="8">
        <v>1972</v>
      </c>
      <c r="L188" s="17">
        <v>12</v>
      </c>
      <c r="M188" s="8">
        <v>1</v>
      </c>
      <c r="N188" s="8" t="s">
        <v>48</v>
      </c>
      <c r="O188" s="8" t="s">
        <v>298</v>
      </c>
      <c r="P188" s="8" t="s">
        <v>295</v>
      </c>
      <c r="Q188" s="8">
        <v>3000</v>
      </c>
      <c r="R188" s="8" t="s">
        <v>57</v>
      </c>
      <c r="S188" s="8" t="s">
        <v>52</v>
      </c>
      <c r="T188" s="8" t="s">
        <v>70</v>
      </c>
      <c r="U188" s="8" t="s">
        <v>68</v>
      </c>
      <c r="V188" s="8">
        <v>1000</v>
      </c>
      <c r="W188" s="8" t="s">
        <v>241</v>
      </c>
      <c r="X188" s="8">
        <v>5000</v>
      </c>
      <c r="Y188" s="8" t="s">
        <v>278</v>
      </c>
      <c r="Z188" s="8">
        <v>80</v>
      </c>
      <c r="AA188" s="8" t="s">
        <v>525</v>
      </c>
      <c r="AB188" s="8" t="s">
        <v>236</v>
      </c>
      <c r="AC188" s="8" t="s">
        <v>236</v>
      </c>
      <c r="AD188" s="8" t="s">
        <v>236</v>
      </c>
      <c r="AE188" s="8" t="s">
        <v>68</v>
      </c>
      <c r="AF188" s="8" t="s">
        <v>236</v>
      </c>
      <c r="AG188" s="8" t="s">
        <v>236</v>
      </c>
      <c r="AH188" s="8" t="s">
        <v>236</v>
      </c>
      <c r="AI188" s="8" t="s">
        <v>236</v>
      </c>
      <c r="AJ188" t="s">
        <v>519</v>
      </c>
      <c r="AK188">
        <v>12</v>
      </c>
      <c r="AL188">
        <v>1</v>
      </c>
      <c r="AM188" t="s">
        <v>297</v>
      </c>
      <c r="AN188" t="s">
        <v>236</v>
      </c>
      <c r="AO188" t="s">
        <v>529</v>
      </c>
      <c r="AP188" t="s">
        <v>113</v>
      </c>
      <c r="AQ188">
        <v>12</v>
      </c>
      <c r="AR188" t="s">
        <v>526</v>
      </c>
      <c r="AS188" t="s">
        <v>236</v>
      </c>
      <c r="AT188" t="s">
        <v>155</v>
      </c>
      <c r="AU188">
        <v>12</v>
      </c>
      <c r="AV188">
        <v>1</v>
      </c>
      <c r="AW188" t="s">
        <v>432</v>
      </c>
      <c r="AX188" t="s">
        <v>298</v>
      </c>
      <c r="AY188" t="s">
        <v>295</v>
      </c>
      <c r="AZ188">
        <v>1</v>
      </c>
      <c r="BA188" t="s">
        <v>435</v>
      </c>
      <c r="BB188" t="s">
        <v>431</v>
      </c>
      <c r="BC188" t="s">
        <v>419</v>
      </c>
      <c r="BD188" t="s">
        <v>522</v>
      </c>
      <c r="BE188" t="s">
        <v>437</v>
      </c>
      <c r="BF188" t="s">
        <v>530</v>
      </c>
      <c r="BG188" t="s">
        <v>531</v>
      </c>
      <c r="BH188" t="s">
        <v>420</v>
      </c>
      <c r="BI188" t="s">
        <v>532</v>
      </c>
      <c r="BJ188" t="s">
        <v>68</v>
      </c>
      <c r="BK188" t="s">
        <v>236</v>
      </c>
      <c r="BL188" t="s">
        <v>236</v>
      </c>
      <c r="BM188" t="s">
        <v>236</v>
      </c>
      <c r="BN188" t="s">
        <v>68</v>
      </c>
      <c r="BO188" t="s">
        <v>236</v>
      </c>
      <c r="BP188" t="s">
        <v>236</v>
      </c>
      <c r="BQ188" t="s">
        <v>236</v>
      </c>
      <c r="BR188" t="s">
        <v>236</v>
      </c>
      <c r="BS188" t="s">
        <v>521</v>
      </c>
      <c r="BT188">
        <v>0</v>
      </c>
    </row>
    <row r="189" spans="1:72" x14ac:dyDescent="0.15">
      <c r="A189" s="43">
        <v>2022</v>
      </c>
      <c r="B189" s="8">
        <v>12</v>
      </c>
      <c r="C189" s="8">
        <v>1</v>
      </c>
      <c r="D189" s="8" t="s">
        <v>297</v>
      </c>
      <c r="E189" s="8" t="s">
        <v>236</v>
      </c>
      <c r="F189" s="8" t="s">
        <v>57</v>
      </c>
      <c r="G189" s="8">
        <v>2016</v>
      </c>
      <c r="H189" s="8">
        <v>12</v>
      </c>
      <c r="I189" s="8" t="s">
        <v>526</v>
      </c>
      <c r="J189" s="8" t="s">
        <v>236</v>
      </c>
      <c r="K189" s="8">
        <v>1962</v>
      </c>
      <c r="L189" s="17">
        <v>12</v>
      </c>
      <c r="M189" s="8">
        <v>1</v>
      </c>
      <c r="N189" s="8" t="s">
        <v>48</v>
      </c>
      <c r="O189" s="8" t="s">
        <v>298</v>
      </c>
      <c r="P189" s="8" t="s">
        <v>295</v>
      </c>
      <c r="Q189" s="8">
        <v>3000</v>
      </c>
      <c r="R189" s="8" t="s">
        <v>57</v>
      </c>
      <c r="S189" s="8" t="s">
        <v>52</v>
      </c>
      <c r="T189" s="8" t="s">
        <v>70</v>
      </c>
      <c r="U189" s="8" t="s">
        <v>68</v>
      </c>
      <c r="V189" s="8">
        <v>1000</v>
      </c>
      <c r="W189" s="8" t="s">
        <v>241</v>
      </c>
      <c r="X189" s="8">
        <v>5000</v>
      </c>
      <c r="Y189" s="8" t="s">
        <v>278</v>
      </c>
      <c r="Z189" s="8">
        <v>80</v>
      </c>
      <c r="AA189" s="8" t="s">
        <v>525</v>
      </c>
      <c r="AB189" s="8" t="s">
        <v>236</v>
      </c>
      <c r="AC189" s="8" t="s">
        <v>236</v>
      </c>
      <c r="AD189" s="8" t="s">
        <v>236</v>
      </c>
      <c r="AE189" s="8" t="s">
        <v>68</v>
      </c>
      <c r="AF189" s="8" t="s">
        <v>236</v>
      </c>
      <c r="AG189" s="8" t="s">
        <v>236</v>
      </c>
      <c r="AH189" s="8" t="s">
        <v>236</v>
      </c>
      <c r="AI189" s="8" t="s">
        <v>236</v>
      </c>
      <c r="AJ189" t="s">
        <v>519</v>
      </c>
      <c r="AK189">
        <v>12</v>
      </c>
      <c r="AL189">
        <v>1</v>
      </c>
      <c r="AM189" t="s">
        <v>297</v>
      </c>
      <c r="AN189" t="s">
        <v>236</v>
      </c>
      <c r="AO189" t="s">
        <v>529</v>
      </c>
      <c r="AP189" t="s">
        <v>113</v>
      </c>
      <c r="AQ189">
        <v>12</v>
      </c>
      <c r="AR189" t="s">
        <v>526</v>
      </c>
      <c r="AS189" t="s">
        <v>236</v>
      </c>
      <c r="AT189" t="s">
        <v>165</v>
      </c>
      <c r="AU189">
        <v>12</v>
      </c>
      <c r="AV189">
        <v>1</v>
      </c>
      <c r="AW189" t="s">
        <v>432</v>
      </c>
      <c r="AX189" t="s">
        <v>298</v>
      </c>
      <c r="AY189" t="s">
        <v>295</v>
      </c>
      <c r="AZ189">
        <v>1</v>
      </c>
      <c r="BA189" t="s">
        <v>435</v>
      </c>
      <c r="BB189" t="s">
        <v>431</v>
      </c>
      <c r="BC189" t="s">
        <v>419</v>
      </c>
      <c r="BD189" t="s">
        <v>522</v>
      </c>
      <c r="BE189" t="s">
        <v>437</v>
      </c>
      <c r="BF189" t="s">
        <v>530</v>
      </c>
      <c r="BG189" t="s">
        <v>531</v>
      </c>
      <c r="BH189" t="s">
        <v>420</v>
      </c>
      <c r="BI189" t="s">
        <v>532</v>
      </c>
      <c r="BJ189" t="s">
        <v>68</v>
      </c>
      <c r="BK189" t="s">
        <v>236</v>
      </c>
      <c r="BL189" t="s">
        <v>236</v>
      </c>
      <c r="BM189" t="s">
        <v>236</v>
      </c>
      <c r="BN189" t="s">
        <v>68</v>
      </c>
      <c r="BO189" t="s">
        <v>236</v>
      </c>
      <c r="BP189" t="s">
        <v>236</v>
      </c>
      <c r="BQ189" t="s">
        <v>236</v>
      </c>
      <c r="BR189" t="s">
        <v>236</v>
      </c>
      <c r="BS189" t="s">
        <v>521</v>
      </c>
      <c r="BT189">
        <v>0</v>
      </c>
    </row>
    <row r="190" spans="1:72" x14ac:dyDescent="0.15">
      <c r="A190" s="43">
        <v>2022</v>
      </c>
      <c r="B190" s="8">
        <v>12</v>
      </c>
      <c r="C190" s="8">
        <v>1</v>
      </c>
      <c r="D190" s="8" t="s">
        <v>297</v>
      </c>
      <c r="E190" s="8" t="s">
        <v>236</v>
      </c>
      <c r="F190" s="8" t="s">
        <v>57</v>
      </c>
      <c r="G190" s="8">
        <v>2016</v>
      </c>
      <c r="H190" s="8">
        <v>12</v>
      </c>
      <c r="I190" s="8" t="s">
        <v>526</v>
      </c>
      <c r="J190" s="8" t="s">
        <v>236</v>
      </c>
      <c r="K190" s="8">
        <v>1952</v>
      </c>
      <c r="L190" s="17">
        <v>12</v>
      </c>
      <c r="M190" s="8">
        <v>1</v>
      </c>
      <c r="N190" s="8" t="s">
        <v>48</v>
      </c>
      <c r="O190" s="8" t="s">
        <v>298</v>
      </c>
      <c r="P190" s="8" t="s">
        <v>295</v>
      </c>
      <c r="Q190" s="8">
        <v>3000</v>
      </c>
      <c r="R190" s="8" t="s">
        <v>57</v>
      </c>
      <c r="S190" s="8" t="s">
        <v>52</v>
      </c>
      <c r="T190" s="8" t="s">
        <v>70</v>
      </c>
      <c r="U190" s="8" t="s">
        <v>68</v>
      </c>
      <c r="V190" s="8">
        <v>1000</v>
      </c>
      <c r="W190" s="8" t="s">
        <v>241</v>
      </c>
      <c r="X190" s="8">
        <v>5000</v>
      </c>
      <c r="Y190" s="8" t="s">
        <v>278</v>
      </c>
      <c r="Z190" s="8">
        <v>80</v>
      </c>
      <c r="AA190" s="8" t="s">
        <v>525</v>
      </c>
      <c r="AB190" s="8" t="s">
        <v>236</v>
      </c>
      <c r="AC190" s="8" t="s">
        <v>236</v>
      </c>
      <c r="AD190" s="8" t="s">
        <v>236</v>
      </c>
      <c r="AE190" s="8" t="s">
        <v>68</v>
      </c>
      <c r="AF190" s="8" t="s">
        <v>236</v>
      </c>
      <c r="AG190" s="8" t="s">
        <v>236</v>
      </c>
      <c r="AH190" s="8" t="s">
        <v>236</v>
      </c>
      <c r="AI190" s="8" t="s">
        <v>236</v>
      </c>
      <c r="AJ190" t="s">
        <v>519</v>
      </c>
      <c r="AK190">
        <v>12</v>
      </c>
      <c r="AL190">
        <v>1</v>
      </c>
      <c r="AM190" t="s">
        <v>297</v>
      </c>
      <c r="AN190" t="s">
        <v>236</v>
      </c>
      <c r="AO190" t="s">
        <v>529</v>
      </c>
      <c r="AP190" t="s">
        <v>113</v>
      </c>
      <c r="AQ190">
        <v>12</v>
      </c>
      <c r="AR190" t="s">
        <v>526</v>
      </c>
      <c r="AS190" t="s">
        <v>236</v>
      </c>
      <c r="AT190" t="s">
        <v>175</v>
      </c>
      <c r="AU190">
        <v>12</v>
      </c>
      <c r="AV190">
        <v>1</v>
      </c>
      <c r="AW190" t="s">
        <v>432</v>
      </c>
      <c r="AX190" t="s">
        <v>298</v>
      </c>
      <c r="AY190" t="s">
        <v>295</v>
      </c>
      <c r="AZ190">
        <v>1</v>
      </c>
      <c r="BA190" t="s">
        <v>435</v>
      </c>
      <c r="BB190" t="s">
        <v>431</v>
      </c>
      <c r="BC190" t="s">
        <v>419</v>
      </c>
      <c r="BD190" t="s">
        <v>522</v>
      </c>
      <c r="BE190" t="s">
        <v>437</v>
      </c>
      <c r="BF190" t="s">
        <v>530</v>
      </c>
      <c r="BG190" t="s">
        <v>531</v>
      </c>
      <c r="BH190" t="s">
        <v>420</v>
      </c>
      <c r="BI190" t="s">
        <v>532</v>
      </c>
      <c r="BJ190" t="s">
        <v>68</v>
      </c>
      <c r="BK190" t="s">
        <v>236</v>
      </c>
      <c r="BL190" t="s">
        <v>236</v>
      </c>
      <c r="BM190" t="s">
        <v>236</v>
      </c>
      <c r="BN190" t="s">
        <v>68</v>
      </c>
      <c r="BO190" t="s">
        <v>236</v>
      </c>
      <c r="BP190" t="s">
        <v>236</v>
      </c>
      <c r="BQ190" t="s">
        <v>236</v>
      </c>
      <c r="BR190" t="s">
        <v>236</v>
      </c>
      <c r="BS190" t="s">
        <v>521</v>
      </c>
      <c r="BT190">
        <v>0</v>
      </c>
    </row>
    <row r="191" spans="1:72" x14ac:dyDescent="0.15">
      <c r="A191" s="43">
        <v>2022</v>
      </c>
      <c r="B191" s="8">
        <v>12</v>
      </c>
      <c r="C191" s="8">
        <v>1</v>
      </c>
      <c r="D191" s="8" t="s">
        <v>297</v>
      </c>
      <c r="E191" s="8" t="s">
        <v>236</v>
      </c>
      <c r="F191" s="8" t="s">
        <v>57</v>
      </c>
      <c r="G191" s="8">
        <v>2016</v>
      </c>
      <c r="H191" s="8">
        <v>12</v>
      </c>
      <c r="I191" s="8" t="s">
        <v>526</v>
      </c>
      <c r="J191" s="8" t="s">
        <v>236</v>
      </c>
      <c r="K191" s="8">
        <v>1992</v>
      </c>
      <c r="L191" s="17">
        <v>12</v>
      </c>
      <c r="M191" s="8">
        <v>1</v>
      </c>
      <c r="N191" s="8" t="s">
        <v>48</v>
      </c>
      <c r="O191" s="8" t="s">
        <v>298</v>
      </c>
      <c r="P191" s="8" t="s">
        <v>295</v>
      </c>
      <c r="Q191" s="8">
        <v>7000</v>
      </c>
      <c r="R191" s="8" t="s">
        <v>57</v>
      </c>
      <c r="S191" s="8" t="s">
        <v>52</v>
      </c>
      <c r="T191" s="8" t="s">
        <v>70</v>
      </c>
      <c r="U191" s="8" t="s">
        <v>68</v>
      </c>
      <c r="V191" s="8">
        <v>1000</v>
      </c>
      <c r="W191" s="8" t="s">
        <v>241</v>
      </c>
      <c r="X191" s="8">
        <v>5000</v>
      </c>
      <c r="Y191" s="8" t="s">
        <v>278</v>
      </c>
      <c r="Z191" s="8">
        <v>80</v>
      </c>
      <c r="AA191" s="8" t="s">
        <v>525</v>
      </c>
      <c r="AB191" s="8" t="s">
        <v>236</v>
      </c>
      <c r="AC191" s="8" t="s">
        <v>236</v>
      </c>
      <c r="AD191" s="8" t="s">
        <v>236</v>
      </c>
      <c r="AE191" s="8" t="s">
        <v>68</v>
      </c>
      <c r="AF191" s="8" t="s">
        <v>236</v>
      </c>
      <c r="AG191" s="8" t="s">
        <v>236</v>
      </c>
      <c r="AH191" s="8" t="s">
        <v>236</v>
      </c>
      <c r="AI191" s="8" t="s">
        <v>236</v>
      </c>
      <c r="AJ191" t="s">
        <v>519</v>
      </c>
      <c r="AK191">
        <v>12</v>
      </c>
      <c r="AL191">
        <v>1</v>
      </c>
      <c r="AM191" t="s">
        <v>297</v>
      </c>
      <c r="AN191" t="s">
        <v>236</v>
      </c>
      <c r="AO191" t="s">
        <v>529</v>
      </c>
      <c r="AP191" t="s">
        <v>113</v>
      </c>
      <c r="AQ191">
        <v>12</v>
      </c>
      <c r="AR191" t="s">
        <v>526</v>
      </c>
      <c r="AS191" t="s">
        <v>236</v>
      </c>
      <c r="AT191" t="s">
        <v>137</v>
      </c>
      <c r="AU191">
        <v>12</v>
      </c>
      <c r="AV191">
        <v>1</v>
      </c>
      <c r="AW191" t="s">
        <v>432</v>
      </c>
      <c r="AX191" t="s">
        <v>298</v>
      </c>
      <c r="AY191" t="s">
        <v>295</v>
      </c>
      <c r="AZ191">
        <v>3</v>
      </c>
      <c r="BA191" t="s">
        <v>435</v>
      </c>
      <c r="BB191" t="s">
        <v>431</v>
      </c>
      <c r="BC191" t="s">
        <v>419</v>
      </c>
      <c r="BD191" t="s">
        <v>522</v>
      </c>
      <c r="BE191" t="s">
        <v>437</v>
      </c>
      <c r="BF191" t="s">
        <v>530</v>
      </c>
      <c r="BG191" t="s">
        <v>531</v>
      </c>
      <c r="BH191" t="s">
        <v>420</v>
      </c>
      <c r="BI191" t="s">
        <v>532</v>
      </c>
      <c r="BJ191" t="s">
        <v>68</v>
      </c>
      <c r="BK191" t="s">
        <v>236</v>
      </c>
      <c r="BL191" t="s">
        <v>236</v>
      </c>
      <c r="BM191" t="s">
        <v>236</v>
      </c>
      <c r="BN191" t="s">
        <v>68</v>
      </c>
      <c r="BO191" t="s">
        <v>236</v>
      </c>
      <c r="BP191" t="s">
        <v>236</v>
      </c>
      <c r="BQ191" t="s">
        <v>236</v>
      </c>
      <c r="BR191" t="s">
        <v>236</v>
      </c>
      <c r="BS191" t="s">
        <v>521</v>
      </c>
      <c r="BT191">
        <v>0</v>
      </c>
    </row>
    <row r="192" spans="1:72" x14ac:dyDescent="0.15">
      <c r="A192" s="43">
        <v>2022</v>
      </c>
      <c r="B192" s="8">
        <v>12</v>
      </c>
      <c r="C192" s="8">
        <v>1</v>
      </c>
      <c r="D192" s="8" t="s">
        <v>297</v>
      </c>
      <c r="E192" s="8" t="s">
        <v>236</v>
      </c>
      <c r="F192" s="8" t="s">
        <v>57</v>
      </c>
      <c r="G192" s="8">
        <v>2016</v>
      </c>
      <c r="H192" s="8">
        <v>12</v>
      </c>
      <c r="I192" s="8" t="s">
        <v>526</v>
      </c>
      <c r="J192" s="8" t="s">
        <v>236</v>
      </c>
      <c r="K192" s="8">
        <v>1987</v>
      </c>
      <c r="L192" s="17">
        <v>12</v>
      </c>
      <c r="M192" s="8">
        <v>1</v>
      </c>
      <c r="N192" s="8" t="s">
        <v>48</v>
      </c>
      <c r="O192" s="8" t="s">
        <v>298</v>
      </c>
      <c r="P192" s="8" t="s">
        <v>295</v>
      </c>
      <c r="Q192" s="8">
        <v>7000</v>
      </c>
      <c r="R192" s="8" t="s">
        <v>57</v>
      </c>
      <c r="S192" s="8" t="s">
        <v>52</v>
      </c>
      <c r="T192" s="8" t="s">
        <v>70</v>
      </c>
      <c r="U192" s="8" t="s">
        <v>68</v>
      </c>
      <c r="V192" s="8">
        <v>1000</v>
      </c>
      <c r="W192" s="8" t="s">
        <v>241</v>
      </c>
      <c r="X192" s="8">
        <v>5000</v>
      </c>
      <c r="Y192" s="8" t="s">
        <v>278</v>
      </c>
      <c r="Z192" s="8">
        <v>80</v>
      </c>
      <c r="AA192" s="8" t="s">
        <v>525</v>
      </c>
      <c r="AB192" s="8" t="s">
        <v>236</v>
      </c>
      <c r="AC192" s="8" t="s">
        <v>236</v>
      </c>
      <c r="AD192" s="8" t="s">
        <v>236</v>
      </c>
      <c r="AE192" s="8" t="s">
        <v>68</v>
      </c>
      <c r="AF192" s="8" t="s">
        <v>236</v>
      </c>
      <c r="AG192" s="8" t="s">
        <v>236</v>
      </c>
      <c r="AH192" s="8" t="s">
        <v>236</v>
      </c>
      <c r="AI192" s="8" t="s">
        <v>236</v>
      </c>
      <c r="AJ192" t="s">
        <v>519</v>
      </c>
      <c r="AK192">
        <v>12</v>
      </c>
      <c r="AL192">
        <v>1</v>
      </c>
      <c r="AM192" t="s">
        <v>297</v>
      </c>
      <c r="AN192" t="s">
        <v>236</v>
      </c>
      <c r="AO192" t="s">
        <v>529</v>
      </c>
      <c r="AP192" t="s">
        <v>113</v>
      </c>
      <c r="AQ192">
        <v>12</v>
      </c>
      <c r="AR192" t="s">
        <v>526</v>
      </c>
      <c r="AS192" t="s">
        <v>236</v>
      </c>
      <c r="AT192" t="s">
        <v>140</v>
      </c>
      <c r="AU192">
        <v>12</v>
      </c>
      <c r="AV192">
        <v>1</v>
      </c>
      <c r="AW192" t="s">
        <v>432</v>
      </c>
      <c r="AX192" t="s">
        <v>298</v>
      </c>
      <c r="AY192" t="s">
        <v>295</v>
      </c>
      <c r="AZ192">
        <v>3</v>
      </c>
      <c r="BA192" t="s">
        <v>435</v>
      </c>
      <c r="BB192" t="s">
        <v>431</v>
      </c>
      <c r="BC192" t="s">
        <v>419</v>
      </c>
      <c r="BD192" t="s">
        <v>522</v>
      </c>
      <c r="BE192" t="s">
        <v>437</v>
      </c>
      <c r="BF192" t="s">
        <v>530</v>
      </c>
      <c r="BG192" t="s">
        <v>531</v>
      </c>
      <c r="BH192" t="s">
        <v>420</v>
      </c>
      <c r="BI192" t="s">
        <v>532</v>
      </c>
      <c r="BJ192" t="s">
        <v>68</v>
      </c>
      <c r="BK192" t="s">
        <v>236</v>
      </c>
      <c r="BL192" t="s">
        <v>236</v>
      </c>
      <c r="BM192" t="s">
        <v>236</v>
      </c>
      <c r="BN192" t="s">
        <v>68</v>
      </c>
      <c r="BO192" t="s">
        <v>236</v>
      </c>
      <c r="BP192" t="s">
        <v>236</v>
      </c>
      <c r="BQ192" t="s">
        <v>236</v>
      </c>
      <c r="BR192" t="s">
        <v>236</v>
      </c>
      <c r="BS192" t="s">
        <v>521</v>
      </c>
      <c r="BT192">
        <v>0</v>
      </c>
    </row>
    <row r="193" spans="1:72" x14ac:dyDescent="0.15">
      <c r="A193" s="43">
        <v>2022</v>
      </c>
      <c r="B193" s="8">
        <v>12</v>
      </c>
      <c r="C193" s="8">
        <v>1</v>
      </c>
      <c r="D193" s="8" t="s">
        <v>297</v>
      </c>
      <c r="E193" s="8" t="s">
        <v>236</v>
      </c>
      <c r="F193" s="8" t="s">
        <v>57</v>
      </c>
      <c r="G193" s="8">
        <v>2016</v>
      </c>
      <c r="H193" s="8">
        <v>12</v>
      </c>
      <c r="I193" s="8" t="s">
        <v>526</v>
      </c>
      <c r="J193" s="8" t="s">
        <v>236</v>
      </c>
      <c r="K193" s="8">
        <v>1982</v>
      </c>
      <c r="L193" s="17">
        <v>12</v>
      </c>
      <c r="M193" s="8">
        <v>1</v>
      </c>
      <c r="N193" s="8" t="s">
        <v>48</v>
      </c>
      <c r="O193" s="8" t="s">
        <v>298</v>
      </c>
      <c r="P193" s="8" t="s">
        <v>295</v>
      </c>
      <c r="Q193" s="8">
        <v>7000</v>
      </c>
      <c r="R193" s="8" t="s">
        <v>57</v>
      </c>
      <c r="S193" s="8" t="s">
        <v>52</v>
      </c>
      <c r="T193" s="8" t="s">
        <v>70</v>
      </c>
      <c r="U193" s="8" t="s">
        <v>68</v>
      </c>
      <c r="V193" s="8">
        <v>1000</v>
      </c>
      <c r="W193" s="8" t="s">
        <v>241</v>
      </c>
      <c r="X193" s="8">
        <v>5000</v>
      </c>
      <c r="Y193" s="8" t="s">
        <v>278</v>
      </c>
      <c r="Z193" s="8">
        <v>80</v>
      </c>
      <c r="AA193" s="8" t="s">
        <v>525</v>
      </c>
      <c r="AB193" s="8" t="s">
        <v>236</v>
      </c>
      <c r="AC193" s="8" t="s">
        <v>236</v>
      </c>
      <c r="AD193" s="8" t="s">
        <v>236</v>
      </c>
      <c r="AE193" s="8" t="s">
        <v>68</v>
      </c>
      <c r="AF193" s="8" t="s">
        <v>236</v>
      </c>
      <c r="AG193" s="8" t="s">
        <v>236</v>
      </c>
      <c r="AH193" s="8" t="s">
        <v>236</v>
      </c>
      <c r="AI193" s="8" t="s">
        <v>236</v>
      </c>
      <c r="AJ193" t="s">
        <v>519</v>
      </c>
      <c r="AK193">
        <v>12</v>
      </c>
      <c r="AL193">
        <v>1</v>
      </c>
      <c r="AM193" t="s">
        <v>297</v>
      </c>
      <c r="AN193" t="s">
        <v>236</v>
      </c>
      <c r="AO193" t="s">
        <v>529</v>
      </c>
      <c r="AP193" t="s">
        <v>113</v>
      </c>
      <c r="AQ193">
        <v>12</v>
      </c>
      <c r="AR193" t="s">
        <v>526</v>
      </c>
      <c r="AS193" t="s">
        <v>236</v>
      </c>
      <c r="AT193" t="s">
        <v>145</v>
      </c>
      <c r="AU193">
        <v>12</v>
      </c>
      <c r="AV193">
        <v>1</v>
      </c>
      <c r="AW193" t="s">
        <v>432</v>
      </c>
      <c r="AX193" t="s">
        <v>298</v>
      </c>
      <c r="AY193" t="s">
        <v>295</v>
      </c>
      <c r="AZ193">
        <v>3</v>
      </c>
      <c r="BA193" t="s">
        <v>435</v>
      </c>
      <c r="BB193" t="s">
        <v>431</v>
      </c>
      <c r="BC193" t="s">
        <v>419</v>
      </c>
      <c r="BD193" t="s">
        <v>522</v>
      </c>
      <c r="BE193" t="s">
        <v>437</v>
      </c>
      <c r="BF193" t="s">
        <v>530</v>
      </c>
      <c r="BG193" t="s">
        <v>531</v>
      </c>
      <c r="BH193" t="s">
        <v>420</v>
      </c>
      <c r="BI193" t="s">
        <v>532</v>
      </c>
      <c r="BJ193" t="s">
        <v>68</v>
      </c>
      <c r="BK193" t="s">
        <v>236</v>
      </c>
      <c r="BL193" t="s">
        <v>236</v>
      </c>
      <c r="BM193" t="s">
        <v>236</v>
      </c>
      <c r="BN193" t="s">
        <v>68</v>
      </c>
      <c r="BO193" t="s">
        <v>236</v>
      </c>
      <c r="BP193" t="s">
        <v>236</v>
      </c>
      <c r="BQ193" t="s">
        <v>236</v>
      </c>
      <c r="BR193" t="s">
        <v>236</v>
      </c>
      <c r="BS193" t="s">
        <v>521</v>
      </c>
      <c r="BT193">
        <v>0</v>
      </c>
    </row>
    <row r="194" spans="1:72" x14ac:dyDescent="0.15">
      <c r="A194" s="43">
        <v>2022</v>
      </c>
      <c r="B194" s="8">
        <v>12</v>
      </c>
      <c r="C194" s="8">
        <v>1</v>
      </c>
      <c r="D194" s="8" t="s">
        <v>297</v>
      </c>
      <c r="E194" s="8" t="s">
        <v>236</v>
      </c>
      <c r="F194" s="8" t="s">
        <v>57</v>
      </c>
      <c r="G194" s="8">
        <v>2016</v>
      </c>
      <c r="H194" s="8">
        <v>12</v>
      </c>
      <c r="I194" s="8" t="s">
        <v>526</v>
      </c>
      <c r="J194" s="8" t="s">
        <v>236</v>
      </c>
      <c r="K194" s="8">
        <v>1977</v>
      </c>
      <c r="L194" s="17">
        <v>12</v>
      </c>
      <c r="M194" s="8">
        <v>1</v>
      </c>
      <c r="N194" s="8" t="s">
        <v>48</v>
      </c>
      <c r="O194" s="8" t="s">
        <v>298</v>
      </c>
      <c r="P194" s="8" t="s">
        <v>295</v>
      </c>
      <c r="Q194" s="8">
        <v>7000</v>
      </c>
      <c r="R194" s="8" t="s">
        <v>57</v>
      </c>
      <c r="S194" s="8" t="s">
        <v>52</v>
      </c>
      <c r="T194" s="8" t="s">
        <v>70</v>
      </c>
      <c r="U194" s="8" t="s">
        <v>68</v>
      </c>
      <c r="V194" s="8">
        <v>1000</v>
      </c>
      <c r="W194" s="8" t="s">
        <v>241</v>
      </c>
      <c r="X194" s="8">
        <v>5000</v>
      </c>
      <c r="Y194" s="8" t="s">
        <v>278</v>
      </c>
      <c r="Z194" s="8">
        <v>80</v>
      </c>
      <c r="AA194" s="8" t="s">
        <v>525</v>
      </c>
      <c r="AB194" s="8" t="s">
        <v>236</v>
      </c>
      <c r="AC194" s="8" t="s">
        <v>236</v>
      </c>
      <c r="AD194" s="8" t="s">
        <v>236</v>
      </c>
      <c r="AE194" s="8" t="s">
        <v>68</v>
      </c>
      <c r="AF194" s="8" t="s">
        <v>236</v>
      </c>
      <c r="AG194" s="8" t="s">
        <v>236</v>
      </c>
      <c r="AH194" s="8" t="s">
        <v>236</v>
      </c>
      <c r="AI194" s="8" t="s">
        <v>236</v>
      </c>
      <c r="AJ194" t="s">
        <v>519</v>
      </c>
      <c r="AK194">
        <v>12</v>
      </c>
      <c r="AL194">
        <v>1</v>
      </c>
      <c r="AM194" t="s">
        <v>297</v>
      </c>
      <c r="AN194" t="s">
        <v>236</v>
      </c>
      <c r="AO194" t="s">
        <v>529</v>
      </c>
      <c r="AP194" t="s">
        <v>113</v>
      </c>
      <c r="AQ194">
        <v>12</v>
      </c>
      <c r="AR194" t="s">
        <v>526</v>
      </c>
      <c r="AS194" t="s">
        <v>236</v>
      </c>
      <c r="AT194" t="s">
        <v>150</v>
      </c>
      <c r="AU194">
        <v>12</v>
      </c>
      <c r="AV194">
        <v>1</v>
      </c>
      <c r="AW194" t="s">
        <v>432</v>
      </c>
      <c r="AX194" t="s">
        <v>298</v>
      </c>
      <c r="AY194" t="s">
        <v>295</v>
      </c>
      <c r="AZ194">
        <v>3</v>
      </c>
      <c r="BA194" t="s">
        <v>435</v>
      </c>
      <c r="BB194" t="s">
        <v>431</v>
      </c>
      <c r="BC194" t="s">
        <v>419</v>
      </c>
      <c r="BD194" t="s">
        <v>522</v>
      </c>
      <c r="BE194" t="s">
        <v>437</v>
      </c>
      <c r="BF194" t="s">
        <v>530</v>
      </c>
      <c r="BG194" t="s">
        <v>531</v>
      </c>
      <c r="BH194" t="s">
        <v>420</v>
      </c>
      <c r="BI194" t="s">
        <v>532</v>
      </c>
      <c r="BJ194" t="s">
        <v>68</v>
      </c>
      <c r="BK194" t="s">
        <v>236</v>
      </c>
      <c r="BL194" t="s">
        <v>236</v>
      </c>
      <c r="BM194" t="s">
        <v>236</v>
      </c>
      <c r="BN194" t="s">
        <v>68</v>
      </c>
      <c r="BO194" t="s">
        <v>236</v>
      </c>
      <c r="BP194" t="s">
        <v>236</v>
      </c>
      <c r="BQ194" t="s">
        <v>236</v>
      </c>
      <c r="BR194" t="s">
        <v>236</v>
      </c>
      <c r="BS194" t="s">
        <v>521</v>
      </c>
      <c r="BT194">
        <v>0</v>
      </c>
    </row>
    <row r="195" spans="1:72" x14ac:dyDescent="0.15">
      <c r="A195" s="43">
        <v>2022</v>
      </c>
      <c r="B195" s="8">
        <v>12</v>
      </c>
      <c r="C195" s="8">
        <v>1</v>
      </c>
      <c r="D195" s="8" t="s">
        <v>297</v>
      </c>
      <c r="E195" s="8" t="s">
        <v>236</v>
      </c>
      <c r="F195" s="8" t="s">
        <v>57</v>
      </c>
      <c r="G195" s="8">
        <v>2016</v>
      </c>
      <c r="H195" s="8">
        <v>12</v>
      </c>
      <c r="I195" s="8" t="s">
        <v>526</v>
      </c>
      <c r="J195" s="8" t="s">
        <v>236</v>
      </c>
      <c r="K195" s="8">
        <v>1972</v>
      </c>
      <c r="L195" s="17">
        <v>12</v>
      </c>
      <c r="M195" s="8">
        <v>1</v>
      </c>
      <c r="N195" s="8" t="s">
        <v>48</v>
      </c>
      <c r="O195" s="8" t="s">
        <v>298</v>
      </c>
      <c r="P195" s="8" t="s">
        <v>295</v>
      </c>
      <c r="Q195" s="8">
        <v>7000</v>
      </c>
      <c r="R195" s="8" t="s">
        <v>57</v>
      </c>
      <c r="S195" s="8" t="s">
        <v>52</v>
      </c>
      <c r="T195" s="8" t="s">
        <v>70</v>
      </c>
      <c r="U195" s="8" t="s">
        <v>68</v>
      </c>
      <c r="V195" s="8">
        <v>1000</v>
      </c>
      <c r="W195" s="8" t="s">
        <v>241</v>
      </c>
      <c r="X195" s="8">
        <v>5000</v>
      </c>
      <c r="Y195" s="8" t="s">
        <v>278</v>
      </c>
      <c r="Z195" s="8">
        <v>80</v>
      </c>
      <c r="AA195" s="8" t="s">
        <v>525</v>
      </c>
      <c r="AB195" s="8" t="s">
        <v>236</v>
      </c>
      <c r="AC195" s="8" t="s">
        <v>236</v>
      </c>
      <c r="AD195" s="8" t="s">
        <v>236</v>
      </c>
      <c r="AE195" s="8" t="s">
        <v>68</v>
      </c>
      <c r="AF195" s="8" t="s">
        <v>236</v>
      </c>
      <c r="AG195" s="8" t="s">
        <v>236</v>
      </c>
      <c r="AH195" s="8" t="s">
        <v>236</v>
      </c>
      <c r="AI195" s="8" t="s">
        <v>236</v>
      </c>
      <c r="AJ195" t="s">
        <v>519</v>
      </c>
      <c r="AK195">
        <v>12</v>
      </c>
      <c r="AL195">
        <v>1</v>
      </c>
      <c r="AM195" t="s">
        <v>297</v>
      </c>
      <c r="AN195" t="s">
        <v>236</v>
      </c>
      <c r="AO195" t="s">
        <v>529</v>
      </c>
      <c r="AP195" t="s">
        <v>113</v>
      </c>
      <c r="AQ195">
        <v>12</v>
      </c>
      <c r="AR195" t="s">
        <v>526</v>
      </c>
      <c r="AS195" t="s">
        <v>236</v>
      </c>
      <c r="AT195" t="s">
        <v>155</v>
      </c>
      <c r="AU195">
        <v>12</v>
      </c>
      <c r="AV195">
        <v>1</v>
      </c>
      <c r="AW195" t="s">
        <v>432</v>
      </c>
      <c r="AX195" t="s">
        <v>298</v>
      </c>
      <c r="AY195" t="s">
        <v>295</v>
      </c>
      <c r="AZ195">
        <v>3</v>
      </c>
      <c r="BA195" t="s">
        <v>435</v>
      </c>
      <c r="BB195" t="s">
        <v>431</v>
      </c>
      <c r="BC195" t="s">
        <v>419</v>
      </c>
      <c r="BD195" t="s">
        <v>522</v>
      </c>
      <c r="BE195" t="s">
        <v>437</v>
      </c>
      <c r="BF195" t="s">
        <v>530</v>
      </c>
      <c r="BG195" t="s">
        <v>531</v>
      </c>
      <c r="BH195" t="s">
        <v>420</v>
      </c>
      <c r="BI195" t="s">
        <v>532</v>
      </c>
      <c r="BJ195" t="s">
        <v>68</v>
      </c>
      <c r="BK195" t="s">
        <v>236</v>
      </c>
      <c r="BL195" t="s">
        <v>236</v>
      </c>
      <c r="BM195" t="s">
        <v>236</v>
      </c>
      <c r="BN195" t="s">
        <v>68</v>
      </c>
      <c r="BO195" t="s">
        <v>236</v>
      </c>
      <c r="BP195" t="s">
        <v>236</v>
      </c>
      <c r="BQ195" t="s">
        <v>236</v>
      </c>
      <c r="BR195" t="s">
        <v>236</v>
      </c>
      <c r="BS195" t="s">
        <v>521</v>
      </c>
      <c r="BT195">
        <v>0</v>
      </c>
    </row>
    <row r="196" spans="1:72" x14ac:dyDescent="0.15">
      <c r="A196" s="43">
        <v>2022</v>
      </c>
      <c r="B196" s="8">
        <v>12</v>
      </c>
      <c r="C196" s="8">
        <v>1</v>
      </c>
      <c r="D196" s="8" t="s">
        <v>297</v>
      </c>
      <c r="E196" s="8" t="s">
        <v>236</v>
      </c>
      <c r="F196" s="8" t="s">
        <v>57</v>
      </c>
      <c r="G196" s="8">
        <v>2016</v>
      </c>
      <c r="H196" s="8">
        <v>12</v>
      </c>
      <c r="I196" s="8" t="s">
        <v>526</v>
      </c>
      <c r="J196" s="8" t="s">
        <v>236</v>
      </c>
      <c r="K196" s="8">
        <v>1962</v>
      </c>
      <c r="L196" s="17">
        <v>12</v>
      </c>
      <c r="M196" s="8">
        <v>1</v>
      </c>
      <c r="N196" s="8" t="s">
        <v>48</v>
      </c>
      <c r="O196" s="8" t="s">
        <v>298</v>
      </c>
      <c r="P196" s="8" t="s">
        <v>295</v>
      </c>
      <c r="Q196" s="8">
        <v>7000</v>
      </c>
      <c r="R196" s="8" t="s">
        <v>57</v>
      </c>
      <c r="S196" s="8" t="s">
        <v>52</v>
      </c>
      <c r="T196" s="8" t="s">
        <v>70</v>
      </c>
      <c r="U196" s="8" t="s">
        <v>68</v>
      </c>
      <c r="V196" s="8">
        <v>1000</v>
      </c>
      <c r="W196" s="8" t="s">
        <v>241</v>
      </c>
      <c r="X196" s="8">
        <v>5000</v>
      </c>
      <c r="Y196" s="8" t="s">
        <v>278</v>
      </c>
      <c r="Z196" s="8">
        <v>80</v>
      </c>
      <c r="AA196" s="8" t="s">
        <v>525</v>
      </c>
      <c r="AB196" s="8" t="s">
        <v>236</v>
      </c>
      <c r="AC196" s="8" t="s">
        <v>236</v>
      </c>
      <c r="AD196" s="8" t="s">
        <v>236</v>
      </c>
      <c r="AE196" s="8" t="s">
        <v>68</v>
      </c>
      <c r="AF196" s="8" t="s">
        <v>236</v>
      </c>
      <c r="AG196" s="8" t="s">
        <v>236</v>
      </c>
      <c r="AH196" s="8" t="s">
        <v>236</v>
      </c>
      <c r="AI196" s="8" t="s">
        <v>236</v>
      </c>
      <c r="AJ196" t="s">
        <v>519</v>
      </c>
      <c r="AK196">
        <v>12</v>
      </c>
      <c r="AL196">
        <v>1</v>
      </c>
      <c r="AM196" t="s">
        <v>297</v>
      </c>
      <c r="AN196" t="s">
        <v>236</v>
      </c>
      <c r="AO196" t="s">
        <v>529</v>
      </c>
      <c r="AP196" t="s">
        <v>113</v>
      </c>
      <c r="AQ196">
        <v>12</v>
      </c>
      <c r="AR196" t="s">
        <v>526</v>
      </c>
      <c r="AS196" t="s">
        <v>236</v>
      </c>
      <c r="AT196" t="s">
        <v>165</v>
      </c>
      <c r="AU196">
        <v>12</v>
      </c>
      <c r="AV196">
        <v>1</v>
      </c>
      <c r="AW196" t="s">
        <v>432</v>
      </c>
      <c r="AX196" t="s">
        <v>298</v>
      </c>
      <c r="AY196" t="s">
        <v>295</v>
      </c>
      <c r="AZ196">
        <v>3</v>
      </c>
      <c r="BA196" t="s">
        <v>435</v>
      </c>
      <c r="BB196" t="s">
        <v>431</v>
      </c>
      <c r="BC196" t="s">
        <v>419</v>
      </c>
      <c r="BD196" t="s">
        <v>522</v>
      </c>
      <c r="BE196" t="s">
        <v>437</v>
      </c>
      <c r="BF196" t="s">
        <v>530</v>
      </c>
      <c r="BG196" t="s">
        <v>531</v>
      </c>
      <c r="BH196" t="s">
        <v>420</v>
      </c>
      <c r="BI196" t="s">
        <v>532</v>
      </c>
      <c r="BJ196" t="s">
        <v>68</v>
      </c>
      <c r="BK196" t="s">
        <v>236</v>
      </c>
      <c r="BL196" t="s">
        <v>236</v>
      </c>
      <c r="BM196" t="s">
        <v>236</v>
      </c>
      <c r="BN196" t="s">
        <v>68</v>
      </c>
      <c r="BO196" t="s">
        <v>236</v>
      </c>
      <c r="BP196" t="s">
        <v>236</v>
      </c>
      <c r="BQ196" t="s">
        <v>236</v>
      </c>
      <c r="BR196" t="s">
        <v>236</v>
      </c>
      <c r="BS196" t="s">
        <v>521</v>
      </c>
      <c r="BT196">
        <v>0</v>
      </c>
    </row>
    <row r="197" spans="1:72" x14ac:dyDescent="0.15">
      <c r="A197" s="43">
        <v>2022</v>
      </c>
      <c r="B197" s="8">
        <v>12</v>
      </c>
      <c r="C197" s="8">
        <v>1</v>
      </c>
      <c r="D197" s="8" t="s">
        <v>297</v>
      </c>
      <c r="E197" s="8" t="s">
        <v>236</v>
      </c>
      <c r="F197" s="8" t="s">
        <v>57</v>
      </c>
      <c r="G197" s="8">
        <v>2016</v>
      </c>
      <c r="H197" s="8">
        <v>12</v>
      </c>
      <c r="I197" s="8" t="s">
        <v>526</v>
      </c>
      <c r="J197" s="8" t="s">
        <v>236</v>
      </c>
      <c r="K197" s="8">
        <v>1952</v>
      </c>
      <c r="L197" s="17">
        <v>12</v>
      </c>
      <c r="M197" s="8">
        <v>1</v>
      </c>
      <c r="N197" s="8" t="s">
        <v>48</v>
      </c>
      <c r="O197" s="8" t="s">
        <v>298</v>
      </c>
      <c r="P197" s="8" t="s">
        <v>295</v>
      </c>
      <c r="Q197" s="8">
        <v>7000</v>
      </c>
      <c r="R197" s="8" t="s">
        <v>57</v>
      </c>
      <c r="S197" s="8" t="s">
        <v>52</v>
      </c>
      <c r="T197" s="8" t="s">
        <v>70</v>
      </c>
      <c r="U197" s="8" t="s">
        <v>68</v>
      </c>
      <c r="V197" s="8">
        <v>1000</v>
      </c>
      <c r="W197" s="8" t="s">
        <v>241</v>
      </c>
      <c r="X197" s="8">
        <v>5000</v>
      </c>
      <c r="Y197" s="8" t="s">
        <v>278</v>
      </c>
      <c r="Z197" s="8">
        <v>80</v>
      </c>
      <c r="AA197" s="8" t="s">
        <v>525</v>
      </c>
      <c r="AB197" s="8" t="s">
        <v>236</v>
      </c>
      <c r="AC197" s="8" t="s">
        <v>236</v>
      </c>
      <c r="AD197" s="8" t="s">
        <v>236</v>
      </c>
      <c r="AE197" s="8" t="s">
        <v>68</v>
      </c>
      <c r="AF197" s="8" t="s">
        <v>236</v>
      </c>
      <c r="AG197" s="8" t="s">
        <v>236</v>
      </c>
      <c r="AH197" s="8" t="s">
        <v>236</v>
      </c>
      <c r="AI197" s="8" t="s">
        <v>236</v>
      </c>
      <c r="AJ197" t="s">
        <v>519</v>
      </c>
      <c r="AK197">
        <v>12</v>
      </c>
      <c r="AL197">
        <v>1</v>
      </c>
      <c r="AM197" t="s">
        <v>297</v>
      </c>
      <c r="AN197" t="s">
        <v>236</v>
      </c>
      <c r="AO197" t="s">
        <v>529</v>
      </c>
      <c r="AP197" t="s">
        <v>113</v>
      </c>
      <c r="AQ197">
        <v>12</v>
      </c>
      <c r="AR197" t="s">
        <v>526</v>
      </c>
      <c r="AS197" t="s">
        <v>236</v>
      </c>
      <c r="AT197" t="s">
        <v>175</v>
      </c>
      <c r="AU197">
        <v>12</v>
      </c>
      <c r="AV197">
        <v>1</v>
      </c>
      <c r="AW197" t="s">
        <v>432</v>
      </c>
      <c r="AX197" t="s">
        <v>298</v>
      </c>
      <c r="AY197" t="s">
        <v>295</v>
      </c>
      <c r="AZ197">
        <v>3</v>
      </c>
      <c r="BA197" t="s">
        <v>435</v>
      </c>
      <c r="BB197" t="s">
        <v>431</v>
      </c>
      <c r="BC197" t="s">
        <v>419</v>
      </c>
      <c r="BD197" t="s">
        <v>522</v>
      </c>
      <c r="BE197" t="s">
        <v>437</v>
      </c>
      <c r="BF197" t="s">
        <v>530</v>
      </c>
      <c r="BG197" t="s">
        <v>531</v>
      </c>
      <c r="BH197" t="s">
        <v>420</v>
      </c>
      <c r="BI197" t="s">
        <v>532</v>
      </c>
      <c r="BJ197" t="s">
        <v>68</v>
      </c>
      <c r="BK197" t="s">
        <v>236</v>
      </c>
      <c r="BL197" t="s">
        <v>236</v>
      </c>
      <c r="BM197" t="s">
        <v>236</v>
      </c>
      <c r="BN197" t="s">
        <v>68</v>
      </c>
      <c r="BO197" t="s">
        <v>236</v>
      </c>
      <c r="BP197" t="s">
        <v>236</v>
      </c>
      <c r="BQ197" t="s">
        <v>236</v>
      </c>
      <c r="BR197" t="s">
        <v>236</v>
      </c>
      <c r="BS197" t="s">
        <v>521</v>
      </c>
      <c r="BT197">
        <v>0</v>
      </c>
    </row>
    <row r="198" spans="1:72" x14ac:dyDescent="0.15">
      <c r="A198" s="43">
        <v>2022</v>
      </c>
      <c r="B198" s="8">
        <v>12</v>
      </c>
      <c r="C198" s="8">
        <v>1</v>
      </c>
      <c r="D198" s="8">
        <v>17</v>
      </c>
      <c r="E198" s="8" t="s">
        <v>68</v>
      </c>
      <c r="F198" s="8" t="s">
        <v>57</v>
      </c>
      <c r="G198" s="8">
        <v>2017</v>
      </c>
      <c r="H198" s="8">
        <v>12</v>
      </c>
      <c r="I198" s="8" t="s">
        <v>524</v>
      </c>
      <c r="J198" s="8" t="s">
        <v>236</v>
      </c>
      <c r="K198" s="8">
        <v>1992</v>
      </c>
      <c r="L198" s="17">
        <v>12</v>
      </c>
      <c r="M198" s="8">
        <v>1</v>
      </c>
      <c r="N198" s="8" t="s">
        <v>48</v>
      </c>
      <c r="O198" s="8" t="s">
        <v>221</v>
      </c>
      <c r="P198" s="8" t="s">
        <v>224</v>
      </c>
      <c r="Q198" s="8">
        <v>3000</v>
      </c>
      <c r="R198" s="8" t="s">
        <v>57</v>
      </c>
      <c r="S198" s="8" t="s">
        <v>52</v>
      </c>
      <c r="T198" s="8" t="s">
        <v>70</v>
      </c>
      <c r="U198" s="8" t="s">
        <v>236</v>
      </c>
      <c r="V198" s="8">
        <v>1000</v>
      </c>
      <c r="W198" s="8" t="s">
        <v>241</v>
      </c>
      <c r="X198" s="8">
        <v>3000</v>
      </c>
      <c r="Y198" s="8" t="s">
        <v>278</v>
      </c>
      <c r="Z198" s="8">
        <v>110</v>
      </c>
      <c r="AA198" s="8" t="s">
        <v>525</v>
      </c>
      <c r="AB198" s="8" t="s">
        <v>236</v>
      </c>
      <c r="AC198" s="8" t="s">
        <v>236</v>
      </c>
      <c r="AD198" s="8" t="s">
        <v>236</v>
      </c>
      <c r="AE198" s="8" t="s">
        <v>68</v>
      </c>
      <c r="AF198" s="8" t="s">
        <v>236</v>
      </c>
      <c r="AG198" s="8" t="s">
        <v>236</v>
      </c>
      <c r="AH198" s="8" t="s">
        <v>236</v>
      </c>
      <c r="AI198" s="8" t="s">
        <v>236</v>
      </c>
      <c r="AJ198" t="s">
        <v>519</v>
      </c>
      <c r="AK198">
        <v>12</v>
      </c>
      <c r="AL198">
        <v>1</v>
      </c>
      <c r="AM198" t="s">
        <v>88</v>
      </c>
      <c r="AN198" t="s">
        <v>68</v>
      </c>
      <c r="AO198" t="s">
        <v>529</v>
      </c>
      <c r="AP198" t="s">
        <v>112</v>
      </c>
      <c r="AQ198">
        <v>12</v>
      </c>
      <c r="AR198" t="s">
        <v>524</v>
      </c>
      <c r="AS198" t="s">
        <v>236</v>
      </c>
      <c r="AT198" t="s">
        <v>137</v>
      </c>
      <c r="AU198">
        <v>12</v>
      </c>
      <c r="AV198">
        <v>1</v>
      </c>
      <c r="AW198" t="s">
        <v>432</v>
      </c>
      <c r="AX198" t="s">
        <v>221</v>
      </c>
      <c r="AY198" t="s">
        <v>224</v>
      </c>
      <c r="AZ198">
        <v>1</v>
      </c>
      <c r="BA198" t="s">
        <v>435</v>
      </c>
      <c r="BB198" t="s">
        <v>431</v>
      </c>
      <c r="BC198" t="s">
        <v>419</v>
      </c>
      <c r="BD198" t="s">
        <v>236</v>
      </c>
      <c r="BE198" t="s">
        <v>437</v>
      </c>
      <c r="BF198" t="s">
        <v>530</v>
      </c>
      <c r="BG198" t="s">
        <v>433</v>
      </c>
      <c r="BH198" t="s">
        <v>420</v>
      </c>
      <c r="BI198" t="s">
        <v>520</v>
      </c>
      <c r="BJ198" t="s">
        <v>68</v>
      </c>
      <c r="BK198" t="s">
        <v>236</v>
      </c>
      <c r="BL198" t="s">
        <v>236</v>
      </c>
      <c r="BM198" t="s">
        <v>236</v>
      </c>
      <c r="BN198" t="s">
        <v>68</v>
      </c>
      <c r="BO198" t="s">
        <v>236</v>
      </c>
      <c r="BP198" t="s">
        <v>236</v>
      </c>
      <c r="BQ198" t="s">
        <v>236</v>
      </c>
      <c r="BR198" t="s">
        <v>236</v>
      </c>
      <c r="BS198" t="s">
        <v>436</v>
      </c>
      <c r="BT198">
        <v>0</v>
      </c>
    </row>
    <row r="199" spans="1:72" x14ac:dyDescent="0.15">
      <c r="A199" s="43">
        <v>2022</v>
      </c>
      <c r="B199" s="8">
        <v>12</v>
      </c>
      <c r="C199" s="8">
        <v>1</v>
      </c>
      <c r="D199" s="8">
        <v>17</v>
      </c>
      <c r="E199" s="8" t="s">
        <v>68</v>
      </c>
      <c r="F199" s="8" t="s">
        <v>57</v>
      </c>
      <c r="G199" s="8">
        <v>2017</v>
      </c>
      <c r="H199" s="8">
        <v>12</v>
      </c>
      <c r="I199" s="8" t="s">
        <v>524</v>
      </c>
      <c r="J199" s="8" t="s">
        <v>236</v>
      </c>
      <c r="K199" s="8">
        <v>1987</v>
      </c>
      <c r="L199" s="17">
        <v>12</v>
      </c>
      <c r="M199" s="8">
        <v>1</v>
      </c>
      <c r="N199" s="8" t="s">
        <v>48</v>
      </c>
      <c r="O199" s="8" t="s">
        <v>221</v>
      </c>
      <c r="P199" s="8" t="s">
        <v>224</v>
      </c>
      <c r="Q199" s="8">
        <v>3000</v>
      </c>
      <c r="R199" s="8" t="s">
        <v>57</v>
      </c>
      <c r="S199" s="8" t="s">
        <v>52</v>
      </c>
      <c r="T199" s="8" t="s">
        <v>70</v>
      </c>
      <c r="U199" s="8" t="s">
        <v>236</v>
      </c>
      <c r="V199" s="8">
        <v>1000</v>
      </c>
      <c r="W199" s="8" t="s">
        <v>241</v>
      </c>
      <c r="X199" s="8">
        <v>3000</v>
      </c>
      <c r="Y199" s="8" t="s">
        <v>278</v>
      </c>
      <c r="Z199" s="8">
        <v>110</v>
      </c>
      <c r="AA199" s="8" t="s">
        <v>525</v>
      </c>
      <c r="AB199" s="8" t="s">
        <v>236</v>
      </c>
      <c r="AC199" s="8" t="s">
        <v>236</v>
      </c>
      <c r="AD199" s="8" t="s">
        <v>236</v>
      </c>
      <c r="AE199" s="8" t="s">
        <v>68</v>
      </c>
      <c r="AF199" s="8" t="s">
        <v>236</v>
      </c>
      <c r="AG199" s="8" t="s">
        <v>236</v>
      </c>
      <c r="AH199" s="8" t="s">
        <v>236</v>
      </c>
      <c r="AI199" s="8" t="s">
        <v>236</v>
      </c>
      <c r="AJ199" t="s">
        <v>519</v>
      </c>
      <c r="AK199">
        <v>12</v>
      </c>
      <c r="AL199">
        <v>1</v>
      </c>
      <c r="AM199" t="s">
        <v>88</v>
      </c>
      <c r="AN199" t="s">
        <v>68</v>
      </c>
      <c r="AO199" t="s">
        <v>529</v>
      </c>
      <c r="AP199" t="s">
        <v>112</v>
      </c>
      <c r="AQ199">
        <v>12</v>
      </c>
      <c r="AR199" t="s">
        <v>524</v>
      </c>
      <c r="AS199" t="s">
        <v>236</v>
      </c>
      <c r="AT199" t="s">
        <v>140</v>
      </c>
      <c r="AU199">
        <v>12</v>
      </c>
      <c r="AV199">
        <v>1</v>
      </c>
      <c r="AW199" t="s">
        <v>432</v>
      </c>
      <c r="AX199" t="s">
        <v>221</v>
      </c>
      <c r="AY199" t="s">
        <v>224</v>
      </c>
      <c r="AZ199">
        <v>1</v>
      </c>
      <c r="BA199" t="s">
        <v>435</v>
      </c>
      <c r="BB199" t="s">
        <v>431</v>
      </c>
      <c r="BC199" t="s">
        <v>419</v>
      </c>
      <c r="BD199" t="s">
        <v>236</v>
      </c>
      <c r="BE199" t="s">
        <v>437</v>
      </c>
      <c r="BF199" t="s">
        <v>530</v>
      </c>
      <c r="BG199" t="s">
        <v>433</v>
      </c>
      <c r="BH199" t="s">
        <v>420</v>
      </c>
      <c r="BI199" t="s">
        <v>520</v>
      </c>
      <c r="BJ199" t="s">
        <v>68</v>
      </c>
      <c r="BK199" t="s">
        <v>236</v>
      </c>
      <c r="BL199" t="s">
        <v>236</v>
      </c>
      <c r="BM199" t="s">
        <v>236</v>
      </c>
      <c r="BN199" t="s">
        <v>68</v>
      </c>
      <c r="BO199" t="s">
        <v>236</v>
      </c>
      <c r="BP199" t="s">
        <v>236</v>
      </c>
      <c r="BQ199" t="s">
        <v>236</v>
      </c>
      <c r="BR199" t="s">
        <v>236</v>
      </c>
      <c r="BS199" t="s">
        <v>436</v>
      </c>
      <c r="BT199">
        <v>0</v>
      </c>
    </row>
    <row r="200" spans="1:72" x14ac:dyDescent="0.15">
      <c r="A200" s="43">
        <v>2022</v>
      </c>
      <c r="B200" s="8">
        <v>12</v>
      </c>
      <c r="C200" s="8">
        <v>1</v>
      </c>
      <c r="D200" s="8">
        <v>17</v>
      </c>
      <c r="E200" s="8" t="s">
        <v>68</v>
      </c>
      <c r="F200" s="8" t="s">
        <v>57</v>
      </c>
      <c r="G200" s="8">
        <v>2017</v>
      </c>
      <c r="H200" s="8">
        <v>12</v>
      </c>
      <c r="I200" s="8" t="s">
        <v>524</v>
      </c>
      <c r="J200" s="8" t="s">
        <v>236</v>
      </c>
      <c r="K200" s="8">
        <v>1982</v>
      </c>
      <c r="L200" s="17">
        <v>12</v>
      </c>
      <c r="M200" s="8">
        <v>1</v>
      </c>
      <c r="N200" s="8" t="s">
        <v>48</v>
      </c>
      <c r="O200" s="8" t="s">
        <v>221</v>
      </c>
      <c r="P200" s="8" t="s">
        <v>224</v>
      </c>
      <c r="Q200" s="8">
        <v>3000</v>
      </c>
      <c r="R200" s="8" t="s">
        <v>57</v>
      </c>
      <c r="S200" s="8" t="s">
        <v>52</v>
      </c>
      <c r="T200" s="8" t="s">
        <v>70</v>
      </c>
      <c r="U200" s="8" t="s">
        <v>236</v>
      </c>
      <c r="V200" s="8">
        <v>1000</v>
      </c>
      <c r="W200" s="8" t="s">
        <v>241</v>
      </c>
      <c r="X200" s="8">
        <v>3000</v>
      </c>
      <c r="Y200" s="8" t="s">
        <v>278</v>
      </c>
      <c r="Z200" s="8">
        <v>110</v>
      </c>
      <c r="AA200" s="8" t="s">
        <v>525</v>
      </c>
      <c r="AB200" s="8" t="s">
        <v>236</v>
      </c>
      <c r="AC200" s="8" t="s">
        <v>236</v>
      </c>
      <c r="AD200" s="8" t="s">
        <v>236</v>
      </c>
      <c r="AE200" s="8" t="s">
        <v>68</v>
      </c>
      <c r="AF200" s="8" t="s">
        <v>236</v>
      </c>
      <c r="AG200" s="8" t="s">
        <v>236</v>
      </c>
      <c r="AH200" s="8" t="s">
        <v>236</v>
      </c>
      <c r="AI200" s="8" t="s">
        <v>236</v>
      </c>
      <c r="AJ200" t="s">
        <v>519</v>
      </c>
      <c r="AK200">
        <v>12</v>
      </c>
      <c r="AL200">
        <v>1</v>
      </c>
      <c r="AM200" t="s">
        <v>88</v>
      </c>
      <c r="AN200" t="s">
        <v>68</v>
      </c>
      <c r="AO200" t="s">
        <v>529</v>
      </c>
      <c r="AP200" t="s">
        <v>112</v>
      </c>
      <c r="AQ200">
        <v>12</v>
      </c>
      <c r="AR200" t="s">
        <v>524</v>
      </c>
      <c r="AS200" t="s">
        <v>236</v>
      </c>
      <c r="AT200" t="s">
        <v>145</v>
      </c>
      <c r="AU200">
        <v>12</v>
      </c>
      <c r="AV200">
        <v>1</v>
      </c>
      <c r="AW200" t="s">
        <v>432</v>
      </c>
      <c r="AX200" t="s">
        <v>221</v>
      </c>
      <c r="AY200" t="s">
        <v>224</v>
      </c>
      <c r="AZ200">
        <v>1</v>
      </c>
      <c r="BA200" t="s">
        <v>435</v>
      </c>
      <c r="BB200" t="s">
        <v>431</v>
      </c>
      <c r="BC200" t="s">
        <v>419</v>
      </c>
      <c r="BD200" t="s">
        <v>236</v>
      </c>
      <c r="BE200" t="s">
        <v>437</v>
      </c>
      <c r="BF200" t="s">
        <v>530</v>
      </c>
      <c r="BG200" t="s">
        <v>433</v>
      </c>
      <c r="BH200" t="s">
        <v>420</v>
      </c>
      <c r="BI200" t="s">
        <v>520</v>
      </c>
      <c r="BJ200" t="s">
        <v>68</v>
      </c>
      <c r="BK200" t="s">
        <v>236</v>
      </c>
      <c r="BL200" t="s">
        <v>236</v>
      </c>
      <c r="BM200" t="s">
        <v>236</v>
      </c>
      <c r="BN200" t="s">
        <v>68</v>
      </c>
      <c r="BO200" t="s">
        <v>236</v>
      </c>
      <c r="BP200" t="s">
        <v>236</v>
      </c>
      <c r="BQ200" t="s">
        <v>236</v>
      </c>
      <c r="BR200" t="s">
        <v>236</v>
      </c>
      <c r="BS200" t="s">
        <v>436</v>
      </c>
      <c r="BT200">
        <v>0</v>
      </c>
    </row>
    <row r="201" spans="1:72" x14ac:dyDescent="0.15">
      <c r="A201" s="43">
        <v>2022</v>
      </c>
      <c r="B201" s="8">
        <v>12</v>
      </c>
      <c r="C201" s="8">
        <v>1</v>
      </c>
      <c r="D201" s="8">
        <v>17</v>
      </c>
      <c r="E201" s="8" t="s">
        <v>68</v>
      </c>
      <c r="F201" s="8" t="s">
        <v>57</v>
      </c>
      <c r="G201" s="8">
        <v>2017</v>
      </c>
      <c r="H201" s="8">
        <v>12</v>
      </c>
      <c r="I201" s="8" t="s">
        <v>524</v>
      </c>
      <c r="J201" s="8" t="s">
        <v>236</v>
      </c>
      <c r="K201" s="8">
        <v>1977</v>
      </c>
      <c r="L201" s="17">
        <v>12</v>
      </c>
      <c r="M201" s="8">
        <v>1</v>
      </c>
      <c r="N201" s="8" t="s">
        <v>48</v>
      </c>
      <c r="O201" s="8" t="s">
        <v>221</v>
      </c>
      <c r="P201" s="8" t="s">
        <v>224</v>
      </c>
      <c r="Q201" s="8">
        <v>3000</v>
      </c>
      <c r="R201" s="8" t="s">
        <v>57</v>
      </c>
      <c r="S201" s="8" t="s">
        <v>52</v>
      </c>
      <c r="T201" s="8" t="s">
        <v>70</v>
      </c>
      <c r="U201" s="8" t="s">
        <v>236</v>
      </c>
      <c r="V201" s="8">
        <v>1000</v>
      </c>
      <c r="W201" s="8" t="s">
        <v>241</v>
      </c>
      <c r="X201" s="8">
        <v>3000</v>
      </c>
      <c r="Y201" s="8" t="s">
        <v>278</v>
      </c>
      <c r="Z201" s="8">
        <v>110</v>
      </c>
      <c r="AA201" s="8" t="s">
        <v>525</v>
      </c>
      <c r="AB201" s="8" t="s">
        <v>236</v>
      </c>
      <c r="AC201" s="8" t="s">
        <v>236</v>
      </c>
      <c r="AD201" s="8" t="s">
        <v>236</v>
      </c>
      <c r="AE201" s="8" t="s">
        <v>68</v>
      </c>
      <c r="AF201" s="8" t="s">
        <v>236</v>
      </c>
      <c r="AG201" s="8" t="s">
        <v>236</v>
      </c>
      <c r="AH201" s="8" t="s">
        <v>236</v>
      </c>
      <c r="AI201" s="8" t="s">
        <v>236</v>
      </c>
      <c r="AJ201" t="s">
        <v>519</v>
      </c>
      <c r="AK201">
        <v>12</v>
      </c>
      <c r="AL201">
        <v>1</v>
      </c>
      <c r="AM201" t="s">
        <v>88</v>
      </c>
      <c r="AN201" t="s">
        <v>68</v>
      </c>
      <c r="AO201" t="s">
        <v>529</v>
      </c>
      <c r="AP201" t="s">
        <v>112</v>
      </c>
      <c r="AQ201">
        <v>12</v>
      </c>
      <c r="AR201" t="s">
        <v>524</v>
      </c>
      <c r="AS201" t="s">
        <v>236</v>
      </c>
      <c r="AT201" t="s">
        <v>150</v>
      </c>
      <c r="AU201">
        <v>12</v>
      </c>
      <c r="AV201">
        <v>1</v>
      </c>
      <c r="AW201" t="s">
        <v>432</v>
      </c>
      <c r="AX201" t="s">
        <v>221</v>
      </c>
      <c r="AY201" t="s">
        <v>224</v>
      </c>
      <c r="AZ201">
        <v>1</v>
      </c>
      <c r="BA201" t="s">
        <v>435</v>
      </c>
      <c r="BB201" t="s">
        <v>431</v>
      </c>
      <c r="BC201" t="s">
        <v>419</v>
      </c>
      <c r="BD201" t="s">
        <v>236</v>
      </c>
      <c r="BE201" t="s">
        <v>437</v>
      </c>
      <c r="BF201" t="s">
        <v>530</v>
      </c>
      <c r="BG201" t="s">
        <v>433</v>
      </c>
      <c r="BH201" t="s">
        <v>420</v>
      </c>
      <c r="BI201" t="s">
        <v>520</v>
      </c>
      <c r="BJ201" t="s">
        <v>68</v>
      </c>
      <c r="BK201" t="s">
        <v>236</v>
      </c>
      <c r="BL201" t="s">
        <v>236</v>
      </c>
      <c r="BM201" t="s">
        <v>236</v>
      </c>
      <c r="BN201" t="s">
        <v>68</v>
      </c>
      <c r="BO201" t="s">
        <v>236</v>
      </c>
      <c r="BP201" t="s">
        <v>236</v>
      </c>
      <c r="BQ201" t="s">
        <v>236</v>
      </c>
      <c r="BR201" t="s">
        <v>236</v>
      </c>
      <c r="BS201" t="s">
        <v>436</v>
      </c>
      <c r="BT201">
        <v>0</v>
      </c>
    </row>
    <row r="202" spans="1:72" x14ac:dyDescent="0.15">
      <c r="A202" s="43">
        <v>2022</v>
      </c>
      <c r="B202" s="8">
        <v>12</v>
      </c>
      <c r="C202" s="8">
        <v>1</v>
      </c>
      <c r="D202" s="8">
        <v>17</v>
      </c>
      <c r="E202" s="8" t="s">
        <v>68</v>
      </c>
      <c r="F202" s="8" t="s">
        <v>57</v>
      </c>
      <c r="G202" s="8">
        <v>2017</v>
      </c>
      <c r="H202" s="8">
        <v>12</v>
      </c>
      <c r="I202" s="8" t="s">
        <v>524</v>
      </c>
      <c r="J202" s="8" t="s">
        <v>236</v>
      </c>
      <c r="K202" s="8">
        <v>1972</v>
      </c>
      <c r="L202" s="17">
        <v>12</v>
      </c>
      <c r="M202" s="8">
        <v>1</v>
      </c>
      <c r="N202" s="8" t="s">
        <v>48</v>
      </c>
      <c r="O202" s="8" t="s">
        <v>221</v>
      </c>
      <c r="P202" s="8" t="s">
        <v>224</v>
      </c>
      <c r="Q202" s="8">
        <v>3000</v>
      </c>
      <c r="R202" s="8" t="s">
        <v>57</v>
      </c>
      <c r="S202" s="8" t="s">
        <v>52</v>
      </c>
      <c r="T202" s="8" t="s">
        <v>70</v>
      </c>
      <c r="U202" s="8" t="s">
        <v>236</v>
      </c>
      <c r="V202" s="8">
        <v>1000</v>
      </c>
      <c r="W202" s="8" t="s">
        <v>241</v>
      </c>
      <c r="X202" s="8">
        <v>3000</v>
      </c>
      <c r="Y202" s="8" t="s">
        <v>278</v>
      </c>
      <c r="Z202" s="8">
        <v>110</v>
      </c>
      <c r="AA202" s="8" t="s">
        <v>525</v>
      </c>
      <c r="AB202" s="8" t="s">
        <v>236</v>
      </c>
      <c r="AC202" s="8" t="s">
        <v>236</v>
      </c>
      <c r="AD202" s="8" t="s">
        <v>236</v>
      </c>
      <c r="AE202" s="8" t="s">
        <v>68</v>
      </c>
      <c r="AF202" s="8" t="s">
        <v>236</v>
      </c>
      <c r="AG202" s="8" t="s">
        <v>236</v>
      </c>
      <c r="AH202" s="8" t="s">
        <v>236</v>
      </c>
      <c r="AI202" s="8" t="s">
        <v>236</v>
      </c>
      <c r="AJ202" t="s">
        <v>519</v>
      </c>
      <c r="AK202">
        <v>12</v>
      </c>
      <c r="AL202">
        <v>1</v>
      </c>
      <c r="AM202" t="s">
        <v>88</v>
      </c>
      <c r="AN202" t="s">
        <v>68</v>
      </c>
      <c r="AO202" t="s">
        <v>529</v>
      </c>
      <c r="AP202" t="s">
        <v>112</v>
      </c>
      <c r="AQ202">
        <v>12</v>
      </c>
      <c r="AR202" t="s">
        <v>524</v>
      </c>
      <c r="AS202" t="s">
        <v>236</v>
      </c>
      <c r="AT202" t="s">
        <v>155</v>
      </c>
      <c r="AU202">
        <v>12</v>
      </c>
      <c r="AV202">
        <v>1</v>
      </c>
      <c r="AW202" t="s">
        <v>432</v>
      </c>
      <c r="AX202" t="s">
        <v>221</v>
      </c>
      <c r="AY202" t="s">
        <v>224</v>
      </c>
      <c r="AZ202">
        <v>1</v>
      </c>
      <c r="BA202" t="s">
        <v>435</v>
      </c>
      <c r="BB202" t="s">
        <v>431</v>
      </c>
      <c r="BC202" t="s">
        <v>419</v>
      </c>
      <c r="BD202" t="s">
        <v>236</v>
      </c>
      <c r="BE202" t="s">
        <v>437</v>
      </c>
      <c r="BF202" t="s">
        <v>530</v>
      </c>
      <c r="BG202" t="s">
        <v>433</v>
      </c>
      <c r="BH202" t="s">
        <v>420</v>
      </c>
      <c r="BI202" t="s">
        <v>520</v>
      </c>
      <c r="BJ202" t="s">
        <v>68</v>
      </c>
      <c r="BK202" t="s">
        <v>236</v>
      </c>
      <c r="BL202" t="s">
        <v>236</v>
      </c>
      <c r="BM202" t="s">
        <v>236</v>
      </c>
      <c r="BN202" t="s">
        <v>68</v>
      </c>
      <c r="BO202" t="s">
        <v>236</v>
      </c>
      <c r="BP202" t="s">
        <v>236</v>
      </c>
      <c r="BQ202" t="s">
        <v>236</v>
      </c>
      <c r="BR202" t="s">
        <v>236</v>
      </c>
      <c r="BS202" t="s">
        <v>436</v>
      </c>
      <c r="BT202">
        <v>0</v>
      </c>
    </row>
    <row r="203" spans="1:72" x14ac:dyDescent="0.15">
      <c r="A203" s="43">
        <v>2022</v>
      </c>
      <c r="B203" s="8">
        <v>12</v>
      </c>
      <c r="C203" s="8">
        <v>1</v>
      </c>
      <c r="D203" s="8">
        <v>17</v>
      </c>
      <c r="E203" s="8" t="s">
        <v>68</v>
      </c>
      <c r="F203" s="8" t="s">
        <v>57</v>
      </c>
      <c r="G203" s="8">
        <v>2017</v>
      </c>
      <c r="H203" s="8">
        <v>12</v>
      </c>
      <c r="I203" s="8" t="s">
        <v>524</v>
      </c>
      <c r="J203" s="8" t="s">
        <v>236</v>
      </c>
      <c r="K203" s="8">
        <v>1962</v>
      </c>
      <c r="L203" s="17">
        <v>12</v>
      </c>
      <c r="M203" s="8">
        <v>1</v>
      </c>
      <c r="N203" s="8" t="s">
        <v>48</v>
      </c>
      <c r="O203" s="8" t="s">
        <v>221</v>
      </c>
      <c r="P203" s="8" t="s">
        <v>224</v>
      </c>
      <c r="Q203" s="8">
        <v>3000</v>
      </c>
      <c r="R203" s="8" t="s">
        <v>57</v>
      </c>
      <c r="S203" s="8" t="s">
        <v>52</v>
      </c>
      <c r="T203" s="8" t="s">
        <v>70</v>
      </c>
      <c r="U203" s="8" t="s">
        <v>236</v>
      </c>
      <c r="V203" s="8">
        <v>1000</v>
      </c>
      <c r="W203" s="8" t="s">
        <v>241</v>
      </c>
      <c r="X203" s="8">
        <v>3000</v>
      </c>
      <c r="Y203" s="8" t="s">
        <v>278</v>
      </c>
      <c r="Z203" s="8">
        <v>110</v>
      </c>
      <c r="AA203" s="8" t="s">
        <v>525</v>
      </c>
      <c r="AB203" s="8" t="s">
        <v>236</v>
      </c>
      <c r="AC203" s="8" t="s">
        <v>236</v>
      </c>
      <c r="AD203" s="8" t="s">
        <v>236</v>
      </c>
      <c r="AE203" s="8" t="s">
        <v>68</v>
      </c>
      <c r="AF203" s="8" t="s">
        <v>236</v>
      </c>
      <c r="AG203" s="8" t="s">
        <v>236</v>
      </c>
      <c r="AH203" s="8" t="s">
        <v>236</v>
      </c>
      <c r="AI203" s="8" t="s">
        <v>236</v>
      </c>
      <c r="AJ203" t="s">
        <v>519</v>
      </c>
      <c r="AK203">
        <v>12</v>
      </c>
      <c r="AL203">
        <v>1</v>
      </c>
      <c r="AM203" t="s">
        <v>88</v>
      </c>
      <c r="AN203" t="s">
        <v>68</v>
      </c>
      <c r="AO203" t="s">
        <v>529</v>
      </c>
      <c r="AP203" t="s">
        <v>112</v>
      </c>
      <c r="AQ203">
        <v>12</v>
      </c>
      <c r="AR203" t="s">
        <v>524</v>
      </c>
      <c r="AS203" t="s">
        <v>236</v>
      </c>
      <c r="AT203" t="s">
        <v>165</v>
      </c>
      <c r="AU203">
        <v>12</v>
      </c>
      <c r="AV203">
        <v>1</v>
      </c>
      <c r="AW203" t="s">
        <v>432</v>
      </c>
      <c r="AX203" t="s">
        <v>221</v>
      </c>
      <c r="AY203" t="s">
        <v>224</v>
      </c>
      <c r="AZ203">
        <v>1</v>
      </c>
      <c r="BA203" t="s">
        <v>435</v>
      </c>
      <c r="BB203" t="s">
        <v>431</v>
      </c>
      <c r="BC203" t="s">
        <v>419</v>
      </c>
      <c r="BD203" t="s">
        <v>236</v>
      </c>
      <c r="BE203" t="s">
        <v>437</v>
      </c>
      <c r="BF203" t="s">
        <v>530</v>
      </c>
      <c r="BG203" t="s">
        <v>433</v>
      </c>
      <c r="BH203" t="s">
        <v>420</v>
      </c>
      <c r="BI203" t="s">
        <v>520</v>
      </c>
      <c r="BJ203" t="s">
        <v>68</v>
      </c>
      <c r="BK203" t="s">
        <v>236</v>
      </c>
      <c r="BL203" t="s">
        <v>236</v>
      </c>
      <c r="BM203" t="s">
        <v>236</v>
      </c>
      <c r="BN203" t="s">
        <v>68</v>
      </c>
      <c r="BO203" t="s">
        <v>236</v>
      </c>
      <c r="BP203" t="s">
        <v>236</v>
      </c>
      <c r="BQ203" t="s">
        <v>236</v>
      </c>
      <c r="BR203" t="s">
        <v>236</v>
      </c>
      <c r="BS203" t="s">
        <v>436</v>
      </c>
      <c r="BT203">
        <v>0</v>
      </c>
    </row>
    <row r="204" spans="1:72" x14ac:dyDescent="0.15">
      <c r="A204" s="43">
        <v>2022</v>
      </c>
      <c r="B204" s="8">
        <v>12</v>
      </c>
      <c r="C204" s="8">
        <v>1</v>
      </c>
      <c r="D204" s="8">
        <v>17</v>
      </c>
      <c r="E204" s="8" t="s">
        <v>68</v>
      </c>
      <c r="F204" s="8" t="s">
        <v>57</v>
      </c>
      <c r="G204" s="8">
        <v>2017</v>
      </c>
      <c r="H204" s="8">
        <v>12</v>
      </c>
      <c r="I204" s="8" t="s">
        <v>524</v>
      </c>
      <c r="J204" s="8" t="s">
        <v>236</v>
      </c>
      <c r="K204" s="8">
        <v>1952</v>
      </c>
      <c r="L204" s="17">
        <v>12</v>
      </c>
      <c r="M204" s="8">
        <v>1</v>
      </c>
      <c r="N204" s="8" t="s">
        <v>48</v>
      </c>
      <c r="O204" s="8" t="s">
        <v>221</v>
      </c>
      <c r="P204" s="8" t="s">
        <v>224</v>
      </c>
      <c r="Q204" s="8">
        <v>3000</v>
      </c>
      <c r="R204" s="8" t="s">
        <v>57</v>
      </c>
      <c r="S204" s="8" t="s">
        <v>52</v>
      </c>
      <c r="T204" s="8" t="s">
        <v>70</v>
      </c>
      <c r="U204" s="8" t="s">
        <v>236</v>
      </c>
      <c r="V204" s="8">
        <v>1000</v>
      </c>
      <c r="W204" s="8" t="s">
        <v>241</v>
      </c>
      <c r="X204" s="8">
        <v>3000</v>
      </c>
      <c r="Y204" s="8" t="s">
        <v>278</v>
      </c>
      <c r="Z204" s="8">
        <v>110</v>
      </c>
      <c r="AA204" s="8" t="s">
        <v>525</v>
      </c>
      <c r="AB204" s="8" t="s">
        <v>236</v>
      </c>
      <c r="AC204" s="8" t="s">
        <v>236</v>
      </c>
      <c r="AD204" s="8" t="s">
        <v>236</v>
      </c>
      <c r="AE204" s="8" t="s">
        <v>68</v>
      </c>
      <c r="AF204" s="8" t="s">
        <v>236</v>
      </c>
      <c r="AG204" s="8" t="s">
        <v>236</v>
      </c>
      <c r="AH204" s="8" t="s">
        <v>236</v>
      </c>
      <c r="AI204" s="8" t="s">
        <v>236</v>
      </c>
      <c r="AJ204" t="s">
        <v>519</v>
      </c>
      <c r="AK204">
        <v>12</v>
      </c>
      <c r="AL204">
        <v>1</v>
      </c>
      <c r="AM204" t="s">
        <v>88</v>
      </c>
      <c r="AN204" t="s">
        <v>68</v>
      </c>
      <c r="AO204" t="s">
        <v>529</v>
      </c>
      <c r="AP204" t="s">
        <v>112</v>
      </c>
      <c r="AQ204">
        <v>12</v>
      </c>
      <c r="AR204" t="s">
        <v>524</v>
      </c>
      <c r="AS204" t="s">
        <v>236</v>
      </c>
      <c r="AT204" t="s">
        <v>175</v>
      </c>
      <c r="AU204">
        <v>12</v>
      </c>
      <c r="AV204">
        <v>1</v>
      </c>
      <c r="AW204" t="s">
        <v>432</v>
      </c>
      <c r="AX204" t="s">
        <v>221</v>
      </c>
      <c r="AY204" t="s">
        <v>224</v>
      </c>
      <c r="AZ204">
        <v>1</v>
      </c>
      <c r="BA204" t="s">
        <v>435</v>
      </c>
      <c r="BB204" t="s">
        <v>431</v>
      </c>
      <c r="BC204" t="s">
        <v>419</v>
      </c>
      <c r="BD204" t="s">
        <v>236</v>
      </c>
      <c r="BE204" t="s">
        <v>437</v>
      </c>
      <c r="BF204" t="s">
        <v>530</v>
      </c>
      <c r="BG204" t="s">
        <v>433</v>
      </c>
      <c r="BH204" t="s">
        <v>420</v>
      </c>
      <c r="BI204" t="s">
        <v>520</v>
      </c>
      <c r="BJ204" t="s">
        <v>68</v>
      </c>
      <c r="BK204" t="s">
        <v>236</v>
      </c>
      <c r="BL204" t="s">
        <v>236</v>
      </c>
      <c r="BM204" t="s">
        <v>236</v>
      </c>
      <c r="BN204" t="s">
        <v>68</v>
      </c>
      <c r="BO204" t="s">
        <v>236</v>
      </c>
      <c r="BP204" t="s">
        <v>236</v>
      </c>
      <c r="BQ204" t="s">
        <v>236</v>
      </c>
      <c r="BR204" t="s">
        <v>236</v>
      </c>
      <c r="BS204" t="s">
        <v>436</v>
      </c>
      <c r="BT204">
        <v>0</v>
      </c>
    </row>
    <row r="205" spans="1:72" x14ac:dyDescent="0.15">
      <c r="A205" s="43">
        <v>2022</v>
      </c>
      <c r="B205" s="8">
        <v>12</v>
      </c>
      <c r="C205" s="8">
        <v>1</v>
      </c>
      <c r="D205" s="8">
        <v>17</v>
      </c>
      <c r="E205" s="8" t="s">
        <v>68</v>
      </c>
      <c r="F205" s="8" t="s">
        <v>57</v>
      </c>
      <c r="G205" s="8">
        <v>2017</v>
      </c>
      <c r="H205" s="8">
        <v>12</v>
      </c>
      <c r="I205" s="8" t="s">
        <v>524</v>
      </c>
      <c r="J205" s="8" t="s">
        <v>236</v>
      </c>
      <c r="K205" s="8">
        <v>1992</v>
      </c>
      <c r="L205" s="17">
        <v>12</v>
      </c>
      <c r="M205" s="8">
        <v>1</v>
      </c>
      <c r="N205" s="8" t="s">
        <v>48</v>
      </c>
      <c r="O205" s="8" t="s">
        <v>221</v>
      </c>
      <c r="P205" s="8" t="s">
        <v>224</v>
      </c>
      <c r="Q205" s="8">
        <v>7000</v>
      </c>
      <c r="R205" s="8" t="s">
        <v>57</v>
      </c>
      <c r="S205" s="8" t="s">
        <v>52</v>
      </c>
      <c r="T205" s="8" t="s">
        <v>70</v>
      </c>
      <c r="U205" s="8" t="s">
        <v>236</v>
      </c>
      <c r="V205" s="8">
        <v>1000</v>
      </c>
      <c r="W205" s="8" t="s">
        <v>241</v>
      </c>
      <c r="X205" s="8">
        <v>3000</v>
      </c>
      <c r="Y205" s="8" t="s">
        <v>278</v>
      </c>
      <c r="Z205" s="8">
        <v>110</v>
      </c>
      <c r="AA205" s="8" t="s">
        <v>525</v>
      </c>
      <c r="AB205" s="8" t="s">
        <v>236</v>
      </c>
      <c r="AC205" s="8" t="s">
        <v>236</v>
      </c>
      <c r="AD205" s="8" t="s">
        <v>236</v>
      </c>
      <c r="AE205" s="8" t="s">
        <v>68</v>
      </c>
      <c r="AF205" s="8" t="s">
        <v>236</v>
      </c>
      <c r="AG205" s="8" t="s">
        <v>236</v>
      </c>
      <c r="AH205" s="8" t="s">
        <v>236</v>
      </c>
      <c r="AI205" s="8" t="s">
        <v>236</v>
      </c>
      <c r="AJ205" t="s">
        <v>519</v>
      </c>
      <c r="AK205">
        <v>12</v>
      </c>
      <c r="AL205">
        <v>1</v>
      </c>
      <c r="AM205" t="s">
        <v>88</v>
      </c>
      <c r="AN205" t="s">
        <v>68</v>
      </c>
      <c r="AO205" t="s">
        <v>529</v>
      </c>
      <c r="AP205" t="s">
        <v>112</v>
      </c>
      <c r="AQ205">
        <v>12</v>
      </c>
      <c r="AR205" t="s">
        <v>524</v>
      </c>
      <c r="AS205" t="s">
        <v>236</v>
      </c>
      <c r="AT205" t="s">
        <v>137</v>
      </c>
      <c r="AU205">
        <v>12</v>
      </c>
      <c r="AV205">
        <v>1</v>
      </c>
      <c r="AW205" t="s">
        <v>432</v>
      </c>
      <c r="AX205" t="s">
        <v>221</v>
      </c>
      <c r="AY205" t="s">
        <v>224</v>
      </c>
      <c r="AZ205">
        <v>3</v>
      </c>
      <c r="BA205" t="s">
        <v>435</v>
      </c>
      <c r="BB205" t="s">
        <v>431</v>
      </c>
      <c r="BC205" t="s">
        <v>419</v>
      </c>
      <c r="BD205" t="s">
        <v>236</v>
      </c>
      <c r="BE205" t="s">
        <v>437</v>
      </c>
      <c r="BF205" t="s">
        <v>530</v>
      </c>
      <c r="BG205" t="s">
        <v>433</v>
      </c>
      <c r="BH205" t="s">
        <v>420</v>
      </c>
      <c r="BI205" t="s">
        <v>520</v>
      </c>
      <c r="BJ205" t="s">
        <v>68</v>
      </c>
      <c r="BK205" t="s">
        <v>236</v>
      </c>
      <c r="BL205" t="s">
        <v>236</v>
      </c>
      <c r="BM205" t="s">
        <v>236</v>
      </c>
      <c r="BN205" t="s">
        <v>68</v>
      </c>
      <c r="BO205" t="s">
        <v>236</v>
      </c>
      <c r="BP205" t="s">
        <v>236</v>
      </c>
      <c r="BQ205" t="s">
        <v>236</v>
      </c>
      <c r="BR205" t="s">
        <v>236</v>
      </c>
      <c r="BS205" t="s">
        <v>436</v>
      </c>
      <c r="BT205">
        <v>0</v>
      </c>
    </row>
    <row r="206" spans="1:72" x14ac:dyDescent="0.15">
      <c r="A206" s="43">
        <v>2022</v>
      </c>
      <c r="B206" s="8">
        <v>12</v>
      </c>
      <c r="C206" s="8">
        <v>1</v>
      </c>
      <c r="D206" s="8">
        <v>17</v>
      </c>
      <c r="E206" s="8" t="s">
        <v>68</v>
      </c>
      <c r="F206" s="8" t="s">
        <v>57</v>
      </c>
      <c r="G206" s="8">
        <v>2017</v>
      </c>
      <c r="H206" s="8">
        <v>12</v>
      </c>
      <c r="I206" s="8" t="s">
        <v>524</v>
      </c>
      <c r="J206" s="8" t="s">
        <v>236</v>
      </c>
      <c r="K206" s="8">
        <v>1987</v>
      </c>
      <c r="L206" s="17">
        <v>12</v>
      </c>
      <c r="M206" s="8">
        <v>1</v>
      </c>
      <c r="N206" s="8" t="s">
        <v>48</v>
      </c>
      <c r="O206" s="8" t="s">
        <v>221</v>
      </c>
      <c r="P206" s="8" t="s">
        <v>224</v>
      </c>
      <c r="Q206" s="8">
        <v>7000</v>
      </c>
      <c r="R206" s="8" t="s">
        <v>57</v>
      </c>
      <c r="S206" s="8" t="s">
        <v>52</v>
      </c>
      <c r="T206" s="8" t="s">
        <v>70</v>
      </c>
      <c r="U206" s="8" t="s">
        <v>236</v>
      </c>
      <c r="V206" s="8">
        <v>1000</v>
      </c>
      <c r="W206" s="8" t="s">
        <v>241</v>
      </c>
      <c r="X206" s="8">
        <v>3000</v>
      </c>
      <c r="Y206" s="8" t="s">
        <v>278</v>
      </c>
      <c r="Z206" s="8">
        <v>110</v>
      </c>
      <c r="AA206" s="8" t="s">
        <v>525</v>
      </c>
      <c r="AB206" s="8" t="s">
        <v>236</v>
      </c>
      <c r="AC206" s="8" t="s">
        <v>236</v>
      </c>
      <c r="AD206" s="8" t="s">
        <v>236</v>
      </c>
      <c r="AE206" s="8" t="s">
        <v>68</v>
      </c>
      <c r="AF206" s="8" t="s">
        <v>236</v>
      </c>
      <c r="AG206" s="8" t="s">
        <v>236</v>
      </c>
      <c r="AH206" s="8" t="s">
        <v>236</v>
      </c>
      <c r="AI206" s="8" t="s">
        <v>236</v>
      </c>
      <c r="AJ206" t="s">
        <v>519</v>
      </c>
      <c r="AK206">
        <v>12</v>
      </c>
      <c r="AL206">
        <v>1</v>
      </c>
      <c r="AM206" t="s">
        <v>88</v>
      </c>
      <c r="AN206" t="s">
        <v>68</v>
      </c>
      <c r="AO206" t="s">
        <v>529</v>
      </c>
      <c r="AP206" t="s">
        <v>112</v>
      </c>
      <c r="AQ206">
        <v>12</v>
      </c>
      <c r="AR206" t="s">
        <v>524</v>
      </c>
      <c r="AS206" t="s">
        <v>236</v>
      </c>
      <c r="AT206" t="s">
        <v>140</v>
      </c>
      <c r="AU206">
        <v>12</v>
      </c>
      <c r="AV206">
        <v>1</v>
      </c>
      <c r="AW206" t="s">
        <v>432</v>
      </c>
      <c r="AX206" t="s">
        <v>221</v>
      </c>
      <c r="AY206" t="s">
        <v>224</v>
      </c>
      <c r="AZ206">
        <v>3</v>
      </c>
      <c r="BA206" t="s">
        <v>435</v>
      </c>
      <c r="BB206" t="s">
        <v>431</v>
      </c>
      <c r="BC206" t="s">
        <v>419</v>
      </c>
      <c r="BD206" t="s">
        <v>236</v>
      </c>
      <c r="BE206" t="s">
        <v>437</v>
      </c>
      <c r="BF206" t="s">
        <v>530</v>
      </c>
      <c r="BG206" t="s">
        <v>433</v>
      </c>
      <c r="BH206" t="s">
        <v>420</v>
      </c>
      <c r="BI206" t="s">
        <v>520</v>
      </c>
      <c r="BJ206" t="s">
        <v>68</v>
      </c>
      <c r="BK206" t="s">
        <v>236</v>
      </c>
      <c r="BL206" t="s">
        <v>236</v>
      </c>
      <c r="BM206" t="s">
        <v>236</v>
      </c>
      <c r="BN206" t="s">
        <v>68</v>
      </c>
      <c r="BO206" t="s">
        <v>236</v>
      </c>
      <c r="BP206" t="s">
        <v>236</v>
      </c>
      <c r="BQ206" t="s">
        <v>236</v>
      </c>
      <c r="BR206" t="s">
        <v>236</v>
      </c>
      <c r="BS206" t="s">
        <v>436</v>
      </c>
      <c r="BT206">
        <v>0</v>
      </c>
    </row>
    <row r="207" spans="1:72" x14ac:dyDescent="0.15">
      <c r="A207" s="43">
        <v>2022</v>
      </c>
      <c r="B207" s="8">
        <v>12</v>
      </c>
      <c r="C207" s="8">
        <v>1</v>
      </c>
      <c r="D207" s="8">
        <v>17</v>
      </c>
      <c r="E207" s="8" t="s">
        <v>68</v>
      </c>
      <c r="F207" s="8" t="s">
        <v>57</v>
      </c>
      <c r="G207" s="8">
        <v>2017</v>
      </c>
      <c r="H207" s="8">
        <v>12</v>
      </c>
      <c r="I207" s="8" t="s">
        <v>524</v>
      </c>
      <c r="J207" s="8" t="s">
        <v>236</v>
      </c>
      <c r="K207" s="8">
        <v>1982</v>
      </c>
      <c r="L207" s="17">
        <v>12</v>
      </c>
      <c r="M207" s="8">
        <v>1</v>
      </c>
      <c r="N207" s="8" t="s">
        <v>48</v>
      </c>
      <c r="O207" s="8" t="s">
        <v>221</v>
      </c>
      <c r="P207" s="8" t="s">
        <v>224</v>
      </c>
      <c r="Q207" s="8">
        <v>7000</v>
      </c>
      <c r="R207" s="8" t="s">
        <v>57</v>
      </c>
      <c r="S207" s="8" t="s">
        <v>52</v>
      </c>
      <c r="T207" s="8" t="s">
        <v>70</v>
      </c>
      <c r="U207" s="8" t="s">
        <v>236</v>
      </c>
      <c r="V207" s="8">
        <v>1000</v>
      </c>
      <c r="W207" s="8" t="s">
        <v>241</v>
      </c>
      <c r="X207" s="8">
        <v>3000</v>
      </c>
      <c r="Y207" s="8" t="s">
        <v>278</v>
      </c>
      <c r="Z207" s="8">
        <v>110</v>
      </c>
      <c r="AA207" s="8" t="s">
        <v>525</v>
      </c>
      <c r="AB207" s="8" t="s">
        <v>236</v>
      </c>
      <c r="AC207" s="8" t="s">
        <v>236</v>
      </c>
      <c r="AD207" s="8" t="s">
        <v>236</v>
      </c>
      <c r="AE207" s="8" t="s">
        <v>68</v>
      </c>
      <c r="AF207" s="8" t="s">
        <v>236</v>
      </c>
      <c r="AG207" s="8" t="s">
        <v>236</v>
      </c>
      <c r="AH207" s="8" t="s">
        <v>236</v>
      </c>
      <c r="AI207" s="8" t="s">
        <v>236</v>
      </c>
      <c r="AJ207" t="s">
        <v>519</v>
      </c>
      <c r="AK207">
        <v>12</v>
      </c>
      <c r="AL207">
        <v>1</v>
      </c>
      <c r="AM207" t="s">
        <v>88</v>
      </c>
      <c r="AN207" t="s">
        <v>68</v>
      </c>
      <c r="AO207" t="s">
        <v>529</v>
      </c>
      <c r="AP207" t="s">
        <v>112</v>
      </c>
      <c r="AQ207">
        <v>12</v>
      </c>
      <c r="AR207" t="s">
        <v>524</v>
      </c>
      <c r="AS207" t="s">
        <v>236</v>
      </c>
      <c r="AT207" t="s">
        <v>145</v>
      </c>
      <c r="AU207">
        <v>12</v>
      </c>
      <c r="AV207">
        <v>1</v>
      </c>
      <c r="AW207" t="s">
        <v>432</v>
      </c>
      <c r="AX207" t="s">
        <v>221</v>
      </c>
      <c r="AY207" t="s">
        <v>224</v>
      </c>
      <c r="AZ207">
        <v>3</v>
      </c>
      <c r="BA207" t="s">
        <v>435</v>
      </c>
      <c r="BB207" t="s">
        <v>431</v>
      </c>
      <c r="BC207" t="s">
        <v>419</v>
      </c>
      <c r="BD207" t="s">
        <v>236</v>
      </c>
      <c r="BE207" t="s">
        <v>437</v>
      </c>
      <c r="BF207" t="s">
        <v>530</v>
      </c>
      <c r="BG207" t="s">
        <v>433</v>
      </c>
      <c r="BH207" t="s">
        <v>420</v>
      </c>
      <c r="BI207" t="s">
        <v>520</v>
      </c>
      <c r="BJ207" t="s">
        <v>68</v>
      </c>
      <c r="BK207" t="s">
        <v>236</v>
      </c>
      <c r="BL207" t="s">
        <v>236</v>
      </c>
      <c r="BM207" t="s">
        <v>236</v>
      </c>
      <c r="BN207" t="s">
        <v>68</v>
      </c>
      <c r="BO207" t="s">
        <v>236</v>
      </c>
      <c r="BP207" t="s">
        <v>236</v>
      </c>
      <c r="BQ207" t="s">
        <v>236</v>
      </c>
      <c r="BR207" t="s">
        <v>236</v>
      </c>
      <c r="BS207" t="s">
        <v>436</v>
      </c>
      <c r="BT207">
        <v>0</v>
      </c>
    </row>
    <row r="208" spans="1:72" x14ac:dyDescent="0.15">
      <c r="A208" s="43">
        <v>2022</v>
      </c>
      <c r="B208" s="8">
        <v>12</v>
      </c>
      <c r="C208" s="8">
        <v>1</v>
      </c>
      <c r="D208" s="8">
        <v>17</v>
      </c>
      <c r="E208" s="8" t="s">
        <v>68</v>
      </c>
      <c r="F208" s="8" t="s">
        <v>57</v>
      </c>
      <c r="G208" s="8">
        <v>2017</v>
      </c>
      <c r="H208" s="8">
        <v>12</v>
      </c>
      <c r="I208" s="8" t="s">
        <v>524</v>
      </c>
      <c r="J208" s="8" t="s">
        <v>236</v>
      </c>
      <c r="K208" s="8">
        <v>1977</v>
      </c>
      <c r="L208" s="17">
        <v>12</v>
      </c>
      <c r="M208" s="8">
        <v>1</v>
      </c>
      <c r="N208" s="8" t="s">
        <v>48</v>
      </c>
      <c r="O208" s="8" t="s">
        <v>221</v>
      </c>
      <c r="P208" s="8" t="s">
        <v>224</v>
      </c>
      <c r="Q208" s="8">
        <v>7000</v>
      </c>
      <c r="R208" s="8" t="s">
        <v>57</v>
      </c>
      <c r="S208" s="8" t="s">
        <v>52</v>
      </c>
      <c r="T208" s="8" t="s">
        <v>70</v>
      </c>
      <c r="U208" s="8" t="s">
        <v>236</v>
      </c>
      <c r="V208" s="8">
        <v>1000</v>
      </c>
      <c r="W208" s="8" t="s">
        <v>241</v>
      </c>
      <c r="X208" s="8">
        <v>3000</v>
      </c>
      <c r="Y208" s="8" t="s">
        <v>278</v>
      </c>
      <c r="Z208" s="8">
        <v>110</v>
      </c>
      <c r="AA208" s="8" t="s">
        <v>525</v>
      </c>
      <c r="AB208" s="8" t="s">
        <v>236</v>
      </c>
      <c r="AC208" s="8" t="s">
        <v>236</v>
      </c>
      <c r="AD208" s="8" t="s">
        <v>236</v>
      </c>
      <c r="AE208" s="8" t="s">
        <v>68</v>
      </c>
      <c r="AF208" s="8" t="s">
        <v>236</v>
      </c>
      <c r="AG208" s="8" t="s">
        <v>236</v>
      </c>
      <c r="AH208" s="8" t="s">
        <v>236</v>
      </c>
      <c r="AI208" s="8" t="s">
        <v>236</v>
      </c>
      <c r="AJ208" t="s">
        <v>519</v>
      </c>
      <c r="AK208">
        <v>12</v>
      </c>
      <c r="AL208">
        <v>1</v>
      </c>
      <c r="AM208" t="s">
        <v>88</v>
      </c>
      <c r="AN208" t="s">
        <v>68</v>
      </c>
      <c r="AO208" t="s">
        <v>529</v>
      </c>
      <c r="AP208" t="s">
        <v>112</v>
      </c>
      <c r="AQ208">
        <v>12</v>
      </c>
      <c r="AR208" t="s">
        <v>524</v>
      </c>
      <c r="AS208" t="s">
        <v>236</v>
      </c>
      <c r="AT208" t="s">
        <v>150</v>
      </c>
      <c r="AU208">
        <v>12</v>
      </c>
      <c r="AV208">
        <v>1</v>
      </c>
      <c r="AW208" t="s">
        <v>432</v>
      </c>
      <c r="AX208" t="s">
        <v>221</v>
      </c>
      <c r="AY208" t="s">
        <v>224</v>
      </c>
      <c r="AZ208">
        <v>3</v>
      </c>
      <c r="BA208" t="s">
        <v>435</v>
      </c>
      <c r="BB208" t="s">
        <v>431</v>
      </c>
      <c r="BC208" t="s">
        <v>419</v>
      </c>
      <c r="BD208" t="s">
        <v>236</v>
      </c>
      <c r="BE208" t="s">
        <v>437</v>
      </c>
      <c r="BF208" t="s">
        <v>530</v>
      </c>
      <c r="BG208" t="s">
        <v>433</v>
      </c>
      <c r="BH208" t="s">
        <v>420</v>
      </c>
      <c r="BI208" t="s">
        <v>520</v>
      </c>
      <c r="BJ208" t="s">
        <v>68</v>
      </c>
      <c r="BK208" t="s">
        <v>236</v>
      </c>
      <c r="BL208" t="s">
        <v>236</v>
      </c>
      <c r="BM208" t="s">
        <v>236</v>
      </c>
      <c r="BN208" t="s">
        <v>68</v>
      </c>
      <c r="BO208" t="s">
        <v>236</v>
      </c>
      <c r="BP208" t="s">
        <v>236</v>
      </c>
      <c r="BQ208" t="s">
        <v>236</v>
      </c>
      <c r="BR208" t="s">
        <v>236</v>
      </c>
      <c r="BS208" t="s">
        <v>436</v>
      </c>
      <c r="BT208">
        <v>0</v>
      </c>
    </row>
    <row r="209" spans="1:72" x14ac:dyDescent="0.15">
      <c r="A209" s="43">
        <v>2022</v>
      </c>
      <c r="B209" s="8">
        <v>12</v>
      </c>
      <c r="C209" s="8">
        <v>1</v>
      </c>
      <c r="D209" s="8">
        <v>17</v>
      </c>
      <c r="E209" s="8" t="s">
        <v>68</v>
      </c>
      <c r="F209" s="8" t="s">
        <v>57</v>
      </c>
      <c r="G209" s="8">
        <v>2017</v>
      </c>
      <c r="H209" s="8">
        <v>12</v>
      </c>
      <c r="I209" s="8" t="s">
        <v>524</v>
      </c>
      <c r="J209" s="8" t="s">
        <v>236</v>
      </c>
      <c r="K209" s="8">
        <v>1972</v>
      </c>
      <c r="L209" s="17">
        <v>12</v>
      </c>
      <c r="M209" s="8">
        <v>1</v>
      </c>
      <c r="N209" s="8" t="s">
        <v>48</v>
      </c>
      <c r="O209" s="8" t="s">
        <v>221</v>
      </c>
      <c r="P209" s="8" t="s">
        <v>224</v>
      </c>
      <c r="Q209" s="8">
        <v>7000</v>
      </c>
      <c r="R209" s="8" t="s">
        <v>57</v>
      </c>
      <c r="S209" s="8" t="s">
        <v>52</v>
      </c>
      <c r="T209" s="8" t="s">
        <v>70</v>
      </c>
      <c r="U209" s="8" t="s">
        <v>236</v>
      </c>
      <c r="V209" s="8">
        <v>1000</v>
      </c>
      <c r="W209" s="8" t="s">
        <v>241</v>
      </c>
      <c r="X209" s="8">
        <v>3000</v>
      </c>
      <c r="Y209" s="8" t="s">
        <v>278</v>
      </c>
      <c r="Z209" s="8">
        <v>110</v>
      </c>
      <c r="AA209" s="8" t="s">
        <v>525</v>
      </c>
      <c r="AB209" s="8" t="s">
        <v>236</v>
      </c>
      <c r="AC209" s="8" t="s">
        <v>236</v>
      </c>
      <c r="AD209" s="8" t="s">
        <v>236</v>
      </c>
      <c r="AE209" s="8" t="s">
        <v>68</v>
      </c>
      <c r="AF209" s="8" t="s">
        <v>236</v>
      </c>
      <c r="AG209" s="8" t="s">
        <v>236</v>
      </c>
      <c r="AH209" s="8" t="s">
        <v>236</v>
      </c>
      <c r="AI209" s="8" t="s">
        <v>236</v>
      </c>
      <c r="AJ209" t="s">
        <v>519</v>
      </c>
      <c r="AK209">
        <v>12</v>
      </c>
      <c r="AL209">
        <v>1</v>
      </c>
      <c r="AM209" t="s">
        <v>88</v>
      </c>
      <c r="AN209" t="s">
        <v>68</v>
      </c>
      <c r="AO209" t="s">
        <v>529</v>
      </c>
      <c r="AP209" t="s">
        <v>112</v>
      </c>
      <c r="AQ209">
        <v>12</v>
      </c>
      <c r="AR209" t="s">
        <v>524</v>
      </c>
      <c r="AS209" t="s">
        <v>236</v>
      </c>
      <c r="AT209" t="s">
        <v>155</v>
      </c>
      <c r="AU209">
        <v>12</v>
      </c>
      <c r="AV209">
        <v>1</v>
      </c>
      <c r="AW209" t="s">
        <v>432</v>
      </c>
      <c r="AX209" t="s">
        <v>221</v>
      </c>
      <c r="AY209" t="s">
        <v>224</v>
      </c>
      <c r="AZ209">
        <v>3</v>
      </c>
      <c r="BA209" t="s">
        <v>435</v>
      </c>
      <c r="BB209" t="s">
        <v>431</v>
      </c>
      <c r="BC209" t="s">
        <v>419</v>
      </c>
      <c r="BD209" t="s">
        <v>236</v>
      </c>
      <c r="BE209" t="s">
        <v>437</v>
      </c>
      <c r="BF209" t="s">
        <v>530</v>
      </c>
      <c r="BG209" t="s">
        <v>433</v>
      </c>
      <c r="BH209" t="s">
        <v>420</v>
      </c>
      <c r="BI209" t="s">
        <v>520</v>
      </c>
      <c r="BJ209" t="s">
        <v>68</v>
      </c>
      <c r="BK209" t="s">
        <v>236</v>
      </c>
      <c r="BL209" t="s">
        <v>236</v>
      </c>
      <c r="BM209" t="s">
        <v>236</v>
      </c>
      <c r="BN209" t="s">
        <v>68</v>
      </c>
      <c r="BO209" t="s">
        <v>236</v>
      </c>
      <c r="BP209" t="s">
        <v>236</v>
      </c>
      <c r="BQ209" t="s">
        <v>236</v>
      </c>
      <c r="BR209" t="s">
        <v>236</v>
      </c>
      <c r="BS209" t="s">
        <v>436</v>
      </c>
      <c r="BT209">
        <v>0</v>
      </c>
    </row>
    <row r="210" spans="1:72" x14ac:dyDescent="0.15">
      <c r="A210" s="43">
        <v>2022</v>
      </c>
      <c r="B210" s="8">
        <v>12</v>
      </c>
      <c r="C210" s="8">
        <v>1</v>
      </c>
      <c r="D210" s="8">
        <v>17</v>
      </c>
      <c r="E210" s="8" t="s">
        <v>68</v>
      </c>
      <c r="F210" s="8" t="s">
        <v>57</v>
      </c>
      <c r="G210" s="8">
        <v>2017</v>
      </c>
      <c r="H210" s="8">
        <v>12</v>
      </c>
      <c r="I210" s="8" t="s">
        <v>524</v>
      </c>
      <c r="J210" s="8" t="s">
        <v>236</v>
      </c>
      <c r="K210" s="8">
        <v>1962</v>
      </c>
      <c r="L210" s="17">
        <v>12</v>
      </c>
      <c r="M210" s="8">
        <v>1</v>
      </c>
      <c r="N210" s="8" t="s">
        <v>48</v>
      </c>
      <c r="O210" s="8" t="s">
        <v>221</v>
      </c>
      <c r="P210" s="8" t="s">
        <v>224</v>
      </c>
      <c r="Q210" s="8">
        <v>7000</v>
      </c>
      <c r="R210" s="8" t="s">
        <v>57</v>
      </c>
      <c r="S210" s="8" t="s">
        <v>52</v>
      </c>
      <c r="T210" s="8" t="s">
        <v>70</v>
      </c>
      <c r="U210" s="8" t="s">
        <v>236</v>
      </c>
      <c r="V210" s="8">
        <v>1000</v>
      </c>
      <c r="W210" s="8" t="s">
        <v>241</v>
      </c>
      <c r="X210" s="8">
        <v>3000</v>
      </c>
      <c r="Y210" s="8" t="s">
        <v>278</v>
      </c>
      <c r="Z210" s="8">
        <v>110</v>
      </c>
      <c r="AA210" s="8" t="s">
        <v>525</v>
      </c>
      <c r="AB210" s="8" t="s">
        <v>236</v>
      </c>
      <c r="AC210" s="8" t="s">
        <v>236</v>
      </c>
      <c r="AD210" s="8" t="s">
        <v>236</v>
      </c>
      <c r="AE210" s="8" t="s">
        <v>68</v>
      </c>
      <c r="AF210" s="8" t="s">
        <v>236</v>
      </c>
      <c r="AG210" s="8" t="s">
        <v>236</v>
      </c>
      <c r="AH210" s="8" t="s">
        <v>236</v>
      </c>
      <c r="AI210" s="8" t="s">
        <v>236</v>
      </c>
      <c r="AJ210" t="s">
        <v>519</v>
      </c>
      <c r="AK210">
        <v>12</v>
      </c>
      <c r="AL210">
        <v>1</v>
      </c>
      <c r="AM210" t="s">
        <v>88</v>
      </c>
      <c r="AN210" t="s">
        <v>68</v>
      </c>
      <c r="AO210" t="s">
        <v>529</v>
      </c>
      <c r="AP210" t="s">
        <v>112</v>
      </c>
      <c r="AQ210">
        <v>12</v>
      </c>
      <c r="AR210" t="s">
        <v>524</v>
      </c>
      <c r="AS210" t="s">
        <v>236</v>
      </c>
      <c r="AT210" t="s">
        <v>165</v>
      </c>
      <c r="AU210">
        <v>12</v>
      </c>
      <c r="AV210">
        <v>1</v>
      </c>
      <c r="AW210" t="s">
        <v>432</v>
      </c>
      <c r="AX210" t="s">
        <v>221</v>
      </c>
      <c r="AY210" t="s">
        <v>224</v>
      </c>
      <c r="AZ210">
        <v>3</v>
      </c>
      <c r="BA210" t="s">
        <v>435</v>
      </c>
      <c r="BB210" t="s">
        <v>431</v>
      </c>
      <c r="BC210" t="s">
        <v>419</v>
      </c>
      <c r="BD210" t="s">
        <v>236</v>
      </c>
      <c r="BE210" t="s">
        <v>437</v>
      </c>
      <c r="BF210" t="s">
        <v>530</v>
      </c>
      <c r="BG210" t="s">
        <v>433</v>
      </c>
      <c r="BH210" t="s">
        <v>420</v>
      </c>
      <c r="BI210" t="s">
        <v>520</v>
      </c>
      <c r="BJ210" t="s">
        <v>68</v>
      </c>
      <c r="BK210" t="s">
        <v>236</v>
      </c>
      <c r="BL210" t="s">
        <v>236</v>
      </c>
      <c r="BM210" t="s">
        <v>236</v>
      </c>
      <c r="BN210" t="s">
        <v>68</v>
      </c>
      <c r="BO210" t="s">
        <v>236</v>
      </c>
      <c r="BP210" t="s">
        <v>236</v>
      </c>
      <c r="BQ210" t="s">
        <v>236</v>
      </c>
      <c r="BR210" t="s">
        <v>236</v>
      </c>
      <c r="BS210" t="s">
        <v>436</v>
      </c>
      <c r="BT210">
        <v>0</v>
      </c>
    </row>
    <row r="211" spans="1:72" x14ac:dyDescent="0.15">
      <c r="A211" s="43">
        <v>2022</v>
      </c>
      <c r="B211" s="8">
        <v>12</v>
      </c>
      <c r="C211" s="8">
        <v>1</v>
      </c>
      <c r="D211" s="8">
        <v>17</v>
      </c>
      <c r="E211" s="8" t="s">
        <v>68</v>
      </c>
      <c r="F211" s="8" t="s">
        <v>57</v>
      </c>
      <c r="G211" s="8">
        <v>2017</v>
      </c>
      <c r="H211" s="8">
        <v>12</v>
      </c>
      <c r="I211" s="8" t="s">
        <v>524</v>
      </c>
      <c r="J211" s="8" t="s">
        <v>236</v>
      </c>
      <c r="K211" s="8">
        <v>1952</v>
      </c>
      <c r="L211" s="17">
        <v>12</v>
      </c>
      <c r="M211" s="8">
        <v>1</v>
      </c>
      <c r="N211" s="8" t="s">
        <v>48</v>
      </c>
      <c r="O211" s="8" t="s">
        <v>221</v>
      </c>
      <c r="P211" s="8" t="s">
        <v>224</v>
      </c>
      <c r="Q211" s="8">
        <v>7000</v>
      </c>
      <c r="R211" s="8" t="s">
        <v>57</v>
      </c>
      <c r="S211" s="8" t="s">
        <v>52</v>
      </c>
      <c r="T211" s="8" t="s">
        <v>70</v>
      </c>
      <c r="U211" s="8" t="s">
        <v>236</v>
      </c>
      <c r="V211" s="8">
        <v>1000</v>
      </c>
      <c r="W211" s="8" t="s">
        <v>241</v>
      </c>
      <c r="X211" s="8">
        <v>3000</v>
      </c>
      <c r="Y211" s="8" t="s">
        <v>278</v>
      </c>
      <c r="Z211" s="8">
        <v>110</v>
      </c>
      <c r="AA211" s="8" t="s">
        <v>525</v>
      </c>
      <c r="AB211" s="8" t="s">
        <v>236</v>
      </c>
      <c r="AC211" s="8" t="s">
        <v>236</v>
      </c>
      <c r="AD211" s="8" t="s">
        <v>236</v>
      </c>
      <c r="AE211" s="8" t="s">
        <v>68</v>
      </c>
      <c r="AF211" s="8" t="s">
        <v>236</v>
      </c>
      <c r="AG211" s="8" t="s">
        <v>236</v>
      </c>
      <c r="AH211" s="8" t="s">
        <v>236</v>
      </c>
      <c r="AI211" s="8" t="s">
        <v>236</v>
      </c>
      <c r="AJ211" t="s">
        <v>519</v>
      </c>
      <c r="AK211">
        <v>12</v>
      </c>
      <c r="AL211">
        <v>1</v>
      </c>
      <c r="AM211" t="s">
        <v>88</v>
      </c>
      <c r="AN211" t="s">
        <v>68</v>
      </c>
      <c r="AO211" t="s">
        <v>529</v>
      </c>
      <c r="AP211" t="s">
        <v>112</v>
      </c>
      <c r="AQ211">
        <v>12</v>
      </c>
      <c r="AR211" t="s">
        <v>524</v>
      </c>
      <c r="AS211" t="s">
        <v>236</v>
      </c>
      <c r="AT211" t="s">
        <v>175</v>
      </c>
      <c r="AU211">
        <v>12</v>
      </c>
      <c r="AV211">
        <v>1</v>
      </c>
      <c r="AW211" t="s">
        <v>432</v>
      </c>
      <c r="AX211" t="s">
        <v>221</v>
      </c>
      <c r="AY211" t="s">
        <v>224</v>
      </c>
      <c r="AZ211">
        <v>3</v>
      </c>
      <c r="BA211" t="s">
        <v>435</v>
      </c>
      <c r="BB211" t="s">
        <v>431</v>
      </c>
      <c r="BC211" t="s">
        <v>419</v>
      </c>
      <c r="BD211" t="s">
        <v>236</v>
      </c>
      <c r="BE211" t="s">
        <v>437</v>
      </c>
      <c r="BF211" t="s">
        <v>530</v>
      </c>
      <c r="BG211" t="s">
        <v>433</v>
      </c>
      <c r="BH211" t="s">
        <v>420</v>
      </c>
      <c r="BI211" t="s">
        <v>520</v>
      </c>
      <c r="BJ211" t="s">
        <v>68</v>
      </c>
      <c r="BK211" t="s">
        <v>236</v>
      </c>
      <c r="BL211" t="s">
        <v>236</v>
      </c>
      <c r="BM211" t="s">
        <v>236</v>
      </c>
      <c r="BN211" t="s">
        <v>68</v>
      </c>
      <c r="BO211" t="s">
        <v>236</v>
      </c>
      <c r="BP211" t="s">
        <v>236</v>
      </c>
      <c r="BQ211" t="s">
        <v>236</v>
      </c>
      <c r="BR211" t="s">
        <v>236</v>
      </c>
      <c r="BS211" t="s">
        <v>436</v>
      </c>
      <c r="BT211">
        <v>0</v>
      </c>
    </row>
    <row r="212" spans="1:72" x14ac:dyDescent="0.15">
      <c r="A212" s="43">
        <v>2022</v>
      </c>
      <c r="B212" s="8">
        <v>12</v>
      </c>
      <c r="C212" s="8">
        <v>1</v>
      </c>
      <c r="D212" s="8">
        <v>17</v>
      </c>
      <c r="E212" s="8" t="s">
        <v>68</v>
      </c>
      <c r="F212" s="8" t="s">
        <v>57</v>
      </c>
      <c r="G212" s="8">
        <v>2017</v>
      </c>
      <c r="H212" s="8">
        <v>12</v>
      </c>
      <c r="I212" s="8" t="s">
        <v>524</v>
      </c>
      <c r="J212" s="8" t="s">
        <v>236</v>
      </c>
      <c r="K212" s="8">
        <v>1992</v>
      </c>
      <c r="L212" s="17">
        <v>12</v>
      </c>
      <c r="M212" s="8">
        <v>1</v>
      </c>
      <c r="N212" s="8" t="s">
        <v>48</v>
      </c>
      <c r="O212" s="8" t="s">
        <v>221</v>
      </c>
      <c r="P212" s="8" t="s">
        <v>295</v>
      </c>
      <c r="Q212" s="8">
        <v>3000</v>
      </c>
      <c r="R212" s="8" t="s">
        <v>57</v>
      </c>
      <c r="S212" s="8" t="s">
        <v>52</v>
      </c>
      <c r="T212" s="8" t="s">
        <v>70</v>
      </c>
      <c r="U212" s="8" t="s">
        <v>236</v>
      </c>
      <c r="V212" s="8">
        <v>1000</v>
      </c>
      <c r="W212" s="8" t="s">
        <v>241</v>
      </c>
      <c r="X212" s="8">
        <v>3000</v>
      </c>
      <c r="Y212" s="8" t="s">
        <v>278</v>
      </c>
      <c r="Z212" s="8">
        <v>110</v>
      </c>
      <c r="AA212" s="8" t="s">
        <v>525</v>
      </c>
      <c r="AB212" s="8" t="s">
        <v>236</v>
      </c>
      <c r="AC212" s="8" t="s">
        <v>236</v>
      </c>
      <c r="AD212" s="8" t="s">
        <v>236</v>
      </c>
      <c r="AE212" s="8" t="s">
        <v>68</v>
      </c>
      <c r="AF212" s="8" t="s">
        <v>236</v>
      </c>
      <c r="AG212" s="8" t="s">
        <v>236</v>
      </c>
      <c r="AH212" s="8" t="s">
        <v>236</v>
      </c>
      <c r="AI212" s="8" t="s">
        <v>236</v>
      </c>
      <c r="AJ212" t="s">
        <v>519</v>
      </c>
      <c r="AK212">
        <v>12</v>
      </c>
      <c r="AL212">
        <v>1</v>
      </c>
      <c r="AM212" t="s">
        <v>88</v>
      </c>
      <c r="AN212" t="s">
        <v>68</v>
      </c>
      <c r="AO212" t="s">
        <v>529</v>
      </c>
      <c r="AP212" t="s">
        <v>112</v>
      </c>
      <c r="AQ212">
        <v>12</v>
      </c>
      <c r="AR212" t="s">
        <v>524</v>
      </c>
      <c r="AS212" t="s">
        <v>236</v>
      </c>
      <c r="AT212" t="s">
        <v>137</v>
      </c>
      <c r="AU212">
        <v>12</v>
      </c>
      <c r="AV212">
        <v>1</v>
      </c>
      <c r="AW212" t="s">
        <v>432</v>
      </c>
      <c r="AX212" t="s">
        <v>221</v>
      </c>
      <c r="AY212" t="s">
        <v>295</v>
      </c>
      <c r="AZ212">
        <v>1</v>
      </c>
      <c r="BA212" t="s">
        <v>435</v>
      </c>
      <c r="BB212" t="s">
        <v>431</v>
      </c>
      <c r="BC212" t="s">
        <v>419</v>
      </c>
      <c r="BD212" t="s">
        <v>236</v>
      </c>
      <c r="BE212" t="s">
        <v>437</v>
      </c>
      <c r="BF212" t="s">
        <v>530</v>
      </c>
      <c r="BG212" t="s">
        <v>433</v>
      </c>
      <c r="BH212" t="s">
        <v>420</v>
      </c>
      <c r="BI212" t="s">
        <v>520</v>
      </c>
      <c r="BJ212" t="s">
        <v>68</v>
      </c>
      <c r="BK212" t="s">
        <v>236</v>
      </c>
      <c r="BL212" t="s">
        <v>236</v>
      </c>
      <c r="BM212" t="s">
        <v>236</v>
      </c>
      <c r="BN212" t="s">
        <v>68</v>
      </c>
      <c r="BO212" t="s">
        <v>236</v>
      </c>
      <c r="BP212" t="s">
        <v>236</v>
      </c>
      <c r="BQ212" t="s">
        <v>236</v>
      </c>
      <c r="BR212" t="s">
        <v>236</v>
      </c>
      <c r="BS212" t="s">
        <v>436</v>
      </c>
      <c r="BT212">
        <v>0</v>
      </c>
    </row>
    <row r="213" spans="1:72" x14ac:dyDescent="0.15">
      <c r="A213" s="43">
        <v>2022</v>
      </c>
      <c r="B213" s="8">
        <v>12</v>
      </c>
      <c r="C213" s="8">
        <v>1</v>
      </c>
      <c r="D213" s="8">
        <v>17</v>
      </c>
      <c r="E213" s="8" t="s">
        <v>68</v>
      </c>
      <c r="F213" s="8" t="s">
        <v>57</v>
      </c>
      <c r="G213" s="8">
        <v>2017</v>
      </c>
      <c r="H213" s="8">
        <v>12</v>
      </c>
      <c r="I213" s="8" t="s">
        <v>524</v>
      </c>
      <c r="J213" s="8" t="s">
        <v>236</v>
      </c>
      <c r="K213" s="8">
        <v>1987</v>
      </c>
      <c r="L213" s="17">
        <v>12</v>
      </c>
      <c r="M213" s="8">
        <v>1</v>
      </c>
      <c r="N213" s="8" t="s">
        <v>48</v>
      </c>
      <c r="O213" s="8" t="s">
        <v>221</v>
      </c>
      <c r="P213" s="8" t="s">
        <v>295</v>
      </c>
      <c r="Q213" s="8">
        <v>3000</v>
      </c>
      <c r="R213" s="8" t="s">
        <v>57</v>
      </c>
      <c r="S213" s="8" t="s">
        <v>52</v>
      </c>
      <c r="T213" s="8" t="s">
        <v>70</v>
      </c>
      <c r="U213" s="8" t="s">
        <v>236</v>
      </c>
      <c r="V213" s="8">
        <v>1000</v>
      </c>
      <c r="W213" s="8" t="s">
        <v>241</v>
      </c>
      <c r="X213" s="8">
        <v>3000</v>
      </c>
      <c r="Y213" s="8" t="s">
        <v>278</v>
      </c>
      <c r="Z213" s="8">
        <v>110</v>
      </c>
      <c r="AA213" s="8" t="s">
        <v>525</v>
      </c>
      <c r="AB213" s="8" t="s">
        <v>236</v>
      </c>
      <c r="AC213" s="8" t="s">
        <v>236</v>
      </c>
      <c r="AD213" s="8" t="s">
        <v>236</v>
      </c>
      <c r="AE213" s="8" t="s">
        <v>68</v>
      </c>
      <c r="AF213" s="8" t="s">
        <v>236</v>
      </c>
      <c r="AG213" s="8" t="s">
        <v>236</v>
      </c>
      <c r="AH213" s="8" t="s">
        <v>236</v>
      </c>
      <c r="AI213" s="8" t="s">
        <v>236</v>
      </c>
      <c r="AJ213" t="s">
        <v>519</v>
      </c>
      <c r="AK213">
        <v>12</v>
      </c>
      <c r="AL213">
        <v>1</v>
      </c>
      <c r="AM213" t="s">
        <v>88</v>
      </c>
      <c r="AN213" t="s">
        <v>68</v>
      </c>
      <c r="AO213" t="s">
        <v>529</v>
      </c>
      <c r="AP213" t="s">
        <v>112</v>
      </c>
      <c r="AQ213">
        <v>12</v>
      </c>
      <c r="AR213" t="s">
        <v>524</v>
      </c>
      <c r="AS213" t="s">
        <v>236</v>
      </c>
      <c r="AT213" t="s">
        <v>140</v>
      </c>
      <c r="AU213">
        <v>12</v>
      </c>
      <c r="AV213">
        <v>1</v>
      </c>
      <c r="AW213" t="s">
        <v>432</v>
      </c>
      <c r="AX213" t="s">
        <v>221</v>
      </c>
      <c r="AY213" t="s">
        <v>295</v>
      </c>
      <c r="AZ213">
        <v>1</v>
      </c>
      <c r="BA213" t="s">
        <v>435</v>
      </c>
      <c r="BB213" t="s">
        <v>431</v>
      </c>
      <c r="BC213" t="s">
        <v>419</v>
      </c>
      <c r="BD213" t="s">
        <v>236</v>
      </c>
      <c r="BE213" t="s">
        <v>437</v>
      </c>
      <c r="BF213" t="s">
        <v>530</v>
      </c>
      <c r="BG213" t="s">
        <v>433</v>
      </c>
      <c r="BH213" t="s">
        <v>420</v>
      </c>
      <c r="BI213" t="s">
        <v>520</v>
      </c>
      <c r="BJ213" t="s">
        <v>68</v>
      </c>
      <c r="BK213" t="s">
        <v>236</v>
      </c>
      <c r="BL213" t="s">
        <v>236</v>
      </c>
      <c r="BM213" t="s">
        <v>236</v>
      </c>
      <c r="BN213" t="s">
        <v>68</v>
      </c>
      <c r="BO213" t="s">
        <v>236</v>
      </c>
      <c r="BP213" t="s">
        <v>236</v>
      </c>
      <c r="BQ213" t="s">
        <v>236</v>
      </c>
      <c r="BR213" t="s">
        <v>236</v>
      </c>
      <c r="BS213" t="s">
        <v>436</v>
      </c>
      <c r="BT213">
        <v>0</v>
      </c>
    </row>
    <row r="214" spans="1:72" x14ac:dyDescent="0.15">
      <c r="A214" s="43">
        <v>2022</v>
      </c>
      <c r="B214" s="8">
        <v>12</v>
      </c>
      <c r="C214" s="8">
        <v>1</v>
      </c>
      <c r="D214" s="8">
        <v>17</v>
      </c>
      <c r="E214" s="8" t="s">
        <v>68</v>
      </c>
      <c r="F214" s="8" t="s">
        <v>57</v>
      </c>
      <c r="G214" s="8">
        <v>2017</v>
      </c>
      <c r="H214" s="8">
        <v>12</v>
      </c>
      <c r="I214" s="8" t="s">
        <v>524</v>
      </c>
      <c r="J214" s="8" t="s">
        <v>236</v>
      </c>
      <c r="K214" s="8">
        <v>1982</v>
      </c>
      <c r="L214" s="17">
        <v>12</v>
      </c>
      <c r="M214" s="8">
        <v>1</v>
      </c>
      <c r="N214" s="8" t="s">
        <v>48</v>
      </c>
      <c r="O214" s="8" t="s">
        <v>221</v>
      </c>
      <c r="P214" s="8" t="s">
        <v>295</v>
      </c>
      <c r="Q214" s="8">
        <v>3000</v>
      </c>
      <c r="R214" s="8" t="s">
        <v>57</v>
      </c>
      <c r="S214" s="8" t="s">
        <v>52</v>
      </c>
      <c r="T214" s="8" t="s">
        <v>70</v>
      </c>
      <c r="U214" s="8" t="s">
        <v>236</v>
      </c>
      <c r="V214" s="8">
        <v>1000</v>
      </c>
      <c r="W214" s="8" t="s">
        <v>241</v>
      </c>
      <c r="X214" s="8">
        <v>3000</v>
      </c>
      <c r="Y214" s="8" t="s">
        <v>278</v>
      </c>
      <c r="Z214" s="8">
        <v>110</v>
      </c>
      <c r="AA214" s="8" t="s">
        <v>525</v>
      </c>
      <c r="AB214" s="8" t="s">
        <v>236</v>
      </c>
      <c r="AC214" s="8" t="s">
        <v>236</v>
      </c>
      <c r="AD214" s="8" t="s">
        <v>236</v>
      </c>
      <c r="AE214" s="8" t="s">
        <v>68</v>
      </c>
      <c r="AF214" s="8" t="s">
        <v>236</v>
      </c>
      <c r="AG214" s="8" t="s">
        <v>236</v>
      </c>
      <c r="AH214" s="8" t="s">
        <v>236</v>
      </c>
      <c r="AI214" s="8" t="s">
        <v>236</v>
      </c>
      <c r="AJ214" t="s">
        <v>519</v>
      </c>
      <c r="AK214">
        <v>12</v>
      </c>
      <c r="AL214">
        <v>1</v>
      </c>
      <c r="AM214" t="s">
        <v>88</v>
      </c>
      <c r="AN214" t="s">
        <v>68</v>
      </c>
      <c r="AO214" t="s">
        <v>529</v>
      </c>
      <c r="AP214" t="s">
        <v>112</v>
      </c>
      <c r="AQ214">
        <v>12</v>
      </c>
      <c r="AR214" t="s">
        <v>524</v>
      </c>
      <c r="AS214" t="s">
        <v>236</v>
      </c>
      <c r="AT214" t="s">
        <v>145</v>
      </c>
      <c r="AU214">
        <v>12</v>
      </c>
      <c r="AV214">
        <v>1</v>
      </c>
      <c r="AW214" t="s">
        <v>432</v>
      </c>
      <c r="AX214" t="s">
        <v>221</v>
      </c>
      <c r="AY214" t="s">
        <v>295</v>
      </c>
      <c r="AZ214">
        <v>1</v>
      </c>
      <c r="BA214" t="s">
        <v>435</v>
      </c>
      <c r="BB214" t="s">
        <v>431</v>
      </c>
      <c r="BC214" t="s">
        <v>419</v>
      </c>
      <c r="BD214" t="s">
        <v>236</v>
      </c>
      <c r="BE214" t="s">
        <v>437</v>
      </c>
      <c r="BF214" t="s">
        <v>530</v>
      </c>
      <c r="BG214" t="s">
        <v>433</v>
      </c>
      <c r="BH214" t="s">
        <v>420</v>
      </c>
      <c r="BI214" t="s">
        <v>520</v>
      </c>
      <c r="BJ214" t="s">
        <v>68</v>
      </c>
      <c r="BK214" t="s">
        <v>236</v>
      </c>
      <c r="BL214" t="s">
        <v>236</v>
      </c>
      <c r="BM214" t="s">
        <v>236</v>
      </c>
      <c r="BN214" t="s">
        <v>68</v>
      </c>
      <c r="BO214" t="s">
        <v>236</v>
      </c>
      <c r="BP214" t="s">
        <v>236</v>
      </c>
      <c r="BQ214" t="s">
        <v>236</v>
      </c>
      <c r="BR214" t="s">
        <v>236</v>
      </c>
      <c r="BS214" t="s">
        <v>436</v>
      </c>
      <c r="BT214">
        <v>0</v>
      </c>
    </row>
    <row r="215" spans="1:72" x14ac:dyDescent="0.15">
      <c r="A215" s="43">
        <v>2022</v>
      </c>
      <c r="B215" s="8">
        <v>12</v>
      </c>
      <c r="C215" s="8">
        <v>1</v>
      </c>
      <c r="D215" s="8">
        <v>17</v>
      </c>
      <c r="E215" s="8" t="s">
        <v>68</v>
      </c>
      <c r="F215" s="8" t="s">
        <v>57</v>
      </c>
      <c r="G215" s="8">
        <v>2017</v>
      </c>
      <c r="H215" s="8">
        <v>12</v>
      </c>
      <c r="I215" s="8" t="s">
        <v>524</v>
      </c>
      <c r="J215" s="8" t="s">
        <v>236</v>
      </c>
      <c r="K215" s="8">
        <v>1977</v>
      </c>
      <c r="L215" s="17">
        <v>12</v>
      </c>
      <c r="M215" s="8">
        <v>1</v>
      </c>
      <c r="N215" s="8" t="s">
        <v>48</v>
      </c>
      <c r="O215" s="8" t="s">
        <v>221</v>
      </c>
      <c r="P215" s="8" t="s">
        <v>295</v>
      </c>
      <c r="Q215" s="8">
        <v>3000</v>
      </c>
      <c r="R215" s="8" t="s">
        <v>57</v>
      </c>
      <c r="S215" s="8" t="s">
        <v>52</v>
      </c>
      <c r="T215" s="8" t="s">
        <v>70</v>
      </c>
      <c r="U215" s="8" t="s">
        <v>236</v>
      </c>
      <c r="V215" s="8">
        <v>1000</v>
      </c>
      <c r="W215" s="8" t="s">
        <v>241</v>
      </c>
      <c r="X215" s="8">
        <v>3000</v>
      </c>
      <c r="Y215" s="8" t="s">
        <v>278</v>
      </c>
      <c r="Z215" s="8">
        <v>110</v>
      </c>
      <c r="AA215" s="8" t="s">
        <v>525</v>
      </c>
      <c r="AB215" s="8" t="s">
        <v>236</v>
      </c>
      <c r="AC215" s="8" t="s">
        <v>236</v>
      </c>
      <c r="AD215" s="8" t="s">
        <v>236</v>
      </c>
      <c r="AE215" s="8" t="s">
        <v>68</v>
      </c>
      <c r="AF215" s="8" t="s">
        <v>236</v>
      </c>
      <c r="AG215" s="8" t="s">
        <v>236</v>
      </c>
      <c r="AH215" s="8" t="s">
        <v>236</v>
      </c>
      <c r="AI215" s="8" t="s">
        <v>236</v>
      </c>
      <c r="AJ215" t="s">
        <v>519</v>
      </c>
      <c r="AK215">
        <v>12</v>
      </c>
      <c r="AL215">
        <v>1</v>
      </c>
      <c r="AM215" t="s">
        <v>88</v>
      </c>
      <c r="AN215" t="s">
        <v>68</v>
      </c>
      <c r="AO215" t="s">
        <v>529</v>
      </c>
      <c r="AP215" t="s">
        <v>112</v>
      </c>
      <c r="AQ215">
        <v>12</v>
      </c>
      <c r="AR215" t="s">
        <v>524</v>
      </c>
      <c r="AS215" t="s">
        <v>236</v>
      </c>
      <c r="AT215" t="s">
        <v>150</v>
      </c>
      <c r="AU215">
        <v>12</v>
      </c>
      <c r="AV215">
        <v>1</v>
      </c>
      <c r="AW215" t="s">
        <v>432</v>
      </c>
      <c r="AX215" t="s">
        <v>221</v>
      </c>
      <c r="AY215" t="s">
        <v>295</v>
      </c>
      <c r="AZ215">
        <v>1</v>
      </c>
      <c r="BA215" t="s">
        <v>435</v>
      </c>
      <c r="BB215" t="s">
        <v>431</v>
      </c>
      <c r="BC215" t="s">
        <v>419</v>
      </c>
      <c r="BD215" t="s">
        <v>236</v>
      </c>
      <c r="BE215" t="s">
        <v>437</v>
      </c>
      <c r="BF215" t="s">
        <v>530</v>
      </c>
      <c r="BG215" t="s">
        <v>433</v>
      </c>
      <c r="BH215" t="s">
        <v>420</v>
      </c>
      <c r="BI215" t="s">
        <v>520</v>
      </c>
      <c r="BJ215" t="s">
        <v>68</v>
      </c>
      <c r="BK215" t="s">
        <v>236</v>
      </c>
      <c r="BL215" t="s">
        <v>236</v>
      </c>
      <c r="BM215" t="s">
        <v>236</v>
      </c>
      <c r="BN215" t="s">
        <v>68</v>
      </c>
      <c r="BO215" t="s">
        <v>236</v>
      </c>
      <c r="BP215" t="s">
        <v>236</v>
      </c>
      <c r="BQ215" t="s">
        <v>236</v>
      </c>
      <c r="BR215" t="s">
        <v>236</v>
      </c>
      <c r="BS215" t="s">
        <v>436</v>
      </c>
      <c r="BT215">
        <v>0</v>
      </c>
    </row>
    <row r="216" spans="1:72" x14ac:dyDescent="0.15">
      <c r="A216" s="43">
        <v>2022</v>
      </c>
      <c r="B216" s="8">
        <v>12</v>
      </c>
      <c r="C216" s="8">
        <v>1</v>
      </c>
      <c r="D216" s="8">
        <v>17</v>
      </c>
      <c r="E216" s="8" t="s">
        <v>68</v>
      </c>
      <c r="F216" s="8" t="s">
        <v>57</v>
      </c>
      <c r="G216" s="8">
        <v>2017</v>
      </c>
      <c r="H216" s="8">
        <v>12</v>
      </c>
      <c r="I216" s="8" t="s">
        <v>524</v>
      </c>
      <c r="J216" s="8" t="s">
        <v>236</v>
      </c>
      <c r="K216" s="8">
        <v>1972</v>
      </c>
      <c r="L216" s="17">
        <v>12</v>
      </c>
      <c r="M216" s="8">
        <v>1</v>
      </c>
      <c r="N216" s="8" t="s">
        <v>48</v>
      </c>
      <c r="O216" s="8" t="s">
        <v>221</v>
      </c>
      <c r="P216" s="8" t="s">
        <v>295</v>
      </c>
      <c r="Q216" s="8">
        <v>3000</v>
      </c>
      <c r="R216" s="8" t="s">
        <v>57</v>
      </c>
      <c r="S216" s="8" t="s">
        <v>52</v>
      </c>
      <c r="T216" s="8" t="s">
        <v>70</v>
      </c>
      <c r="U216" s="8" t="s">
        <v>236</v>
      </c>
      <c r="V216" s="8">
        <v>1000</v>
      </c>
      <c r="W216" s="8" t="s">
        <v>241</v>
      </c>
      <c r="X216" s="8">
        <v>3000</v>
      </c>
      <c r="Y216" s="8" t="s">
        <v>278</v>
      </c>
      <c r="Z216" s="8">
        <v>110</v>
      </c>
      <c r="AA216" s="8" t="s">
        <v>525</v>
      </c>
      <c r="AB216" s="8" t="s">
        <v>236</v>
      </c>
      <c r="AC216" s="8" t="s">
        <v>236</v>
      </c>
      <c r="AD216" s="8" t="s">
        <v>236</v>
      </c>
      <c r="AE216" s="8" t="s">
        <v>68</v>
      </c>
      <c r="AF216" s="8" t="s">
        <v>236</v>
      </c>
      <c r="AG216" s="8" t="s">
        <v>236</v>
      </c>
      <c r="AH216" s="8" t="s">
        <v>236</v>
      </c>
      <c r="AI216" s="8" t="s">
        <v>236</v>
      </c>
      <c r="AJ216" t="s">
        <v>519</v>
      </c>
      <c r="AK216">
        <v>12</v>
      </c>
      <c r="AL216">
        <v>1</v>
      </c>
      <c r="AM216" t="s">
        <v>88</v>
      </c>
      <c r="AN216" t="s">
        <v>68</v>
      </c>
      <c r="AO216" t="s">
        <v>529</v>
      </c>
      <c r="AP216" t="s">
        <v>112</v>
      </c>
      <c r="AQ216">
        <v>12</v>
      </c>
      <c r="AR216" t="s">
        <v>524</v>
      </c>
      <c r="AS216" t="s">
        <v>236</v>
      </c>
      <c r="AT216" t="s">
        <v>155</v>
      </c>
      <c r="AU216">
        <v>12</v>
      </c>
      <c r="AV216">
        <v>1</v>
      </c>
      <c r="AW216" t="s">
        <v>432</v>
      </c>
      <c r="AX216" t="s">
        <v>221</v>
      </c>
      <c r="AY216" t="s">
        <v>295</v>
      </c>
      <c r="AZ216">
        <v>1</v>
      </c>
      <c r="BA216" t="s">
        <v>435</v>
      </c>
      <c r="BB216" t="s">
        <v>431</v>
      </c>
      <c r="BC216" t="s">
        <v>419</v>
      </c>
      <c r="BD216" t="s">
        <v>236</v>
      </c>
      <c r="BE216" t="s">
        <v>437</v>
      </c>
      <c r="BF216" t="s">
        <v>530</v>
      </c>
      <c r="BG216" t="s">
        <v>433</v>
      </c>
      <c r="BH216" t="s">
        <v>420</v>
      </c>
      <c r="BI216" t="s">
        <v>520</v>
      </c>
      <c r="BJ216" t="s">
        <v>68</v>
      </c>
      <c r="BK216" t="s">
        <v>236</v>
      </c>
      <c r="BL216" t="s">
        <v>236</v>
      </c>
      <c r="BM216" t="s">
        <v>236</v>
      </c>
      <c r="BN216" t="s">
        <v>68</v>
      </c>
      <c r="BO216" t="s">
        <v>236</v>
      </c>
      <c r="BP216" t="s">
        <v>236</v>
      </c>
      <c r="BQ216" t="s">
        <v>236</v>
      </c>
      <c r="BR216" t="s">
        <v>236</v>
      </c>
      <c r="BS216" t="s">
        <v>436</v>
      </c>
      <c r="BT216">
        <v>0</v>
      </c>
    </row>
    <row r="217" spans="1:72" x14ac:dyDescent="0.15">
      <c r="A217" s="43">
        <v>2022</v>
      </c>
      <c r="B217" s="8">
        <v>12</v>
      </c>
      <c r="C217" s="8">
        <v>1</v>
      </c>
      <c r="D217" s="8">
        <v>17</v>
      </c>
      <c r="E217" s="8" t="s">
        <v>68</v>
      </c>
      <c r="F217" s="8" t="s">
        <v>57</v>
      </c>
      <c r="G217" s="8">
        <v>2017</v>
      </c>
      <c r="H217" s="8">
        <v>12</v>
      </c>
      <c r="I217" s="8" t="s">
        <v>524</v>
      </c>
      <c r="J217" s="8" t="s">
        <v>236</v>
      </c>
      <c r="K217" s="8">
        <v>1962</v>
      </c>
      <c r="L217" s="17">
        <v>12</v>
      </c>
      <c r="M217" s="8">
        <v>1</v>
      </c>
      <c r="N217" s="8" t="s">
        <v>48</v>
      </c>
      <c r="O217" s="8" t="s">
        <v>221</v>
      </c>
      <c r="P217" s="8" t="s">
        <v>295</v>
      </c>
      <c r="Q217" s="8">
        <v>3000</v>
      </c>
      <c r="R217" s="8" t="s">
        <v>57</v>
      </c>
      <c r="S217" s="8" t="s">
        <v>52</v>
      </c>
      <c r="T217" s="8" t="s">
        <v>70</v>
      </c>
      <c r="U217" s="8" t="s">
        <v>236</v>
      </c>
      <c r="V217" s="8">
        <v>1000</v>
      </c>
      <c r="W217" s="8" t="s">
        <v>241</v>
      </c>
      <c r="X217" s="8">
        <v>3000</v>
      </c>
      <c r="Y217" s="8" t="s">
        <v>278</v>
      </c>
      <c r="Z217" s="8">
        <v>110</v>
      </c>
      <c r="AA217" s="8" t="s">
        <v>525</v>
      </c>
      <c r="AB217" s="8" t="s">
        <v>236</v>
      </c>
      <c r="AC217" s="8" t="s">
        <v>236</v>
      </c>
      <c r="AD217" s="8" t="s">
        <v>236</v>
      </c>
      <c r="AE217" s="8" t="s">
        <v>68</v>
      </c>
      <c r="AF217" s="8" t="s">
        <v>236</v>
      </c>
      <c r="AG217" s="8" t="s">
        <v>236</v>
      </c>
      <c r="AH217" s="8" t="s">
        <v>236</v>
      </c>
      <c r="AI217" s="8" t="s">
        <v>236</v>
      </c>
      <c r="AJ217" t="s">
        <v>519</v>
      </c>
      <c r="AK217">
        <v>12</v>
      </c>
      <c r="AL217">
        <v>1</v>
      </c>
      <c r="AM217" t="s">
        <v>88</v>
      </c>
      <c r="AN217" t="s">
        <v>68</v>
      </c>
      <c r="AO217" t="s">
        <v>529</v>
      </c>
      <c r="AP217" t="s">
        <v>112</v>
      </c>
      <c r="AQ217">
        <v>12</v>
      </c>
      <c r="AR217" t="s">
        <v>524</v>
      </c>
      <c r="AS217" t="s">
        <v>236</v>
      </c>
      <c r="AT217" t="s">
        <v>165</v>
      </c>
      <c r="AU217">
        <v>12</v>
      </c>
      <c r="AV217">
        <v>1</v>
      </c>
      <c r="AW217" t="s">
        <v>432</v>
      </c>
      <c r="AX217" t="s">
        <v>221</v>
      </c>
      <c r="AY217" t="s">
        <v>295</v>
      </c>
      <c r="AZ217">
        <v>1</v>
      </c>
      <c r="BA217" t="s">
        <v>435</v>
      </c>
      <c r="BB217" t="s">
        <v>431</v>
      </c>
      <c r="BC217" t="s">
        <v>419</v>
      </c>
      <c r="BD217" t="s">
        <v>236</v>
      </c>
      <c r="BE217" t="s">
        <v>437</v>
      </c>
      <c r="BF217" t="s">
        <v>530</v>
      </c>
      <c r="BG217" t="s">
        <v>433</v>
      </c>
      <c r="BH217" t="s">
        <v>420</v>
      </c>
      <c r="BI217" t="s">
        <v>520</v>
      </c>
      <c r="BJ217" t="s">
        <v>68</v>
      </c>
      <c r="BK217" t="s">
        <v>236</v>
      </c>
      <c r="BL217" t="s">
        <v>236</v>
      </c>
      <c r="BM217" t="s">
        <v>236</v>
      </c>
      <c r="BN217" t="s">
        <v>68</v>
      </c>
      <c r="BO217" t="s">
        <v>236</v>
      </c>
      <c r="BP217" t="s">
        <v>236</v>
      </c>
      <c r="BQ217" t="s">
        <v>236</v>
      </c>
      <c r="BR217" t="s">
        <v>236</v>
      </c>
      <c r="BS217" t="s">
        <v>436</v>
      </c>
      <c r="BT217">
        <v>0</v>
      </c>
    </row>
    <row r="218" spans="1:72" x14ac:dyDescent="0.15">
      <c r="A218" s="43">
        <v>2022</v>
      </c>
      <c r="B218" s="8">
        <v>12</v>
      </c>
      <c r="C218" s="8">
        <v>1</v>
      </c>
      <c r="D218" s="8">
        <v>17</v>
      </c>
      <c r="E218" s="8" t="s">
        <v>68</v>
      </c>
      <c r="F218" s="8" t="s">
        <v>57</v>
      </c>
      <c r="G218" s="8">
        <v>2017</v>
      </c>
      <c r="H218" s="8">
        <v>12</v>
      </c>
      <c r="I218" s="8" t="s">
        <v>524</v>
      </c>
      <c r="J218" s="8" t="s">
        <v>236</v>
      </c>
      <c r="K218" s="8">
        <v>1952</v>
      </c>
      <c r="L218" s="17">
        <v>12</v>
      </c>
      <c r="M218" s="8">
        <v>1</v>
      </c>
      <c r="N218" s="8" t="s">
        <v>48</v>
      </c>
      <c r="O218" s="8" t="s">
        <v>221</v>
      </c>
      <c r="P218" s="8" t="s">
        <v>295</v>
      </c>
      <c r="Q218" s="8">
        <v>3000</v>
      </c>
      <c r="R218" s="8" t="s">
        <v>57</v>
      </c>
      <c r="S218" s="8" t="s">
        <v>52</v>
      </c>
      <c r="T218" s="8" t="s">
        <v>70</v>
      </c>
      <c r="U218" s="8" t="s">
        <v>236</v>
      </c>
      <c r="V218" s="8">
        <v>1000</v>
      </c>
      <c r="W218" s="8" t="s">
        <v>241</v>
      </c>
      <c r="X218" s="8">
        <v>3000</v>
      </c>
      <c r="Y218" s="8" t="s">
        <v>278</v>
      </c>
      <c r="Z218" s="8">
        <v>110</v>
      </c>
      <c r="AA218" s="8" t="s">
        <v>525</v>
      </c>
      <c r="AB218" s="8" t="s">
        <v>236</v>
      </c>
      <c r="AC218" s="8" t="s">
        <v>236</v>
      </c>
      <c r="AD218" s="8" t="s">
        <v>236</v>
      </c>
      <c r="AE218" s="8" t="s">
        <v>68</v>
      </c>
      <c r="AF218" s="8" t="s">
        <v>236</v>
      </c>
      <c r="AG218" s="8" t="s">
        <v>236</v>
      </c>
      <c r="AH218" s="8" t="s">
        <v>236</v>
      </c>
      <c r="AI218" s="8" t="s">
        <v>236</v>
      </c>
      <c r="AJ218" t="s">
        <v>519</v>
      </c>
      <c r="AK218">
        <v>12</v>
      </c>
      <c r="AL218">
        <v>1</v>
      </c>
      <c r="AM218" t="s">
        <v>88</v>
      </c>
      <c r="AN218" t="s">
        <v>68</v>
      </c>
      <c r="AO218" t="s">
        <v>529</v>
      </c>
      <c r="AP218" t="s">
        <v>112</v>
      </c>
      <c r="AQ218">
        <v>12</v>
      </c>
      <c r="AR218" t="s">
        <v>524</v>
      </c>
      <c r="AS218" t="s">
        <v>236</v>
      </c>
      <c r="AT218" t="s">
        <v>175</v>
      </c>
      <c r="AU218">
        <v>12</v>
      </c>
      <c r="AV218">
        <v>1</v>
      </c>
      <c r="AW218" t="s">
        <v>432</v>
      </c>
      <c r="AX218" t="s">
        <v>221</v>
      </c>
      <c r="AY218" t="s">
        <v>295</v>
      </c>
      <c r="AZ218">
        <v>1</v>
      </c>
      <c r="BA218" t="s">
        <v>435</v>
      </c>
      <c r="BB218" t="s">
        <v>431</v>
      </c>
      <c r="BC218" t="s">
        <v>419</v>
      </c>
      <c r="BD218" t="s">
        <v>236</v>
      </c>
      <c r="BE218" t="s">
        <v>437</v>
      </c>
      <c r="BF218" t="s">
        <v>530</v>
      </c>
      <c r="BG218" t="s">
        <v>433</v>
      </c>
      <c r="BH218" t="s">
        <v>420</v>
      </c>
      <c r="BI218" t="s">
        <v>520</v>
      </c>
      <c r="BJ218" t="s">
        <v>68</v>
      </c>
      <c r="BK218" t="s">
        <v>236</v>
      </c>
      <c r="BL218" t="s">
        <v>236</v>
      </c>
      <c r="BM218" t="s">
        <v>236</v>
      </c>
      <c r="BN218" t="s">
        <v>68</v>
      </c>
      <c r="BO218" t="s">
        <v>236</v>
      </c>
      <c r="BP218" t="s">
        <v>236</v>
      </c>
      <c r="BQ218" t="s">
        <v>236</v>
      </c>
      <c r="BR218" t="s">
        <v>236</v>
      </c>
      <c r="BS218" t="s">
        <v>436</v>
      </c>
      <c r="BT218">
        <v>0</v>
      </c>
    </row>
    <row r="219" spans="1:72" x14ac:dyDescent="0.15">
      <c r="A219" s="43">
        <v>2022</v>
      </c>
      <c r="B219" s="8">
        <v>12</v>
      </c>
      <c r="C219" s="8">
        <v>1</v>
      </c>
      <c r="D219" s="8">
        <v>17</v>
      </c>
      <c r="E219" s="8" t="s">
        <v>68</v>
      </c>
      <c r="F219" s="8" t="s">
        <v>57</v>
      </c>
      <c r="G219" s="8">
        <v>2017</v>
      </c>
      <c r="H219" s="8">
        <v>12</v>
      </c>
      <c r="I219" s="8" t="s">
        <v>524</v>
      </c>
      <c r="J219" s="8" t="s">
        <v>236</v>
      </c>
      <c r="K219" s="8">
        <v>1992</v>
      </c>
      <c r="L219" s="17">
        <v>12</v>
      </c>
      <c r="M219" s="8">
        <v>1</v>
      </c>
      <c r="N219" s="8" t="s">
        <v>48</v>
      </c>
      <c r="O219" s="8" t="s">
        <v>221</v>
      </c>
      <c r="P219" s="8" t="s">
        <v>295</v>
      </c>
      <c r="Q219" s="8">
        <v>7000</v>
      </c>
      <c r="R219" s="8" t="s">
        <v>57</v>
      </c>
      <c r="S219" s="8" t="s">
        <v>52</v>
      </c>
      <c r="T219" s="8" t="s">
        <v>70</v>
      </c>
      <c r="U219" s="8" t="s">
        <v>236</v>
      </c>
      <c r="V219" s="8">
        <v>1000</v>
      </c>
      <c r="W219" s="8" t="s">
        <v>241</v>
      </c>
      <c r="X219" s="8">
        <v>3000</v>
      </c>
      <c r="Y219" s="8" t="s">
        <v>278</v>
      </c>
      <c r="Z219" s="8">
        <v>110</v>
      </c>
      <c r="AA219" s="8" t="s">
        <v>525</v>
      </c>
      <c r="AB219" s="8" t="s">
        <v>236</v>
      </c>
      <c r="AC219" s="8" t="s">
        <v>236</v>
      </c>
      <c r="AD219" s="8" t="s">
        <v>236</v>
      </c>
      <c r="AE219" s="8" t="s">
        <v>68</v>
      </c>
      <c r="AF219" s="8" t="s">
        <v>236</v>
      </c>
      <c r="AG219" s="8" t="s">
        <v>236</v>
      </c>
      <c r="AH219" s="8" t="s">
        <v>236</v>
      </c>
      <c r="AI219" s="8" t="s">
        <v>236</v>
      </c>
      <c r="AJ219" t="s">
        <v>519</v>
      </c>
      <c r="AK219">
        <v>12</v>
      </c>
      <c r="AL219">
        <v>1</v>
      </c>
      <c r="AM219" t="s">
        <v>88</v>
      </c>
      <c r="AN219" t="s">
        <v>68</v>
      </c>
      <c r="AO219" t="s">
        <v>529</v>
      </c>
      <c r="AP219" t="s">
        <v>112</v>
      </c>
      <c r="AQ219">
        <v>12</v>
      </c>
      <c r="AR219" t="s">
        <v>524</v>
      </c>
      <c r="AS219" t="s">
        <v>236</v>
      </c>
      <c r="AT219" t="s">
        <v>137</v>
      </c>
      <c r="AU219">
        <v>12</v>
      </c>
      <c r="AV219">
        <v>1</v>
      </c>
      <c r="AW219" t="s">
        <v>432</v>
      </c>
      <c r="AX219" t="s">
        <v>221</v>
      </c>
      <c r="AY219" t="s">
        <v>295</v>
      </c>
      <c r="AZ219">
        <v>3</v>
      </c>
      <c r="BA219" t="s">
        <v>435</v>
      </c>
      <c r="BB219" t="s">
        <v>431</v>
      </c>
      <c r="BC219" t="s">
        <v>419</v>
      </c>
      <c r="BD219" t="s">
        <v>236</v>
      </c>
      <c r="BE219" t="s">
        <v>437</v>
      </c>
      <c r="BF219" t="s">
        <v>530</v>
      </c>
      <c r="BG219" t="s">
        <v>433</v>
      </c>
      <c r="BH219" t="s">
        <v>420</v>
      </c>
      <c r="BI219" t="s">
        <v>520</v>
      </c>
      <c r="BJ219" t="s">
        <v>68</v>
      </c>
      <c r="BK219" t="s">
        <v>236</v>
      </c>
      <c r="BL219" t="s">
        <v>236</v>
      </c>
      <c r="BM219" t="s">
        <v>236</v>
      </c>
      <c r="BN219" t="s">
        <v>68</v>
      </c>
      <c r="BO219" t="s">
        <v>236</v>
      </c>
      <c r="BP219" t="s">
        <v>236</v>
      </c>
      <c r="BQ219" t="s">
        <v>236</v>
      </c>
      <c r="BR219" t="s">
        <v>236</v>
      </c>
      <c r="BS219" t="s">
        <v>436</v>
      </c>
      <c r="BT219">
        <v>0</v>
      </c>
    </row>
    <row r="220" spans="1:72" x14ac:dyDescent="0.15">
      <c r="A220" s="43">
        <v>2022</v>
      </c>
      <c r="B220" s="8">
        <v>12</v>
      </c>
      <c r="C220" s="8">
        <v>1</v>
      </c>
      <c r="D220" s="8">
        <v>17</v>
      </c>
      <c r="E220" s="8" t="s">
        <v>68</v>
      </c>
      <c r="F220" s="8" t="s">
        <v>57</v>
      </c>
      <c r="G220" s="8">
        <v>2017</v>
      </c>
      <c r="H220" s="8">
        <v>12</v>
      </c>
      <c r="I220" s="8" t="s">
        <v>524</v>
      </c>
      <c r="J220" s="8" t="s">
        <v>236</v>
      </c>
      <c r="K220" s="8">
        <v>1987</v>
      </c>
      <c r="L220" s="17">
        <v>12</v>
      </c>
      <c r="M220" s="8">
        <v>1</v>
      </c>
      <c r="N220" s="8" t="s">
        <v>48</v>
      </c>
      <c r="O220" s="8" t="s">
        <v>221</v>
      </c>
      <c r="P220" s="8" t="s">
        <v>295</v>
      </c>
      <c r="Q220" s="8">
        <v>7000</v>
      </c>
      <c r="R220" s="8" t="s">
        <v>57</v>
      </c>
      <c r="S220" s="8" t="s">
        <v>52</v>
      </c>
      <c r="T220" s="8" t="s">
        <v>70</v>
      </c>
      <c r="U220" s="8" t="s">
        <v>236</v>
      </c>
      <c r="V220" s="8">
        <v>1000</v>
      </c>
      <c r="W220" s="8" t="s">
        <v>241</v>
      </c>
      <c r="X220" s="8">
        <v>3000</v>
      </c>
      <c r="Y220" s="8" t="s">
        <v>278</v>
      </c>
      <c r="Z220" s="8">
        <v>110</v>
      </c>
      <c r="AA220" s="8" t="s">
        <v>525</v>
      </c>
      <c r="AB220" s="8" t="s">
        <v>236</v>
      </c>
      <c r="AC220" s="8" t="s">
        <v>236</v>
      </c>
      <c r="AD220" s="8" t="s">
        <v>236</v>
      </c>
      <c r="AE220" s="8" t="s">
        <v>68</v>
      </c>
      <c r="AF220" s="8" t="s">
        <v>236</v>
      </c>
      <c r="AG220" s="8" t="s">
        <v>236</v>
      </c>
      <c r="AH220" s="8" t="s">
        <v>236</v>
      </c>
      <c r="AI220" s="8" t="s">
        <v>236</v>
      </c>
      <c r="AJ220" t="s">
        <v>519</v>
      </c>
      <c r="AK220">
        <v>12</v>
      </c>
      <c r="AL220">
        <v>1</v>
      </c>
      <c r="AM220" t="s">
        <v>88</v>
      </c>
      <c r="AN220" t="s">
        <v>68</v>
      </c>
      <c r="AO220" t="s">
        <v>529</v>
      </c>
      <c r="AP220" t="s">
        <v>112</v>
      </c>
      <c r="AQ220">
        <v>12</v>
      </c>
      <c r="AR220" t="s">
        <v>524</v>
      </c>
      <c r="AS220" t="s">
        <v>236</v>
      </c>
      <c r="AT220" t="s">
        <v>140</v>
      </c>
      <c r="AU220">
        <v>12</v>
      </c>
      <c r="AV220">
        <v>1</v>
      </c>
      <c r="AW220" t="s">
        <v>432</v>
      </c>
      <c r="AX220" t="s">
        <v>221</v>
      </c>
      <c r="AY220" t="s">
        <v>295</v>
      </c>
      <c r="AZ220">
        <v>3</v>
      </c>
      <c r="BA220" t="s">
        <v>435</v>
      </c>
      <c r="BB220" t="s">
        <v>431</v>
      </c>
      <c r="BC220" t="s">
        <v>419</v>
      </c>
      <c r="BD220" t="s">
        <v>236</v>
      </c>
      <c r="BE220" t="s">
        <v>437</v>
      </c>
      <c r="BF220" t="s">
        <v>530</v>
      </c>
      <c r="BG220" t="s">
        <v>433</v>
      </c>
      <c r="BH220" t="s">
        <v>420</v>
      </c>
      <c r="BI220" t="s">
        <v>520</v>
      </c>
      <c r="BJ220" t="s">
        <v>68</v>
      </c>
      <c r="BK220" t="s">
        <v>236</v>
      </c>
      <c r="BL220" t="s">
        <v>236</v>
      </c>
      <c r="BM220" t="s">
        <v>236</v>
      </c>
      <c r="BN220" t="s">
        <v>68</v>
      </c>
      <c r="BO220" t="s">
        <v>236</v>
      </c>
      <c r="BP220" t="s">
        <v>236</v>
      </c>
      <c r="BQ220" t="s">
        <v>236</v>
      </c>
      <c r="BR220" t="s">
        <v>236</v>
      </c>
      <c r="BS220" t="s">
        <v>436</v>
      </c>
      <c r="BT220">
        <v>0</v>
      </c>
    </row>
    <row r="221" spans="1:72" x14ac:dyDescent="0.15">
      <c r="A221" s="43">
        <v>2022</v>
      </c>
      <c r="B221" s="8">
        <v>12</v>
      </c>
      <c r="C221" s="8">
        <v>1</v>
      </c>
      <c r="D221" s="8">
        <v>17</v>
      </c>
      <c r="E221" s="8" t="s">
        <v>68</v>
      </c>
      <c r="F221" s="8" t="s">
        <v>57</v>
      </c>
      <c r="G221" s="8">
        <v>2017</v>
      </c>
      <c r="H221" s="8">
        <v>12</v>
      </c>
      <c r="I221" s="8" t="s">
        <v>524</v>
      </c>
      <c r="J221" s="8" t="s">
        <v>236</v>
      </c>
      <c r="K221" s="8">
        <v>1982</v>
      </c>
      <c r="L221" s="17">
        <v>12</v>
      </c>
      <c r="M221" s="8">
        <v>1</v>
      </c>
      <c r="N221" s="8" t="s">
        <v>48</v>
      </c>
      <c r="O221" s="8" t="s">
        <v>221</v>
      </c>
      <c r="P221" s="8" t="s">
        <v>295</v>
      </c>
      <c r="Q221" s="8">
        <v>7000</v>
      </c>
      <c r="R221" s="8" t="s">
        <v>57</v>
      </c>
      <c r="S221" s="8" t="s">
        <v>52</v>
      </c>
      <c r="T221" s="8" t="s">
        <v>70</v>
      </c>
      <c r="U221" s="8" t="s">
        <v>236</v>
      </c>
      <c r="V221" s="8">
        <v>1000</v>
      </c>
      <c r="W221" s="8" t="s">
        <v>241</v>
      </c>
      <c r="X221" s="8">
        <v>3000</v>
      </c>
      <c r="Y221" s="8" t="s">
        <v>278</v>
      </c>
      <c r="Z221" s="8">
        <v>110</v>
      </c>
      <c r="AA221" s="8" t="s">
        <v>525</v>
      </c>
      <c r="AB221" s="8" t="s">
        <v>236</v>
      </c>
      <c r="AC221" s="8" t="s">
        <v>236</v>
      </c>
      <c r="AD221" s="8" t="s">
        <v>236</v>
      </c>
      <c r="AE221" s="8" t="s">
        <v>68</v>
      </c>
      <c r="AF221" s="8" t="s">
        <v>236</v>
      </c>
      <c r="AG221" s="8" t="s">
        <v>236</v>
      </c>
      <c r="AH221" s="8" t="s">
        <v>236</v>
      </c>
      <c r="AI221" s="8" t="s">
        <v>236</v>
      </c>
      <c r="AJ221" t="s">
        <v>519</v>
      </c>
      <c r="AK221">
        <v>12</v>
      </c>
      <c r="AL221">
        <v>1</v>
      </c>
      <c r="AM221" t="s">
        <v>88</v>
      </c>
      <c r="AN221" t="s">
        <v>68</v>
      </c>
      <c r="AO221" t="s">
        <v>529</v>
      </c>
      <c r="AP221" t="s">
        <v>112</v>
      </c>
      <c r="AQ221">
        <v>12</v>
      </c>
      <c r="AR221" t="s">
        <v>524</v>
      </c>
      <c r="AS221" t="s">
        <v>236</v>
      </c>
      <c r="AT221" t="s">
        <v>145</v>
      </c>
      <c r="AU221">
        <v>12</v>
      </c>
      <c r="AV221">
        <v>1</v>
      </c>
      <c r="AW221" t="s">
        <v>432</v>
      </c>
      <c r="AX221" t="s">
        <v>221</v>
      </c>
      <c r="AY221" t="s">
        <v>295</v>
      </c>
      <c r="AZ221">
        <v>3</v>
      </c>
      <c r="BA221" t="s">
        <v>435</v>
      </c>
      <c r="BB221" t="s">
        <v>431</v>
      </c>
      <c r="BC221" t="s">
        <v>419</v>
      </c>
      <c r="BD221" t="s">
        <v>236</v>
      </c>
      <c r="BE221" t="s">
        <v>437</v>
      </c>
      <c r="BF221" t="s">
        <v>530</v>
      </c>
      <c r="BG221" t="s">
        <v>433</v>
      </c>
      <c r="BH221" t="s">
        <v>420</v>
      </c>
      <c r="BI221" t="s">
        <v>520</v>
      </c>
      <c r="BJ221" t="s">
        <v>68</v>
      </c>
      <c r="BK221" t="s">
        <v>236</v>
      </c>
      <c r="BL221" t="s">
        <v>236</v>
      </c>
      <c r="BM221" t="s">
        <v>236</v>
      </c>
      <c r="BN221" t="s">
        <v>68</v>
      </c>
      <c r="BO221" t="s">
        <v>236</v>
      </c>
      <c r="BP221" t="s">
        <v>236</v>
      </c>
      <c r="BQ221" t="s">
        <v>236</v>
      </c>
      <c r="BR221" t="s">
        <v>236</v>
      </c>
      <c r="BS221" t="s">
        <v>436</v>
      </c>
      <c r="BT221">
        <v>0</v>
      </c>
    </row>
    <row r="222" spans="1:72" x14ac:dyDescent="0.15">
      <c r="A222" s="43">
        <v>2022</v>
      </c>
      <c r="B222" s="8">
        <v>12</v>
      </c>
      <c r="C222" s="8">
        <v>1</v>
      </c>
      <c r="D222" s="8">
        <v>17</v>
      </c>
      <c r="E222" s="8" t="s">
        <v>68</v>
      </c>
      <c r="F222" s="8" t="s">
        <v>57</v>
      </c>
      <c r="G222" s="8">
        <v>2017</v>
      </c>
      <c r="H222" s="8">
        <v>12</v>
      </c>
      <c r="I222" s="8" t="s">
        <v>524</v>
      </c>
      <c r="J222" s="8" t="s">
        <v>236</v>
      </c>
      <c r="K222" s="8">
        <v>1977</v>
      </c>
      <c r="L222" s="17">
        <v>12</v>
      </c>
      <c r="M222" s="8">
        <v>1</v>
      </c>
      <c r="N222" s="8" t="s">
        <v>48</v>
      </c>
      <c r="O222" s="8" t="s">
        <v>221</v>
      </c>
      <c r="P222" s="8" t="s">
        <v>295</v>
      </c>
      <c r="Q222" s="8">
        <v>7000</v>
      </c>
      <c r="R222" s="8" t="s">
        <v>57</v>
      </c>
      <c r="S222" s="8" t="s">
        <v>52</v>
      </c>
      <c r="T222" s="8" t="s">
        <v>70</v>
      </c>
      <c r="U222" s="8" t="s">
        <v>236</v>
      </c>
      <c r="V222" s="8">
        <v>1000</v>
      </c>
      <c r="W222" s="8" t="s">
        <v>241</v>
      </c>
      <c r="X222" s="8">
        <v>3000</v>
      </c>
      <c r="Y222" s="8" t="s">
        <v>278</v>
      </c>
      <c r="Z222" s="8">
        <v>110</v>
      </c>
      <c r="AA222" s="8" t="s">
        <v>525</v>
      </c>
      <c r="AB222" s="8" t="s">
        <v>236</v>
      </c>
      <c r="AC222" s="8" t="s">
        <v>236</v>
      </c>
      <c r="AD222" s="8" t="s">
        <v>236</v>
      </c>
      <c r="AE222" s="8" t="s">
        <v>68</v>
      </c>
      <c r="AF222" s="8" t="s">
        <v>236</v>
      </c>
      <c r="AG222" s="8" t="s">
        <v>236</v>
      </c>
      <c r="AH222" s="8" t="s">
        <v>236</v>
      </c>
      <c r="AI222" s="8" t="s">
        <v>236</v>
      </c>
      <c r="AJ222" t="s">
        <v>519</v>
      </c>
      <c r="AK222">
        <v>12</v>
      </c>
      <c r="AL222">
        <v>1</v>
      </c>
      <c r="AM222" t="s">
        <v>88</v>
      </c>
      <c r="AN222" t="s">
        <v>68</v>
      </c>
      <c r="AO222" t="s">
        <v>529</v>
      </c>
      <c r="AP222" t="s">
        <v>112</v>
      </c>
      <c r="AQ222">
        <v>12</v>
      </c>
      <c r="AR222" t="s">
        <v>524</v>
      </c>
      <c r="AS222" t="s">
        <v>236</v>
      </c>
      <c r="AT222" t="s">
        <v>150</v>
      </c>
      <c r="AU222">
        <v>12</v>
      </c>
      <c r="AV222">
        <v>1</v>
      </c>
      <c r="AW222" t="s">
        <v>432</v>
      </c>
      <c r="AX222" t="s">
        <v>221</v>
      </c>
      <c r="AY222" t="s">
        <v>295</v>
      </c>
      <c r="AZ222">
        <v>3</v>
      </c>
      <c r="BA222" t="s">
        <v>435</v>
      </c>
      <c r="BB222" t="s">
        <v>431</v>
      </c>
      <c r="BC222" t="s">
        <v>419</v>
      </c>
      <c r="BD222" t="s">
        <v>236</v>
      </c>
      <c r="BE222" t="s">
        <v>437</v>
      </c>
      <c r="BF222" t="s">
        <v>530</v>
      </c>
      <c r="BG222" t="s">
        <v>433</v>
      </c>
      <c r="BH222" t="s">
        <v>420</v>
      </c>
      <c r="BI222" t="s">
        <v>520</v>
      </c>
      <c r="BJ222" t="s">
        <v>68</v>
      </c>
      <c r="BK222" t="s">
        <v>236</v>
      </c>
      <c r="BL222" t="s">
        <v>236</v>
      </c>
      <c r="BM222" t="s">
        <v>236</v>
      </c>
      <c r="BN222" t="s">
        <v>68</v>
      </c>
      <c r="BO222" t="s">
        <v>236</v>
      </c>
      <c r="BP222" t="s">
        <v>236</v>
      </c>
      <c r="BQ222" t="s">
        <v>236</v>
      </c>
      <c r="BR222" t="s">
        <v>236</v>
      </c>
      <c r="BS222" t="s">
        <v>436</v>
      </c>
      <c r="BT222">
        <v>0</v>
      </c>
    </row>
    <row r="223" spans="1:72" x14ac:dyDescent="0.15">
      <c r="A223" s="43">
        <v>2022</v>
      </c>
      <c r="B223" s="8">
        <v>12</v>
      </c>
      <c r="C223" s="8">
        <v>1</v>
      </c>
      <c r="D223" s="8">
        <v>17</v>
      </c>
      <c r="E223" s="8" t="s">
        <v>68</v>
      </c>
      <c r="F223" s="8" t="s">
        <v>57</v>
      </c>
      <c r="G223" s="8">
        <v>2017</v>
      </c>
      <c r="H223" s="8">
        <v>12</v>
      </c>
      <c r="I223" s="8" t="s">
        <v>524</v>
      </c>
      <c r="J223" s="8" t="s">
        <v>236</v>
      </c>
      <c r="K223" s="8">
        <v>1972</v>
      </c>
      <c r="L223" s="17">
        <v>12</v>
      </c>
      <c r="M223" s="8">
        <v>1</v>
      </c>
      <c r="N223" s="8" t="s">
        <v>48</v>
      </c>
      <c r="O223" s="8" t="s">
        <v>221</v>
      </c>
      <c r="P223" s="8" t="s">
        <v>295</v>
      </c>
      <c r="Q223" s="8">
        <v>7000</v>
      </c>
      <c r="R223" s="8" t="s">
        <v>57</v>
      </c>
      <c r="S223" s="8" t="s">
        <v>52</v>
      </c>
      <c r="T223" s="8" t="s">
        <v>70</v>
      </c>
      <c r="U223" s="8" t="s">
        <v>236</v>
      </c>
      <c r="V223" s="8">
        <v>1000</v>
      </c>
      <c r="W223" s="8" t="s">
        <v>241</v>
      </c>
      <c r="X223" s="8">
        <v>3000</v>
      </c>
      <c r="Y223" s="8" t="s">
        <v>278</v>
      </c>
      <c r="Z223" s="8">
        <v>110</v>
      </c>
      <c r="AA223" s="8" t="s">
        <v>525</v>
      </c>
      <c r="AB223" s="8" t="s">
        <v>236</v>
      </c>
      <c r="AC223" s="8" t="s">
        <v>236</v>
      </c>
      <c r="AD223" s="8" t="s">
        <v>236</v>
      </c>
      <c r="AE223" s="8" t="s">
        <v>68</v>
      </c>
      <c r="AF223" s="8" t="s">
        <v>236</v>
      </c>
      <c r="AG223" s="8" t="s">
        <v>236</v>
      </c>
      <c r="AH223" s="8" t="s">
        <v>236</v>
      </c>
      <c r="AI223" s="8" t="s">
        <v>236</v>
      </c>
      <c r="AJ223" t="s">
        <v>519</v>
      </c>
      <c r="AK223">
        <v>12</v>
      </c>
      <c r="AL223">
        <v>1</v>
      </c>
      <c r="AM223" t="s">
        <v>88</v>
      </c>
      <c r="AN223" t="s">
        <v>68</v>
      </c>
      <c r="AO223" t="s">
        <v>529</v>
      </c>
      <c r="AP223" t="s">
        <v>112</v>
      </c>
      <c r="AQ223">
        <v>12</v>
      </c>
      <c r="AR223" t="s">
        <v>524</v>
      </c>
      <c r="AS223" t="s">
        <v>236</v>
      </c>
      <c r="AT223" t="s">
        <v>155</v>
      </c>
      <c r="AU223">
        <v>12</v>
      </c>
      <c r="AV223">
        <v>1</v>
      </c>
      <c r="AW223" t="s">
        <v>432</v>
      </c>
      <c r="AX223" t="s">
        <v>221</v>
      </c>
      <c r="AY223" t="s">
        <v>295</v>
      </c>
      <c r="AZ223">
        <v>3</v>
      </c>
      <c r="BA223" t="s">
        <v>435</v>
      </c>
      <c r="BB223" t="s">
        <v>431</v>
      </c>
      <c r="BC223" t="s">
        <v>419</v>
      </c>
      <c r="BD223" t="s">
        <v>236</v>
      </c>
      <c r="BE223" t="s">
        <v>437</v>
      </c>
      <c r="BF223" t="s">
        <v>530</v>
      </c>
      <c r="BG223" t="s">
        <v>433</v>
      </c>
      <c r="BH223" t="s">
        <v>420</v>
      </c>
      <c r="BI223" t="s">
        <v>520</v>
      </c>
      <c r="BJ223" t="s">
        <v>68</v>
      </c>
      <c r="BK223" t="s">
        <v>236</v>
      </c>
      <c r="BL223" t="s">
        <v>236</v>
      </c>
      <c r="BM223" t="s">
        <v>236</v>
      </c>
      <c r="BN223" t="s">
        <v>68</v>
      </c>
      <c r="BO223" t="s">
        <v>236</v>
      </c>
      <c r="BP223" t="s">
        <v>236</v>
      </c>
      <c r="BQ223" t="s">
        <v>236</v>
      </c>
      <c r="BR223" t="s">
        <v>236</v>
      </c>
      <c r="BS223" t="s">
        <v>436</v>
      </c>
      <c r="BT223">
        <v>0</v>
      </c>
    </row>
    <row r="224" spans="1:72" x14ac:dyDescent="0.15">
      <c r="A224" s="43">
        <v>2022</v>
      </c>
      <c r="B224" s="8">
        <v>12</v>
      </c>
      <c r="C224" s="8">
        <v>1</v>
      </c>
      <c r="D224" s="8">
        <v>17</v>
      </c>
      <c r="E224" s="8" t="s">
        <v>68</v>
      </c>
      <c r="F224" s="8" t="s">
        <v>57</v>
      </c>
      <c r="G224" s="8">
        <v>2017</v>
      </c>
      <c r="H224" s="8">
        <v>12</v>
      </c>
      <c r="I224" s="8" t="s">
        <v>524</v>
      </c>
      <c r="J224" s="8" t="s">
        <v>236</v>
      </c>
      <c r="K224" s="8">
        <v>1962</v>
      </c>
      <c r="L224" s="17">
        <v>12</v>
      </c>
      <c r="M224" s="8">
        <v>1</v>
      </c>
      <c r="N224" s="8" t="s">
        <v>48</v>
      </c>
      <c r="O224" s="8" t="s">
        <v>221</v>
      </c>
      <c r="P224" s="8" t="s">
        <v>295</v>
      </c>
      <c r="Q224" s="8">
        <v>7000</v>
      </c>
      <c r="R224" s="8" t="s">
        <v>57</v>
      </c>
      <c r="S224" s="8" t="s">
        <v>52</v>
      </c>
      <c r="T224" s="8" t="s">
        <v>70</v>
      </c>
      <c r="U224" s="8" t="s">
        <v>236</v>
      </c>
      <c r="V224" s="8">
        <v>1000</v>
      </c>
      <c r="W224" s="8" t="s">
        <v>241</v>
      </c>
      <c r="X224" s="8">
        <v>3000</v>
      </c>
      <c r="Y224" s="8" t="s">
        <v>278</v>
      </c>
      <c r="Z224" s="8">
        <v>110</v>
      </c>
      <c r="AA224" s="8" t="s">
        <v>525</v>
      </c>
      <c r="AB224" s="8" t="s">
        <v>236</v>
      </c>
      <c r="AC224" s="8" t="s">
        <v>236</v>
      </c>
      <c r="AD224" s="8" t="s">
        <v>236</v>
      </c>
      <c r="AE224" s="8" t="s">
        <v>68</v>
      </c>
      <c r="AF224" s="8" t="s">
        <v>236</v>
      </c>
      <c r="AG224" s="8" t="s">
        <v>236</v>
      </c>
      <c r="AH224" s="8" t="s">
        <v>236</v>
      </c>
      <c r="AI224" s="8" t="s">
        <v>236</v>
      </c>
      <c r="AJ224" t="s">
        <v>519</v>
      </c>
      <c r="AK224">
        <v>12</v>
      </c>
      <c r="AL224">
        <v>1</v>
      </c>
      <c r="AM224" t="s">
        <v>88</v>
      </c>
      <c r="AN224" t="s">
        <v>68</v>
      </c>
      <c r="AO224" t="s">
        <v>529</v>
      </c>
      <c r="AP224" t="s">
        <v>112</v>
      </c>
      <c r="AQ224">
        <v>12</v>
      </c>
      <c r="AR224" t="s">
        <v>524</v>
      </c>
      <c r="AS224" t="s">
        <v>236</v>
      </c>
      <c r="AT224" t="s">
        <v>165</v>
      </c>
      <c r="AU224">
        <v>12</v>
      </c>
      <c r="AV224">
        <v>1</v>
      </c>
      <c r="AW224" t="s">
        <v>432</v>
      </c>
      <c r="AX224" t="s">
        <v>221</v>
      </c>
      <c r="AY224" t="s">
        <v>295</v>
      </c>
      <c r="AZ224">
        <v>3</v>
      </c>
      <c r="BA224" t="s">
        <v>435</v>
      </c>
      <c r="BB224" t="s">
        <v>431</v>
      </c>
      <c r="BC224" t="s">
        <v>419</v>
      </c>
      <c r="BD224" t="s">
        <v>236</v>
      </c>
      <c r="BE224" t="s">
        <v>437</v>
      </c>
      <c r="BF224" t="s">
        <v>530</v>
      </c>
      <c r="BG224" t="s">
        <v>433</v>
      </c>
      <c r="BH224" t="s">
        <v>420</v>
      </c>
      <c r="BI224" t="s">
        <v>520</v>
      </c>
      <c r="BJ224" t="s">
        <v>68</v>
      </c>
      <c r="BK224" t="s">
        <v>236</v>
      </c>
      <c r="BL224" t="s">
        <v>236</v>
      </c>
      <c r="BM224" t="s">
        <v>236</v>
      </c>
      <c r="BN224" t="s">
        <v>68</v>
      </c>
      <c r="BO224" t="s">
        <v>236</v>
      </c>
      <c r="BP224" t="s">
        <v>236</v>
      </c>
      <c r="BQ224" t="s">
        <v>236</v>
      </c>
      <c r="BR224" t="s">
        <v>236</v>
      </c>
      <c r="BS224" t="s">
        <v>436</v>
      </c>
      <c r="BT224">
        <v>0</v>
      </c>
    </row>
    <row r="225" spans="1:72" x14ac:dyDescent="0.15">
      <c r="A225" s="43">
        <v>2022</v>
      </c>
      <c r="B225" s="8">
        <v>12</v>
      </c>
      <c r="C225" s="8">
        <v>1</v>
      </c>
      <c r="D225" s="8">
        <v>17</v>
      </c>
      <c r="E225" s="8" t="s">
        <v>68</v>
      </c>
      <c r="F225" s="8" t="s">
        <v>57</v>
      </c>
      <c r="G225" s="8">
        <v>2017</v>
      </c>
      <c r="H225" s="8">
        <v>12</v>
      </c>
      <c r="I225" s="8" t="s">
        <v>524</v>
      </c>
      <c r="J225" s="8" t="s">
        <v>236</v>
      </c>
      <c r="K225" s="8">
        <v>1952</v>
      </c>
      <c r="L225" s="17">
        <v>12</v>
      </c>
      <c r="M225" s="8">
        <v>1</v>
      </c>
      <c r="N225" s="8" t="s">
        <v>48</v>
      </c>
      <c r="O225" s="8" t="s">
        <v>221</v>
      </c>
      <c r="P225" s="8" t="s">
        <v>295</v>
      </c>
      <c r="Q225" s="8">
        <v>7000</v>
      </c>
      <c r="R225" s="8" t="s">
        <v>57</v>
      </c>
      <c r="S225" s="8" t="s">
        <v>52</v>
      </c>
      <c r="T225" s="8" t="s">
        <v>70</v>
      </c>
      <c r="U225" s="8" t="s">
        <v>236</v>
      </c>
      <c r="V225" s="8">
        <v>1000</v>
      </c>
      <c r="W225" s="8" t="s">
        <v>241</v>
      </c>
      <c r="X225" s="8">
        <v>3000</v>
      </c>
      <c r="Y225" s="8" t="s">
        <v>278</v>
      </c>
      <c r="Z225" s="8">
        <v>110</v>
      </c>
      <c r="AA225" s="8" t="s">
        <v>525</v>
      </c>
      <c r="AB225" s="8" t="s">
        <v>236</v>
      </c>
      <c r="AC225" s="8" t="s">
        <v>236</v>
      </c>
      <c r="AD225" s="8" t="s">
        <v>236</v>
      </c>
      <c r="AE225" s="8" t="s">
        <v>68</v>
      </c>
      <c r="AF225" s="8" t="s">
        <v>236</v>
      </c>
      <c r="AG225" s="8" t="s">
        <v>236</v>
      </c>
      <c r="AH225" s="8" t="s">
        <v>236</v>
      </c>
      <c r="AI225" s="8" t="s">
        <v>236</v>
      </c>
      <c r="AJ225" t="s">
        <v>519</v>
      </c>
      <c r="AK225">
        <v>12</v>
      </c>
      <c r="AL225">
        <v>1</v>
      </c>
      <c r="AM225" t="s">
        <v>88</v>
      </c>
      <c r="AN225" t="s">
        <v>68</v>
      </c>
      <c r="AO225" t="s">
        <v>529</v>
      </c>
      <c r="AP225" t="s">
        <v>112</v>
      </c>
      <c r="AQ225">
        <v>12</v>
      </c>
      <c r="AR225" t="s">
        <v>524</v>
      </c>
      <c r="AS225" t="s">
        <v>236</v>
      </c>
      <c r="AT225" t="s">
        <v>175</v>
      </c>
      <c r="AU225">
        <v>12</v>
      </c>
      <c r="AV225">
        <v>1</v>
      </c>
      <c r="AW225" t="s">
        <v>432</v>
      </c>
      <c r="AX225" t="s">
        <v>221</v>
      </c>
      <c r="AY225" t="s">
        <v>295</v>
      </c>
      <c r="AZ225">
        <v>3</v>
      </c>
      <c r="BA225" t="s">
        <v>435</v>
      </c>
      <c r="BB225" t="s">
        <v>431</v>
      </c>
      <c r="BC225" t="s">
        <v>419</v>
      </c>
      <c r="BD225" t="s">
        <v>236</v>
      </c>
      <c r="BE225" t="s">
        <v>437</v>
      </c>
      <c r="BF225" t="s">
        <v>530</v>
      </c>
      <c r="BG225" t="s">
        <v>433</v>
      </c>
      <c r="BH225" t="s">
        <v>420</v>
      </c>
      <c r="BI225" t="s">
        <v>520</v>
      </c>
      <c r="BJ225" t="s">
        <v>68</v>
      </c>
      <c r="BK225" t="s">
        <v>236</v>
      </c>
      <c r="BL225" t="s">
        <v>236</v>
      </c>
      <c r="BM225" t="s">
        <v>236</v>
      </c>
      <c r="BN225" t="s">
        <v>68</v>
      </c>
      <c r="BO225" t="s">
        <v>236</v>
      </c>
      <c r="BP225" t="s">
        <v>236</v>
      </c>
      <c r="BQ225" t="s">
        <v>236</v>
      </c>
      <c r="BR225" t="s">
        <v>236</v>
      </c>
      <c r="BS225" t="s">
        <v>436</v>
      </c>
      <c r="BT225">
        <v>0</v>
      </c>
    </row>
    <row r="226" spans="1:72" x14ac:dyDescent="0.15">
      <c r="A226" s="43">
        <v>2022</v>
      </c>
      <c r="B226" s="8">
        <v>12</v>
      </c>
      <c r="C226" s="8">
        <v>1</v>
      </c>
      <c r="D226" s="8">
        <v>17</v>
      </c>
      <c r="E226" s="8" t="s">
        <v>68</v>
      </c>
      <c r="F226" s="8" t="s">
        <v>57</v>
      </c>
      <c r="G226" s="8">
        <v>2016</v>
      </c>
      <c r="H226" s="8">
        <v>12</v>
      </c>
      <c r="I226" s="8" t="s">
        <v>526</v>
      </c>
      <c r="J226" s="8" t="s">
        <v>236</v>
      </c>
      <c r="K226" s="8">
        <v>1992</v>
      </c>
      <c r="L226" s="17">
        <v>12</v>
      </c>
      <c r="M226" s="8">
        <v>1</v>
      </c>
      <c r="N226" s="8" t="s">
        <v>48</v>
      </c>
      <c r="O226" s="8" t="s">
        <v>298</v>
      </c>
      <c r="P226" s="8" t="s">
        <v>224</v>
      </c>
      <c r="Q226" s="8">
        <v>3000</v>
      </c>
      <c r="R226" s="8" t="s">
        <v>57</v>
      </c>
      <c r="S226" s="8" t="s">
        <v>52</v>
      </c>
      <c r="T226" s="8" t="s">
        <v>70</v>
      </c>
      <c r="U226" s="8" t="s">
        <v>68</v>
      </c>
      <c r="V226" s="8">
        <v>1000</v>
      </c>
      <c r="W226" s="8" t="s">
        <v>241</v>
      </c>
      <c r="X226" s="8">
        <v>5000</v>
      </c>
      <c r="Y226" s="8" t="s">
        <v>278</v>
      </c>
      <c r="Z226" s="8">
        <v>80</v>
      </c>
      <c r="AA226" s="8" t="s">
        <v>525</v>
      </c>
      <c r="AB226" s="8" t="s">
        <v>236</v>
      </c>
      <c r="AC226" s="8" t="s">
        <v>236</v>
      </c>
      <c r="AD226" s="8" t="s">
        <v>236</v>
      </c>
      <c r="AE226" s="8" t="s">
        <v>68</v>
      </c>
      <c r="AF226" s="8" t="s">
        <v>236</v>
      </c>
      <c r="AG226" s="8" t="s">
        <v>236</v>
      </c>
      <c r="AH226" s="8" t="s">
        <v>236</v>
      </c>
      <c r="AI226" s="8" t="s">
        <v>236</v>
      </c>
      <c r="AJ226" t="s">
        <v>519</v>
      </c>
      <c r="AK226">
        <v>12</v>
      </c>
      <c r="AL226">
        <v>1</v>
      </c>
      <c r="AM226" t="s">
        <v>88</v>
      </c>
      <c r="AN226" t="s">
        <v>68</v>
      </c>
      <c r="AO226" t="s">
        <v>529</v>
      </c>
      <c r="AP226" t="s">
        <v>113</v>
      </c>
      <c r="AQ226">
        <v>12</v>
      </c>
      <c r="AR226" t="s">
        <v>526</v>
      </c>
      <c r="AS226" t="s">
        <v>236</v>
      </c>
      <c r="AT226" t="s">
        <v>137</v>
      </c>
      <c r="AU226">
        <v>12</v>
      </c>
      <c r="AV226">
        <v>1</v>
      </c>
      <c r="AW226" t="s">
        <v>432</v>
      </c>
      <c r="AX226" t="s">
        <v>298</v>
      </c>
      <c r="AY226" t="s">
        <v>224</v>
      </c>
      <c r="AZ226">
        <v>1</v>
      </c>
      <c r="BA226" t="s">
        <v>435</v>
      </c>
      <c r="BB226" t="s">
        <v>431</v>
      </c>
      <c r="BC226" t="s">
        <v>419</v>
      </c>
      <c r="BD226" t="s">
        <v>522</v>
      </c>
      <c r="BE226" t="s">
        <v>437</v>
      </c>
      <c r="BF226" t="s">
        <v>530</v>
      </c>
      <c r="BG226" t="s">
        <v>531</v>
      </c>
      <c r="BH226" t="s">
        <v>420</v>
      </c>
      <c r="BI226" t="s">
        <v>532</v>
      </c>
      <c r="BJ226" t="s">
        <v>68</v>
      </c>
      <c r="BK226" t="s">
        <v>236</v>
      </c>
      <c r="BL226" t="s">
        <v>236</v>
      </c>
      <c r="BM226" t="s">
        <v>236</v>
      </c>
      <c r="BN226" t="s">
        <v>68</v>
      </c>
      <c r="BO226" t="s">
        <v>236</v>
      </c>
      <c r="BP226" t="s">
        <v>236</v>
      </c>
      <c r="BQ226" t="s">
        <v>236</v>
      </c>
      <c r="BR226" t="s">
        <v>236</v>
      </c>
      <c r="BS226" t="s">
        <v>436</v>
      </c>
      <c r="BT226">
        <v>0</v>
      </c>
    </row>
    <row r="227" spans="1:72" x14ac:dyDescent="0.15">
      <c r="A227" s="43">
        <v>2022</v>
      </c>
      <c r="B227" s="8">
        <v>12</v>
      </c>
      <c r="C227" s="8">
        <v>1</v>
      </c>
      <c r="D227" s="8">
        <v>17</v>
      </c>
      <c r="E227" s="8" t="s">
        <v>68</v>
      </c>
      <c r="F227" s="8" t="s">
        <v>57</v>
      </c>
      <c r="G227" s="8">
        <v>2016</v>
      </c>
      <c r="H227" s="8">
        <v>12</v>
      </c>
      <c r="I227" s="8" t="s">
        <v>526</v>
      </c>
      <c r="J227" s="8" t="s">
        <v>236</v>
      </c>
      <c r="K227" s="8">
        <v>1987</v>
      </c>
      <c r="L227" s="17">
        <v>12</v>
      </c>
      <c r="M227" s="8">
        <v>1</v>
      </c>
      <c r="N227" s="8" t="s">
        <v>48</v>
      </c>
      <c r="O227" s="8" t="s">
        <v>298</v>
      </c>
      <c r="P227" s="8" t="s">
        <v>224</v>
      </c>
      <c r="Q227" s="8">
        <v>3000</v>
      </c>
      <c r="R227" s="8" t="s">
        <v>57</v>
      </c>
      <c r="S227" s="8" t="s">
        <v>52</v>
      </c>
      <c r="T227" s="8" t="s">
        <v>70</v>
      </c>
      <c r="U227" s="8" t="s">
        <v>68</v>
      </c>
      <c r="V227" s="8">
        <v>1000</v>
      </c>
      <c r="W227" s="8" t="s">
        <v>241</v>
      </c>
      <c r="X227" s="8">
        <v>5000</v>
      </c>
      <c r="Y227" s="8" t="s">
        <v>278</v>
      </c>
      <c r="Z227" s="8">
        <v>80</v>
      </c>
      <c r="AA227" s="8" t="s">
        <v>525</v>
      </c>
      <c r="AB227" s="8" t="s">
        <v>236</v>
      </c>
      <c r="AC227" s="8" t="s">
        <v>236</v>
      </c>
      <c r="AD227" s="8" t="s">
        <v>236</v>
      </c>
      <c r="AE227" s="8" t="s">
        <v>68</v>
      </c>
      <c r="AF227" s="8" t="s">
        <v>236</v>
      </c>
      <c r="AG227" s="8" t="s">
        <v>236</v>
      </c>
      <c r="AH227" s="8" t="s">
        <v>236</v>
      </c>
      <c r="AI227" s="8" t="s">
        <v>236</v>
      </c>
      <c r="AJ227" t="s">
        <v>519</v>
      </c>
      <c r="AK227">
        <v>12</v>
      </c>
      <c r="AL227">
        <v>1</v>
      </c>
      <c r="AM227" t="s">
        <v>88</v>
      </c>
      <c r="AN227" t="s">
        <v>68</v>
      </c>
      <c r="AO227" t="s">
        <v>529</v>
      </c>
      <c r="AP227" t="s">
        <v>113</v>
      </c>
      <c r="AQ227">
        <v>12</v>
      </c>
      <c r="AR227" t="s">
        <v>526</v>
      </c>
      <c r="AS227" t="s">
        <v>236</v>
      </c>
      <c r="AT227" t="s">
        <v>140</v>
      </c>
      <c r="AU227">
        <v>12</v>
      </c>
      <c r="AV227">
        <v>1</v>
      </c>
      <c r="AW227" t="s">
        <v>432</v>
      </c>
      <c r="AX227" t="s">
        <v>298</v>
      </c>
      <c r="AY227" t="s">
        <v>224</v>
      </c>
      <c r="AZ227">
        <v>1</v>
      </c>
      <c r="BA227" t="s">
        <v>435</v>
      </c>
      <c r="BB227" t="s">
        <v>431</v>
      </c>
      <c r="BC227" t="s">
        <v>419</v>
      </c>
      <c r="BD227" t="s">
        <v>522</v>
      </c>
      <c r="BE227" t="s">
        <v>437</v>
      </c>
      <c r="BF227" t="s">
        <v>530</v>
      </c>
      <c r="BG227" t="s">
        <v>531</v>
      </c>
      <c r="BH227" t="s">
        <v>420</v>
      </c>
      <c r="BI227" t="s">
        <v>532</v>
      </c>
      <c r="BJ227" t="s">
        <v>68</v>
      </c>
      <c r="BK227" t="s">
        <v>236</v>
      </c>
      <c r="BL227" t="s">
        <v>236</v>
      </c>
      <c r="BM227" t="s">
        <v>236</v>
      </c>
      <c r="BN227" t="s">
        <v>68</v>
      </c>
      <c r="BO227" t="s">
        <v>236</v>
      </c>
      <c r="BP227" t="s">
        <v>236</v>
      </c>
      <c r="BQ227" t="s">
        <v>236</v>
      </c>
      <c r="BR227" t="s">
        <v>236</v>
      </c>
      <c r="BS227" t="s">
        <v>436</v>
      </c>
      <c r="BT227">
        <v>0</v>
      </c>
    </row>
    <row r="228" spans="1:72" x14ac:dyDescent="0.15">
      <c r="A228" s="43">
        <v>2022</v>
      </c>
      <c r="B228" s="8">
        <v>12</v>
      </c>
      <c r="C228" s="8">
        <v>1</v>
      </c>
      <c r="D228" s="8">
        <v>17</v>
      </c>
      <c r="E228" s="8" t="s">
        <v>68</v>
      </c>
      <c r="F228" s="8" t="s">
        <v>57</v>
      </c>
      <c r="G228" s="8">
        <v>2016</v>
      </c>
      <c r="H228" s="8">
        <v>12</v>
      </c>
      <c r="I228" s="8" t="s">
        <v>526</v>
      </c>
      <c r="J228" s="8" t="s">
        <v>236</v>
      </c>
      <c r="K228" s="8">
        <v>1982</v>
      </c>
      <c r="L228" s="17">
        <v>12</v>
      </c>
      <c r="M228" s="8">
        <v>1</v>
      </c>
      <c r="N228" s="8" t="s">
        <v>48</v>
      </c>
      <c r="O228" s="8" t="s">
        <v>298</v>
      </c>
      <c r="P228" s="8" t="s">
        <v>224</v>
      </c>
      <c r="Q228" s="8">
        <v>3000</v>
      </c>
      <c r="R228" s="8" t="s">
        <v>57</v>
      </c>
      <c r="S228" s="8" t="s">
        <v>52</v>
      </c>
      <c r="T228" s="8" t="s">
        <v>70</v>
      </c>
      <c r="U228" s="8" t="s">
        <v>68</v>
      </c>
      <c r="V228" s="8">
        <v>1000</v>
      </c>
      <c r="W228" s="8" t="s">
        <v>241</v>
      </c>
      <c r="X228" s="8">
        <v>5000</v>
      </c>
      <c r="Y228" s="8" t="s">
        <v>278</v>
      </c>
      <c r="Z228" s="8">
        <v>80</v>
      </c>
      <c r="AA228" s="8" t="s">
        <v>525</v>
      </c>
      <c r="AB228" s="8" t="s">
        <v>236</v>
      </c>
      <c r="AC228" s="8" t="s">
        <v>236</v>
      </c>
      <c r="AD228" s="8" t="s">
        <v>236</v>
      </c>
      <c r="AE228" s="8" t="s">
        <v>68</v>
      </c>
      <c r="AF228" s="8" t="s">
        <v>236</v>
      </c>
      <c r="AG228" s="8" t="s">
        <v>236</v>
      </c>
      <c r="AH228" s="8" t="s">
        <v>236</v>
      </c>
      <c r="AI228" s="8" t="s">
        <v>236</v>
      </c>
      <c r="AJ228" t="s">
        <v>519</v>
      </c>
      <c r="AK228">
        <v>12</v>
      </c>
      <c r="AL228">
        <v>1</v>
      </c>
      <c r="AM228" t="s">
        <v>88</v>
      </c>
      <c r="AN228" t="s">
        <v>68</v>
      </c>
      <c r="AO228" t="s">
        <v>529</v>
      </c>
      <c r="AP228" t="s">
        <v>113</v>
      </c>
      <c r="AQ228">
        <v>12</v>
      </c>
      <c r="AR228" t="s">
        <v>526</v>
      </c>
      <c r="AS228" t="s">
        <v>236</v>
      </c>
      <c r="AT228" t="s">
        <v>145</v>
      </c>
      <c r="AU228">
        <v>12</v>
      </c>
      <c r="AV228">
        <v>1</v>
      </c>
      <c r="AW228" t="s">
        <v>432</v>
      </c>
      <c r="AX228" t="s">
        <v>298</v>
      </c>
      <c r="AY228" t="s">
        <v>224</v>
      </c>
      <c r="AZ228">
        <v>1</v>
      </c>
      <c r="BA228" t="s">
        <v>435</v>
      </c>
      <c r="BB228" t="s">
        <v>431</v>
      </c>
      <c r="BC228" t="s">
        <v>419</v>
      </c>
      <c r="BD228" t="s">
        <v>522</v>
      </c>
      <c r="BE228" t="s">
        <v>437</v>
      </c>
      <c r="BF228" t="s">
        <v>530</v>
      </c>
      <c r="BG228" t="s">
        <v>531</v>
      </c>
      <c r="BH228" t="s">
        <v>420</v>
      </c>
      <c r="BI228" t="s">
        <v>532</v>
      </c>
      <c r="BJ228" t="s">
        <v>68</v>
      </c>
      <c r="BK228" t="s">
        <v>236</v>
      </c>
      <c r="BL228" t="s">
        <v>236</v>
      </c>
      <c r="BM228" t="s">
        <v>236</v>
      </c>
      <c r="BN228" t="s">
        <v>68</v>
      </c>
      <c r="BO228" t="s">
        <v>236</v>
      </c>
      <c r="BP228" t="s">
        <v>236</v>
      </c>
      <c r="BQ228" t="s">
        <v>236</v>
      </c>
      <c r="BR228" t="s">
        <v>236</v>
      </c>
      <c r="BS228" t="s">
        <v>436</v>
      </c>
      <c r="BT228">
        <v>0</v>
      </c>
    </row>
    <row r="229" spans="1:72" x14ac:dyDescent="0.15">
      <c r="A229" s="43">
        <v>2022</v>
      </c>
      <c r="B229" s="8">
        <v>12</v>
      </c>
      <c r="C229" s="8">
        <v>1</v>
      </c>
      <c r="D229" s="8">
        <v>17</v>
      </c>
      <c r="E229" s="8" t="s">
        <v>68</v>
      </c>
      <c r="F229" s="8" t="s">
        <v>57</v>
      </c>
      <c r="G229" s="8">
        <v>2016</v>
      </c>
      <c r="H229" s="8">
        <v>12</v>
      </c>
      <c r="I229" s="8" t="s">
        <v>526</v>
      </c>
      <c r="J229" s="8" t="s">
        <v>236</v>
      </c>
      <c r="K229" s="8">
        <v>1977</v>
      </c>
      <c r="L229" s="17">
        <v>12</v>
      </c>
      <c r="M229" s="8">
        <v>1</v>
      </c>
      <c r="N229" s="8" t="s">
        <v>48</v>
      </c>
      <c r="O229" s="8" t="s">
        <v>298</v>
      </c>
      <c r="P229" s="8" t="s">
        <v>224</v>
      </c>
      <c r="Q229" s="8">
        <v>3000</v>
      </c>
      <c r="R229" s="8" t="s">
        <v>57</v>
      </c>
      <c r="S229" s="8" t="s">
        <v>52</v>
      </c>
      <c r="T229" s="8" t="s">
        <v>70</v>
      </c>
      <c r="U229" s="8" t="s">
        <v>68</v>
      </c>
      <c r="V229" s="8">
        <v>1000</v>
      </c>
      <c r="W229" s="8" t="s">
        <v>241</v>
      </c>
      <c r="X229" s="8">
        <v>5000</v>
      </c>
      <c r="Y229" s="8" t="s">
        <v>278</v>
      </c>
      <c r="Z229" s="8">
        <v>80</v>
      </c>
      <c r="AA229" s="8" t="s">
        <v>525</v>
      </c>
      <c r="AB229" s="8" t="s">
        <v>236</v>
      </c>
      <c r="AC229" s="8" t="s">
        <v>236</v>
      </c>
      <c r="AD229" s="8" t="s">
        <v>236</v>
      </c>
      <c r="AE229" s="8" t="s">
        <v>68</v>
      </c>
      <c r="AF229" s="8" t="s">
        <v>236</v>
      </c>
      <c r="AG229" s="8" t="s">
        <v>236</v>
      </c>
      <c r="AH229" s="8" t="s">
        <v>236</v>
      </c>
      <c r="AI229" s="8" t="s">
        <v>236</v>
      </c>
      <c r="AJ229" t="s">
        <v>519</v>
      </c>
      <c r="AK229">
        <v>12</v>
      </c>
      <c r="AL229">
        <v>1</v>
      </c>
      <c r="AM229" t="s">
        <v>88</v>
      </c>
      <c r="AN229" t="s">
        <v>68</v>
      </c>
      <c r="AO229" t="s">
        <v>529</v>
      </c>
      <c r="AP229" t="s">
        <v>113</v>
      </c>
      <c r="AQ229">
        <v>12</v>
      </c>
      <c r="AR229" t="s">
        <v>526</v>
      </c>
      <c r="AS229" t="s">
        <v>236</v>
      </c>
      <c r="AT229" t="s">
        <v>150</v>
      </c>
      <c r="AU229">
        <v>12</v>
      </c>
      <c r="AV229">
        <v>1</v>
      </c>
      <c r="AW229" t="s">
        <v>432</v>
      </c>
      <c r="AX229" t="s">
        <v>298</v>
      </c>
      <c r="AY229" t="s">
        <v>224</v>
      </c>
      <c r="AZ229">
        <v>1</v>
      </c>
      <c r="BA229" t="s">
        <v>435</v>
      </c>
      <c r="BB229" t="s">
        <v>431</v>
      </c>
      <c r="BC229" t="s">
        <v>419</v>
      </c>
      <c r="BD229" t="s">
        <v>522</v>
      </c>
      <c r="BE229" t="s">
        <v>437</v>
      </c>
      <c r="BF229" t="s">
        <v>530</v>
      </c>
      <c r="BG229" t="s">
        <v>531</v>
      </c>
      <c r="BH229" t="s">
        <v>420</v>
      </c>
      <c r="BI229" t="s">
        <v>532</v>
      </c>
      <c r="BJ229" t="s">
        <v>68</v>
      </c>
      <c r="BK229" t="s">
        <v>236</v>
      </c>
      <c r="BL229" t="s">
        <v>236</v>
      </c>
      <c r="BM229" t="s">
        <v>236</v>
      </c>
      <c r="BN229" t="s">
        <v>68</v>
      </c>
      <c r="BO229" t="s">
        <v>236</v>
      </c>
      <c r="BP229" t="s">
        <v>236</v>
      </c>
      <c r="BQ229" t="s">
        <v>236</v>
      </c>
      <c r="BR229" t="s">
        <v>236</v>
      </c>
      <c r="BS229" t="s">
        <v>436</v>
      </c>
      <c r="BT229">
        <v>0</v>
      </c>
    </row>
    <row r="230" spans="1:72" x14ac:dyDescent="0.15">
      <c r="A230" s="43">
        <v>2022</v>
      </c>
      <c r="B230" s="8">
        <v>12</v>
      </c>
      <c r="C230" s="8">
        <v>1</v>
      </c>
      <c r="D230" s="8">
        <v>17</v>
      </c>
      <c r="E230" s="8" t="s">
        <v>68</v>
      </c>
      <c r="F230" s="8" t="s">
        <v>57</v>
      </c>
      <c r="G230" s="8">
        <v>2016</v>
      </c>
      <c r="H230" s="8">
        <v>12</v>
      </c>
      <c r="I230" s="8" t="s">
        <v>526</v>
      </c>
      <c r="J230" s="8" t="s">
        <v>236</v>
      </c>
      <c r="K230" s="8">
        <v>1972</v>
      </c>
      <c r="L230" s="17">
        <v>12</v>
      </c>
      <c r="M230" s="8">
        <v>1</v>
      </c>
      <c r="N230" s="8" t="s">
        <v>48</v>
      </c>
      <c r="O230" s="8" t="s">
        <v>298</v>
      </c>
      <c r="P230" s="8" t="s">
        <v>224</v>
      </c>
      <c r="Q230" s="8">
        <v>3000</v>
      </c>
      <c r="R230" s="8" t="s">
        <v>57</v>
      </c>
      <c r="S230" s="8" t="s">
        <v>52</v>
      </c>
      <c r="T230" s="8" t="s">
        <v>70</v>
      </c>
      <c r="U230" s="8" t="s">
        <v>68</v>
      </c>
      <c r="V230" s="8">
        <v>1000</v>
      </c>
      <c r="W230" s="8" t="s">
        <v>241</v>
      </c>
      <c r="X230" s="8">
        <v>5000</v>
      </c>
      <c r="Y230" s="8" t="s">
        <v>278</v>
      </c>
      <c r="Z230" s="8">
        <v>80</v>
      </c>
      <c r="AA230" s="8" t="s">
        <v>525</v>
      </c>
      <c r="AB230" s="8" t="s">
        <v>236</v>
      </c>
      <c r="AC230" s="8" t="s">
        <v>236</v>
      </c>
      <c r="AD230" s="8" t="s">
        <v>236</v>
      </c>
      <c r="AE230" s="8" t="s">
        <v>68</v>
      </c>
      <c r="AF230" s="8" t="s">
        <v>236</v>
      </c>
      <c r="AG230" s="8" t="s">
        <v>236</v>
      </c>
      <c r="AH230" s="8" t="s">
        <v>236</v>
      </c>
      <c r="AI230" s="8" t="s">
        <v>236</v>
      </c>
      <c r="AJ230" t="s">
        <v>519</v>
      </c>
      <c r="AK230">
        <v>12</v>
      </c>
      <c r="AL230">
        <v>1</v>
      </c>
      <c r="AM230" t="s">
        <v>88</v>
      </c>
      <c r="AN230" t="s">
        <v>68</v>
      </c>
      <c r="AO230" t="s">
        <v>529</v>
      </c>
      <c r="AP230" t="s">
        <v>113</v>
      </c>
      <c r="AQ230">
        <v>12</v>
      </c>
      <c r="AR230" t="s">
        <v>526</v>
      </c>
      <c r="AS230" t="s">
        <v>236</v>
      </c>
      <c r="AT230" t="s">
        <v>155</v>
      </c>
      <c r="AU230">
        <v>12</v>
      </c>
      <c r="AV230">
        <v>1</v>
      </c>
      <c r="AW230" t="s">
        <v>432</v>
      </c>
      <c r="AX230" t="s">
        <v>298</v>
      </c>
      <c r="AY230" t="s">
        <v>224</v>
      </c>
      <c r="AZ230">
        <v>1</v>
      </c>
      <c r="BA230" t="s">
        <v>435</v>
      </c>
      <c r="BB230" t="s">
        <v>431</v>
      </c>
      <c r="BC230" t="s">
        <v>419</v>
      </c>
      <c r="BD230" t="s">
        <v>522</v>
      </c>
      <c r="BE230" t="s">
        <v>437</v>
      </c>
      <c r="BF230" t="s">
        <v>530</v>
      </c>
      <c r="BG230" t="s">
        <v>531</v>
      </c>
      <c r="BH230" t="s">
        <v>420</v>
      </c>
      <c r="BI230" t="s">
        <v>532</v>
      </c>
      <c r="BJ230" t="s">
        <v>68</v>
      </c>
      <c r="BK230" t="s">
        <v>236</v>
      </c>
      <c r="BL230" t="s">
        <v>236</v>
      </c>
      <c r="BM230" t="s">
        <v>236</v>
      </c>
      <c r="BN230" t="s">
        <v>68</v>
      </c>
      <c r="BO230" t="s">
        <v>236</v>
      </c>
      <c r="BP230" t="s">
        <v>236</v>
      </c>
      <c r="BQ230" t="s">
        <v>236</v>
      </c>
      <c r="BR230" t="s">
        <v>236</v>
      </c>
      <c r="BS230" t="s">
        <v>436</v>
      </c>
      <c r="BT230">
        <v>0</v>
      </c>
    </row>
    <row r="231" spans="1:72" x14ac:dyDescent="0.15">
      <c r="A231" s="43">
        <v>2022</v>
      </c>
      <c r="B231" s="8">
        <v>12</v>
      </c>
      <c r="C231" s="8">
        <v>1</v>
      </c>
      <c r="D231" s="8">
        <v>17</v>
      </c>
      <c r="E231" s="8" t="s">
        <v>68</v>
      </c>
      <c r="F231" s="8" t="s">
        <v>57</v>
      </c>
      <c r="G231" s="8">
        <v>2016</v>
      </c>
      <c r="H231" s="8">
        <v>12</v>
      </c>
      <c r="I231" s="8" t="s">
        <v>526</v>
      </c>
      <c r="J231" s="8" t="s">
        <v>236</v>
      </c>
      <c r="K231" s="8">
        <v>1962</v>
      </c>
      <c r="L231" s="17">
        <v>12</v>
      </c>
      <c r="M231" s="8">
        <v>1</v>
      </c>
      <c r="N231" s="8" t="s">
        <v>48</v>
      </c>
      <c r="O231" s="8" t="s">
        <v>298</v>
      </c>
      <c r="P231" s="8" t="s">
        <v>224</v>
      </c>
      <c r="Q231" s="8">
        <v>3000</v>
      </c>
      <c r="R231" s="8" t="s">
        <v>57</v>
      </c>
      <c r="S231" s="8" t="s">
        <v>52</v>
      </c>
      <c r="T231" s="8" t="s">
        <v>70</v>
      </c>
      <c r="U231" s="8" t="s">
        <v>68</v>
      </c>
      <c r="V231" s="8">
        <v>1000</v>
      </c>
      <c r="W231" s="8" t="s">
        <v>241</v>
      </c>
      <c r="X231" s="8">
        <v>5000</v>
      </c>
      <c r="Y231" s="8" t="s">
        <v>278</v>
      </c>
      <c r="Z231" s="8">
        <v>80</v>
      </c>
      <c r="AA231" s="8" t="s">
        <v>525</v>
      </c>
      <c r="AB231" s="8" t="s">
        <v>236</v>
      </c>
      <c r="AC231" s="8" t="s">
        <v>236</v>
      </c>
      <c r="AD231" s="8" t="s">
        <v>236</v>
      </c>
      <c r="AE231" s="8" t="s">
        <v>68</v>
      </c>
      <c r="AF231" s="8" t="s">
        <v>236</v>
      </c>
      <c r="AG231" s="8" t="s">
        <v>236</v>
      </c>
      <c r="AH231" s="8" t="s">
        <v>236</v>
      </c>
      <c r="AI231" s="8" t="s">
        <v>236</v>
      </c>
      <c r="AJ231" t="s">
        <v>519</v>
      </c>
      <c r="AK231">
        <v>12</v>
      </c>
      <c r="AL231">
        <v>1</v>
      </c>
      <c r="AM231" t="s">
        <v>88</v>
      </c>
      <c r="AN231" t="s">
        <v>68</v>
      </c>
      <c r="AO231" t="s">
        <v>529</v>
      </c>
      <c r="AP231" t="s">
        <v>113</v>
      </c>
      <c r="AQ231">
        <v>12</v>
      </c>
      <c r="AR231" t="s">
        <v>526</v>
      </c>
      <c r="AS231" t="s">
        <v>236</v>
      </c>
      <c r="AT231" t="s">
        <v>165</v>
      </c>
      <c r="AU231">
        <v>12</v>
      </c>
      <c r="AV231">
        <v>1</v>
      </c>
      <c r="AW231" t="s">
        <v>432</v>
      </c>
      <c r="AX231" t="s">
        <v>298</v>
      </c>
      <c r="AY231" t="s">
        <v>224</v>
      </c>
      <c r="AZ231">
        <v>1</v>
      </c>
      <c r="BA231" t="s">
        <v>435</v>
      </c>
      <c r="BB231" t="s">
        <v>431</v>
      </c>
      <c r="BC231" t="s">
        <v>419</v>
      </c>
      <c r="BD231" t="s">
        <v>522</v>
      </c>
      <c r="BE231" t="s">
        <v>437</v>
      </c>
      <c r="BF231" t="s">
        <v>530</v>
      </c>
      <c r="BG231" t="s">
        <v>531</v>
      </c>
      <c r="BH231" t="s">
        <v>420</v>
      </c>
      <c r="BI231" t="s">
        <v>532</v>
      </c>
      <c r="BJ231" t="s">
        <v>68</v>
      </c>
      <c r="BK231" t="s">
        <v>236</v>
      </c>
      <c r="BL231" t="s">
        <v>236</v>
      </c>
      <c r="BM231" t="s">
        <v>236</v>
      </c>
      <c r="BN231" t="s">
        <v>68</v>
      </c>
      <c r="BO231" t="s">
        <v>236</v>
      </c>
      <c r="BP231" t="s">
        <v>236</v>
      </c>
      <c r="BQ231" t="s">
        <v>236</v>
      </c>
      <c r="BR231" t="s">
        <v>236</v>
      </c>
      <c r="BS231" t="s">
        <v>436</v>
      </c>
      <c r="BT231">
        <v>0</v>
      </c>
    </row>
    <row r="232" spans="1:72" x14ac:dyDescent="0.15">
      <c r="A232" s="43">
        <v>2022</v>
      </c>
      <c r="B232" s="8">
        <v>12</v>
      </c>
      <c r="C232" s="8">
        <v>1</v>
      </c>
      <c r="D232" s="8">
        <v>17</v>
      </c>
      <c r="E232" s="8" t="s">
        <v>68</v>
      </c>
      <c r="F232" s="8" t="s">
        <v>57</v>
      </c>
      <c r="G232" s="8">
        <v>2016</v>
      </c>
      <c r="H232" s="8">
        <v>12</v>
      </c>
      <c r="I232" s="8" t="s">
        <v>526</v>
      </c>
      <c r="J232" s="8" t="s">
        <v>236</v>
      </c>
      <c r="K232" s="8">
        <v>1952</v>
      </c>
      <c r="L232" s="17">
        <v>12</v>
      </c>
      <c r="M232" s="8">
        <v>1</v>
      </c>
      <c r="N232" s="8" t="s">
        <v>48</v>
      </c>
      <c r="O232" s="8" t="s">
        <v>298</v>
      </c>
      <c r="P232" s="8" t="s">
        <v>224</v>
      </c>
      <c r="Q232" s="8">
        <v>3000</v>
      </c>
      <c r="R232" s="8" t="s">
        <v>57</v>
      </c>
      <c r="S232" s="8" t="s">
        <v>52</v>
      </c>
      <c r="T232" s="8" t="s">
        <v>70</v>
      </c>
      <c r="U232" s="8" t="s">
        <v>68</v>
      </c>
      <c r="V232" s="8">
        <v>1000</v>
      </c>
      <c r="W232" s="8" t="s">
        <v>241</v>
      </c>
      <c r="X232" s="8">
        <v>5000</v>
      </c>
      <c r="Y232" s="8" t="s">
        <v>278</v>
      </c>
      <c r="Z232" s="8">
        <v>80</v>
      </c>
      <c r="AA232" s="8" t="s">
        <v>525</v>
      </c>
      <c r="AB232" s="8" t="s">
        <v>236</v>
      </c>
      <c r="AC232" s="8" t="s">
        <v>236</v>
      </c>
      <c r="AD232" s="8" t="s">
        <v>236</v>
      </c>
      <c r="AE232" s="8" t="s">
        <v>68</v>
      </c>
      <c r="AF232" s="8" t="s">
        <v>236</v>
      </c>
      <c r="AG232" s="8" t="s">
        <v>236</v>
      </c>
      <c r="AH232" s="8" t="s">
        <v>236</v>
      </c>
      <c r="AI232" s="8" t="s">
        <v>236</v>
      </c>
      <c r="AJ232" t="s">
        <v>519</v>
      </c>
      <c r="AK232">
        <v>12</v>
      </c>
      <c r="AL232">
        <v>1</v>
      </c>
      <c r="AM232" t="s">
        <v>88</v>
      </c>
      <c r="AN232" t="s">
        <v>68</v>
      </c>
      <c r="AO232" t="s">
        <v>529</v>
      </c>
      <c r="AP232" t="s">
        <v>113</v>
      </c>
      <c r="AQ232">
        <v>12</v>
      </c>
      <c r="AR232" t="s">
        <v>526</v>
      </c>
      <c r="AS232" t="s">
        <v>236</v>
      </c>
      <c r="AT232" t="s">
        <v>175</v>
      </c>
      <c r="AU232">
        <v>12</v>
      </c>
      <c r="AV232">
        <v>1</v>
      </c>
      <c r="AW232" t="s">
        <v>432</v>
      </c>
      <c r="AX232" t="s">
        <v>298</v>
      </c>
      <c r="AY232" t="s">
        <v>224</v>
      </c>
      <c r="AZ232">
        <v>1</v>
      </c>
      <c r="BA232" t="s">
        <v>435</v>
      </c>
      <c r="BB232" t="s">
        <v>431</v>
      </c>
      <c r="BC232" t="s">
        <v>419</v>
      </c>
      <c r="BD232" t="s">
        <v>522</v>
      </c>
      <c r="BE232" t="s">
        <v>437</v>
      </c>
      <c r="BF232" t="s">
        <v>530</v>
      </c>
      <c r="BG232" t="s">
        <v>531</v>
      </c>
      <c r="BH232" t="s">
        <v>420</v>
      </c>
      <c r="BI232" t="s">
        <v>532</v>
      </c>
      <c r="BJ232" t="s">
        <v>68</v>
      </c>
      <c r="BK232" t="s">
        <v>236</v>
      </c>
      <c r="BL232" t="s">
        <v>236</v>
      </c>
      <c r="BM232" t="s">
        <v>236</v>
      </c>
      <c r="BN232" t="s">
        <v>68</v>
      </c>
      <c r="BO232" t="s">
        <v>236</v>
      </c>
      <c r="BP232" t="s">
        <v>236</v>
      </c>
      <c r="BQ232" t="s">
        <v>236</v>
      </c>
      <c r="BR232" t="s">
        <v>236</v>
      </c>
      <c r="BS232" t="s">
        <v>436</v>
      </c>
      <c r="BT232">
        <v>0</v>
      </c>
    </row>
    <row r="233" spans="1:72" x14ac:dyDescent="0.15">
      <c r="A233" s="43">
        <v>2022</v>
      </c>
      <c r="B233" s="8">
        <v>12</v>
      </c>
      <c r="C233" s="8">
        <v>1</v>
      </c>
      <c r="D233" s="8">
        <v>17</v>
      </c>
      <c r="E233" s="8" t="s">
        <v>68</v>
      </c>
      <c r="F233" s="8" t="s">
        <v>57</v>
      </c>
      <c r="G233" s="8">
        <v>2016</v>
      </c>
      <c r="H233" s="8">
        <v>12</v>
      </c>
      <c r="I233" s="8" t="s">
        <v>526</v>
      </c>
      <c r="J233" s="8" t="s">
        <v>236</v>
      </c>
      <c r="K233" s="8">
        <v>1992</v>
      </c>
      <c r="L233" s="17">
        <v>12</v>
      </c>
      <c r="M233" s="8">
        <v>1</v>
      </c>
      <c r="N233" s="8" t="s">
        <v>48</v>
      </c>
      <c r="O233" s="8" t="s">
        <v>298</v>
      </c>
      <c r="P233" s="8" t="s">
        <v>224</v>
      </c>
      <c r="Q233" s="8">
        <v>7000</v>
      </c>
      <c r="R233" s="8" t="s">
        <v>57</v>
      </c>
      <c r="S233" s="8" t="s">
        <v>52</v>
      </c>
      <c r="T233" s="8" t="s">
        <v>70</v>
      </c>
      <c r="U233" s="8" t="s">
        <v>68</v>
      </c>
      <c r="V233" s="8">
        <v>1000</v>
      </c>
      <c r="W233" s="8" t="s">
        <v>241</v>
      </c>
      <c r="X233" s="8">
        <v>5000</v>
      </c>
      <c r="Y233" s="8" t="s">
        <v>278</v>
      </c>
      <c r="Z233" s="8">
        <v>80</v>
      </c>
      <c r="AA233" s="8" t="s">
        <v>525</v>
      </c>
      <c r="AB233" s="8" t="s">
        <v>236</v>
      </c>
      <c r="AC233" s="8" t="s">
        <v>236</v>
      </c>
      <c r="AD233" s="8" t="s">
        <v>236</v>
      </c>
      <c r="AE233" s="8" t="s">
        <v>68</v>
      </c>
      <c r="AF233" s="8" t="s">
        <v>236</v>
      </c>
      <c r="AG233" s="8" t="s">
        <v>236</v>
      </c>
      <c r="AH233" s="8" t="s">
        <v>236</v>
      </c>
      <c r="AI233" s="8" t="s">
        <v>236</v>
      </c>
      <c r="AJ233" t="s">
        <v>519</v>
      </c>
      <c r="AK233">
        <v>12</v>
      </c>
      <c r="AL233">
        <v>1</v>
      </c>
      <c r="AM233" t="s">
        <v>88</v>
      </c>
      <c r="AN233" t="s">
        <v>68</v>
      </c>
      <c r="AO233" t="s">
        <v>529</v>
      </c>
      <c r="AP233" t="s">
        <v>113</v>
      </c>
      <c r="AQ233">
        <v>12</v>
      </c>
      <c r="AR233" t="s">
        <v>526</v>
      </c>
      <c r="AS233" t="s">
        <v>236</v>
      </c>
      <c r="AT233" t="s">
        <v>137</v>
      </c>
      <c r="AU233">
        <v>12</v>
      </c>
      <c r="AV233">
        <v>1</v>
      </c>
      <c r="AW233" t="s">
        <v>432</v>
      </c>
      <c r="AX233" t="s">
        <v>298</v>
      </c>
      <c r="AY233" t="s">
        <v>224</v>
      </c>
      <c r="AZ233">
        <v>3</v>
      </c>
      <c r="BA233" t="s">
        <v>435</v>
      </c>
      <c r="BB233" t="s">
        <v>431</v>
      </c>
      <c r="BC233" t="s">
        <v>419</v>
      </c>
      <c r="BD233" t="s">
        <v>522</v>
      </c>
      <c r="BE233" t="s">
        <v>437</v>
      </c>
      <c r="BF233" t="s">
        <v>530</v>
      </c>
      <c r="BG233" t="s">
        <v>531</v>
      </c>
      <c r="BH233" t="s">
        <v>420</v>
      </c>
      <c r="BI233" t="s">
        <v>532</v>
      </c>
      <c r="BJ233" t="s">
        <v>68</v>
      </c>
      <c r="BK233" t="s">
        <v>236</v>
      </c>
      <c r="BL233" t="s">
        <v>236</v>
      </c>
      <c r="BM233" t="s">
        <v>236</v>
      </c>
      <c r="BN233" t="s">
        <v>68</v>
      </c>
      <c r="BO233" t="s">
        <v>236</v>
      </c>
      <c r="BP233" t="s">
        <v>236</v>
      </c>
      <c r="BQ233" t="s">
        <v>236</v>
      </c>
      <c r="BR233" t="s">
        <v>236</v>
      </c>
      <c r="BS233" t="s">
        <v>436</v>
      </c>
      <c r="BT233">
        <v>0</v>
      </c>
    </row>
    <row r="234" spans="1:72" x14ac:dyDescent="0.15">
      <c r="A234" s="43">
        <v>2022</v>
      </c>
      <c r="B234" s="8">
        <v>12</v>
      </c>
      <c r="C234" s="8">
        <v>1</v>
      </c>
      <c r="D234" s="8">
        <v>17</v>
      </c>
      <c r="E234" s="8" t="s">
        <v>68</v>
      </c>
      <c r="F234" s="8" t="s">
        <v>57</v>
      </c>
      <c r="G234" s="8">
        <v>2016</v>
      </c>
      <c r="H234" s="8">
        <v>12</v>
      </c>
      <c r="I234" s="8" t="s">
        <v>526</v>
      </c>
      <c r="J234" s="8" t="s">
        <v>236</v>
      </c>
      <c r="K234" s="8">
        <v>1987</v>
      </c>
      <c r="L234" s="17">
        <v>12</v>
      </c>
      <c r="M234" s="8">
        <v>1</v>
      </c>
      <c r="N234" s="8" t="s">
        <v>48</v>
      </c>
      <c r="O234" s="8" t="s">
        <v>298</v>
      </c>
      <c r="P234" s="8" t="s">
        <v>224</v>
      </c>
      <c r="Q234" s="8">
        <v>7000</v>
      </c>
      <c r="R234" s="8" t="s">
        <v>57</v>
      </c>
      <c r="S234" s="8" t="s">
        <v>52</v>
      </c>
      <c r="T234" s="8" t="s">
        <v>70</v>
      </c>
      <c r="U234" s="8" t="s">
        <v>68</v>
      </c>
      <c r="V234" s="8">
        <v>1000</v>
      </c>
      <c r="W234" s="8" t="s">
        <v>241</v>
      </c>
      <c r="X234" s="8">
        <v>5000</v>
      </c>
      <c r="Y234" s="8" t="s">
        <v>278</v>
      </c>
      <c r="Z234" s="8">
        <v>80</v>
      </c>
      <c r="AA234" s="8" t="s">
        <v>525</v>
      </c>
      <c r="AB234" s="8" t="s">
        <v>236</v>
      </c>
      <c r="AC234" s="8" t="s">
        <v>236</v>
      </c>
      <c r="AD234" s="8" t="s">
        <v>236</v>
      </c>
      <c r="AE234" s="8" t="s">
        <v>68</v>
      </c>
      <c r="AF234" s="8" t="s">
        <v>236</v>
      </c>
      <c r="AG234" s="8" t="s">
        <v>236</v>
      </c>
      <c r="AH234" s="8" t="s">
        <v>236</v>
      </c>
      <c r="AI234" s="8" t="s">
        <v>236</v>
      </c>
      <c r="AJ234" t="s">
        <v>519</v>
      </c>
      <c r="AK234">
        <v>12</v>
      </c>
      <c r="AL234">
        <v>1</v>
      </c>
      <c r="AM234" t="s">
        <v>88</v>
      </c>
      <c r="AN234" t="s">
        <v>68</v>
      </c>
      <c r="AO234" t="s">
        <v>529</v>
      </c>
      <c r="AP234" t="s">
        <v>113</v>
      </c>
      <c r="AQ234">
        <v>12</v>
      </c>
      <c r="AR234" t="s">
        <v>526</v>
      </c>
      <c r="AS234" t="s">
        <v>236</v>
      </c>
      <c r="AT234" t="s">
        <v>140</v>
      </c>
      <c r="AU234">
        <v>12</v>
      </c>
      <c r="AV234">
        <v>1</v>
      </c>
      <c r="AW234" t="s">
        <v>432</v>
      </c>
      <c r="AX234" t="s">
        <v>298</v>
      </c>
      <c r="AY234" t="s">
        <v>224</v>
      </c>
      <c r="AZ234">
        <v>3</v>
      </c>
      <c r="BA234" t="s">
        <v>435</v>
      </c>
      <c r="BB234" t="s">
        <v>431</v>
      </c>
      <c r="BC234" t="s">
        <v>419</v>
      </c>
      <c r="BD234" t="s">
        <v>522</v>
      </c>
      <c r="BE234" t="s">
        <v>437</v>
      </c>
      <c r="BF234" t="s">
        <v>530</v>
      </c>
      <c r="BG234" t="s">
        <v>531</v>
      </c>
      <c r="BH234" t="s">
        <v>420</v>
      </c>
      <c r="BI234" t="s">
        <v>532</v>
      </c>
      <c r="BJ234" t="s">
        <v>68</v>
      </c>
      <c r="BK234" t="s">
        <v>236</v>
      </c>
      <c r="BL234" t="s">
        <v>236</v>
      </c>
      <c r="BM234" t="s">
        <v>236</v>
      </c>
      <c r="BN234" t="s">
        <v>68</v>
      </c>
      <c r="BO234" t="s">
        <v>236</v>
      </c>
      <c r="BP234" t="s">
        <v>236</v>
      </c>
      <c r="BQ234" t="s">
        <v>236</v>
      </c>
      <c r="BR234" t="s">
        <v>236</v>
      </c>
      <c r="BS234" t="s">
        <v>436</v>
      </c>
      <c r="BT234">
        <v>0</v>
      </c>
    </row>
    <row r="235" spans="1:72" x14ac:dyDescent="0.15">
      <c r="A235" s="43">
        <v>2022</v>
      </c>
      <c r="B235" s="8">
        <v>12</v>
      </c>
      <c r="C235" s="8">
        <v>1</v>
      </c>
      <c r="D235" s="8">
        <v>17</v>
      </c>
      <c r="E235" s="8" t="s">
        <v>68</v>
      </c>
      <c r="F235" s="8" t="s">
        <v>57</v>
      </c>
      <c r="G235" s="8">
        <v>2016</v>
      </c>
      <c r="H235" s="8">
        <v>12</v>
      </c>
      <c r="I235" s="8" t="s">
        <v>526</v>
      </c>
      <c r="J235" s="8" t="s">
        <v>236</v>
      </c>
      <c r="K235" s="8">
        <v>1982</v>
      </c>
      <c r="L235" s="17">
        <v>12</v>
      </c>
      <c r="M235" s="8">
        <v>1</v>
      </c>
      <c r="N235" s="8" t="s">
        <v>48</v>
      </c>
      <c r="O235" s="8" t="s">
        <v>298</v>
      </c>
      <c r="P235" s="8" t="s">
        <v>224</v>
      </c>
      <c r="Q235" s="8">
        <v>7000</v>
      </c>
      <c r="R235" s="8" t="s">
        <v>57</v>
      </c>
      <c r="S235" s="8" t="s">
        <v>52</v>
      </c>
      <c r="T235" s="8" t="s">
        <v>70</v>
      </c>
      <c r="U235" s="8" t="s">
        <v>68</v>
      </c>
      <c r="V235" s="8">
        <v>1000</v>
      </c>
      <c r="W235" s="8" t="s">
        <v>241</v>
      </c>
      <c r="X235" s="8">
        <v>5000</v>
      </c>
      <c r="Y235" s="8" t="s">
        <v>278</v>
      </c>
      <c r="Z235" s="8">
        <v>80</v>
      </c>
      <c r="AA235" s="8" t="s">
        <v>525</v>
      </c>
      <c r="AB235" s="8" t="s">
        <v>236</v>
      </c>
      <c r="AC235" s="8" t="s">
        <v>236</v>
      </c>
      <c r="AD235" s="8" t="s">
        <v>236</v>
      </c>
      <c r="AE235" s="8" t="s">
        <v>68</v>
      </c>
      <c r="AF235" s="8" t="s">
        <v>236</v>
      </c>
      <c r="AG235" s="8" t="s">
        <v>236</v>
      </c>
      <c r="AH235" s="8" t="s">
        <v>236</v>
      </c>
      <c r="AI235" s="8" t="s">
        <v>236</v>
      </c>
      <c r="AJ235" t="s">
        <v>519</v>
      </c>
      <c r="AK235">
        <v>12</v>
      </c>
      <c r="AL235">
        <v>1</v>
      </c>
      <c r="AM235" t="s">
        <v>88</v>
      </c>
      <c r="AN235" t="s">
        <v>68</v>
      </c>
      <c r="AO235" t="s">
        <v>529</v>
      </c>
      <c r="AP235" t="s">
        <v>113</v>
      </c>
      <c r="AQ235">
        <v>12</v>
      </c>
      <c r="AR235" t="s">
        <v>526</v>
      </c>
      <c r="AS235" t="s">
        <v>236</v>
      </c>
      <c r="AT235" t="s">
        <v>145</v>
      </c>
      <c r="AU235">
        <v>12</v>
      </c>
      <c r="AV235">
        <v>1</v>
      </c>
      <c r="AW235" t="s">
        <v>432</v>
      </c>
      <c r="AX235" t="s">
        <v>298</v>
      </c>
      <c r="AY235" t="s">
        <v>224</v>
      </c>
      <c r="AZ235">
        <v>3</v>
      </c>
      <c r="BA235" t="s">
        <v>435</v>
      </c>
      <c r="BB235" t="s">
        <v>431</v>
      </c>
      <c r="BC235" t="s">
        <v>419</v>
      </c>
      <c r="BD235" t="s">
        <v>522</v>
      </c>
      <c r="BE235" t="s">
        <v>437</v>
      </c>
      <c r="BF235" t="s">
        <v>530</v>
      </c>
      <c r="BG235" t="s">
        <v>531</v>
      </c>
      <c r="BH235" t="s">
        <v>420</v>
      </c>
      <c r="BI235" t="s">
        <v>532</v>
      </c>
      <c r="BJ235" t="s">
        <v>68</v>
      </c>
      <c r="BK235" t="s">
        <v>236</v>
      </c>
      <c r="BL235" t="s">
        <v>236</v>
      </c>
      <c r="BM235" t="s">
        <v>236</v>
      </c>
      <c r="BN235" t="s">
        <v>68</v>
      </c>
      <c r="BO235" t="s">
        <v>236</v>
      </c>
      <c r="BP235" t="s">
        <v>236</v>
      </c>
      <c r="BQ235" t="s">
        <v>236</v>
      </c>
      <c r="BR235" t="s">
        <v>236</v>
      </c>
      <c r="BS235" t="s">
        <v>436</v>
      </c>
      <c r="BT235">
        <v>0</v>
      </c>
    </row>
    <row r="236" spans="1:72" x14ac:dyDescent="0.15">
      <c r="A236" s="43">
        <v>2022</v>
      </c>
      <c r="B236" s="8">
        <v>12</v>
      </c>
      <c r="C236" s="8">
        <v>1</v>
      </c>
      <c r="D236" s="8">
        <v>17</v>
      </c>
      <c r="E236" s="8" t="s">
        <v>68</v>
      </c>
      <c r="F236" s="8" t="s">
        <v>57</v>
      </c>
      <c r="G236" s="8">
        <v>2016</v>
      </c>
      <c r="H236" s="8">
        <v>12</v>
      </c>
      <c r="I236" s="8" t="s">
        <v>526</v>
      </c>
      <c r="J236" s="8" t="s">
        <v>236</v>
      </c>
      <c r="K236" s="8">
        <v>1977</v>
      </c>
      <c r="L236" s="17">
        <v>12</v>
      </c>
      <c r="M236" s="8">
        <v>1</v>
      </c>
      <c r="N236" s="8" t="s">
        <v>48</v>
      </c>
      <c r="O236" s="8" t="s">
        <v>298</v>
      </c>
      <c r="P236" s="8" t="s">
        <v>224</v>
      </c>
      <c r="Q236" s="8">
        <v>7000</v>
      </c>
      <c r="R236" s="8" t="s">
        <v>57</v>
      </c>
      <c r="S236" s="8" t="s">
        <v>52</v>
      </c>
      <c r="T236" s="8" t="s">
        <v>70</v>
      </c>
      <c r="U236" s="8" t="s">
        <v>68</v>
      </c>
      <c r="V236" s="8">
        <v>1000</v>
      </c>
      <c r="W236" s="8" t="s">
        <v>241</v>
      </c>
      <c r="X236" s="8">
        <v>5000</v>
      </c>
      <c r="Y236" s="8" t="s">
        <v>278</v>
      </c>
      <c r="Z236" s="8">
        <v>80</v>
      </c>
      <c r="AA236" s="8" t="s">
        <v>525</v>
      </c>
      <c r="AB236" s="8" t="s">
        <v>236</v>
      </c>
      <c r="AC236" s="8" t="s">
        <v>236</v>
      </c>
      <c r="AD236" s="8" t="s">
        <v>236</v>
      </c>
      <c r="AE236" s="8" t="s">
        <v>68</v>
      </c>
      <c r="AF236" s="8" t="s">
        <v>236</v>
      </c>
      <c r="AG236" s="8" t="s">
        <v>236</v>
      </c>
      <c r="AH236" s="8" t="s">
        <v>236</v>
      </c>
      <c r="AI236" s="8" t="s">
        <v>236</v>
      </c>
      <c r="AJ236" t="s">
        <v>519</v>
      </c>
      <c r="AK236">
        <v>12</v>
      </c>
      <c r="AL236">
        <v>1</v>
      </c>
      <c r="AM236" t="s">
        <v>88</v>
      </c>
      <c r="AN236" t="s">
        <v>68</v>
      </c>
      <c r="AO236" t="s">
        <v>529</v>
      </c>
      <c r="AP236" t="s">
        <v>113</v>
      </c>
      <c r="AQ236">
        <v>12</v>
      </c>
      <c r="AR236" t="s">
        <v>526</v>
      </c>
      <c r="AS236" t="s">
        <v>236</v>
      </c>
      <c r="AT236" t="s">
        <v>150</v>
      </c>
      <c r="AU236">
        <v>12</v>
      </c>
      <c r="AV236">
        <v>1</v>
      </c>
      <c r="AW236" t="s">
        <v>432</v>
      </c>
      <c r="AX236" t="s">
        <v>298</v>
      </c>
      <c r="AY236" t="s">
        <v>224</v>
      </c>
      <c r="AZ236">
        <v>3</v>
      </c>
      <c r="BA236" t="s">
        <v>435</v>
      </c>
      <c r="BB236" t="s">
        <v>431</v>
      </c>
      <c r="BC236" t="s">
        <v>419</v>
      </c>
      <c r="BD236" t="s">
        <v>522</v>
      </c>
      <c r="BE236" t="s">
        <v>437</v>
      </c>
      <c r="BF236" t="s">
        <v>530</v>
      </c>
      <c r="BG236" t="s">
        <v>531</v>
      </c>
      <c r="BH236" t="s">
        <v>420</v>
      </c>
      <c r="BI236" t="s">
        <v>532</v>
      </c>
      <c r="BJ236" t="s">
        <v>68</v>
      </c>
      <c r="BK236" t="s">
        <v>236</v>
      </c>
      <c r="BL236" t="s">
        <v>236</v>
      </c>
      <c r="BM236" t="s">
        <v>236</v>
      </c>
      <c r="BN236" t="s">
        <v>68</v>
      </c>
      <c r="BO236" t="s">
        <v>236</v>
      </c>
      <c r="BP236" t="s">
        <v>236</v>
      </c>
      <c r="BQ236" t="s">
        <v>236</v>
      </c>
      <c r="BR236" t="s">
        <v>236</v>
      </c>
      <c r="BS236" t="s">
        <v>436</v>
      </c>
      <c r="BT236">
        <v>0</v>
      </c>
    </row>
    <row r="237" spans="1:72" x14ac:dyDescent="0.15">
      <c r="A237" s="43">
        <v>2022</v>
      </c>
      <c r="B237" s="8">
        <v>12</v>
      </c>
      <c r="C237" s="8">
        <v>1</v>
      </c>
      <c r="D237" s="8">
        <v>17</v>
      </c>
      <c r="E237" s="8" t="s">
        <v>68</v>
      </c>
      <c r="F237" s="8" t="s">
        <v>57</v>
      </c>
      <c r="G237" s="8">
        <v>2016</v>
      </c>
      <c r="H237" s="8">
        <v>12</v>
      </c>
      <c r="I237" s="8" t="s">
        <v>526</v>
      </c>
      <c r="J237" s="8" t="s">
        <v>236</v>
      </c>
      <c r="K237" s="8">
        <v>1972</v>
      </c>
      <c r="L237" s="17">
        <v>12</v>
      </c>
      <c r="M237" s="8">
        <v>1</v>
      </c>
      <c r="N237" s="8" t="s">
        <v>48</v>
      </c>
      <c r="O237" s="8" t="s">
        <v>298</v>
      </c>
      <c r="P237" s="8" t="s">
        <v>224</v>
      </c>
      <c r="Q237" s="8">
        <v>7000</v>
      </c>
      <c r="R237" s="8" t="s">
        <v>57</v>
      </c>
      <c r="S237" s="8" t="s">
        <v>52</v>
      </c>
      <c r="T237" s="8" t="s">
        <v>70</v>
      </c>
      <c r="U237" s="8" t="s">
        <v>68</v>
      </c>
      <c r="V237" s="8">
        <v>1000</v>
      </c>
      <c r="W237" s="8" t="s">
        <v>241</v>
      </c>
      <c r="X237" s="8">
        <v>5000</v>
      </c>
      <c r="Y237" s="8" t="s">
        <v>278</v>
      </c>
      <c r="Z237" s="8">
        <v>80</v>
      </c>
      <c r="AA237" s="8" t="s">
        <v>525</v>
      </c>
      <c r="AB237" s="8" t="s">
        <v>236</v>
      </c>
      <c r="AC237" s="8" t="s">
        <v>236</v>
      </c>
      <c r="AD237" s="8" t="s">
        <v>236</v>
      </c>
      <c r="AE237" s="8" t="s">
        <v>68</v>
      </c>
      <c r="AF237" s="8" t="s">
        <v>236</v>
      </c>
      <c r="AG237" s="8" t="s">
        <v>236</v>
      </c>
      <c r="AH237" s="8" t="s">
        <v>236</v>
      </c>
      <c r="AI237" s="8" t="s">
        <v>236</v>
      </c>
      <c r="AJ237" t="s">
        <v>519</v>
      </c>
      <c r="AK237">
        <v>12</v>
      </c>
      <c r="AL237">
        <v>1</v>
      </c>
      <c r="AM237" t="s">
        <v>88</v>
      </c>
      <c r="AN237" t="s">
        <v>68</v>
      </c>
      <c r="AO237" t="s">
        <v>529</v>
      </c>
      <c r="AP237" t="s">
        <v>113</v>
      </c>
      <c r="AQ237">
        <v>12</v>
      </c>
      <c r="AR237" t="s">
        <v>526</v>
      </c>
      <c r="AS237" t="s">
        <v>236</v>
      </c>
      <c r="AT237" t="s">
        <v>155</v>
      </c>
      <c r="AU237">
        <v>12</v>
      </c>
      <c r="AV237">
        <v>1</v>
      </c>
      <c r="AW237" t="s">
        <v>432</v>
      </c>
      <c r="AX237" t="s">
        <v>298</v>
      </c>
      <c r="AY237" t="s">
        <v>224</v>
      </c>
      <c r="AZ237">
        <v>3</v>
      </c>
      <c r="BA237" t="s">
        <v>435</v>
      </c>
      <c r="BB237" t="s">
        <v>431</v>
      </c>
      <c r="BC237" t="s">
        <v>419</v>
      </c>
      <c r="BD237" t="s">
        <v>522</v>
      </c>
      <c r="BE237" t="s">
        <v>437</v>
      </c>
      <c r="BF237" t="s">
        <v>530</v>
      </c>
      <c r="BG237" t="s">
        <v>531</v>
      </c>
      <c r="BH237" t="s">
        <v>420</v>
      </c>
      <c r="BI237" t="s">
        <v>532</v>
      </c>
      <c r="BJ237" t="s">
        <v>68</v>
      </c>
      <c r="BK237" t="s">
        <v>236</v>
      </c>
      <c r="BL237" t="s">
        <v>236</v>
      </c>
      <c r="BM237" t="s">
        <v>236</v>
      </c>
      <c r="BN237" t="s">
        <v>68</v>
      </c>
      <c r="BO237" t="s">
        <v>236</v>
      </c>
      <c r="BP237" t="s">
        <v>236</v>
      </c>
      <c r="BQ237" t="s">
        <v>236</v>
      </c>
      <c r="BR237" t="s">
        <v>236</v>
      </c>
      <c r="BS237" t="s">
        <v>436</v>
      </c>
      <c r="BT237">
        <v>0</v>
      </c>
    </row>
    <row r="238" spans="1:72" x14ac:dyDescent="0.15">
      <c r="A238" s="43">
        <v>2022</v>
      </c>
      <c r="B238" s="8">
        <v>12</v>
      </c>
      <c r="C238" s="8">
        <v>1</v>
      </c>
      <c r="D238" s="8">
        <v>17</v>
      </c>
      <c r="E238" s="8" t="s">
        <v>68</v>
      </c>
      <c r="F238" s="8" t="s">
        <v>57</v>
      </c>
      <c r="G238" s="8">
        <v>2016</v>
      </c>
      <c r="H238" s="8">
        <v>12</v>
      </c>
      <c r="I238" s="8" t="s">
        <v>526</v>
      </c>
      <c r="J238" s="8" t="s">
        <v>236</v>
      </c>
      <c r="K238" s="8">
        <v>1962</v>
      </c>
      <c r="L238" s="17">
        <v>12</v>
      </c>
      <c r="M238" s="8">
        <v>1</v>
      </c>
      <c r="N238" s="8" t="s">
        <v>48</v>
      </c>
      <c r="O238" s="8" t="s">
        <v>298</v>
      </c>
      <c r="P238" s="8" t="s">
        <v>224</v>
      </c>
      <c r="Q238" s="8">
        <v>7000</v>
      </c>
      <c r="R238" s="8" t="s">
        <v>57</v>
      </c>
      <c r="S238" s="8" t="s">
        <v>52</v>
      </c>
      <c r="T238" s="8" t="s">
        <v>70</v>
      </c>
      <c r="U238" s="8" t="s">
        <v>68</v>
      </c>
      <c r="V238" s="8">
        <v>1000</v>
      </c>
      <c r="W238" s="8" t="s">
        <v>241</v>
      </c>
      <c r="X238" s="8">
        <v>5000</v>
      </c>
      <c r="Y238" s="8" t="s">
        <v>278</v>
      </c>
      <c r="Z238" s="8">
        <v>80</v>
      </c>
      <c r="AA238" s="8" t="s">
        <v>525</v>
      </c>
      <c r="AB238" s="8" t="s">
        <v>236</v>
      </c>
      <c r="AC238" s="8" t="s">
        <v>236</v>
      </c>
      <c r="AD238" s="8" t="s">
        <v>236</v>
      </c>
      <c r="AE238" s="8" t="s">
        <v>68</v>
      </c>
      <c r="AF238" s="8" t="s">
        <v>236</v>
      </c>
      <c r="AG238" s="8" t="s">
        <v>236</v>
      </c>
      <c r="AH238" s="8" t="s">
        <v>236</v>
      </c>
      <c r="AI238" s="8" t="s">
        <v>236</v>
      </c>
      <c r="AJ238" t="s">
        <v>519</v>
      </c>
      <c r="AK238">
        <v>12</v>
      </c>
      <c r="AL238">
        <v>1</v>
      </c>
      <c r="AM238" t="s">
        <v>88</v>
      </c>
      <c r="AN238" t="s">
        <v>68</v>
      </c>
      <c r="AO238" t="s">
        <v>529</v>
      </c>
      <c r="AP238" t="s">
        <v>113</v>
      </c>
      <c r="AQ238">
        <v>12</v>
      </c>
      <c r="AR238" t="s">
        <v>526</v>
      </c>
      <c r="AS238" t="s">
        <v>236</v>
      </c>
      <c r="AT238" t="s">
        <v>165</v>
      </c>
      <c r="AU238">
        <v>12</v>
      </c>
      <c r="AV238">
        <v>1</v>
      </c>
      <c r="AW238" t="s">
        <v>432</v>
      </c>
      <c r="AX238" t="s">
        <v>298</v>
      </c>
      <c r="AY238" t="s">
        <v>224</v>
      </c>
      <c r="AZ238">
        <v>3</v>
      </c>
      <c r="BA238" t="s">
        <v>435</v>
      </c>
      <c r="BB238" t="s">
        <v>431</v>
      </c>
      <c r="BC238" t="s">
        <v>419</v>
      </c>
      <c r="BD238" t="s">
        <v>522</v>
      </c>
      <c r="BE238" t="s">
        <v>437</v>
      </c>
      <c r="BF238" t="s">
        <v>530</v>
      </c>
      <c r="BG238" t="s">
        <v>531</v>
      </c>
      <c r="BH238" t="s">
        <v>420</v>
      </c>
      <c r="BI238" t="s">
        <v>532</v>
      </c>
      <c r="BJ238" t="s">
        <v>68</v>
      </c>
      <c r="BK238" t="s">
        <v>236</v>
      </c>
      <c r="BL238" t="s">
        <v>236</v>
      </c>
      <c r="BM238" t="s">
        <v>236</v>
      </c>
      <c r="BN238" t="s">
        <v>68</v>
      </c>
      <c r="BO238" t="s">
        <v>236</v>
      </c>
      <c r="BP238" t="s">
        <v>236</v>
      </c>
      <c r="BQ238" t="s">
        <v>236</v>
      </c>
      <c r="BR238" t="s">
        <v>236</v>
      </c>
      <c r="BS238" t="s">
        <v>436</v>
      </c>
      <c r="BT238">
        <v>0</v>
      </c>
    </row>
    <row r="239" spans="1:72" x14ac:dyDescent="0.15">
      <c r="A239" s="43">
        <v>2022</v>
      </c>
      <c r="B239" s="8">
        <v>12</v>
      </c>
      <c r="C239" s="8">
        <v>1</v>
      </c>
      <c r="D239" s="8">
        <v>17</v>
      </c>
      <c r="E239" s="8" t="s">
        <v>68</v>
      </c>
      <c r="F239" s="8" t="s">
        <v>57</v>
      </c>
      <c r="G239" s="8">
        <v>2016</v>
      </c>
      <c r="H239" s="8">
        <v>12</v>
      </c>
      <c r="I239" s="8" t="s">
        <v>526</v>
      </c>
      <c r="J239" s="8" t="s">
        <v>236</v>
      </c>
      <c r="K239" s="8">
        <v>1952</v>
      </c>
      <c r="L239" s="17">
        <v>12</v>
      </c>
      <c r="M239" s="8">
        <v>1</v>
      </c>
      <c r="N239" s="8" t="s">
        <v>48</v>
      </c>
      <c r="O239" s="8" t="s">
        <v>298</v>
      </c>
      <c r="P239" s="8" t="s">
        <v>224</v>
      </c>
      <c r="Q239" s="8">
        <v>7000</v>
      </c>
      <c r="R239" s="8" t="s">
        <v>57</v>
      </c>
      <c r="S239" s="8" t="s">
        <v>52</v>
      </c>
      <c r="T239" s="8" t="s">
        <v>70</v>
      </c>
      <c r="U239" s="8" t="s">
        <v>68</v>
      </c>
      <c r="V239" s="8">
        <v>1000</v>
      </c>
      <c r="W239" s="8" t="s">
        <v>241</v>
      </c>
      <c r="X239" s="8">
        <v>5000</v>
      </c>
      <c r="Y239" s="8" t="s">
        <v>278</v>
      </c>
      <c r="Z239" s="8">
        <v>80</v>
      </c>
      <c r="AA239" s="8" t="s">
        <v>525</v>
      </c>
      <c r="AB239" s="8" t="s">
        <v>236</v>
      </c>
      <c r="AC239" s="8" t="s">
        <v>236</v>
      </c>
      <c r="AD239" s="8" t="s">
        <v>236</v>
      </c>
      <c r="AE239" s="8" t="s">
        <v>68</v>
      </c>
      <c r="AF239" s="8" t="s">
        <v>236</v>
      </c>
      <c r="AG239" s="8" t="s">
        <v>236</v>
      </c>
      <c r="AH239" s="8" t="s">
        <v>236</v>
      </c>
      <c r="AI239" s="8" t="s">
        <v>236</v>
      </c>
      <c r="AJ239" t="s">
        <v>519</v>
      </c>
      <c r="AK239">
        <v>12</v>
      </c>
      <c r="AL239">
        <v>1</v>
      </c>
      <c r="AM239" t="s">
        <v>88</v>
      </c>
      <c r="AN239" t="s">
        <v>68</v>
      </c>
      <c r="AO239" t="s">
        <v>529</v>
      </c>
      <c r="AP239" t="s">
        <v>113</v>
      </c>
      <c r="AQ239">
        <v>12</v>
      </c>
      <c r="AR239" t="s">
        <v>526</v>
      </c>
      <c r="AS239" t="s">
        <v>236</v>
      </c>
      <c r="AT239" t="s">
        <v>175</v>
      </c>
      <c r="AU239">
        <v>12</v>
      </c>
      <c r="AV239">
        <v>1</v>
      </c>
      <c r="AW239" t="s">
        <v>432</v>
      </c>
      <c r="AX239" t="s">
        <v>298</v>
      </c>
      <c r="AY239" t="s">
        <v>224</v>
      </c>
      <c r="AZ239">
        <v>3</v>
      </c>
      <c r="BA239" t="s">
        <v>435</v>
      </c>
      <c r="BB239" t="s">
        <v>431</v>
      </c>
      <c r="BC239" t="s">
        <v>419</v>
      </c>
      <c r="BD239" t="s">
        <v>522</v>
      </c>
      <c r="BE239" t="s">
        <v>437</v>
      </c>
      <c r="BF239" t="s">
        <v>530</v>
      </c>
      <c r="BG239" t="s">
        <v>531</v>
      </c>
      <c r="BH239" t="s">
        <v>420</v>
      </c>
      <c r="BI239" t="s">
        <v>532</v>
      </c>
      <c r="BJ239" t="s">
        <v>68</v>
      </c>
      <c r="BK239" t="s">
        <v>236</v>
      </c>
      <c r="BL239" t="s">
        <v>236</v>
      </c>
      <c r="BM239" t="s">
        <v>236</v>
      </c>
      <c r="BN239" t="s">
        <v>68</v>
      </c>
      <c r="BO239" t="s">
        <v>236</v>
      </c>
      <c r="BP239" t="s">
        <v>236</v>
      </c>
      <c r="BQ239" t="s">
        <v>236</v>
      </c>
      <c r="BR239" t="s">
        <v>236</v>
      </c>
      <c r="BS239" t="s">
        <v>436</v>
      </c>
      <c r="BT239">
        <v>0</v>
      </c>
    </row>
    <row r="240" spans="1:72" x14ac:dyDescent="0.15">
      <c r="A240" s="43">
        <v>2022</v>
      </c>
      <c r="B240" s="8">
        <v>12</v>
      </c>
      <c r="C240" s="8">
        <v>1</v>
      </c>
      <c r="D240" s="8">
        <v>17</v>
      </c>
      <c r="E240" s="8" t="s">
        <v>68</v>
      </c>
      <c r="F240" s="8" t="s">
        <v>57</v>
      </c>
      <c r="G240" s="8">
        <v>2016</v>
      </c>
      <c r="H240" s="8">
        <v>12</v>
      </c>
      <c r="I240" s="8" t="s">
        <v>526</v>
      </c>
      <c r="J240" s="8" t="s">
        <v>236</v>
      </c>
      <c r="K240" s="8">
        <v>1992</v>
      </c>
      <c r="L240" s="17">
        <v>12</v>
      </c>
      <c r="M240" s="8">
        <v>1</v>
      </c>
      <c r="N240" s="8" t="s">
        <v>48</v>
      </c>
      <c r="O240" s="8" t="s">
        <v>298</v>
      </c>
      <c r="P240" s="8" t="s">
        <v>295</v>
      </c>
      <c r="Q240" s="8">
        <v>3000</v>
      </c>
      <c r="R240" s="8" t="s">
        <v>57</v>
      </c>
      <c r="S240" s="8" t="s">
        <v>52</v>
      </c>
      <c r="T240" s="8" t="s">
        <v>70</v>
      </c>
      <c r="U240" s="8" t="s">
        <v>68</v>
      </c>
      <c r="V240" s="8">
        <v>1000</v>
      </c>
      <c r="W240" s="8" t="s">
        <v>241</v>
      </c>
      <c r="X240" s="8">
        <v>5000</v>
      </c>
      <c r="Y240" s="8" t="s">
        <v>278</v>
      </c>
      <c r="Z240" s="8">
        <v>80</v>
      </c>
      <c r="AA240" s="8" t="s">
        <v>525</v>
      </c>
      <c r="AB240" s="8" t="s">
        <v>236</v>
      </c>
      <c r="AC240" s="8" t="s">
        <v>236</v>
      </c>
      <c r="AD240" s="8" t="s">
        <v>236</v>
      </c>
      <c r="AE240" s="8" t="s">
        <v>68</v>
      </c>
      <c r="AF240" s="8" t="s">
        <v>236</v>
      </c>
      <c r="AG240" s="8" t="s">
        <v>236</v>
      </c>
      <c r="AH240" s="8" t="s">
        <v>236</v>
      </c>
      <c r="AI240" s="8" t="s">
        <v>236</v>
      </c>
      <c r="AJ240" t="s">
        <v>519</v>
      </c>
      <c r="AK240">
        <v>12</v>
      </c>
      <c r="AL240">
        <v>1</v>
      </c>
      <c r="AM240" t="s">
        <v>88</v>
      </c>
      <c r="AN240" t="s">
        <v>68</v>
      </c>
      <c r="AO240" t="s">
        <v>529</v>
      </c>
      <c r="AP240" t="s">
        <v>113</v>
      </c>
      <c r="AQ240">
        <v>12</v>
      </c>
      <c r="AR240" t="s">
        <v>526</v>
      </c>
      <c r="AS240" t="s">
        <v>236</v>
      </c>
      <c r="AT240" t="s">
        <v>137</v>
      </c>
      <c r="AU240">
        <v>12</v>
      </c>
      <c r="AV240">
        <v>1</v>
      </c>
      <c r="AW240" t="s">
        <v>432</v>
      </c>
      <c r="AX240" t="s">
        <v>298</v>
      </c>
      <c r="AY240" t="s">
        <v>295</v>
      </c>
      <c r="AZ240">
        <v>1</v>
      </c>
      <c r="BA240" t="s">
        <v>435</v>
      </c>
      <c r="BB240" t="s">
        <v>431</v>
      </c>
      <c r="BC240" t="s">
        <v>419</v>
      </c>
      <c r="BD240" t="s">
        <v>522</v>
      </c>
      <c r="BE240" t="s">
        <v>437</v>
      </c>
      <c r="BF240" t="s">
        <v>530</v>
      </c>
      <c r="BG240" t="s">
        <v>531</v>
      </c>
      <c r="BH240" t="s">
        <v>420</v>
      </c>
      <c r="BI240" t="s">
        <v>532</v>
      </c>
      <c r="BJ240" t="s">
        <v>68</v>
      </c>
      <c r="BK240" t="s">
        <v>236</v>
      </c>
      <c r="BL240" t="s">
        <v>236</v>
      </c>
      <c r="BM240" t="s">
        <v>236</v>
      </c>
      <c r="BN240" t="s">
        <v>68</v>
      </c>
      <c r="BO240" t="s">
        <v>236</v>
      </c>
      <c r="BP240" t="s">
        <v>236</v>
      </c>
      <c r="BQ240" t="s">
        <v>236</v>
      </c>
      <c r="BR240" t="s">
        <v>236</v>
      </c>
      <c r="BS240" t="s">
        <v>436</v>
      </c>
      <c r="BT240">
        <v>0</v>
      </c>
    </row>
    <row r="241" spans="1:72" x14ac:dyDescent="0.15">
      <c r="A241" s="43">
        <v>2022</v>
      </c>
      <c r="B241" s="8">
        <v>12</v>
      </c>
      <c r="C241" s="8">
        <v>1</v>
      </c>
      <c r="D241" s="8">
        <v>17</v>
      </c>
      <c r="E241" s="8" t="s">
        <v>68</v>
      </c>
      <c r="F241" s="8" t="s">
        <v>57</v>
      </c>
      <c r="G241" s="8">
        <v>2016</v>
      </c>
      <c r="H241" s="8">
        <v>12</v>
      </c>
      <c r="I241" s="8" t="s">
        <v>526</v>
      </c>
      <c r="J241" s="8" t="s">
        <v>236</v>
      </c>
      <c r="K241" s="8">
        <v>1987</v>
      </c>
      <c r="L241" s="17">
        <v>12</v>
      </c>
      <c r="M241" s="8">
        <v>1</v>
      </c>
      <c r="N241" s="8" t="s">
        <v>48</v>
      </c>
      <c r="O241" s="8" t="s">
        <v>298</v>
      </c>
      <c r="P241" s="8" t="s">
        <v>295</v>
      </c>
      <c r="Q241" s="8">
        <v>3000</v>
      </c>
      <c r="R241" s="8" t="s">
        <v>57</v>
      </c>
      <c r="S241" s="8" t="s">
        <v>52</v>
      </c>
      <c r="T241" s="8" t="s">
        <v>70</v>
      </c>
      <c r="U241" s="8" t="s">
        <v>68</v>
      </c>
      <c r="V241" s="8">
        <v>1000</v>
      </c>
      <c r="W241" s="8" t="s">
        <v>241</v>
      </c>
      <c r="X241" s="8">
        <v>5000</v>
      </c>
      <c r="Y241" s="8" t="s">
        <v>278</v>
      </c>
      <c r="Z241" s="8">
        <v>80</v>
      </c>
      <c r="AA241" s="8" t="s">
        <v>525</v>
      </c>
      <c r="AB241" s="8" t="s">
        <v>236</v>
      </c>
      <c r="AC241" s="8" t="s">
        <v>236</v>
      </c>
      <c r="AD241" s="8" t="s">
        <v>236</v>
      </c>
      <c r="AE241" s="8" t="s">
        <v>68</v>
      </c>
      <c r="AF241" s="8" t="s">
        <v>236</v>
      </c>
      <c r="AG241" s="8" t="s">
        <v>236</v>
      </c>
      <c r="AH241" s="8" t="s">
        <v>236</v>
      </c>
      <c r="AI241" s="8" t="s">
        <v>236</v>
      </c>
      <c r="AJ241" t="s">
        <v>519</v>
      </c>
      <c r="AK241">
        <v>12</v>
      </c>
      <c r="AL241">
        <v>1</v>
      </c>
      <c r="AM241" t="s">
        <v>88</v>
      </c>
      <c r="AN241" t="s">
        <v>68</v>
      </c>
      <c r="AO241" t="s">
        <v>529</v>
      </c>
      <c r="AP241" t="s">
        <v>113</v>
      </c>
      <c r="AQ241">
        <v>12</v>
      </c>
      <c r="AR241" t="s">
        <v>526</v>
      </c>
      <c r="AS241" t="s">
        <v>236</v>
      </c>
      <c r="AT241" t="s">
        <v>140</v>
      </c>
      <c r="AU241">
        <v>12</v>
      </c>
      <c r="AV241">
        <v>1</v>
      </c>
      <c r="AW241" t="s">
        <v>432</v>
      </c>
      <c r="AX241" t="s">
        <v>298</v>
      </c>
      <c r="AY241" t="s">
        <v>295</v>
      </c>
      <c r="AZ241">
        <v>1</v>
      </c>
      <c r="BA241" t="s">
        <v>435</v>
      </c>
      <c r="BB241" t="s">
        <v>431</v>
      </c>
      <c r="BC241" t="s">
        <v>419</v>
      </c>
      <c r="BD241" t="s">
        <v>522</v>
      </c>
      <c r="BE241" t="s">
        <v>437</v>
      </c>
      <c r="BF241" t="s">
        <v>530</v>
      </c>
      <c r="BG241" t="s">
        <v>531</v>
      </c>
      <c r="BH241" t="s">
        <v>420</v>
      </c>
      <c r="BI241" t="s">
        <v>532</v>
      </c>
      <c r="BJ241" t="s">
        <v>68</v>
      </c>
      <c r="BK241" t="s">
        <v>236</v>
      </c>
      <c r="BL241" t="s">
        <v>236</v>
      </c>
      <c r="BM241" t="s">
        <v>236</v>
      </c>
      <c r="BN241" t="s">
        <v>68</v>
      </c>
      <c r="BO241" t="s">
        <v>236</v>
      </c>
      <c r="BP241" t="s">
        <v>236</v>
      </c>
      <c r="BQ241" t="s">
        <v>236</v>
      </c>
      <c r="BR241" t="s">
        <v>236</v>
      </c>
      <c r="BS241" t="s">
        <v>436</v>
      </c>
      <c r="BT241">
        <v>0</v>
      </c>
    </row>
    <row r="242" spans="1:72" x14ac:dyDescent="0.15">
      <c r="A242" s="43">
        <v>2022</v>
      </c>
      <c r="B242" s="8">
        <v>12</v>
      </c>
      <c r="C242" s="8">
        <v>1</v>
      </c>
      <c r="D242" s="8">
        <v>17</v>
      </c>
      <c r="E242" s="8" t="s">
        <v>68</v>
      </c>
      <c r="F242" s="8" t="s">
        <v>57</v>
      </c>
      <c r="G242" s="8">
        <v>2016</v>
      </c>
      <c r="H242" s="8">
        <v>12</v>
      </c>
      <c r="I242" s="8" t="s">
        <v>526</v>
      </c>
      <c r="J242" s="8" t="s">
        <v>236</v>
      </c>
      <c r="K242" s="8">
        <v>1982</v>
      </c>
      <c r="L242" s="17">
        <v>12</v>
      </c>
      <c r="M242" s="8">
        <v>1</v>
      </c>
      <c r="N242" s="8" t="s">
        <v>48</v>
      </c>
      <c r="O242" s="8" t="s">
        <v>298</v>
      </c>
      <c r="P242" s="8" t="s">
        <v>295</v>
      </c>
      <c r="Q242" s="8">
        <v>3000</v>
      </c>
      <c r="R242" s="8" t="s">
        <v>57</v>
      </c>
      <c r="S242" s="8" t="s">
        <v>52</v>
      </c>
      <c r="T242" s="8" t="s">
        <v>70</v>
      </c>
      <c r="U242" s="8" t="s">
        <v>68</v>
      </c>
      <c r="V242" s="8">
        <v>1000</v>
      </c>
      <c r="W242" s="8" t="s">
        <v>241</v>
      </c>
      <c r="X242" s="8">
        <v>5000</v>
      </c>
      <c r="Y242" s="8" t="s">
        <v>278</v>
      </c>
      <c r="Z242" s="8">
        <v>80</v>
      </c>
      <c r="AA242" s="8" t="s">
        <v>525</v>
      </c>
      <c r="AB242" s="8" t="s">
        <v>236</v>
      </c>
      <c r="AC242" s="8" t="s">
        <v>236</v>
      </c>
      <c r="AD242" s="8" t="s">
        <v>236</v>
      </c>
      <c r="AE242" s="8" t="s">
        <v>68</v>
      </c>
      <c r="AF242" s="8" t="s">
        <v>236</v>
      </c>
      <c r="AG242" s="8" t="s">
        <v>236</v>
      </c>
      <c r="AH242" s="8" t="s">
        <v>236</v>
      </c>
      <c r="AI242" s="8" t="s">
        <v>236</v>
      </c>
      <c r="AJ242" t="s">
        <v>519</v>
      </c>
      <c r="AK242">
        <v>12</v>
      </c>
      <c r="AL242">
        <v>1</v>
      </c>
      <c r="AM242" t="s">
        <v>88</v>
      </c>
      <c r="AN242" t="s">
        <v>68</v>
      </c>
      <c r="AO242" t="s">
        <v>529</v>
      </c>
      <c r="AP242" t="s">
        <v>113</v>
      </c>
      <c r="AQ242">
        <v>12</v>
      </c>
      <c r="AR242" t="s">
        <v>526</v>
      </c>
      <c r="AS242" t="s">
        <v>236</v>
      </c>
      <c r="AT242" t="s">
        <v>145</v>
      </c>
      <c r="AU242">
        <v>12</v>
      </c>
      <c r="AV242">
        <v>1</v>
      </c>
      <c r="AW242" t="s">
        <v>432</v>
      </c>
      <c r="AX242" t="s">
        <v>298</v>
      </c>
      <c r="AY242" t="s">
        <v>295</v>
      </c>
      <c r="AZ242">
        <v>1</v>
      </c>
      <c r="BA242" t="s">
        <v>435</v>
      </c>
      <c r="BB242" t="s">
        <v>431</v>
      </c>
      <c r="BC242" t="s">
        <v>419</v>
      </c>
      <c r="BD242" t="s">
        <v>522</v>
      </c>
      <c r="BE242" t="s">
        <v>437</v>
      </c>
      <c r="BF242" t="s">
        <v>530</v>
      </c>
      <c r="BG242" t="s">
        <v>531</v>
      </c>
      <c r="BH242" t="s">
        <v>420</v>
      </c>
      <c r="BI242" t="s">
        <v>532</v>
      </c>
      <c r="BJ242" t="s">
        <v>68</v>
      </c>
      <c r="BK242" t="s">
        <v>236</v>
      </c>
      <c r="BL242" t="s">
        <v>236</v>
      </c>
      <c r="BM242" t="s">
        <v>236</v>
      </c>
      <c r="BN242" t="s">
        <v>68</v>
      </c>
      <c r="BO242" t="s">
        <v>236</v>
      </c>
      <c r="BP242" t="s">
        <v>236</v>
      </c>
      <c r="BQ242" t="s">
        <v>236</v>
      </c>
      <c r="BR242" t="s">
        <v>236</v>
      </c>
      <c r="BS242" t="s">
        <v>436</v>
      </c>
      <c r="BT242">
        <v>0</v>
      </c>
    </row>
    <row r="243" spans="1:72" x14ac:dyDescent="0.15">
      <c r="A243" s="43">
        <v>2022</v>
      </c>
      <c r="B243" s="8">
        <v>12</v>
      </c>
      <c r="C243" s="8">
        <v>1</v>
      </c>
      <c r="D243" s="8">
        <v>17</v>
      </c>
      <c r="E243" s="8" t="s">
        <v>68</v>
      </c>
      <c r="F243" s="8" t="s">
        <v>57</v>
      </c>
      <c r="G243" s="8">
        <v>2016</v>
      </c>
      <c r="H243" s="8">
        <v>12</v>
      </c>
      <c r="I243" s="8" t="s">
        <v>526</v>
      </c>
      <c r="J243" s="8" t="s">
        <v>236</v>
      </c>
      <c r="K243" s="8">
        <v>1977</v>
      </c>
      <c r="L243" s="17">
        <v>12</v>
      </c>
      <c r="M243" s="8">
        <v>1</v>
      </c>
      <c r="N243" s="8" t="s">
        <v>48</v>
      </c>
      <c r="O243" s="8" t="s">
        <v>298</v>
      </c>
      <c r="P243" s="8" t="s">
        <v>295</v>
      </c>
      <c r="Q243" s="8">
        <v>3000</v>
      </c>
      <c r="R243" s="8" t="s">
        <v>57</v>
      </c>
      <c r="S243" s="8" t="s">
        <v>52</v>
      </c>
      <c r="T243" s="8" t="s">
        <v>70</v>
      </c>
      <c r="U243" s="8" t="s">
        <v>68</v>
      </c>
      <c r="V243" s="8">
        <v>1000</v>
      </c>
      <c r="W243" s="8" t="s">
        <v>241</v>
      </c>
      <c r="X243" s="8">
        <v>5000</v>
      </c>
      <c r="Y243" s="8" t="s">
        <v>278</v>
      </c>
      <c r="Z243" s="8">
        <v>80</v>
      </c>
      <c r="AA243" s="8" t="s">
        <v>525</v>
      </c>
      <c r="AB243" s="8" t="s">
        <v>236</v>
      </c>
      <c r="AC243" s="8" t="s">
        <v>236</v>
      </c>
      <c r="AD243" s="8" t="s">
        <v>236</v>
      </c>
      <c r="AE243" s="8" t="s">
        <v>68</v>
      </c>
      <c r="AF243" s="8" t="s">
        <v>236</v>
      </c>
      <c r="AG243" s="8" t="s">
        <v>236</v>
      </c>
      <c r="AH243" s="8" t="s">
        <v>236</v>
      </c>
      <c r="AI243" s="8" t="s">
        <v>236</v>
      </c>
      <c r="AJ243" t="s">
        <v>519</v>
      </c>
      <c r="AK243">
        <v>12</v>
      </c>
      <c r="AL243">
        <v>1</v>
      </c>
      <c r="AM243" t="s">
        <v>88</v>
      </c>
      <c r="AN243" t="s">
        <v>68</v>
      </c>
      <c r="AO243" t="s">
        <v>529</v>
      </c>
      <c r="AP243" t="s">
        <v>113</v>
      </c>
      <c r="AQ243">
        <v>12</v>
      </c>
      <c r="AR243" t="s">
        <v>526</v>
      </c>
      <c r="AS243" t="s">
        <v>236</v>
      </c>
      <c r="AT243" t="s">
        <v>150</v>
      </c>
      <c r="AU243">
        <v>12</v>
      </c>
      <c r="AV243">
        <v>1</v>
      </c>
      <c r="AW243" t="s">
        <v>432</v>
      </c>
      <c r="AX243" t="s">
        <v>298</v>
      </c>
      <c r="AY243" t="s">
        <v>295</v>
      </c>
      <c r="AZ243">
        <v>1</v>
      </c>
      <c r="BA243" t="s">
        <v>435</v>
      </c>
      <c r="BB243" t="s">
        <v>431</v>
      </c>
      <c r="BC243" t="s">
        <v>419</v>
      </c>
      <c r="BD243" t="s">
        <v>522</v>
      </c>
      <c r="BE243" t="s">
        <v>437</v>
      </c>
      <c r="BF243" t="s">
        <v>530</v>
      </c>
      <c r="BG243" t="s">
        <v>531</v>
      </c>
      <c r="BH243" t="s">
        <v>420</v>
      </c>
      <c r="BI243" t="s">
        <v>532</v>
      </c>
      <c r="BJ243" t="s">
        <v>68</v>
      </c>
      <c r="BK243" t="s">
        <v>236</v>
      </c>
      <c r="BL243" t="s">
        <v>236</v>
      </c>
      <c r="BM243" t="s">
        <v>236</v>
      </c>
      <c r="BN243" t="s">
        <v>68</v>
      </c>
      <c r="BO243" t="s">
        <v>236</v>
      </c>
      <c r="BP243" t="s">
        <v>236</v>
      </c>
      <c r="BQ243" t="s">
        <v>236</v>
      </c>
      <c r="BR243" t="s">
        <v>236</v>
      </c>
      <c r="BS243" t="s">
        <v>436</v>
      </c>
      <c r="BT243">
        <v>0</v>
      </c>
    </row>
    <row r="244" spans="1:72" x14ac:dyDescent="0.15">
      <c r="A244" s="43">
        <v>2022</v>
      </c>
      <c r="B244" s="8">
        <v>12</v>
      </c>
      <c r="C244" s="8">
        <v>1</v>
      </c>
      <c r="D244" s="8">
        <v>17</v>
      </c>
      <c r="E244" s="8" t="s">
        <v>68</v>
      </c>
      <c r="F244" s="8" t="s">
        <v>57</v>
      </c>
      <c r="G244" s="8">
        <v>2016</v>
      </c>
      <c r="H244" s="8">
        <v>12</v>
      </c>
      <c r="I244" s="8" t="s">
        <v>526</v>
      </c>
      <c r="J244" s="8" t="s">
        <v>236</v>
      </c>
      <c r="K244" s="8">
        <v>1972</v>
      </c>
      <c r="L244" s="17">
        <v>12</v>
      </c>
      <c r="M244" s="8">
        <v>1</v>
      </c>
      <c r="N244" s="8" t="s">
        <v>48</v>
      </c>
      <c r="O244" s="8" t="s">
        <v>298</v>
      </c>
      <c r="P244" s="8" t="s">
        <v>295</v>
      </c>
      <c r="Q244" s="8">
        <v>3000</v>
      </c>
      <c r="R244" s="8" t="s">
        <v>57</v>
      </c>
      <c r="S244" s="8" t="s">
        <v>52</v>
      </c>
      <c r="T244" s="8" t="s">
        <v>70</v>
      </c>
      <c r="U244" s="8" t="s">
        <v>68</v>
      </c>
      <c r="V244" s="8">
        <v>1000</v>
      </c>
      <c r="W244" s="8" t="s">
        <v>241</v>
      </c>
      <c r="X244" s="8">
        <v>5000</v>
      </c>
      <c r="Y244" s="8" t="s">
        <v>278</v>
      </c>
      <c r="Z244" s="8">
        <v>80</v>
      </c>
      <c r="AA244" s="8" t="s">
        <v>525</v>
      </c>
      <c r="AB244" s="8" t="s">
        <v>236</v>
      </c>
      <c r="AC244" s="8" t="s">
        <v>236</v>
      </c>
      <c r="AD244" s="8" t="s">
        <v>236</v>
      </c>
      <c r="AE244" s="8" t="s">
        <v>68</v>
      </c>
      <c r="AF244" s="8" t="s">
        <v>236</v>
      </c>
      <c r="AG244" s="8" t="s">
        <v>236</v>
      </c>
      <c r="AH244" s="8" t="s">
        <v>236</v>
      </c>
      <c r="AI244" s="8" t="s">
        <v>236</v>
      </c>
      <c r="AJ244" t="s">
        <v>519</v>
      </c>
      <c r="AK244">
        <v>12</v>
      </c>
      <c r="AL244">
        <v>1</v>
      </c>
      <c r="AM244" t="s">
        <v>88</v>
      </c>
      <c r="AN244" t="s">
        <v>68</v>
      </c>
      <c r="AO244" t="s">
        <v>529</v>
      </c>
      <c r="AP244" t="s">
        <v>113</v>
      </c>
      <c r="AQ244">
        <v>12</v>
      </c>
      <c r="AR244" t="s">
        <v>526</v>
      </c>
      <c r="AS244" t="s">
        <v>236</v>
      </c>
      <c r="AT244" t="s">
        <v>155</v>
      </c>
      <c r="AU244">
        <v>12</v>
      </c>
      <c r="AV244">
        <v>1</v>
      </c>
      <c r="AW244" t="s">
        <v>432</v>
      </c>
      <c r="AX244" t="s">
        <v>298</v>
      </c>
      <c r="AY244" t="s">
        <v>295</v>
      </c>
      <c r="AZ244">
        <v>1</v>
      </c>
      <c r="BA244" t="s">
        <v>435</v>
      </c>
      <c r="BB244" t="s">
        <v>431</v>
      </c>
      <c r="BC244" t="s">
        <v>419</v>
      </c>
      <c r="BD244" t="s">
        <v>522</v>
      </c>
      <c r="BE244" t="s">
        <v>437</v>
      </c>
      <c r="BF244" t="s">
        <v>530</v>
      </c>
      <c r="BG244" t="s">
        <v>531</v>
      </c>
      <c r="BH244" t="s">
        <v>420</v>
      </c>
      <c r="BI244" t="s">
        <v>532</v>
      </c>
      <c r="BJ244" t="s">
        <v>68</v>
      </c>
      <c r="BK244" t="s">
        <v>236</v>
      </c>
      <c r="BL244" t="s">
        <v>236</v>
      </c>
      <c r="BM244" t="s">
        <v>236</v>
      </c>
      <c r="BN244" t="s">
        <v>68</v>
      </c>
      <c r="BO244" t="s">
        <v>236</v>
      </c>
      <c r="BP244" t="s">
        <v>236</v>
      </c>
      <c r="BQ244" t="s">
        <v>236</v>
      </c>
      <c r="BR244" t="s">
        <v>236</v>
      </c>
      <c r="BS244" t="s">
        <v>436</v>
      </c>
      <c r="BT244">
        <v>0</v>
      </c>
    </row>
    <row r="245" spans="1:72" x14ac:dyDescent="0.15">
      <c r="A245" s="43">
        <v>2022</v>
      </c>
      <c r="B245" s="8">
        <v>12</v>
      </c>
      <c r="C245" s="8">
        <v>1</v>
      </c>
      <c r="D245" s="8">
        <v>17</v>
      </c>
      <c r="E245" s="8" t="s">
        <v>68</v>
      </c>
      <c r="F245" s="8" t="s">
        <v>57</v>
      </c>
      <c r="G245" s="8">
        <v>2016</v>
      </c>
      <c r="H245" s="8">
        <v>12</v>
      </c>
      <c r="I245" s="8" t="s">
        <v>526</v>
      </c>
      <c r="J245" s="8" t="s">
        <v>236</v>
      </c>
      <c r="K245" s="8">
        <v>1962</v>
      </c>
      <c r="L245" s="17">
        <v>12</v>
      </c>
      <c r="M245" s="8">
        <v>1</v>
      </c>
      <c r="N245" s="8" t="s">
        <v>48</v>
      </c>
      <c r="O245" s="8" t="s">
        <v>298</v>
      </c>
      <c r="P245" s="8" t="s">
        <v>295</v>
      </c>
      <c r="Q245" s="8">
        <v>3000</v>
      </c>
      <c r="R245" s="8" t="s">
        <v>57</v>
      </c>
      <c r="S245" s="8" t="s">
        <v>52</v>
      </c>
      <c r="T245" s="8" t="s">
        <v>70</v>
      </c>
      <c r="U245" s="8" t="s">
        <v>68</v>
      </c>
      <c r="V245" s="8">
        <v>1000</v>
      </c>
      <c r="W245" s="8" t="s">
        <v>241</v>
      </c>
      <c r="X245" s="8">
        <v>5000</v>
      </c>
      <c r="Y245" s="8" t="s">
        <v>278</v>
      </c>
      <c r="Z245" s="8">
        <v>80</v>
      </c>
      <c r="AA245" s="8" t="s">
        <v>525</v>
      </c>
      <c r="AB245" s="8" t="s">
        <v>236</v>
      </c>
      <c r="AC245" s="8" t="s">
        <v>236</v>
      </c>
      <c r="AD245" s="8" t="s">
        <v>236</v>
      </c>
      <c r="AE245" s="8" t="s">
        <v>68</v>
      </c>
      <c r="AF245" s="8" t="s">
        <v>236</v>
      </c>
      <c r="AG245" s="8" t="s">
        <v>236</v>
      </c>
      <c r="AH245" s="8" t="s">
        <v>236</v>
      </c>
      <c r="AI245" s="8" t="s">
        <v>236</v>
      </c>
      <c r="AJ245" t="s">
        <v>519</v>
      </c>
      <c r="AK245">
        <v>12</v>
      </c>
      <c r="AL245">
        <v>1</v>
      </c>
      <c r="AM245" t="s">
        <v>88</v>
      </c>
      <c r="AN245" t="s">
        <v>68</v>
      </c>
      <c r="AO245" t="s">
        <v>529</v>
      </c>
      <c r="AP245" t="s">
        <v>113</v>
      </c>
      <c r="AQ245">
        <v>12</v>
      </c>
      <c r="AR245" t="s">
        <v>526</v>
      </c>
      <c r="AS245" t="s">
        <v>236</v>
      </c>
      <c r="AT245" t="s">
        <v>165</v>
      </c>
      <c r="AU245">
        <v>12</v>
      </c>
      <c r="AV245">
        <v>1</v>
      </c>
      <c r="AW245" t="s">
        <v>432</v>
      </c>
      <c r="AX245" t="s">
        <v>298</v>
      </c>
      <c r="AY245" t="s">
        <v>295</v>
      </c>
      <c r="AZ245">
        <v>1</v>
      </c>
      <c r="BA245" t="s">
        <v>435</v>
      </c>
      <c r="BB245" t="s">
        <v>431</v>
      </c>
      <c r="BC245" t="s">
        <v>419</v>
      </c>
      <c r="BD245" t="s">
        <v>522</v>
      </c>
      <c r="BE245" t="s">
        <v>437</v>
      </c>
      <c r="BF245" t="s">
        <v>530</v>
      </c>
      <c r="BG245" t="s">
        <v>531</v>
      </c>
      <c r="BH245" t="s">
        <v>420</v>
      </c>
      <c r="BI245" t="s">
        <v>532</v>
      </c>
      <c r="BJ245" t="s">
        <v>68</v>
      </c>
      <c r="BK245" t="s">
        <v>236</v>
      </c>
      <c r="BL245" t="s">
        <v>236</v>
      </c>
      <c r="BM245" t="s">
        <v>236</v>
      </c>
      <c r="BN245" t="s">
        <v>68</v>
      </c>
      <c r="BO245" t="s">
        <v>236</v>
      </c>
      <c r="BP245" t="s">
        <v>236</v>
      </c>
      <c r="BQ245" t="s">
        <v>236</v>
      </c>
      <c r="BR245" t="s">
        <v>236</v>
      </c>
      <c r="BS245" t="s">
        <v>436</v>
      </c>
      <c r="BT245">
        <v>0</v>
      </c>
    </row>
    <row r="246" spans="1:72" x14ac:dyDescent="0.15">
      <c r="A246" s="43">
        <v>2022</v>
      </c>
      <c r="B246" s="8">
        <v>12</v>
      </c>
      <c r="C246" s="8">
        <v>1</v>
      </c>
      <c r="D246" s="8">
        <v>17</v>
      </c>
      <c r="E246" s="8" t="s">
        <v>68</v>
      </c>
      <c r="F246" s="8" t="s">
        <v>57</v>
      </c>
      <c r="G246" s="8">
        <v>2016</v>
      </c>
      <c r="H246" s="8">
        <v>12</v>
      </c>
      <c r="I246" s="8" t="s">
        <v>526</v>
      </c>
      <c r="J246" s="8" t="s">
        <v>236</v>
      </c>
      <c r="K246" s="8">
        <v>1952</v>
      </c>
      <c r="L246" s="17">
        <v>12</v>
      </c>
      <c r="M246" s="8">
        <v>1</v>
      </c>
      <c r="N246" s="8" t="s">
        <v>48</v>
      </c>
      <c r="O246" s="8" t="s">
        <v>298</v>
      </c>
      <c r="P246" s="8" t="s">
        <v>295</v>
      </c>
      <c r="Q246" s="8">
        <v>3000</v>
      </c>
      <c r="R246" s="8" t="s">
        <v>57</v>
      </c>
      <c r="S246" s="8" t="s">
        <v>52</v>
      </c>
      <c r="T246" s="8" t="s">
        <v>70</v>
      </c>
      <c r="U246" s="8" t="s">
        <v>68</v>
      </c>
      <c r="V246" s="8">
        <v>1000</v>
      </c>
      <c r="W246" s="8" t="s">
        <v>241</v>
      </c>
      <c r="X246" s="8">
        <v>5000</v>
      </c>
      <c r="Y246" s="8" t="s">
        <v>278</v>
      </c>
      <c r="Z246" s="8">
        <v>80</v>
      </c>
      <c r="AA246" s="8" t="s">
        <v>525</v>
      </c>
      <c r="AB246" s="8" t="s">
        <v>236</v>
      </c>
      <c r="AC246" s="8" t="s">
        <v>236</v>
      </c>
      <c r="AD246" s="8" t="s">
        <v>236</v>
      </c>
      <c r="AE246" s="8" t="s">
        <v>68</v>
      </c>
      <c r="AF246" s="8" t="s">
        <v>236</v>
      </c>
      <c r="AG246" s="8" t="s">
        <v>236</v>
      </c>
      <c r="AH246" s="8" t="s">
        <v>236</v>
      </c>
      <c r="AI246" s="8" t="s">
        <v>236</v>
      </c>
      <c r="AJ246" t="s">
        <v>519</v>
      </c>
      <c r="AK246">
        <v>12</v>
      </c>
      <c r="AL246">
        <v>1</v>
      </c>
      <c r="AM246" t="s">
        <v>88</v>
      </c>
      <c r="AN246" t="s">
        <v>68</v>
      </c>
      <c r="AO246" t="s">
        <v>529</v>
      </c>
      <c r="AP246" t="s">
        <v>113</v>
      </c>
      <c r="AQ246">
        <v>12</v>
      </c>
      <c r="AR246" t="s">
        <v>526</v>
      </c>
      <c r="AS246" t="s">
        <v>236</v>
      </c>
      <c r="AT246" t="s">
        <v>175</v>
      </c>
      <c r="AU246">
        <v>12</v>
      </c>
      <c r="AV246">
        <v>1</v>
      </c>
      <c r="AW246" t="s">
        <v>432</v>
      </c>
      <c r="AX246" t="s">
        <v>298</v>
      </c>
      <c r="AY246" t="s">
        <v>295</v>
      </c>
      <c r="AZ246">
        <v>1</v>
      </c>
      <c r="BA246" t="s">
        <v>435</v>
      </c>
      <c r="BB246" t="s">
        <v>431</v>
      </c>
      <c r="BC246" t="s">
        <v>419</v>
      </c>
      <c r="BD246" t="s">
        <v>522</v>
      </c>
      <c r="BE246" t="s">
        <v>437</v>
      </c>
      <c r="BF246" t="s">
        <v>530</v>
      </c>
      <c r="BG246" t="s">
        <v>531</v>
      </c>
      <c r="BH246" t="s">
        <v>420</v>
      </c>
      <c r="BI246" t="s">
        <v>532</v>
      </c>
      <c r="BJ246" t="s">
        <v>68</v>
      </c>
      <c r="BK246" t="s">
        <v>236</v>
      </c>
      <c r="BL246" t="s">
        <v>236</v>
      </c>
      <c r="BM246" t="s">
        <v>236</v>
      </c>
      <c r="BN246" t="s">
        <v>68</v>
      </c>
      <c r="BO246" t="s">
        <v>236</v>
      </c>
      <c r="BP246" t="s">
        <v>236</v>
      </c>
      <c r="BQ246" t="s">
        <v>236</v>
      </c>
      <c r="BR246" t="s">
        <v>236</v>
      </c>
      <c r="BS246" t="s">
        <v>436</v>
      </c>
      <c r="BT246">
        <v>0</v>
      </c>
    </row>
    <row r="247" spans="1:72" x14ac:dyDescent="0.15">
      <c r="A247" s="43">
        <v>2022</v>
      </c>
      <c r="B247" s="8">
        <v>12</v>
      </c>
      <c r="C247" s="8">
        <v>1</v>
      </c>
      <c r="D247" s="8">
        <v>17</v>
      </c>
      <c r="E247" s="8" t="s">
        <v>68</v>
      </c>
      <c r="F247" s="8" t="s">
        <v>57</v>
      </c>
      <c r="G247" s="8">
        <v>2016</v>
      </c>
      <c r="H247" s="8">
        <v>12</v>
      </c>
      <c r="I247" s="8" t="s">
        <v>526</v>
      </c>
      <c r="J247" s="8" t="s">
        <v>236</v>
      </c>
      <c r="K247" s="8">
        <v>1992</v>
      </c>
      <c r="L247" s="17">
        <v>12</v>
      </c>
      <c r="M247" s="8">
        <v>1</v>
      </c>
      <c r="N247" s="8" t="s">
        <v>48</v>
      </c>
      <c r="O247" s="8" t="s">
        <v>298</v>
      </c>
      <c r="P247" s="8" t="s">
        <v>295</v>
      </c>
      <c r="Q247" s="8">
        <v>7000</v>
      </c>
      <c r="R247" s="8" t="s">
        <v>57</v>
      </c>
      <c r="S247" s="8" t="s">
        <v>52</v>
      </c>
      <c r="T247" s="8" t="s">
        <v>70</v>
      </c>
      <c r="U247" s="8" t="s">
        <v>68</v>
      </c>
      <c r="V247" s="8">
        <v>1000</v>
      </c>
      <c r="W247" s="8" t="s">
        <v>241</v>
      </c>
      <c r="X247" s="8">
        <v>5000</v>
      </c>
      <c r="Y247" s="8" t="s">
        <v>278</v>
      </c>
      <c r="Z247" s="8">
        <v>80</v>
      </c>
      <c r="AA247" s="8" t="s">
        <v>525</v>
      </c>
      <c r="AB247" s="8" t="s">
        <v>236</v>
      </c>
      <c r="AC247" s="8" t="s">
        <v>236</v>
      </c>
      <c r="AD247" s="8" t="s">
        <v>236</v>
      </c>
      <c r="AE247" s="8" t="s">
        <v>68</v>
      </c>
      <c r="AF247" s="8" t="s">
        <v>236</v>
      </c>
      <c r="AG247" s="8" t="s">
        <v>236</v>
      </c>
      <c r="AH247" s="8" t="s">
        <v>236</v>
      </c>
      <c r="AI247" s="8" t="s">
        <v>236</v>
      </c>
      <c r="AJ247" t="s">
        <v>519</v>
      </c>
      <c r="AK247">
        <v>12</v>
      </c>
      <c r="AL247">
        <v>1</v>
      </c>
      <c r="AM247" t="s">
        <v>88</v>
      </c>
      <c r="AN247" t="s">
        <v>68</v>
      </c>
      <c r="AO247" t="s">
        <v>529</v>
      </c>
      <c r="AP247" t="s">
        <v>113</v>
      </c>
      <c r="AQ247">
        <v>12</v>
      </c>
      <c r="AR247" t="s">
        <v>526</v>
      </c>
      <c r="AS247" t="s">
        <v>236</v>
      </c>
      <c r="AT247" t="s">
        <v>137</v>
      </c>
      <c r="AU247">
        <v>12</v>
      </c>
      <c r="AV247">
        <v>1</v>
      </c>
      <c r="AW247" t="s">
        <v>432</v>
      </c>
      <c r="AX247" t="s">
        <v>298</v>
      </c>
      <c r="AY247" t="s">
        <v>295</v>
      </c>
      <c r="AZ247">
        <v>3</v>
      </c>
      <c r="BA247" t="s">
        <v>435</v>
      </c>
      <c r="BB247" t="s">
        <v>431</v>
      </c>
      <c r="BC247" t="s">
        <v>419</v>
      </c>
      <c r="BD247" t="s">
        <v>522</v>
      </c>
      <c r="BE247" t="s">
        <v>437</v>
      </c>
      <c r="BF247" t="s">
        <v>530</v>
      </c>
      <c r="BG247" t="s">
        <v>531</v>
      </c>
      <c r="BH247" t="s">
        <v>420</v>
      </c>
      <c r="BI247" t="s">
        <v>532</v>
      </c>
      <c r="BJ247" t="s">
        <v>68</v>
      </c>
      <c r="BK247" t="s">
        <v>236</v>
      </c>
      <c r="BL247" t="s">
        <v>236</v>
      </c>
      <c r="BM247" t="s">
        <v>236</v>
      </c>
      <c r="BN247" t="s">
        <v>68</v>
      </c>
      <c r="BO247" t="s">
        <v>236</v>
      </c>
      <c r="BP247" t="s">
        <v>236</v>
      </c>
      <c r="BQ247" t="s">
        <v>236</v>
      </c>
      <c r="BR247" t="s">
        <v>236</v>
      </c>
      <c r="BS247" t="s">
        <v>436</v>
      </c>
      <c r="BT247">
        <v>0</v>
      </c>
    </row>
    <row r="248" spans="1:72" x14ac:dyDescent="0.15">
      <c r="A248" s="43">
        <v>2022</v>
      </c>
      <c r="B248" s="8">
        <v>12</v>
      </c>
      <c r="C248" s="8">
        <v>1</v>
      </c>
      <c r="D248" s="8">
        <v>17</v>
      </c>
      <c r="E248" s="8" t="s">
        <v>68</v>
      </c>
      <c r="F248" s="8" t="s">
        <v>57</v>
      </c>
      <c r="G248" s="8">
        <v>2016</v>
      </c>
      <c r="H248" s="8">
        <v>12</v>
      </c>
      <c r="I248" s="8" t="s">
        <v>526</v>
      </c>
      <c r="J248" s="8" t="s">
        <v>236</v>
      </c>
      <c r="K248" s="8">
        <v>1987</v>
      </c>
      <c r="L248" s="17">
        <v>12</v>
      </c>
      <c r="M248" s="8">
        <v>1</v>
      </c>
      <c r="N248" s="8" t="s">
        <v>48</v>
      </c>
      <c r="O248" s="8" t="s">
        <v>298</v>
      </c>
      <c r="P248" s="8" t="s">
        <v>295</v>
      </c>
      <c r="Q248" s="8">
        <v>7000</v>
      </c>
      <c r="R248" s="8" t="s">
        <v>57</v>
      </c>
      <c r="S248" s="8" t="s">
        <v>52</v>
      </c>
      <c r="T248" s="8" t="s">
        <v>70</v>
      </c>
      <c r="U248" s="8" t="s">
        <v>68</v>
      </c>
      <c r="V248" s="8">
        <v>1000</v>
      </c>
      <c r="W248" s="8" t="s">
        <v>241</v>
      </c>
      <c r="X248" s="8">
        <v>5000</v>
      </c>
      <c r="Y248" s="8" t="s">
        <v>278</v>
      </c>
      <c r="Z248" s="8">
        <v>80</v>
      </c>
      <c r="AA248" s="8" t="s">
        <v>525</v>
      </c>
      <c r="AB248" s="8" t="s">
        <v>236</v>
      </c>
      <c r="AC248" s="8" t="s">
        <v>236</v>
      </c>
      <c r="AD248" s="8" t="s">
        <v>236</v>
      </c>
      <c r="AE248" s="8" t="s">
        <v>68</v>
      </c>
      <c r="AF248" s="8" t="s">
        <v>236</v>
      </c>
      <c r="AG248" s="8" t="s">
        <v>236</v>
      </c>
      <c r="AH248" s="8" t="s">
        <v>236</v>
      </c>
      <c r="AI248" s="8" t="s">
        <v>236</v>
      </c>
      <c r="AJ248" t="s">
        <v>519</v>
      </c>
      <c r="AK248">
        <v>12</v>
      </c>
      <c r="AL248">
        <v>1</v>
      </c>
      <c r="AM248" t="s">
        <v>88</v>
      </c>
      <c r="AN248" t="s">
        <v>68</v>
      </c>
      <c r="AO248" t="s">
        <v>529</v>
      </c>
      <c r="AP248" t="s">
        <v>113</v>
      </c>
      <c r="AQ248">
        <v>12</v>
      </c>
      <c r="AR248" t="s">
        <v>526</v>
      </c>
      <c r="AS248" t="s">
        <v>236</v>
      </c>
      <c r="AT248" t="s">
        <v>140</v>
      </c>
      <c r="AU248">
        <v>12</v>
      </c>
      <c r="AV248">
        <v>1</v>
      </c>
      <c r="AW248" t="s">
        <v>432</v>
      </c>
      <c r="AX248" t="s">
        <v>298</v>
      </c>
      <c r="AY248" t="s">
        <v>295</v>
      </c>
      <c r="AZ248">
        <v>3</v>
      </c>
      <c r="BA248" t="s">
        <v>435</v>
      </c>
      <c r="BB248" t="s">
        <v>431</v>
      </c>
      <c r="BC248" t="s">
        <v>419</v>
      </c>
      <c r="BD248" t="s">
        <v>522</v>
      </c>
      <c r="BE248" t="s">
        <v>437</v>
      </c>
      <c r="BF248" t="s">
        <v>530</v>
      </c>
      <c r="BG248" t="s">
        <v>531</v>
      </c>
      <c r="BH248" t="s">
        <v>420</v>
      </c>
      <c r="BI248" t="s">
        <v>532</v>
      </c>
      <c r="BJ248" t="s">
        <v>68</v>
      </c>
      <c r="BK248" t="s">
        <v>236</v>
      </c>
      <c r="BL248" t="s">
        <v>236</v>
      </c>
      <c r="BM248" t="s">
        <v>236</v>
      </c>
      <c r="BN248" t="s">
        <v>68</v>
      </c>
      <c r="BO248" t="s">
        <v>236</v>
      </c>
      <c r="BP248" t="s">
        <v>236</v>
      </c>
      <c r="BQ248" t="s">
        <v>236</v>
      </c>
      <c r="BR248" t="s">
        <v>236</v>
      </c>
      <c r="BS248" t="s">
        <v>436</v>
      </c>
      <c r="BT248">
        <v>0</v>
      </c>
    </row>
    <row r="249" spans="1:72" x14ac:dyDescent="0.15">
      <c r="A249" s="43">
        <v>2022</v>
      </c>
      <c r="B249" s="8">
        <v>12</v>
      </c>
      <c r="C249" s="8">
        <v>1</v>
      </c>
      <c r="D249" s="8">
        <v>17</v>
      </c>
      <c r="E249" s="8" t="s">
        <v>68</v>
      </c>
      <c r="F249" s="8" t="s">
        <v>57</v>
      </c>
      <c r="G249" s="8">
        <v>2016</v>
      </c>
      <c r="H249" s="8">
        <v>12</v>
      </c>
      <c r="I249" s="8" t="s">
        <v>526</v>
      </c>
      <c r="J249" s="8" t="s">
        <v>236</v>
      </c>
      <c r="K249" s="8">
        <v>1982</v>
      </c>
      <c r="L249" s="17">
        <v>12</v>
      </c>
      <c r="M249" s="8">
        <v>1</v>
      </c>
      <c r="N249" s="8" t="s">
        <v>48</v>
      </c>
      <c r="O249" s="8" t="s">
        <v>298</v>
      </c>
      <c r="P249" s="8" t="s">
        <v>295</v>
      </c>
      <c r="Q249" s="8">
        <v>7000</v>
      </c>
      <c r="R249" s="8" t="s">
        <v>57</v>
      </c>
      <c r="S249" s="8" t="s">
        <v>52</v>
      </c>
      <c r="T249" s="8" t="s">
        <v>70</v>
      </c>
      <c r="U249" s="8" t="s">
        <v>68</v>
      </c>
      <c r="V249" s="8">
        <v>1000</v>
      </c>
      <c r="W249" s="8" t="s">
        <v>241</v>
      </c>
      <c r="X249" s="8">
        <v>5000</v>
      </c>
      <c r="Y249" s="8" t="s">
        <v>278</v>
      </c>
      <c r="Z249" s="8">
        <v>80</v>
      </c>
      <c r="AA249" s="8" t="s">
        <v>525</v>
      </c>
      <c r="AB249" s="8" t="s">
        <v>236</v>
      </c>
      <c r="AC249" s="8" t="s">
        <v>236</v>
      </c>
      <c r="AD249" s="8" t="s">
        <v>236</v>
      </c>
      <c r="AE249" s="8" t="s">
        <v>68</v>
      </c>
      <c r="AF249" s="8" t="s">
        <v>236</v>
      </c>
      <c r="AG249" s="8" t="s">
        <v>236</v>
      </c>
      <c r="AH249" s="8" t="s">
        <v>236</v>
      </c>
      <c r="AI249" s="8" t="s">
        <v>236</v>
      </c>
      <c r="AJ249" t="s">
        <v>519</v>
      </c>
      <c r="AK249">
        <v>12</v>
      </c>
      <c r="AL249">
        <v>1</v>
      </c>
      <c r="AM249" t="s">
        <v>88</v>
      </c>
      <c r="AN249" t="s">
        <v>68</v>
      </c>
      <c r="AO249" t="s">
        <v>529</v>
      </c>
      <c r="AP249" t="s">
        <v>113</v>
      </c>
      <c r="AQ249">
        <v>12</v>
      </c>
      <c r="AR249" t="s">
        <v>526</v>
      </c>
      <c r="AS249" t="s">
        <v>236</v>
      </c>
      <c r="AT249" t="s">
        <v>145</v>
      </c>
      <c r="AU249">
        <v>12</v>
      </c>
      <c r="AV249">
        <v>1</v>
      </c>
      <c r="AW249" t="s">
        <v>432</v>
      </c>
      <c r="AX249" t="s">
        <v>298</v>
      </c>
      <c r="AY249" t="s">
        <v>295</v>
      </c>
      <c r="AZ249">
        <v>3</v>
      </c>
      <c r="BA249" t="s">
        <v>435</v>
      </c>
      <c r="BB249" t="s">
        <v>431</v>
      </c>
      <c r="BC249" t="s">
        <v>419</v>
      </c>
      <c r="BD249" t="s">
        <v>522</v>
      </c>
      <c r="BE249" t="s">
        <v>437</v>
      </c>
      <c r="BF249" t="s">
        <v>530</v>
      </c>
      <c r="BG249" t="s">
        <v>531</v>
      </c>
      <c r="BH249" t="s">
        <v>420</v>
      </c>
      <c r="BI249" t="s">
        <v>532</v>
      </c>
      <c r="BJ249" t="s">
        <v>68</v>
      </c>
      <c r="BK249" t="s">
        <v>236</v>
      </c>
      <c r="BL249" t="s">
        <v>236</v>
      </c>
      <c r="BM249" t="s">
        <v>236</v>
      </c>
      <c r="BN249" t="s">
        <v>68</v>
      </c>
      <c r="BO249" t="s">
        <v>236</v>
      </c>
      <c r="BP249" t="s">
        <v>236</v>
      </c>
      <c r="BQ249" t="s">
        <v>236</v>
      </c>
      <c r="BR249" t="s">
        <v>236</v>
      </c>
      <c r="BS249" t="s">
        <v>436</v>
      </c>
      <c r="BT249">
        <v>0</v>
      </c>
    </row>
    <row r="250" spans="1:72" x14ac:dyDescent="0.15">
      <c r="A250" s="43">
        <v>2022</v>
      </c>
      <c r="B250" s="8">
        <v>12</v>
      </c>
      <c r="C250" s="8">
        <v>1</v>
      </c>
      <c r="D250" s="8">
        <v>17</v>
      </c>
      <c r="E250" s="8" t="s">
        <v>68</v>
      </c>
      <c r="F250" s="8" t="s">
        <v>57</v>
      </c>
      <c r="G250" s="8">
        <v>2016</v>
      </c>
      <c r="H250" s="8">
        <v>12</v>
      </c>
      <c r="I250" s="8" t="s">
        <v>526</v>
      </c>
      <c r="J250" s="8" t="s">
        <v>236</v>
      </c>
      <c r="K250" s="8">
        <v>1977</v>
      </c>
      <c r="L250" s="17">
        <v>12</v>
      </c>
      <c r="M250" s="8">
        <v>1</v>
      </c>
      <c r="N250" s="8" t="s">
        <v>48</v>
      </c>
      <c r="O250" s="8" t="s">
        <v>298</v>
      </c>
      <c r="P250" s="8" t="s">
        <v>295</v>
      </c>
      <c r="Q250" s="8">
        <v>7000</v>
      </c>
      <c r="R250" s="8" t="s">
        <v>57</v>
      </c>
      <c r="S250" s="8" t="s">
        <v>52</v>
      </c>
      <c r="T250" s="8" t="s">
        <v>70</v>
      </c>
      <c r="U250" s="8" t="s">
        <v>68</v>
      </c>
      <c r="V250" s="8">
        <v>1000</v>
      </c>
      <c r="W250" s="8" t="s">
        <v>241</v>
      </c>
      <c r="X250" s="8">
        <v>5000</v>
      </c>
      <c r="Y250" s="8" t="s">
        <v>278</v>
      </c>
      <c r="Z250" s="8">
        <v>80</v>
      </c>
      <c r="AA250" s="8" t="s">
        <v>525</v>
      </c>
      <c r="AB250" s="8" t="s">
        <v>236</v>
      </c>
      <c r="AC250" s="8" t="s">
        <v>236</v>
      </c>
      <c r="AD250" s="8" t="s">
        <v>236</v>
      </c>
      <c r="AE250" s="8" t="s">
        <v>68</v>
      </c>
      <c r="AF250" s="8" t="s">
        <v>236</v>
      </c>
      <c r="AG250" s="8" t="s">
        <v>236</v>
      </c>
      <c r="AH250" s="8" t="s">
        <v>236</v>
      </c>
      <c r="AI250" s="8" t="s">
        <v>236</v>
      </c>
      <c r="AJ250" t="s">
        <v>519</v>
      </c>
      <c r="AK250">
        <v>12</v>
      </c>
      <c r="AL250">
        <v>1</v>
      </c>
      <c r="AM250" t="s">
        <v>88</v>
      </c>
      <c r="AN250" t="s">
        <v>68</v>
      </c>
      <c r="AO250" t="s">
        <v>529</v>
      </c>
      <c r="AP250" t="s">
        <v>113</v>
      </c>
      <c r="AQ250">
        <v>12</v>
      </c>
      <c r="AR250" t="s">
        <v>526</v>
      </c>
      <c r="AS250" t="s">
        <v>236</v>
      </c>
      <c r="AT250" t="s">
        <v>150</v>
      </c>
      <c r="AU250">
        <v>12</v>
      </c>
      <c r="AV250">
        <v>1</v>
      </c>
      <c r="AW250" t="s">
        <v>432</v>
      </c>
      <c r="AX250" t="s">
        <v>298</v>
      </c>
      <c r="AY250" t="s">
        <v>295</v>
      </c>
      <c r="AZ250">
        <v>3</v>
      </c>
      <c r="BA250" t="s">
        <v>435</v>
      </c>
      <c r="BB250" t="s">
        <v>431</v>
      </c>
      <c r="BC250" t="s">
        <v>419</v>
      </c>
      <c r="BD250" t="s">
        <v>522</v>
      </c>
      <c r="BE250" t="s">
        <v>437</v>
      </c>
      <c r="BF250" t="s">
        <v>530</v>
      </c>
      <c r="BG250" t="s">
        <v>531</v>
      </c>
      <c r="BH250" t="s">
        <v>420</v>
      </c>
      <c r="BI250" t="s">
        <v>532</v>
      </c>
      <c r="BJ250" t="s">
        <v>68</v>
      </c>
      <c r="BK250" t="s">
        <v>236</v>
      </c>
      <c r="BL250" t="s">
        <v>236</v>
      </c>
      <c r="BM250" t="s">
        <v>236</v>
      </c>
      <c r="BN250" t="s">
        <v>68</v>
      </c>
      <c r="BO250" t="s">
        <v>236</v>
      </c>
      <c r="BP250" t="s">
        <v>236</v>
      </c>
      <c r="BQ250" t="s">
        <v>236</v>
      </c>
      <c r="BR250" t="s">
        <v>236</v>
      </c>
      <c r="BS250" t="s">
        <v>436</v>
      </c>
      <c r="BT250">
        <v>0</v>
      </c>
    </row>
    <row r="251" spans="1:72" x14ac:dyDescent="0.15">
      <c r="A251" s="43">
        <v>2022</v>
      </c>
      <c r="B251" s="8">
        <v>12</v>
      </c>
      <c r="C251" s="8">
        <v>1</v>
      </c>
      <c r="D251" s="8">
        <v>17</v>
      </c>
      <c r="E251" s="8" t="s">
        <v>68</v>
      </c>
      <c r="F251" s="8" t="s">
        <v>57</v>
      </c>
      <c r="G251" s="8">
        <v>2016</v>
      </c>
      <c r="H251" s="8">
        <v>12</v>
      </c>
      <c r="I251" s="8" t="s">
        <v>526</v>
      </c>
      <c r="J251" s="8" t="s">
        <v>236</v>
      </c>
      <c r="K251" s="8">
        <v>1972</v>
      </c>
      <c r="L251" s="17">
        <v>12</v>
      </c>
      <c r="M251" s="8">
        <v>1</v>
      </c>
      <c r="N251" s="8" t="s">
        <v>48</v>
      </c>
      <c r="O251" s="8" t="s">
        <v>298</v>
      </c>
      <c r="P251" s="8" t="s">
        <v>295</v>
      </c>
      <c r="Q251" s="8">
        <v>7000</v>
      </c>
      <c r="R251" s="8" t="s">
        <v>57</v>
      </c>
      <c r="S251" s="8" t="s">
        <v>52</v>
      </c>
      <c r="T251" s="8" t="s">
        <v>70</v>
      </c>
      <c r="U251" s="8" t="s">
        <v>68</v>
      </c>
      <c r="V251" s="8">
        <v>1000</v>
      </c>
      <c r="W251" s="8" t="s">
        <v>241</v>
      </c>
      <c r="X251" s="8">
        <v>5000</v>
      </c>
      <c r="Y251" s="8" t="s">
        <v>278</v>
      </c>
      <c r="Z251" s="8">
        <v>80</v>
      </c>
      <c r="AA251" s="8" t="s">
        <v>525</v>
      </c>
      <c r="AB251" s="8" t="s">
        <v>236</v>
      </c>
      <c r="AC251" s="8" t="s">
        <v>236</v>
      </c>
      <c r="AD251" s="8" t="s">
        <v>236</v>
      </c>
      <c r="AE251" s="8" t="s">
        <v>68</v>
      </c>
      <c r="AF251" s="8" t="s">
        <v>236</v>
      </c>
      <c r="AG251" s="8" t="s">
        <v>236</v>
      </c>
      <c r="AH251" s="8" t="s">
        <v>236</v>
      </c>
      <c r="AI251" s="8" t="s">
        <v>236</v>
      </c>
      <c r="AJ251" t="s">
        <v>519</v>
      </c>
      <c r="AK251">
        <v>12</v>
      </c>
      <c r="AL251">
        <v>1</v>
      </c>
      <c r="AM251" t="s">
        <v>88</v>
      </c>
      <c r="AN251" t="s">
        <v>68</v>
      </c>
      <c r="AO251" t="s">
        <v>529</v>
      </c>
      <c r="AP251" t="s">
        <v>113</v>
      </c>
      <c r="AQ251">
        <v>12</v>
      </c>
      <c r="AR251" t="s">
        <v>526</v>
      </c>
      <c r="AS251" t="s">
        <v>236</v>
      </c>
      <c r="AT251" t="s">
        <v>155</v>
      </c>
      <c r="AU251">
        <v>12</v>
      </c>
      <c r="AV251">
        <v>1</v>
      </c>
      <c r="AW251" t="s">
        <v>432</v>
      </c>
      <c r="AX251" t="s">
        <v>298</v>
      </c>
      <c r="AY251" t="s">
        <v>295</v>
      </c>
      <c r="AZ251">
        <v>3</v>
      </c>
      <c r="BA251" t="s">
        <v>435</v>
      </c>
      <c r="BB251" t="s">
        <v>431</v>
      </c>
      <c r="BC251" t="s">
        <v>419</v>
      </c>
      <c r="BD251" t="s">
        <v>522</v>
      </c>
      <c r="BE251" t="s">
        <v>437</v>
      </c>
      <c r="BF251" t="s">
        <v>530</v>
      </c>
      <c r="BG251" t="s">
        <v>531</v>
      </c>
      <c r="BH251" t="s">
        <v>420</v>
      </c>
      <c r="BI251" t="s">
        <v>532</v>
      </c>
      <c r="BJ251" t="s">
        <v>68</v>
      </c>
      <c r="BK251" t="s">
        <v>236</v>
      </c>
      <c r="BL251" t="s">
        <v>236</v>
      </c>
      <c r="BM251" t="s">
        <v>236</v>
      </c>
      <c r="BN251" t="s">
        <v>68</v>
      </c>
      <c r="BO251" t="s">
        <v>236</v>
      </c>
      <c r="BP251" t="s">
        <v>236</v>
      </c>
      <c r="BQ251" t="s">
        <v>236</v>
      </c>
      <c r="BR251" t="s">
        <v>236</v>
      </c>
      <c r="BS251" t="s">
        <v>436</v>
      </c>
      <c r="BT251">
        <v>0</v>
      </c>
    </row>
    <row r="252" spans="1:72" x14ac:dyDescent="0.15">
      <c r="A252" s="43">
        <v>2022</v>
      </c>
      <c r="B252" s="8">
        <v>12</v>
      </c>
      <c r="C252" s="8">
        <v>1</v>
      </c>
      <c r="D252" s="8">
        <v>17</v>
      </c>
      <c r="E252" s="8" t="s">
        <v>68</v>
      </c>
      <c r="F252" s="8" t="s">
        <v>57</v>
      </c>
      <c r="G252" s="8">
        <v>2016</v>
      </c>
      <c r="H252" s="8">
        <v>12</v>
      </c>
      <c r="I252" s="8" t="s">
        <v>526</v>
      </c>
      <c r="J252" s="8" t="s">
        <v>236</v>
      </c>
      <c r="K252" s="8">
        <v>1962</v>
      </c>
      <c r="L252" s="17">
        <v>12</v>
      </c>
      <c r="M252" s="8">
        <v>1</v>
      </c>
      <c r="N252" s="8" t="s">
        <v>48</v>
      </c>
      <c r="O252" s="8" t="s">
        <v>298</v>
      </c>
      <c r="P252" s="8" t="s">
        <v>295</v>
      </c>
      <c r="Q252" s="8">
        <v>7000</v>
      </c>
      <c r="R252" s="8" t="s">
        <v>57</v>
      </c>
      <c r="S252" s="8" t="s">
        <v>52</v>
      </c>
      <c r="T252" s="8" t="s">
        <v>70</v>
      </c>
      <c r="U252" s="8" t="s">
        <v>68</v>
      </c>
      <c r="V252" s="8">
        <v>1000</v>
      </c>
      <c r="W252" s="8" t="s">
        <v>241</v>
      </c>
      <c r="X252" s="8">
        <v>5000</v>
      </c>
      <c r="Y252" s="8" t="s">
        <v>278</v>
      </c>
      <c r="Z252" s="8">
        <v>80</v>
      </c>
      <c r="AA252" s="8" t="s">
        <v>525</v>
      </c>
      <c r="AB252" s="8" t="s">
        <v>236</v>
      </c>
      <c r="AC252" s="8" t="s">
        <v>236</v>
      </c>
      <c r="AD252" s="8" t="s">
        <v>236</v>
      </c>
      <c r="AE252" s="8" t="s">
        <v>68</v>
      </c>
      <c r="AF252" s="8" t="s">
        <v>236</v>
      </c>
      <c r="AG252" s="8" t="s">
        <v>236</v>
      </c>
      <c r="AH252" s="8" t="s">
        <v>236</v>
      </c>
      <c r="AI252" s="8" t="s">
        <v>236</v>
      </c>
      <c r="AJ252" t="s">
        <v>519</v>
      </c>
      <c r="AK252">
        <v>12</v>
      </c>
      <c r="AL252">
        <v>1</v>
      </c>
      <c r="AM252" t="s">
        <v>88</v>
      </c>
      <c r="AN252" t="s">
        <v>68</v>
      </c>
      <c r="AO252" t="s">
        <v>529</v>
      </c>
      <c r="AP252" t="s">
        <v>113</v>
      </c>
      <c r="AQ252">
        <v>12</v>
      </c>
      <c r="AR252" t="s">
        <v>526</v>
      </c>
      <c r="AS252" t="s">
        <v>236</v>
      </c>
      <c r="AT252" t="s">
        <v>165</v>
      </c>
      <c r="AU252">
        <v>12</v>
      </c>
      <c r="AV252">
        <v>1</v>
      </c>
      <c r="AW252" t="s">
        <v>432</v>
      </c>
      <c r="AX252" t="s">
        <v>298</v>
      </c>
      <c r="AY252" t="s">
        <v>295</v>
      </c>
      <c r="AZ252">
        <v>3</v>
      </c>
      <c r="BA252" t="s">
        <v>435</v>
      </c>
      <c r="BB252" t="s">
        <v>431</v>
      </c>
      <c r="BC252" t="s">
        <v>419</v>
      </c>
      <c r="BD252" t="s">
        <v>522</v>
      </c>
      <c r="BE252" t="s">
        <v>437</v>
      </c>
      <c r="BF252" t="s">
        <v>530</v>
      </c>
      <c r="BG252" t="s">
        <v>531</v>
      </c>
      <c r="BH252" t="s">
        <v>420</v>
      </c>
      <c r="BI252" t="s">
        <v>532</v>
      </c>
      <c r="BJ252" t="s">
        <v>68</v>
      </c>
      <c r="BK252" t="s">
        <v>236</v>
      </c>
      <c r="BL252" t="s">
        <v>236</v>
      </c>
      <c r="BM252" t="s">
        <v>236</v>
      </c>
      <c r="BN252" t="s">
        <v>68</v>
      </c>
      <c r="BO252" t="s">
        <v>236</v>
      </c>
      <c r="BP252" t="s">
        <v>236</v>
      </c>
      <c r="BQ252" t="s">
        <v>236</v>
      </c>
      <c r="BR252" t="s">
        <v>236</v>
      </c>
      <c r="BS252" t="s">
        <v>436</v>
      </c>
      <c r="BT252">
        <v>0</v>
      </c>
    </row>
    <row r="253" spans="1:72" x14ac:dyDescent="0.15">
      <c r="A253" s="43">
        <v>2022</v>
      </c>
      <c r="B253" s="8">
        <v>12</v>
      </c>
      <c r="C253" s="8">
        <v>1</v>
      </c>
      <c r="D253" s="8">
        <v>17</v>
      </c>
      <c r="E253" s="8" t="s">
        <v>68</v>
      </c>
      <c r="F253" s="8" t="s">
        <v>57</v>
      </c>
      <c r="G253" s="8">
        <v>2016</v>
      </c>
      <c r="H253" s="8">
        <v>12</v>
      </c>
      <c r="I253" s="8" t="s">
        <v>526</v>
      </c>
      <c r="J253" s="8" t="s">
        <v>236</v>
      </c>
      <c r="K253" s="8">
        <v>1952</v>
      </c>
      <c r="L253" s="17">
        <v>12</v>
      </c>
      <c r="M253" s="8">
        <v>1</v>
      </c>
      <c r="N253" s="8" t="s">
        <v>48</v>
      </c>
      <c r="O253" s="8" t="s">
        <v>298</v>
      </c>
      <c r="P253" s="8" t="s">
        <v>295</v>
      </c>
      <c r="Q253" s="8">
        <v>7000</v>
      </c>
      <c r="R253" s="8" t="s">
        <v>57</v>
      </c>
      <c r="S253" s="8" t="s">
        <v>52</v>
      </c>
      <c r="T253" s="8" t="s">
        <v>70</v>
      </c>
      <c r="U253" s="8" t="s">
        <v>68</v>
      </c>
      <c r="V253" s="8">
        <v>1000</v>
      </c>
      <c r="W253" s="8" t="s">
        <v>241</v>
      </c>
      <c r="X253" s="8">
        <v>5000</v>
      </c>
      <c r="Y253" s="8" t="s">
        <v>278</v>
      </c>
      <c r="Z253" s="8">
        <v>80</v>
      </c>
      <c r="AA253" s="8" t="s">
        <v>525</v>
      </c>
      <c r="AB253" s="8" t="s">
        <v>236</v>
      </c>
      <c r="AC253" s="8" t="s">
        <v>236</v>
      </c>
      <c r="AD253" s="8" t="s">
        <v>236</v>
      </c>
      <c r="AE253" s="8" t="s">
        <v>68</v>
      </c>
      <c r="AF253" s="8" t="s">
        <v>236</v>
      </c>
      <c r="AG253" s="8" t="s">
        <v>236</v>
      </c>
      <c r="AH253" s="8" t="s">
        <v>236</v>
      </c>
      <c r="AI253" s="8" t="s">
        <v>236</v>
      </c>
      <c r="AJ253" t="s">
        <v>519</v>
      </c>
      <c r="AK253">
        <v>12</v>
      </c>
      <c r="AL253">
        <v>1</v>
      </c>
      <c r="AM253" t="s">
        <v>88</v>
      </c>
      <c r="AN253" t="s">
        <v>68</v>
      </c>
      <c r="AO253" t="s">
        <v>529</v>
      </c>
      <c r="AP253" t="s">
        <v>113</v>
      </c>
      <c r="AQ253">
        <v>12</v>
      </c>
      <c r="AR253" t="s">
        <v>526</v>
      </c>
      <c r="AS253" t="s">
        <v>236</v>
      </c>
      <c r="AT253" t="s">
        <v>175</v>
      </c>
      <c r="AU253">
        <v>12</v>
      </c>
      <c r="AV253">
        <v>1</v>
      </c>
      <c r="AW253" t="s">
        <v>432</v>
      </c>
      <c r="AX253" t="s">
        <v>298</v>
      </c>
      <c r="AY253" t="s">
        <v>295</v>
      </c>
      <c r="AZ253">
        <v>3</v>
      </c>
      <c r="BA253" t="s">
        <v>435</v>
      </c>
      <c r="BB253" t="s">
        <v>431</v>
      </c>
      <c r="BC253" t="s">
        <v>419</v>
      </c>
      <c r="BD253" t="s">
        <v>522</v>
      </c>
      <c r="BE253" t="s">
        <v>437</v>
      </c>
      <c r="BF253" t="s">
        <v>530</v>
      </c>
      <c r="BG253" t="s">
        <v>531</v>
      </c>
      <c r="BH253" t="s">
        <v>420</v>
      </c>
      <c r="BI253" t="s">
        <v>532</v>
      </c>
      <c r="BJ253" t="s">
        <v>68</v>
      </c>
      <c r="BK253" t="s">
        <v>236</v>
      </c>
      <c r="BL253" t="s">
        <v>236</v>
      </c>
      <c r="BM253" t="s">
        <v>236</v>
      </c>
      <c r="BN253" t="s">
        <v>68</v>
      </c>
      <c r="BO253" t="s">
        <v>236</v>
      </c>
      <c r="BP253" t="s">
        <v>236</v>
      </c>
      <c r="BQ253" t="s">
        <v>236</v>
      </c>
      <c r="BR253" t="s">
        <v>236</v>
      </c>
      <c r="BS253" t="s">
        <v>436</v>
      </c>
      <c r="BT253">
        <v>0</v>
      </c>
    </row>
    <row r="254" spans="1:72" x14ac:dyDescent="0.15">
      <c r="A254" s="43">
        <v>2022</v>
      </c>
      <c r="B254" s="8">
        <v>12</v>
      </c>
      <c r="C254" s="8">
        <v>1</v>
      </c>
      <c r="D254" s="8" t="s">
        <v>297</v>
      </c>
      <c r="E254" s="8" t="s">
        <v>236</v>
      </c>
      <c r="F254" s="8" t="s">
        <v>57</v>
      </c>
      <c r="G254" s="8">
        <v>2022</v>
      </c>
      <c r="H254" s="8">
        <v>11</v>
      </c>
      <c r="I254" s="8" t="s">
        <v>527</v>
      </c>
      <c r="J254" s="8" t="s">
        <v>236</v>
      </c>
      <c r="K254" s="8">
        <v>1992</v>
      </c>
      <c r="L254" s="17">
        <v>12</v>
      </c>
      <c r="M254" s="8">
        <v>1</v>
      </c>
      <c r="N254" s="8" t="s">
        <v>48</v>
      </c>
      <c r="O254" s="8" t="s">
        <v>221</v>
      </c>
      <c r="P254" s="8" t="s">
        <v>224</v>
      </c>
      <c r="Q254" s="8">
        <v>3000</v>
      </c>
      <c r="R254" s="8" t="s">
        <v>57</v>
      </c>
      <c r="S254" s="8" t="s">
        <v>52</v>
      </c>
      <c r="T254" s="8" t="s">
        <v>70</v>
      </c>
      <c r="U254" s="8" t="s">
        <v>236</v>
      </c>
      <c r="V254" s="8">
        <v>1000</v>
      </c>
      <c r="W254" s="8" t="s">
        <v>241</v>
      </c>
      <c r="X254" s="8">
        <v>3000</v>
      </c>
      <c r="Y254" s="8" t="s">
        <v>278</v>
      </c>
      <c r="Z254" s="8">
        <v>470</v>
      </c>
      <c r="AA254" s="8" t="s">
        <v>525</v>
      </c>
      <c r="AB254" s="8" t="s">
        <v>236</v>
      </c>
      <c r="AC254" s="8" t="s">
        <v>236</v>
      </c>
      <c r="AD254" s="8" t="s">
        <v>236</v>
      </c>
      <c r="AE254" s="8" t="s">
        <v>68</v>
      </c>
      <c r="AF254" s="8" t="s">
        <v>236</v>
      </c>
      <c r="AG254" s="8" t="s">
        <v>236</v>
      </c>
      <c r="AH254" s="8" t="s">
        <v>236</v>
      </c>
      <c r="AI254" s="8" t="s">
        <v>236</v>
      </c>
      <c r="AJ254" t="s">
        <v>519</v>
      </c>
      <c r="AK254">
        <v>12</v>
      </c>
      <c r="AL254">
        <v>1</v>
      </c>
      <c r="AM254" t="s">
        <v>297</v>
      </c>
      <c r="AN254" t="s">
        <v>236</v>
      </c>
      <c r="AO254" t="s">
        <v>529</v>
      </c>
      <c r="AP254" t="s">
        <v>519</v>
      </c>
      <c r="AQ254">
        <v>11</v>
      </c>
      <c r="AR254" t="s">
        <v>527</v>
      </c>
      <c r="AS254" t="s">
        <v>236</v>
      </c>
      <c r="AT254" t="s">
        <v>137</v>
      </c>
      <c r="AU254">
        <v>12</v>
      </c>
      <c r="AV254">
        <v>1</v>
      </c>
      <c r="AW254" t="s">
        <v>432</v>
      </c>
      <c r="AX254" t="s">
        <v>221</v>
      </c>
      <c r="AY254" t="s">
        <v>224</v>
      </c>
      <c r="AZ254">
        <v>1</v>
      </c>
      <c r="BA254" t="s">
        <v>435</v>
      </c>
      <c r="BB254" t="s">
        <v>431</v>
      </c>
      <c r="BC254" t="s">
        <v>419</v>
      </c>
      <c r="BD254" t="s">
        <v>236</v>
      </c>
      <c r="BE254" t="s">
        <v>437</v>
      </c>
      <c r="BF254" t="s">
        <v>530</v>
      </c>
      <c r="BG254" t="s">
        <v>433</v>
      </c>
      <c r="BH254" t="s">
        <v>420</v>
      </c>
      <c r="BI254" t="s">
        <v>533</v>
      </c>
      <c r="BJ254" t="s">
        <v>68</v>
      </c>
      <c r="BK254" t="s">
        <v>236</v>
      </c>
      <c r="BL254" t="s">
        <v>236</v>
      </c>
      <c r="BM254" t="s">
        <v>236</v>
      </c>
      <c r="BN254" t="s">
        <v>68</v>
      </c>
      <c r="BO254" t="s">
        <v>236</v>
      </c>
      <c r="BP254" t="s">
        <v>236</v>
      </c>
      <c r="BQ254" t="s">
        <v>236</v>
      </c>
      <c r="BR254" t="s">
        <v>236</v>
      </c>
      <c r="BS254" t="s">
        <v>521</v>
      </c>
      <c r="BT254">
        <v>0</v>
      </c>
    </row>
    <row r="255" spans="1:72" x14ac:dyDescent="0.15">
      <c r="A255" s="43">
        <v>2022</v>
      </c>
      <c r="B255" s="8">
        <v>12</v>
      </c>
      <c r="C255" s="8">
        <v>1</v>
      </c>
      <c r="D255" s="8" t="s">
        <v>297</v>
      </c>
      <c r="E255" s="8" t="s">
        <v>236</v>
      </c>
      <c r="F255" s="8" t="s">
        <v>57</v>
      </c>
      <c r="G255" s="8">
        <v>2022</v>
      </c>
      <c r="H255" s="8">
        <v>11</v>
      </c>
      <c r="I255" s="8" t="s">
        <v>527</v>
      </c>
      <c r="J255" s="8" t="s">
        <v>236</v>
      </c>
      <c r="K255" s="8">
        <v>1987</v>
      </c>
      <c r="L255" s="17">
        <v>12</v>
      </c>
      <c r="M255" s="8">
        <v>1</v>
      </c>
      <c r="N255" s="8" t="s">
        <v>48</v>
      </c>
      <c r="O255" s="8" t="s">
        <v>221</v>
      </c>
      <c r="P255" s="8" t="s">
        <v>224</v>
      </c>
      <c r="Q255" s="8">
        <v>3000</v>
      </c>
      <c r="R255" s="8" t="s">
        <v>57</v>
      </c>
      <c r="S255" s="8" t="s">
        <v>52</v>
      </c>
      <c r="T255" s="8" t="s">
        <v>70</v>
      </c>
      <c r="U255" s="8" t="s">
        <v>236</v>
      </c>
      <c r="V255" s="8">
        <v>1000</v>
      </c>
      <c r="W255" s="8" t="s">
        <v>241</v>
      </c>
      <c r="X255" s="8">
        <v>3000</v>
      </c>
      <c r="Y255" s="8" t="s">
        <v>278</v>
      </c>
      <c r="Z255" s="8">
        <v>470</v>
      </c>
      <c r="AA255" s="8" t="s">
        <v>525</v>
      </c>
      <c r="AB255" s="8" t="s">
        <v>236</v>
      </c>
      <c r="AC255" s="8" t="s">
        <v>236</v>
      </c>
      <c r="AD255" s="8" t="s">
        <v>236</v>
      </c>
      <c r="AE255" s="8" t="s">
        <v>68</v>
      </c>
      <c r="AF255" s="8" t="s">
        <v>236</v>
      </c>
      <c r="AG255" s="8" t="s">
        <v>236</v>
      </c>
      <c r="AH255" s="8" t="s">
        <v>236</v>
      </c>
      <c r="AI255" s="8" t="s">
        <v>236</v>
      </c>
      <c r="AJ255" t="s">
        <v>519</v>
      </c>
      <c r="AK255">
        <v>12</v>
      </c>
      <c r="AL255">
        <v>1</v>
      </c>
      <c r="AM255" t="s">
        <v>297</v>
      </c>
      <c r="AN255" t="s">
        <v>236</v>
      </c>
      <c r="AO255" t="s">
        <v>529</v>
      </c>
      <c r="AP255" t="s">
        <v>519</v>
      </c>
      <c r="AQ255">
        <v>11</v>
      </c>
      <c r="AR255" t="s">
        <v>527</v>
      </c>
      <c r="AS255" t="s">
        <v>236</v>
      </c>
      <c r="AT255" t="s">
        <v>140</v>
      </c>
      <c r="AU255">
        <v>12</v>
      </c>
      <c r="AV255">
        <v>1</v>
      </c>
      <c r="AW255" t="s">
        <v>432</v>
      </c>
      <c r="AX255" t="s">
        <v>221</v>
      </c>
      <c r="AY255" t="s">
        <v>224</v>
      </c>
      <c r="AZ255">
        <v>1</v>
      </c>
      <c r="BA255" t="s">
        <v>435</v>
      </c>
      <c r="BB255" t="s">
        <v>431</v>
      </c>
      <c r="BC255" t="s">
        <v>419</v>
      </c>
      <c r="BD255" t="s">
        <v>236</v>
      </c>
      <c r="BE255" t="s">
        <v>437</v>
      </c>
      <c r="BF255" t="s">
        <v>530</v>
      </c>
      <c r="BG255" t="s">
        <v>433</v>
      </c>
      <c r="BH255" t="s">
        <v>420</v>
      </c>
      <c r="BI255" t="s">
        <v>533</v>
      </c>
      <c r="BJ255" t="s">
        <v>68</v>
      </c>
      <c r="BK255" t="s">
        <v>236</v>
      </c>
      <c r="BL255" t="s">
        <v>236</v>
      </c>
      <c r="BM255" t="s">
        <v>236</v>
      </c>
      <c r="BN255" t="s">
        <v>68</v>
      </c>
      <c r="BO255" t="s">
        <v>236</v>
      </c>
      <c r="BP255" t="s">
        <v>236</v>
      </c>
      <c r="BQ255" t="s">
        <v>236</v>
      </c>
      <c r="BR255" t="s">
        <v>236</v>
      </c>
      <c r="BS255" t="s">
        <v>521</v>
      </c>
      <c r="BT255">
        <v>0</v>
      </c>
    </row>
    <row r="256" spans="1:72" x14ac:dyDescent="0.15">
      <c r="A256" s="43">
        <v>2022</v>
      </c>
      <c r="B256" s="8">
        <v>12</v>
      </c>
      <c r="C256" s="8">
        <v>1</v>
      </c>
      <c r="D256" s="8" t="s">
        <v>297</v>
      </c>
      <c r="E256" s="8" t="s">
        <v>236</v>
      </c>
      <c r="F256" s="8" t="s">
        <v>57</v>
      </c>
      <c r="G256" s="8">
        <v>2022</v>
      </c>
      <c r="H256" s="8">
        <v>11</v>
      </c>
      <c r="I256" s="8" t="s">
        <v>527</v>
      </c>
      <c r="J256" s="8" t="s">
        <v>236</v>
      </c>
      <c r="K256" s="8">
        <v>1982</v>
      </c>
      <c r="L256" s="17">
        <v>12</v>
      </c>
      <c r="M256" s="8">
        <v>1</v>
      </c>
      <c r="N256" s="8" t="s">
        <v>48</v>
      </c>
      <c r="O256" s="8" t="s">
        <v>221</v>
      </c>
      <c r="P256" s="8" t="s">
        <v>224</v>
      </c>
      <c r="Q256" s="8">
        <v>3000</v>
      </c>
      <c r="R256" s="8" t="s">
        <v>57</v>
      </c>
      <c r="S256" s="8" t="s">
        <v>52</v>
      </c>
      <c r="T256" s="8" t="s">
        <v>70</v>
      </c>
      <c r="U256" s="8" t="s">
        <v>236</v>
      </c>
      <c r="V256" s="8">
        <v>1000</v>
      </c>
      <c r="W256" s="8" t="s">
        <v>241</v>
      </c>
      <c r="X256" s="8">
        <v>3000</v>
      </c>
      <c r="Y256" s="8" t="s">
        <v>278</v>
      </c>
      <c r="Z256" s="8">
        <v>470</v>
      </c>
      <c r="AA256" s="8" t="s">
        <v>525</v>
      </c>
      <c r="AB256" s="8" t="s">
        <v>236</v>
      </c>
      <c r="AC256" s="8" t="s">
        <v>236</v>
      </c>
      <c r="AD256" s="8" t="s">
        <v>236</v>
      </c>
      <c r="AE256" s="8" t="s">
        <v>68</v>
      </c>
      <c r="AF256" s="8" t="s">
        <v>236</v>
      </c>
      <c r="AG256" s="8" t="s">
        <v>236</v>
      </c>
      <c r="AH256" s="8" t="s">
        <v>236</v>
      </c>
      <c r="AI256" s="8" t="s">
        <v>236</v>
      </c>
      <c r="AJ256" t="s">
        <v>519</v>
      </c>
      <c r="AK256">
        <v>12</v>
      </c>
      <c r="AL256">
        <v>1</v>
      </c>
      <c r="AM256" t="s">
        <v>297</v>
      </c>
      <c r="AN256" t="s">
        <v>236</v>
      </c>
      <c r="AO256" t="s">
        <v>529</v>
      </c>
      <c r="AP256" t="s">
        <v>519</v>
      </c>
      <c r="AQ256">
        <v>11</v>
      </c>
      <c r="AR256" t="s">
        <v>527</v>
      </c>
      <c r="AS256" t="s">
        <v>236</v>
      </c>
      <c r="AT256" t="s">
        <v>145</v>
      </c>
      <c r="AU256">
        <v>12</v>
      </c>
      <c r="AV256">
        <v>1</v>
      </c>
      <c r="AW256" t="s">
        <v>432</v>
      </c>
      <c r="AX256" t="s">
        <v>221</v>
      </c>
      <c r="AY256" t="s">
        <v>224</v>
      </c>
      <c r="AZ256">
        <v>1</v>
      </c>
      <c r="BA256" t="s">
        <v>435</v>
      </c>
      <c r="BB256" t="s">
        <v>431</v>
      </c>
      <c r="BC256" t="s">
        <v>419</v>
      </c>
      <c r="BD256" t="s">
        <v>236</v>
      </c>
      <c r="BE256" t="s">
        <v>437</v>
      </c>
      <c r="BF256" t="s">
        <v>530</v>
      </c>
      <c r="BG256" t="s">
        <v>433</v>
      </c>
      <c r="BH256" t="s">
        <v>420</v>
      </c>
      <c r="BI256" t="s">
        <v>533</v>
      </c>
      <c r="BJ256" t="s">
        <v>68</v>
      </c>
      <c r="BK256" t="s">
        <v>236</v>
      </c>
      <c r="BL256" t="s">
        <v>236</v>
      </c>
      <c r="BM256" t="s">
        <v>236</v>
      </c>
      <c r="BN256" t="s">
        <v>68</v>
      </c>
      <c r="BO256" t="s">
        <v>236</v>
      </c>
      <c r="BP256" t="s">
        <v>236</v>
      </c>
      <c r="BQ256" t="s">
        <v>236</v>
      </c>
      <c r="BR256" t="s">
        <v>236</v>
      </c>
      <c r="BS256" t="s">
        <v>521</v>
      </c>
      <c r="BT256">
        <v>0</v>
      </c>
    </row>
    <row r="257" spans="1:72" x14ac:dyDescent="0.15">
      <c r="A257" s="43">
        <v>2022</v>
      </c>
      <c r="B257" s="8">
        <v>12</v>
      </c>
      <c r="C257" s="8">
        <v>1</v>
      </c>
      <c r="D257" s="8" t="s">
        <v>297</v>
      </c>
      <c r="E257" s="8" t="s">
        <v>236</v>
      </c>
      <c r="F257" s="8" t="s">
        <v>57</v>
      </c>
      <c r="G257" s="8">
        <v>2022</v>
      </c>
      <c r="H257" s="8">
        <v>11</v>
      </c>
      <c r="I257" s="8" t="s">
        <v>527</v>
      </c>
      <c r="J257" s="8" t="s">
        <v>236</v>
      </c>
      <c r="K257" s="8">
        <v>1977</v>
      </c>
      <c r="L257" s="17">
        <v>12</v>
      </c>
      <c r="M257" s="8">
        <v>1</v>
      </c>
      <c r="N257" s="8" t="s">
        <v>48</v>
      </c>
      <c r="O257" s="8" t="s">
        <v>221</v>
      </c>
      <c r="P257" s="8" t="s">
        <v>224</v>
      </c>
      <c r="Q257" s="8">
        <v>3000</v>
      </c>
      <c r="R257" s="8" t="s">
        <v>57</v>
      </c>
      <c r="S257" s="8" t="s">
        <v>52</v>
      </c>
      <c r="T257" s="8" t="s">
        <v>70</v>
      </c>
      <c r="U257" s="8" t="s">
        <v>236</v>
      </c>
      <c r="V257" s="8">
        <v>1000</v>
      </c>
      <c r="W257" s="8" t="s">
        <v>241</v>
      </c>
      <c r="X257" s="8">
        <v>3000</v>
      </c>
      <c r="Y257" s="8" t="s">
        <v>278</v>
      </c>
      <c r="Z257" s="8">
        <v>470</v>
      </c>
      <c r="AA257" s="8" t="s">
        <v>525</v>
      </c>
      <c r="AB257" s="8" t="s">
        <v>236</v>
      </c>
      <c r="AC257" s="8" t="s">
        <v>236</v>
      </c>
      <c r="AD257" s="8" t="s">
        <v>236</v>
      </c>
      <c r="AE257" s="8" t="s">
        <v>68</v>
      </c>
      <c r="AF257" s="8" t="s">
        <v>236</v>
      </c>
      <c r="AG257" s="8" t="s">
        <v>236</v>
      </c>
      <c r="AH257" s="8" t="s">
        <v>236</v>
      </c>
      <c r="AI257" s="8" t="s">
        <v>236</v>
      </c>
      <c r="AJ257" t="s">
        <v>519</v>
      </c>
      <c r="AK257">
        <v>12</v>
      </c>
      <c r="AL257">
        <v>1</v>
      </c>
      <c r="AM257" t="s">
        <v>297</v>
      </c>
      <c r="AN257" t="s">
        <v>236</v>
      </c>
      <c r="AO257" t="s">
        <v>529</v>
      </c>
      <c r="AP257" t="s">
        <v>519</v>
      </c>
      <c r="AQ257">
        <v>11</v>
      </c>
      <c r="AR257" t="s">
        <v>527</v>
      </c>
      <c r="AS257" t="s">
        <v>236</v>
      </c>
      <c r="AT257" t="s">
        <v>150</v>
      </c>
      <c r="AU257">
        <v>12</v>
      </c>
      <c r="AV257">
        <v>1</v>
      </c>
      <c r="AW257" t="s">
        <v>432</v>
      </c>
      <c r="AX257" t="s">
        <v>221</v>
      </c>
      <c r="AY257" t="s">
        <v>224</v>
      </c>
      <c r="AZ257">
        <v>1</v>
      </c>
      <c r="BA257" t="s">
        <v>435</v>
      </c>
      <c r="BB257" t="s">
        <v>431</v>
      </c>
      <c r="BC257" t="s">
        <v>419</v>
      </c>
      <c r="BD257" t="s">
        <v>236</v>
      </c>
      <c r="BE257" t="s">
        <v>437</v>
      </c>
      <c r="BF257" t="s">
        <v>530</v>
      </c>
      <c r="BG257" t="s">
        <v>433</v>
      </c>
      <c r="BH257" t="s">
        <v>420</v>
      </c>
      <c r="BI257" t="s">
        <v>533</v>
      </c>
      <c r="BJ257" t="s">
        <v>68</v>
      </c>
      <c r="BK257" t="s">
        <v>236</v>
      </c>
      <c r="BL257" t="s">
        <v>236</v>
      </c>
      <c r="BM257" t="s">
        <v>236</v>
      </c>
      <c r="BN257" t="s">
        <v>68</v>
      </c>
      <c r="BO257" t="s">
        <v>236</v>
      </c>
      <c r="BP257" t="s">
        <v>236</v>
      </c>
      <c r="BQ257" t="s">
        <v>236</v>
      </c>
      <c r="BR257" t="s">
        <v>236</v>
      </c>
      <c r="BS257" t="s">
        <v>521</v>
      </c>
      <c r="BT257">
        <v>0</v>
      </c>
    </row>
    <row r="258" spans="1:72" x14ac:dyDescent="0.15">
      <c r="A258" s="43">
        <v>2022</v>
      </c>
      <c r="B258" s="8">
        <v>12</v>
      </c>
      <c r="C258" s="8">
        <v>1</v>
      </c>
      <c r="D258" s="8" t="s">
        <v>297</v>
      </c>
      <c r="E258" s="8" t="s">
        <v>236</v>
      </c>
      <c r="F258" s="8" t="s">
        <v>57</v>
      </c>
      <c r="G258" s="8">
        <v>2022</v>
      </c>
      <c r="H258" s="8">
        <v>11</v>
      </c>
      <c r="I258" s="8" t="s">
        <v>527</v>
      </c>
      <c r="J258" s="8" t="s">
        <v>236</v>
      </c>
      <c r="K258" s="8">
        <v>1972</v>
      </c>
      <c r="L258" s="17">
        <v>12</v>
      </c>
      <c r="M258" s="8">
        <v>1</v>
      </c>
      <c r="N258" s="8" t="s">
        <v>48</v>
      </c>
      <c r="O258" s="8" t="s">
        <v>221</v>
      </c>
      <c r="P258" s="8" t="s">
        <v>224</v>
      </c>
      <c r="Q258" s="8">
        <v>3000</v>
      </c>
      <c r="R258" s="8" t="s">
        <v>57</v>
      </c>
      <c r="S258" s="8" t="s">
        <v>52</v>
      </c>
      <c r="T258" s="8" t="s">
        <v>70</v>
      </c>
      <c r="U258" s="8" t="s">
        <v>236</v>
      </c>
      <c r="V258" s="8">
        <v>1000</v>
      </c>
      <c r="W258" s="8" t="s">
        <v>241</v>
      </c>
      <c r="X258" s="8">
        <v>3000</v>
      </c>
      <c r="Y258" s="8" t="s">
        <v>278</v>
      </c>
      <c r="Z258" s="8">
        <v>470</v>
      </c>
      <c r="AA258" s="8" t="s">
        <v>525</v>
      </c>
      <c r="AB258" s="8" t="s">
        <v>236</v>
      </c>
      <c r="AC258" s="8" t="s">
        <v>236</v>
      </c>
      <c r="AD258" s="8" t="s">
        <v>236</v>
      </c>
      <c r="AE258" s="8" t="s">
        <v>68</v>
      </c>
      <c r="AF258" s="8" t="s">
        <v>236</v>
      </c>
      <c r="AG258" s="8" t="s">
        <v>236</v>
      </c>
      <c r="AH258" s="8" t="s">
        <v>236</v>
      </c>
      <c r="AI258" s="8" t="s">
        <v>236</v>
      </c>
      <c r="AJ258" t="s">
        <v>519</v>
      </c>
      <c r="AK258">
        <v>12</v>
      </c>
      <c r="AL258">
        <v>1</v>
      </c>
      <c r="AM258" t="s">
        <v>297</v>
      </c>
      <c r="AN258" t="s">
        <v>236</v>
      </c>
      <c r="AO258" t="s">
        <v>529</v>
      </c>
      <c r="AP258" t="s">
        <v>519</v>
      </c>
      <c r="AQ258">
        <v>11</v>
      </c>
      <c r="AR258" t="s">
        <v>527</v>
      </c>
      <c r="AS258" t="s">
        <v>236</v>
      </c>
      <c r="AT258" t="s">
        <v>155</v>
      </c>
      <c r="AU258">
        <v>12</v>
      </c>
      <c r="AV258">
        <v>1</v>
      </c>
      <c r="AW258" t="s">
        <v>432</v>
      </c>
      <c r="AX258" t="s">
        <v>221</v>
      </c>
      <c r="AY258" t="s">
        <v>224</v>
      </c>
      <c r="AZ258">
        <v>1</v>
      </c>
      <c r="BA258" t="s">
        <v>435</v>
      </c>
      <c r="BB258" t="s">
        <v>431</v>
      </c>
      <c r="BC258" t="s">
        <v>419</v>
      </c>
      <c r="BD258" t="s">
        <v>236</v>
      </c>
      <c r="BE258" t="s">
        <v>437</v>
      </c>
      <c r="BF258" t="s">
        <v>530</v>
      </c>
      <c r="BG258" t="s">
        <v>433</v>
      </c>
      <c r="BH258" t="s">
        <v>420</v>
      </c>
      <c r="BI258" t="s">
        <v>533</v>
      </c>
      <c r="BJ258" t="s">
        <v>68</v>
      </c>
      <c r="BK258" t="s">
        <v>236</v>
      </c>
      <c r="BL258" t="s">
        <v>236</v>
      </c>
      <c r="BM258" t="s">
        <v>236</v>
      </c>
      <c r="BN258" t="s">
        <v>68</v>
      </c>
      <c r="BO258" t="s">
        <v>236</v>
      </c>
      <c r="BP258" t="s">
        <v>236</v>
      </c>
      <c r="BQ258" t="s">
        <v>236</v>
      </c>
      <c r="BR258" t="s">
        <v>236</v>
      </c>
      <c r="BS258" t="s">
        <v>521</v>
      </c>
      <c r="BT258">
        <v>0</v>
      </c>
    </row>
    <row r="259" spans="1:72" x14ac:dyDescent="0.15">
      <c r="A259" s="43">
        <v>2022</v>
      </c>
      <c r="B259" s="8">
        <v>12</v>
      </c>
      <c r="C259" s="8">
        <v>1</v>
      </c>
      <c r="D259" s="8" t="s">
        <v>297</v>
      </c>
      <c r="E259" s="8" t="s">
        <v>236</v>
      </c>
      <c r="F259" s="8" t="s">
        <v>57</v>
      </c>
      <c r="G259" s="8">
        <v>2022</v>
      </c>
      <c r="H259" s="8">
        <v>11</v>
      </c>
      <c r="I259" s="8" t="s">
        <v>527</v>
      </c>
      <c r="J259" s="8" t="s">
        <v>236</v>
      </c>
      <c r="K259" s="8">
        <v>1962</v>
      </c>
      <c r="L259" s="17">
        <v>12</v>
      </c>
      <c r="M259" s="8">
        <v>1</v>
      </c>
      <c r="N259" s="8" t="s">
        <v>48</v>
      </c>
      <c r="O259" s="8" t="s">
        <v>221</v>
      </c>
      <c r="P259" s="8" t="s">
        <v>224</v>
      </c>
      <c r="Q259" s="8">
        <v>3000</v>
      </c>
      <c r="R259" s="8" t="s">
        <v>57</v>
      </c>
      <c r="S259" s="8" t="s">
        <v>52</v>
      </c>
      <c r="T259" s="8" t="s">
        <v>70</v>
      </c>
      <c r="U259" s="8" t="s">
        <v>236</v>
      </c>
      <c r="V259" s="8">
        <v>1000</v>
      </c>
      <c r="W259" s="8" t="s">
        <v>241</v>
      </c>
      <c r="X259" s="8">
        <v>3000</v>
      </c>
      <c r="Y259" s="8" t="s">
        <v>278</v>
      </c>
      <c r="Z259" s="8">
        <v>470</v>
      </c>
      <c r="AA259" s="8" t="s">
        <v>525</v>
      </c>
      <c r="AB259" s="8" t="s">
        <v>236</v>
      </c>
      <c r="AC259" s="8" t="s">
        <v>236</v>
      </c>
      <c r="AD259" s="8" t="s">
        <v>236</v>
      </c>
      <c r="AE259" s="8" t="s">
        <v>68</v>
      </c>
      <c r="AF259" s="8" t="s">
        <v>236</v>
      </c>
      <c r="AG259" s="8" t="s">
        <v>236</v>
      </c>
      <c r="AH259" s="8" t="s">
        <v>236</v>
      </c>
      <c r="AI259" s="8" t="s">
        <v>236</v>
      </c>
      <c r="AJ259" t="s">
        <v>519</v>
      </c>
      <c r="AK259">
        <v>12</v>
      </c>
      <c r="AL259">
        <v>1</v>
      </c>
      <c r="AM259" t="s">
        <v>297</v>
      </c>
      <c r="AN259" t="s">
        <v>236</v>
      </c>
      <c r="AO259" t="s">
        <v>529</v>
      </c>
      <c r="AP259" t="s">
        <v>519</v>
      </c>
      <c r="AQ259">
        <v>11</v>
      </c>
      <c r="AR259" t="s">
        <v>527</v>
      </c>
      <c r="AS259" t="s">
        <v>236</v>
      </c>
      <c r="AT259" t="s">
        <v>165</v>
      </c>
      <c r="AU259">
        <v>12</v>
      </c>
      <c r="AV259">
        <v>1</v>
      </c>
      <c r="AW259" t="s">
        <v>432</v>
      </c>
      <c r="AX259" t="s">
        <v>221</v>
      </c>
      <c r="AY259" t="s">
        <v>224</v>
      </c>
      <c r="AZ259">
        <v>1</v>
      </c>
      <c r="BA259" t="s">
        <v>435</v>
      </c>
      <c r="BB259" t="s">
        <v>431</v>
      </c>
      <c r="BC259" t="s">
        <v>419</v>
      </c>
      <c r="BD259" t="s">
        <v>236</v>
      </c>
      <c r="BE259" t="s">
        <v>437</v>
      </c>
      <c r="BF259" t="s">
        <v>530</v>
      </c>
      <c r="BG259" t="s">
        <v>433</v>
      </c>
      <c r="BH259" t="s">
        <v>420</v>
      </c>
      <c r="BI259" t="s">
        <v>533</v>
      </c>
      <c r="BJ259" t="s">
        <v>68</v>
      </c>
      <c r="BK259" t="s">
        <v>236</v>
      </c>
      <c r="BL259" t="s">
        <v>236</v>
      </c>
      <c r="BM259" t="s">
        <v>236</v>
      </c>
      <c r="BN259" t="s">
        <v>68</v>
      </c>
      <c r="BO259" t="s">
        <v>236</v>
      </c>
      <c r="BP259" t="s">
        <v>236</v>
      </c>
      <c r="BQ259" t="s">
        <v>236</v>
      </c>
      <c r="BR259" t="s">
        <v>236</v>
      </c>
      <c r="BS259" t="s">
        <v>521</v>
      </c>
      <c r="BT259">
        <v>0</v>
      </c>
    </row>
    <row r="260" spans="1:72" x14ac:dyDescent="0.15">
      <c r="A260" s="43">
        <v>2022</v>
      </c>
      <c r="B260" s="8">
        <v>12</v>
      </c>
      <c r="C260" s="8">
        <v>1</v>
      </c>
      <c r="D260" s="8" t="s">
        <v>297</v>
      </c>
      <c r="E260" s="8" t="s">
        <v>236</v>
      </c>
      <c r="F260" s="8" t="s">
        <v>57</v>
      </c>
      <c r="G260" s="8">
        <v>2022</v>
      </c>
      <c r="H260" s="8">
        <v>11</v>
      </c>
      <c r="I260" s="8" t="s">
        <v>527</v>
      </c>
      <c r="J260" s="8" t="s">
        <v>236</v>
      </c>
      <c r="K260" s="8">
        <v>1952</v>
      </c>
      <c r="L260" s="17">
        <v>12</v>
      </c>
      <c r="M260" s="8">
        <v>1</v>
      </c>
      <c r="N260" s="8" t="s">
        <v>48</v>
      </c>
      <c r="O260" s="8" t="s">
        <v>221</v>
      </c>
      <c r="P260" s="8" t="s">
        <v>224</v>
      </c>
      <c r="Q260" s="8">
        <v>3000</v>
      </c>
      <c r="R260" s="8" t="s">
        <v>57</v>
      </c>
      <c r="S260" s="8" t="s">
        <v>52</v>
      </c>
      <c r="T260" s="8" t="s">
        <v>70</v>
      </c>
      <c r="U260" s="8" t="s">
        <v>236</v>
      </c>
      <c r="V260" s="8">
        <v>1000</v>
      </c>
      <c r="W260" s="8" t="s">
        <v>241</v>
      </c>
      <c r="X260" s="8">
        <v>3000</v>
      </c>
      <c r="Y260" s="8" t="s">
        <v>278</v>
      </c>
      <c r="Z260" s="8">
        <v>470</v>
      </c>
      <c r="AA260" s="8" t="s">
        <v>525</v>
      </c>
      <c r="AB260" s="8" t="s">
        <v>236</v>
      </c>
      <c r="AC260" s="8" t="s">
        <v>236</v>
      </c>
      <c r="AD260" s="8" t="s">
        <v>236</v>
      </c>
      <c r="AE260" s="8" t="s">
        <v>68</v>
      </c>
      <c r="AF260" s="8" t="s">
        <v>236</v>
      </c>
      <c r="AG260" s="8" t="s">
        <v>236</v>
      </c>
      <c r="AH260" s="8" t="s">
        <v>236</v>
      </c>
      <c r="AI260" s="8" t="s">
        <v>236</v>
      </c>
      <c r="AJ260" t="s">
        <v>519</v>
      </c>
      <c r="AK260">
        <v>12</v>
      </c>
      <c r="AL260">
        <v>1</v>
      </c>
      <c r="AM260" t="s">
        <v>297</v>
      </c>
      <c r="AN260" t="s">
        <v>236</v>
      </c>
      <c r="AO260" t="s">
        <v>529</v>
      </c>
      <c r="AP260" t="s">
        <v>519</v>
      </c>
      <c r="AQ260">
        <v>11</v>
      </c>
      <c r="AR260" t="s">
        <v>527</v>
      </c>
      <c r="AS260" t="s">
        <v>236</v>
      </c>
      <c r="AT260" t="s">
        <v>175</v>
      </c>
      <c r="AU260">
        <v>12</v>
      </c>
      <c r="AV260">
        <v>1</v>
      </c>
      <c r="AW260" t="s">
        <v>432</v>
      </c>
      <c r="AX260" t="s">
        <v>221</v>
      </c>
      <c r="AY260" t="s">
        <v>224</v>
      </c>
      <c r="AZ260">
        <v>1</v>
      </c>
      <c r="BA260" t="s">
        <v>435</v>
      </c>
      <c r="BB260" t="s">
        <v>431</v>
      </c>
      <c r="BC260" t="s">
        <v>419</v>
      </c>
      <c r="BD260" t="s">
        <v>236</v>
      </c>
      <c r="BE260" t="s">
        <v>437</v>
      </c>
      <c r="BF260" t="s">
        <v>530</v>
      </c>
      <c r="BG260" t="s">
        <v>433</v>
      </c>
      <c r="BH260" t="s">
        <v>420</v>
      </c>
      <c r="BI260" t="s">
        <v>533</v>
      </c>
      <c r="BJ260" t="s">
        <v>68</v>
      </c>
      <c r="BK260" t="s">
        <v>236</v>
      </c>
      <c r="BL260" t="s">
        <v>236</v>
      </c>
      <c r="BM260" t="s">
        <v>236</v>
      </c>
      <c r="BN260" t="s">
        <v>68</v>
      </c>
      <c r="BO260" t="s">
        <v>236</v>
      </c>
      <c r="BP260" t="s">
        <v>236</v>
      </c>
      <c r="BQ260" t="s">
        <v>236</v>
      </c>
      <c r="BR260" t="s">
        <v>236</v>
      </c>
      <c r="BS260" t="s">
        <v>521</v>
      </c>
      <c r="BT260">
        <v>0</v>
      </c>
    </row>
    <row r="261" spans="1:72" x14ac:dyDescent="0.15">
      <c r="A261" s="43">
        <v>2022</v>
      </c>
      <c r="B261" s="8">
        <v>12</v>
      </c>
      <c r="C261" s="8">
        <v>1</v>
      </c>
      <c r="D261" s="8" t="s">
        <v>297</v>
      </c>
      <c r="E261" s="8" t="s">
        <v>236</v>
      </c>
      <c r="F261" s="8" t="s">
        <v>57</v>
      </c>
      <c r="G261" s="8">
        <v>2022</v>
      </c>
      <c r="H261" s="8">
        <v>11</v>
      </c>
      <c r="I261" s="8" t="s">
        <v>527</v>
      </c>
      <c r="J261" s="8" t="s">
        <v>236</v>
      </c>
      <c r="K261" s="8">
        <v>1992</v>
      </c>
      <c r="L261" s="17">
        <v>12</v>
      </c>
      <c r="M261" s="8">
        <v>1</v>
      </c>
      <c r="N261" s="8" t="s">
        <v>48</v>
      </c>
      <c r="O261" s="8" t="s">
        <v>221</v>
      </c>
      <c r="P261" s="8" t="s">
        <v>224</v>
      </c>
      <c r="Q261" s="8">
        <v>7000</v>
      </c>
      <c r="R261" s="8" t="s">
        <v>57</v>
      </c>
      <c r="S261" s="8" t="s">
        <v>52</v>
      </c>
      <c r="T261" s="8" t="s">
        <v>70</v>
      </c>
      <c r="U261" s="8" t="s">
        <v>236</v>
      </c>
      <c r="V261" s="8">
        <v>1000</v>
      </c>
      <c r="W261" s="8" t="s">
        <v>241</v>
      </c>
      <c r="X261" s="8">
        <v>3000</v>
      </c>
      <c r="Y261" s="8" t="s">
        <v>278</v>
      </c>
      <c r="Z261" s="8">
        <v>470</v>
      </c>
      <c r="AA261" s="8" t="s">
        <v>525</v>
      </c>
      <c r="AB261" s="8" t="s">
        <v>236</v>
      </c>
      <c r="AC261" s="8" t="s">
        <v>236</v>
      </c>
      <c r="AD261" s="8" t="s">
        <v>236</v>
      </c>
      <c r="AE261" s="8" t="s">
        <v>68</v>
      </c>
      <c r="AF261" s="8" t="s">
        <v>236</v>
      </c>
      <c r="AG261" s="8" t="s">
        <v>236</v>
      </c>
      <c r="AH261" s="8" t="s">
        <v>236</v>
      </c>
      <c r="AI261" s="8" t="s">
        <v>236</v>
      </c>
      <c r="AJ261" t="s">
        <v>519</v>
      </c>
      <c r="AK261">
        <v>12</v>
      </c>
      <c r="AL261">
        <v>1</v>
      </c>
      <c r="AM261" t="s">
        <v>297</v>
      </c>
      <c r="AN261" t="s">
        <v>236</v>
      </c>
      <c r="AO261" t="s">
        <v>529</v>
      </c>
      <c r="AP261" t="s">
        <v>519</v>
      </c>
      <c r="AQ261">
        <v>11</v>
      </c>
      <c r="AR261" t="s">
        <v>527</v>
      </c>
      <c r="AS261" t="s">
        <v>236</v>
      </c>
      <c r="AT261" t="s">
        <v>137</v>
      </c>
      <c r="AU261">
        <v>12</v>
      </c>
      <c r="AV261">
        <v>1</v>
      </c>
      <c r="AW261" t="s">
        <v>432</v>
      </c>
      <c r="AX261" t="s">
        <v>221</v>
      </c>
      <c r="AY261" t="s">
        <v>224</v>
      </c>
      <c r="AZ261">
        <v>3</v>
      </c>
      <c r="BA261" t="s">
        <v>435</v>
      </c>
      <c r="BB261" t="s">
        <v>431</v>
      </c>
      <c r="BC261" t="s">
        <v>419</v>
      </c>
      <c r="BD261" t="s">
        <v>236</v>
      </c>
      <c r="BE261" t="s">
        <v>437</v>
      </c>
      <c r="BF261" t="s">
        <v>530</v>
      </c>
      <c r="BG261" t="s">
        <v>433</v>
      </c>
      <c r="BH261" t="s">
        <v>420</v>
      </c>
      <c r="BI261" t="s">
        <v>533</v>
      </c>
      <c r="BJ261" t="s">
        <v>68</v>
      </c>
      <c r="BK261" t="s">
        <v>236</v>
      </c>
      <c r="BL261" t="s">
        <v>236</v>
      </c>
      <c r="BM261" t="s">
        <v>236</v>
      </c>
      <c r="BN261" t="s">
        <v>68</v>
      </c>
      <c r="BO261" t="s">
        <v>236</v>
      </c>
      <c r="BP261" t="s">
        <v>236</v>
      </c>
      <c r="BQ261" t="s">
        <v>236</v>
      </c>
      <c r="BR261" t="s">
        <v>236</v>
      </c>
      <c r="BS261" t="s">
        <v>521</v>
      </c>
      <c r="BT261">
        <v>0</v>
      </c>
    </row>
    <row r="262" spans="1:72" x14ac:dyDescent="0.15">
      <c r="A262" s="43">
        <v>2022</v>
      </c>
      <c r="B262" s="8">
        <v>12</v>
      </c>
      <c r="C262" s="8">
        <v>1</v>
      </c>
      <c r="D262" s="8" t="s">
        <v>297</v>
      </c>
      <c r="E262" s="8" t="s">
        <v>236</v>
      </c>
      <c r="F262" s="8" t="s">
        <v>57</v>
      </c>
      <c r="G262" s="8">
        <v>2022</v>
      </c>
      <c r="H262" s="8">
        <v>11</v>
      </c>
      <c r="I262" s="8" t="s">
        <v>527</v>
      </c>
      <c r="J262" s="8" t="s">
        <v>236</v>
      </c>
      <c r="K262" s="8">
        <v>1987</v>
      </c>
      <c r="L262" s="17">
        <v>12</v>
      </c>
      <c r="M262" s="8">
        <v>1</v>
      </c>
      <c r="N262" s="8" t="s">
        <v>48</v>
      </c>
      <c r="O262" s="8" t="s">
        <v>221</v>
      </c>
      <c r="P262" s="8" t="s">
        <v>224</v>
      </c>
      <c r="Q262" s="8">
        <v>7000</v>
      </c>
      <c r="R262" s="8" t="s">
        <v>57</v>
      </c>
      <c r="S262" s="8" t="s">
        <v>52</v>
      </c>
      <c r="T262" s="8" t="s">
        <v>70</v>
      </c>
      <c r="U262" s="8" t="s">
        <v>236</v>
      </c>
      <c r="V262" s="8">
        <v>1000</v>
      </c>
      <c r="W262" s="8" t="s">
        <v>241</v>
      </c>
      <c r="X262" s="8">
        <v>3000</v>
      </c>
      <c r="Y262" s="8" t="s">
        <v>278</v>
      </c>
      <c r="Z262" s="8">
        <v>470</v>
      </c>
      <c r="AA262" s="8" t="s">
        <v>525</v>
      </c>
      <c r="AB262" s="8" t="s">
        <v>236</v>
      </c>
      <c r="AC262" s="8" t="s">
        <v>236</v>
      </c>
      <c r="AD262" s="8" t="s">
        <v>236</v>
      </c>
      <c r="AE262" s="8" t="s">
        <v>68</v>
      </c>
      <c r="AF262" s="8" t="s">
        <v>236</v>
      </c>
      <c r="AG262" s="8" t="s">
        <v>236</v>
      </c>
      <c r="AH262" s="8" t="s">
        <v>236</v>
      </c>
      <c r="AI262" s="8" t="s">
        <v>236</v>
      </c>
      <c r="AJ262" t="s">
        <v>519</v>
      </c>
      <c r="AK262">
        <v>12</v>
      </c>
      <c r="AL262">
        <v>1</v>
      </c>
      <c r="AM262" t="s">
        <v>297</v>
      </c>
      <c r="AN262" t="s">
        <v>236</v>
      </c>
      <c r="AO262" t="s">
        <v>529</v>
      </c>
      <c r="AP262" t="s">
        <v>519</v>
      </c>
      <c r="AQ262">
        <v>11</v>
      </c>
      <c r="AR262" t="s">
        <v>527</v>
      </c>
      <c r="AS262" t="s">
        <v>236</v>
      </c>
      <c r="AT262" t="s">
        <v>140</v>
      </c>
      <c r="AU262">
        <v>12</v>
      </c>
      <c r="AV262">
        <v>1</v>
      </c>
      <c r="AW262" t="s">
        <v>432</v>
      </c>
      <c r="AX262" t="s">
        <v>221</v>
      </c>
      <c r="AY262" t="s">
        <v>224</v>
      </c>
      <c r="AZ262">
        <v>3</v>
      </c>
      <c r="BA262" t="s">
        <v>435</v>
      </c>
      <c r="BB262" t="s">
        <v>431</v>
      </c>
      <c r="BC262" t="s">
        <v>419</v>
      </c>
      <c r="BD262" t="s">
        <v>236</v>
      </c>
      <c r="BE262" t="s">
        <v>437</v>
      </c>
      <c r="BF262" t="s">
        <v>530</v>
      </c>
      <c r="BG262" t="s">
        <v>433</v>
      </c>
      <c r="BH262" t="s">
        <v>420</v>
      </c>
      <c r="BI262" t="s">
        <v>533</v>
      </c>
      <c r="BJ262" t="s">
        <v>68</v>
      </c>
      <c r="BK262" t="s">
        <v>236</v>
      </c>
      <c r="BL262" t="s">
        <v>236</v>
      </c>
      <c r="BM262" t="s">
        <v>236</v>
      </c>
      <c r="BN262" t="s">
        <v>68</v>
      </c>
      <c r="BO262" t="s">
        <v>236</v>
      </c>
      <c r="BP262" t="s">
        <v>236</v>
      </c>
      <c r="BQ262" t="s">
        <v>236</v>
      </c>
      <c r="BR262" t="s">
        <v>236</v>
      </c>
      <c r="BS262" t="s">
        <v>521</v>
      </c>
      <c r="BT262">
        <v>0</v>
      </c>
    </row>
    <row r="263" spans="1:72" x14ac:dyDescent="0.15">
      <c r="A263" s="43">
        <v>2022</v>
      </c>
      <c r="B263" s="8">
        <v>12</v>
      </c>
      <c r="C263" s="8">
        <v>1</v>
      </c>
      <c r="D263" s="8" t="s">
        <v>297</v>
      </c>
      <c r="E263" s="8" t="s">
        <v>236</v>
      </c>
      <c r="F263" s="8" t="s">
        <v>57</v>
      </c>
      <c r="G263" s="8">
        <v>2022</v>
      </c>
      <c r="H263" s="8">
        <v>11</v>
      </c>
      <c r="I263" s="8" t="s">
        <v>527</v>
      </c>
      <c r="J263" s="8" t="s">
        <v>236</v>
      </c>
      <c r="K263" s="8">
        <v>1982</v>
      </c>
      <c r="L263" s="17">
        <v>12</v>
      </c>
      <c r="M263" s="8">
        <v>1</v>
      </c>
      <c r="N263" s="8" t="s">
        <v>48</v>
      </c>
      <c r="O263" s="8" t="s">
        <v>221</v>
      </c>
      <c r="P263" s="8" t="s">
        <v>224</v>
      </c>
      <c r="Q263" s="8">
        <v>7000</v>
      </c>
      <c r="R263" s="8" t="s">
        <v>57</v>
      </c>
      <c r="S263" s="8" t="s">
        <v>52</v>
      </c>
      <c r="T263" s="8" t="s">
        <v>70</v>
      </c>
      <c r="U263" s="8" t="s">
        <v>236</v>
      </c>
      <c r="V263" s="8">
        <v>1000</v>
      </c>
      <c r="W263" s="8" t="s">
        <v>241</v>
      </c>
      <c r="X263" s="8">
        <v>3000</v>
      </c>
      <c r="Y263" s="8" t="s">
        <v>278</v>
      </c>
      <c r="Z263" s="8">
        <v>470</v>
      </c>
      <c r="AA263" s="8" t="s">
        <v>525</v>
      </c>
      <c r="AB263" s="8" t="s">
        <v>236</v>
      </c>
      <c r="AC263" s="8" t="s">
        <v>236</v>
      </c>
      <c r="AD263" s="8" t="s">
        <v>236</v>
      </c>
      <c r="AE263" s="8" t="s">
        <v>68</v>
      </c>
      <c r="AF263" s="8" t="s">
        <v>236</v>
      </c>
      <c r="AG263" s="8" t="s">
        <v>236</v>
      </c>
      <c r="AH263" s="8" t="s">
        <v>236</v>
      </c>
      <c r="AI263" s="8" t="s">
        <v>236</v>
      </c>
      <c r="AJ263" t="s">
        <v>519</v>
      </c>
      <c r="AK263">
        <v>12</v>
      </c>
      <c r="AL263">
        <v>1</v>
      </c>
      <c r="AM263" t="s">
        <v>297</v>
      </c>
      <c r="AN263" t="s">
        <v>236</v>
      </c>
      <c r="AO263" t="s">
        <v>529</v>
      </c>
      <c r="AP263" t="s">
        <v>519</v>
      </c>
      <c r="AQ263">
        <v>11</v>
      </c>
      <c r="AR263" t="s">
        <v>527</v>
      </c>
      <c r="AS263" t="s">
        <v>236</v>
      </c>
      <c r="AT263" t="s">
        <v>145</v>
      </c>
      <c r="AU263">
        <v>12</v>
      </c>
      <c r="AV263">
        <v>1</v>
      </c>
      <c r="AW263" t="s">
        <v>432</v>
      </c>
      <c r="AX263" t="s">
        <v>221</v>
      </c>
      <c r="AY263" t="s">
        <v>224</v>
      </c>
      <c r="AZ263">
        <v>3</v>
      </c>
      <c r="BA263" t="s">
        <v>435</v>
      </c>
      <c r="BB263" t="s">
        <v>431</v>
      </c>
      <c r="BC263" t="s">
        <v>419</v>
      </c>
      <c r="BD263" t="s">
        <v>236</v>
      </c>
      <c r="BE263" t="s">
        <v>437</v>
      </c>
      <c r="BF263" t="s">
        <v>530</v>
      </c>
      <c r="BG263" t="s">
        <v>433</v>
      </c>
      <c r="BH263" t="s">
        <v>420</v>
      </c>
      <c r="BI263" t="s">
        <v>533</v>
      </c>
      <c r="BJ263" t="s">
        <v>68</v>
      </c>
      <c r="BK263" t="s">
        <v>236</v>
      </c>
      <c r="BL263" t="s">
        <v>236</v>
      </c>
      <c r="BM263" t="s">
        <v>236</v>
      </c>
      <c r="BN263" t="s">
        <v>68</v>
      </c>
      <c r="BO263" t="s">
        <v>236</v>
      </c>
      <c r="BP263" t="s">
        <v>236</v>
      </c>
      <c r="BQ263" t="s">
        <v>236</v>
      </c>
      <c r="BR263" t="s">
        <v>236</v>
      </c>
      <c r="BS263" t="s">
        <v>521</v>
      </c>
      <c r="BT263">
        <v>0</v>
      </c>
    </row>
    <row r="264" spans="1:72" x14ac:dyDescent="0.15">
      <c r="A264" s="43">
        <v>2022</v>
      </c>
      <c r="B264" s="8">
        <v>12</v>
      </c>
      <c r="C264" s="8">
        <v>1</v>
      </c>
      <c r="D264" s="8" t="s">
        <v>297</v>
      </c>
      <c r="E264" s="8" t="s">
        <v>236</v>
      </c>
      <c r="F264" s="8" t="s">
        <v>57</v>
      </c>
      <c r="G264" s="8">
        <v>2022</v>
      </c>
      <c r="H264" s="8">
        <v>11</v>
      </c>
      <c r="I264" s="8" t="s">
        <v>527</v>
      </c>
      <c r="J264" s="8" t="s">
        <v>236</v>
      </c>
      <c r="K264" s="8">
        <v>1977</v>
      </c>
      <c r="L264" s="17">
        <v>12</v>
      </c>
      <c r="M264" s="8">
        <v>1</v>
      </c>
      <c r="N264" s="8" t="s">
        <v>48</v>
      </c>
      <c r="O264" s="8" t="s">
        <v>221</v>
      </c>
      <c r="P264" s="8" t="s">
        <v>224</v>
      </c>
      <c r="Q264" s="8">
        <v>7000</v>
      </c>
      <c r="R264" s="8" t="s">
        <v>57</v>
      </c>
      <c r="S264" s="8" t="s">
        <v>52</v>
      </c>
      <c r="T264" s="8" t="s">
        <v>70</v>
      </c>
      <c r="U264" s="8" t="s">
        <v>236</v>
      </c>
      <c r="V264" s="8">
        <v>1000</v>
      </c>
      <c r="W264" s="8" t="s">
        <v>241</v>
      </c>
      <c r="X264" s="8">
        <v>3000</v>
      </c>
      <c r="Y264" s="8" t="s">
        <v>278</v>
      </c>
      <c r="Z264" s="8">
        <v>470</v>
      </c>
      <c r="AA264" s="8" t="s">
        <v>525</v>
      </c>
      <c r="AB264" s="8" t="s">
        <v>236</v>
      </c>
      <c r="AC264" s="8" t="s">
        <v>236</v>
      </c>
      <c r="AD264" s="8" t="s">
        <v>236</v>
      </c>
      <c r="AE264" s="8" t="s">
        <v>68</v>
      </c>
      <c r="AF264" s="8" t="s">
        <v>236</v>
      </c>
      <c r="AG264" s="8" t="s">
        <v>236</v>
      </c>
      <c r="AH264" s="8" t="s">
        <v>236</v>
      </c>
      <c r="AI264" s="8" t="s">
        <v>236</v>
      </c>
      <c r="AJ264" t="s">
        <v>519</v>
      </c>
      <c r="AK264">
        <v>12</v>
      </c>
      <c r="AL264">
        <v>1</v>
      </c>
      <c r="AM264" t="s">
        <v>297</v>
      </c>
      <c r="AN264" t="s">
        <v>236</v>
      </c>
      <c r="AO264" t="s">
        <v>529</v>
      </c>
      <c r="AP264" t="s">
        <v>519</v>
      </c>
      <c r="AQ264">
        <v>11</v>
      </c>
      <c r="AR264" t="s">
        <v>527</v>
      </c>
      <c r="AS264" t="s">
        <v>236</v>
      </c>
      <c r="AT264" t="s">
        <v>150</v>
      </c>
      <c r="AU264">
        <v>12</v>
      </c>
      <c r="AV264">
        <v>1</v>
      </c>
      <c r="AW264" t="s">
        <v>432</v>
      </c>
      <c r="AX264" t="s">
        <v>221</v>
      </c>
      <c r="AY264" t="s">
        <v>224</v>
      </c>
      <c r="AZ264">
        <v>3</v>
      </c>
      <c r="BA264" t="s">
        <v>435</v>
      </c>
      <c r="BB264" t="s">
        <v>431</v>
      </c>
      <c r="BC264" t="s">
        <v>419</v>
      </c>
      <c r="BD264" t="s">
        <v>236</v>
      </c>
      <c r="BE264" t="s">
        <v>437</v>
      </c>
      <c r="BF264" t="s">
        <v>530</v>
      </c>
      <c r="BG264" t="s">
        <v>433</v>
      </c>
      <c r="BH264" t="s">
        <v>420</v>
      </c>
      <c r="BI264" t="s">
        <v>533</v>
      </c>
      <c r="BJ264" t="s">
        <v>68</v>
      </c>
      <c r="BK264" t="s">
        <v>236</v>
      </c>
      <c r="BL264" t="s">
        <v>236</v>
      </c>
      <c r="BM264" t="s">
        <v>236</v>
      </c>
      <c r="BN264" t="s">
        <v>68</v>
      </c>
      <c r="BO264" t="s">
        <v>236</v>
      </c>
      <c r="BP264" t="s">
        <v>236</v>
      </c>
      <c r="BQ264" t="s">
        <v>236</v>
      </c>
      <c r="BR264" t="s">
        <v>236</v>
      </c>
      <c r="BS264" t="s">
        <v>521</v>
      </c>
      <c r="BT264">
        <v>0</v>
      </c>
    </row>
    <row r="265" spans="1:72" x14ac:dyDescent="0.15">
      <c r="A265" s="43">
        <v>2022</v>
      </c>
      <c r="B265" s="8">
        <v>12</v>
      </c>
      <c r="C265" s="8">
        <v>1</v>
      </c>
      <c r="D265" s="8" t="s">
        <v>297</v>
      </c>
      <c r="E265" s="8" t="s">
        <v>236</v>
      </c>
      <c r="F265" s="8" t="s">
        <v>57</v>
      </c>
      <c r="G265" s="8">
        <v>2022</v>
      </c>
      <c r="H265" s="8">
        <v>11</v>
      </c>
      <c r="I265" s="8" t="s">
        <v>527</v>
      </c>
      <c r="J265" s="8" t="s">
        <v>236</v>
      </c>
      <c r="K265" s="8">
        <v>1972</v>
      </c>
      <c r="L265" s="17">
        <v>12</v>
      </c>
      <c r="M265" s="8">
        <v>1</v>
      </c>
      <c r="N265" s="8" t="s">
        <v>48</v>
      </c>
      <c r="O265" s="8" t="s">
        <v>221</v>
      </c>
      <c r="P265" s="8" t="s">
        <v>224</v>
      </c>
      <c r="Q265" s="8">
        <v>7000</v>
      </c>
      <c r="R265" s="8" t="s">
        <v>57</v>
      </c>
      <c r="S265" s="8" t="s">
        <v>52</v>
      </c>
      <c r="T265" s="8" t="s">
        <v>70</v>
      </c>
      <c r="U265" s="8" t="s">
        <v>236</v>
      </c>
      <c r="V265" s="8">
        <v>1000</v>
      </c>
      <c r="W265" s="8" t="s">
        <v>241</v>
      </c>
      <c r="X265" s="8">
        <v>3000</v>
      </c>
      <c r="Y265" s="8" t="s">
        <v>278</v>
      </c>
      <c r="Z265" s="8">
        <v>470</v>
      </c>
      <c r="AA265" s="8" t="s">
        <v>525</v>
      </c>
      <c r="AB265" s="8" t="s">
        <v>236</v>
      </c>
      <c r="AC265" s="8" t="s">
        <v>236</v>
      </c>
      <c r="AD265" s="8" t="s">
        <v>236</v>
      </c>
      <c r="AE265" s="8" t="s">
        <v>68</v>
      </c>
      <c r="AF265" s="8" t="s">
        <v>236</v>
      </c>
      <c r="AG265" s="8" t="s">
        <v>236</v>
      </c>
      <c r="AH265" s="8" t="s">
        <v>236</v>
      </c>
      <c r="AI265" s="8" t="s">
        <v>236</v>
      </c>
      <c r="AJ265" t="s">
        <v>519</v>
      </c>
      <c r="AK265">
        <v>12</v>
      </c>
      <c r="AL265">
        <v>1</v>
      </c>
      <c r="AM265" t="s">
        <v>297</v>
      </c>
      <c r="AN265" t="s">
        <v>236</v>
      </c>
      <c r="AO265" t="s">
        <v>529</v>
      </c>
      <c r="AP265" t="s">
        <v>519</v>
      </c>
      <c r="AQ265">
        <v>11</v>
      </c>
      <c r="AR265" t="s">
        <v>527</v>
      </c>
      <c r="AS265" t="s">
        <v>236</v>
      </c>
      <c r="AT265" t="s">
        <v>155</v>
      </c>
      <c r="AU265">
        <v>12</v>
      </c>
      <c r="AV265">
        <v>1</v>
      </c>
      <c r="AW265" t="s">
        <v>432</v>
      </c>
      <c r="AX265" t="s">
        <v>221</v>
      </c>
      <c r="AY265" t="s">
        <v>224</v>
      </c>
      <c r="AZ265">
        <v>3</v>
      </c>
      <c r="BA265" t="s">
        <v>435</v>
      </c>
      <c r="BB265" t="s">
        <v>431</v>
      </c>
      <c r="BC265" t="s">
        <v>419</v>
      </c>
      <c r="BD265" t="s">
        <v>236</v>
      </c>
      <c r="BE265" t="s">
        <v>437</v>
      </c>
      <c r="BF265" t="s">
        <v>530</v>
      </c>
      <c r="BG265" t="s">
        <v>433</v>
      </c>
      <c r="BH265" t="s">
        <v>420</v>
      </c>
      <c r="BI265" t="s">
        <v>533</v>
      </c>
      <c r="BJ265" t="s">
        <v>68</v>
      </c>
      <c r="BK265" t="s">
        <v>236</v>
      </c>
      <c r="BL265" t="s">
        <v>236</v>
      </c>
      <c r="BM265" t="s">
        <v>236</v>
      </c>
      <c r="BN265" t="s">
        <v>68</v>
      </c>
      <c r="BO265" t="s">
        <v>236</v>
      </c>
      <c r="BP265" t="s">
        <v>236</v>
      </c>
      <c r="BQ265" t="s">
        <v>236</v>
      </c>
      <c r="BR265" t="s">
        <v>236</v>
      </c>
      <c r="BS265" t="s">
        <v>521</v>
      </c>
      <c r="BT265">
        <v>0</v>
      </c>
    </row>
    <row r="266" spans="1:72" x14ac:dyDescent="0.15">
      <c r="A266" s="43">
        <v>2022</v>
      </c>
      <c r="B266" s="8">
        <v>12</v>
      </c>
      <c r="C266" s="8">
        <v>1</v>
      </c>
      <c r="D266" s="8" t="s">
        <v>297</v>
      </c>
      <c r="E266" s="8" t="s">
        <v>236</v>
      </c>
      <c r="F266" s="8" t="s">
        <v>57</v>
      </c>
      <c r="G266" s="8">
        <v>2022</v>
      </c>
      <c r="H266" s="8">
        <v>11</v>
      </c>
      <c r="I266" s="8" t="s">
        <v>527</v>
      </c>
      <c r="J266" s="8" t="s">
        <v>236</v>
      </c>
      <c r="K266" s="8">
        <v>1962</v>
      </c>
      <c r="L266" s="17">
        <v>12</v>
      </c>
      <c r="M266" s="8">
        <v>1</v>
      </c>
      <c r="N266" s="8" t="s">
        <v>48</v>
      </c>
      <c r="O266" s="8" t="s">
        <v>221</v>
      </c>
      <c r="P266" s="8" t="s">
        <v>224</v>
      </c>
      <c r="Q266" s="8">
        <v>7000</v>
      </c>
      <c r="R266" s="8" t="s">
        <v>57</v>
      </c>
      <c r="S266" s="8" t="s">
        <v>52</v>
      </c>
      <c r="T266" s="8" t="s">
        <v>70</v>
      </c>
      <c r="U266" s="8" t="s">
        <v>236</v>
      </c>
      <c r="V266" s="8">
        <v>1000</v>
      </c>
      <c r="W266" s="8" t="s">
        <v>241</v>
      </c>
      <c r="X266" s="8">
        <v>3000</v>
      </c>
      <c r="Y266" s="8" t="s">
        <v>278</v>
      </c>
      <c r="Z266" s="8">
        <v>470</v>
      </c>
      <c r="AA266" s="8" t="s">
        <v>525</v>
      </c>
      <c r="AB266" s="8" t="s">
        <v>236</v>
      </c>
      <c r="AC266" s="8" t="s">
        <v>236</v>
      </c>
      <c r="AD266" s="8" t="s">
        <v>236</v>
      </c>
      <c r="AE266" s="8" t="s">
        <v>68</v>
      </c>
      <c r="AF266" s="8" t="s">
        <v>236</v>
      </c>
      <c r="AG266" s="8" t="s">
        <v>236</v>
      </c>
      <c r="AH266" s="8" t="s">
        <v>236</v>
      </c>
      <c r="AI266" s="8" t="s">
        <v>236</v>
      </c>
      <c r="AJ266" t="s">
        <v>519</v>
      </c>
      <c r="AK266">
        <v>12</v>
      </c>
      <c r="AL266">
        <v>1</v>
      </c>
      <c r="AM266" t="s">
        <v>297</v>
      </c>
      <c r="AN266" t="s">
        <v>236</v>
      </c>
      <c r="AO266" t="s">
        <v>529</v>
      </c>
      <c r="AP266" t="s">
        <v>519</v>
      </c>
      <c r="AQ266">
        <v>11</v>
      </c>
      <c r="AR266" t="s">
        <v>527</v>
      </c>
      <c r="AS266" t="s">
        <v>236</v>
      </c>
      <c r="AT266" t="s">
        <v>165</v>
      </c>
      <c r="AU266">
        <v>12</v>
      </c>
      <c r="AV266">
        <v>1</v>
      </c>
      <c r="AW266" t="s">
        <v>432</v>
      </c>
      <c r="AX266" t="s">
        <v>221</v>
      </c>
      <c r="AY266" t="s">
        <v>224</v>
      </c>
      <c r="AZ266">
        <v>3</v>
      </c>
      <c r="BA266" t="s">
        <v>435</v>
      </c>
      <c r="BB266" t="s">
        <v>431</v>
      </c>
      <c r="BC266" t="s">
        <v>419</v>
      </c>
      <c r="BD266" t="s">
        <v>236</v>
      </c>
      <c r="BE266" t="s">
        <v>437</v>
      </c>
      <c r="BF266" t="s">
        <v>530</v>
      </c>
      <c r="BG266" t="s">
        <v>433</v>
      </c>
      <c r="BH266" t="s">
        <v>420</v>
      </c>
      <c r="BI266" t="s">
        <v>533</v>
      </c>
      <c r="BJ266" t="s">
        <v>68</v>
      </c>
      <c r="BK266" t="s">
        <v>236</v>
      </c>
      <c r="BL266" t="s">
        <v>236</v>
      </c>
      <c r="BM266" t="s">
        <v>236</v>
      </c>
      <c r="BN266" t="s">
        <v>68</v>
      </c>
      <c r="BO266" t="s">
        <v>236</v>
      </c>
      <c r="BP266" t="s">
        <v>236</v>
      </c>
      <c r="BQ266" t="s">
        <v>236</v>
      </c>
      <c r="BR266" t="s">
        <v>236</v>
      </c>
      <c r="BS266" t="s">
        <v>521</v>
      </c>
      <c r="BT266">
        <v>0</v>
      </c>
    </row>
    <row r="267" spans="1:72" x14ac:dyDescent="0.15">
      <c r="A267" s="43">
        <v>2022</v>
      </c>
      <c r="B267" s="8">
        <v>12</v>
      </c>
      <c r="C267" s="8">
        <v>1</v>
      </c>
      <c r="D267" s="8" t="s">
        <v>297</v>
      </c>
      <c r="E267" s="8" t="s">
        <v>236</v>
      </c>
      <c r="F267" s="8" t="s">
        <v>57</v>
      </c>
      <c r="G267" s="8">
        <v>2022</v>
      </c>
      <c r="H267" s="8">
        <v>11</v>
      </c>
      <c r="I267" s="8" t="s">
        <v>527</v>
      </c>
      <c r="J267" s="8" t="s">
        <v>236</v>
      </c>
      <c r="K267" s="8">
        <v>1952</v>
      </c>
      <c r="L267" s="17">
        <v>12</v>
      </c>
      <c r="M267" s="8">
        <v>1</v>
      </c>
      <c r="N267" s="8" t="s">
        <v>48</v>
      </c>
      <c r="O267" s="8" t="s">
        <v>221</v>
      </c>
      <c r="P267" s="8" t="s">
        <v>224</v>
      </c>
      <c r="Q267" s="8">
        <v>7000</v>
      </c>
      <c r="R267" s="8" t="s">
        <v>57</v>
      </c>
      <c r="S267" s="8" t="s">
        <v>52</v>
      </c>
      <c r="T267" s="8" t="s">
        <v>70</v>
      </c>
      <c r="U267" s="8" t="s">
        <v>236</v>
      </c>
      <c r="V267" s="8">
        <v>1000</v>
      </c>
      <c r="W267" s="8" t="s">
        <v>241</v>
      </c>
      <c r="X267" s="8">
        <v>3000</v>
      </c>
      <c r="Y267" s="8" t="s">
        <v>278</v>
      </c>
      <c r="Z267" s="8">
        <v>470</v>
      </c>
      <c r="AA267" s="8" t="s">
        <v>525</v>
      </c>
      <c r="AB267" s="8" t="s">
        <v>236</v>
      </c>
      <c r="AC267" s="8" t="s">
        <v>236</v>
      </c>
      <c r="AD267" s="8" t="s">
        <v>236</v>
      </c>
      <c r="AE267" s="8" t="s">
        <v>68</v>
      </c>
      <c r="AF267" s="8" t="s">
        <v>236</v>
      </c>
      <c r="AG267" s="8" t="s">
        <v>236</v>
      </c>
      <c r="AH267" s="8" t="s">
        <v>236</v>
      </c>
      <c r="AI267" s="8" t="s">
        <v>236</v>
      </c>
      <c r="AJ267" t="s">
        <v>519</v>
      </c>
      <c r="AK267">
        <v>12</v>
      </c>
      <c r="AL267">
        <v>1</v>
      </c>
      <c r="AM267" t="s">
        <v>297</v>
      </c>
      <c r="AN267" t="s">
        <v>236</v>
      </c>
      <c r="AO267" t="s">
        <v>529</v>
      </c>
      <c r="AP267" t="s">
        <v>519</v>
      </c>
      <c r="AQ267">
        <v>11</v>
      </c>
      <c r="AR267" t="s">
        <v>527</v>
      </c>
      <c r="AS267" t="s">
        <v>236</v>
      </c>
      <c r="AT267" t="s">
        <v>175</v>
      </c>
      <c r="AU267">
        <v>12</v>
      </c>
      <c r="AV267">
        <v>1</v>
      </c>
      <c r="AW267" t="s">
        <v>432</v>
      </c>
      <c r="AX267" t="s">
        <v>221</v>
      </c>
      <c r="AY267" t="s">
        <v>224</v>
      </c>
      <c r="AZ267">
        <v>3</v>
      </c>
      <c r="BA267" t="s">
        <v>435</v>
      </c>
      <c r="BB267" t="s">
        <v>431</v>
      </c>
      <c r="BC267" t="s">
        <v>419</v>
      </c>
      <c r="BD267" t="s">
        <v>236</v>
      </c>
      <c r="BE267" t="s">
        <v>437</v>
      </c>
      <c r="BF267" t="s">
        <v>530</v>
      </c>
      <c r="BG267" t="s">
        <v>433</v>
      </c>
      <c r="BH267" t="s">
        <v>420</v>
      </c>
      <c r="BI267" t="s">
        <v>533</v>
      </c>
      <c r="BJ267" t="s">
        <v>68</v>
      </c>
      <c r="BK267" t="s">
        <v>236</v>
      </c>
      <c r="BL267" t="s">
        <v>236</v>
      </c>
      <c r="BM267" t="s">
        <v>236</v>
      </c>
      <c r="BN267" t="s">
        <v>68</v>
      </c>
      <c r="BO267" t="s">
        <v>236</v>
      </c>
      <c r="BP267" t="s">
        <v>236</v>
      </c>
      <c r="BQ267" t="s">
        <v>236</v>
      </c>
      <c r="BR267" t="s">
        <v>236</v>
      </c>
      <c r="BS267" t="s">
        <v>521</v>
      </c>
      <c r="BT267">
        <v>0</v>
      </c>
    </row>
    <row r="268" spans="1:72" x14ac:dyDescent="0.15">
      <c r="A268" s="43">
        <v>2022</v>
      </c>
      <c r="B268" s="8">
        <v>12</v>
      </c>
      <c r="C268" s="8">
        <v>1</v>
      </c>
      <c r="D268" s="8" t="s">
        <v>297</v>
      </c>
      <c r="E268" s="8" t="s">
        <v>236</v>
      </c>
      <c r="F268" s="8" t="s">
        <v>57</v>
      </c>
      <c r="G268" s="8">
        <v>2022</v>
      </c>
      <c r="H268" s="8">
        <v>11</v>
      </c>
      <c r="I268" s="8" t="s">
        <v>527</v>
      </c>
      <c r="J268" s="8" t="s">
        <v>236</v>
      </c>
      <c r="K268" s="8">
        <v>1992</v>
      </c>
      <c r="L268" s="17">
        <v>12</v>
      </c>
      <c r="M268" s="8">
        <v>1</v>
      </c>
      <c r="N268" s="8" t="s">
        <v>48</v>
      </c>
      <c r="O268" s="8" t="s">
        <v>221</v>
      </c>
      <c r="P268" s="8" t="s">
        <v>295</v>
      </c>
      <c r="Q268" s="8">
        <v>3000</v>
      </c>
      <c r="R268" s="8" t="s">
        <v>57</v>
      </c>
      <c r="S268" s="8" t="s">
        <v>52</v>
      </c>
      <c r="T268" s="8" t="s">
        <v>70</v>
      </c>
      <c r="U268" s="8" t="s">
        <v>236</v>
      </c>
      <c r="V268" s="8">
        <v>1000</v>
      </c>
      <c r="W268" s="8" t="s">
        <v>241</v>
      </c>
      <c r="X268" s="8">
        <v>3000</v>
      </c>
      <c r="Y268" s="8" t="s">
        <v>278</v>
      </c>
      <c r="Z268" s="8">
        <v>470</v>
      </c>
      <c r="AA268" s="8" t="s">
        <v>525</v>
      </c>
      <c r="AB268" s="8" t="s">
        <v>236</v>
      </c>
      <c r="AC268" s="8" t="s">
        <v>236</v>
      </c>
      <c r="AD268" s="8" t="s">
        <v>236</v>
      </c>
      <c r="AE268" s="8" t="s">
        <v>68</v>
      </c>
      <c r="AF268" s="8" t="s">
        <v>236</v>
      </c>
      <c r="AG268" s="8" t="s">
        <v>236</v>
      </c>
      <c r="AH268" s="8" t="s">
        <v>236</v>
      </c>
      <c r="AI268" s="8" t="s">
        <v>236</v>
      </c>
      <c r="AJ268" t="s">
        <v>519</v>
      </c>
      <c r="AK268">
        <v>12</v>
      </c>
      <c r="AL268">
        <v>1</v>
      </c>
      <c r="AM268" t="s">
        <v>297</v>
      </c>
      <c r="AN268" t="s">
        <v>236</v>
      </c>
      <c r="AO268" t="s">
        <v>529</v>
      </c>
      <c r="AP268" t="s">
        <v>519</v>
      </c>
      <c r="AQ268">
        <v>11</v>
      </c>
      <c r="AR268" t="s">
        <v>527</v>
      </c>
      <c r="AS268" t="s">
        <v>236</v>
      </c>
      <c r="AT268" t="s">
        <v>137</v>
      </c>
      <c r="AU268">
        <v>12</v>
      </c>
      <c r="AV268">
        <v>1</v>
      </c>
      <c r="AW268" t="s">
        <v>432</v>
      </c>
      <c r="AX268" t="s">
        <v>221</v>
      </c>
      <c r="AY268" t="s">
        <v>295</v>
      </c>
      <c r="AZ268">
        <v>1</v>
      </c>
      <c r="BA268" t="s">
        <v>435</v>
      </c>
      <c r="BB268" t="s">
        <v>431</v>
      </c>
      <c r="BC268" t="s">
        <v>419</v>
      </c>
      <c r="BD268" t="s">
        <v>236</v>
      </c>
      <c r="BE268" t="s">
        <v>437</v>
      </c>
      <c r="BF268" t="s">
        <v>530</v>
      </c>
      <c r="BG268" t="s">
        <v>433</v>
      </c>
      <c r="BH268" t="s">
        <v>420</v>
      </c>
      <c r="BI268" t="s">
        <v>533</v>
      </c>
      <c r="BJ268" t="s">
        <v>68</v>
      </c>
      <c r="BK268" t="s">
        <v>236</v>
      </c>
      <c r="BL268" t="s">
        <v>236</v>
      </c>
      <c r="BM268" t="s">
        <v>236</v>
      </c>
      <c r="BN268" t="s">
        <v>68</v>
      </c>
      <c r="BO268" t="s">
        <v>236</v>
      </c>
      <c r="BP268" t="s">
        <v>236</v>
      </c>
      <c r="BQ268" t="s">
        <v>236</v>
      </c>
      <c r="BR268" t="s">
        <v>236</v>
      </c>
      <c r="BS268" t="s">
        <v>521</v>
      </c>
      <c r="BT268">
        <v>0</v>
      </c>
    </row>
    <row r="269" spans="1:72" x14ac:dyDescent="0.15">
      <c r="A269" s="43">
        <v>2022</v>
      </c>
      <c r="B269" s="8">
        <v>12</v>
      </c>
      <c r="C269" s="8">
        <v>1</v>
      </c>
      <c r="D269" s="8" t="s">
        <v>297</v>
      </c>
      <c r="E269" s="8" t="s">
        <v>236</v>
      </c>
      <c r="F269" s="8" t="s">
        <v>57</v>
      </c>
      <c r="G269" s="8">
        <v>2022</v>
      </c>
      <c r="H269" s="8">
        <v>11</v>
      </c>
      <c r="I269" s="8" t="s">
        <v>527</v>
      </c>
      <c r="J269" s="8" t="s">
        <v>236</v>
      </c>
      <c r="K269" s="8">
        <v>1987</v>
      </c>
      <c r="L269" s="17">
        <v>12</v>
      </c>
      <c r="M269" s="8">
        <v>1</v>
      </c>
      <c r="N269" s="8" t="s">
        <v>48</v>
      </c>
      <c r="O269" s="8" t="s">
        <v>221</v>
      </c>
      <c r="P269" s="8" t="s">
        <v>295</v>
      </c>
      <c r="Q269" s="8">
        <v>3000</v>
      </c>
      <c r="R269" s="8" t="s">
        <v>57</v>
      </c>
      <c r="S269" s="8" t="s">
        <v>52</v>
      </c>
      <c r="T269" s="8" t="s">
        <v>70</v>
      </c>
      <c r="U269" s="8" t="s">
        <v>236</v>
      </c>
      <c r="V269" s="8">
        <v>1000</v>
      </c>
      <c r="W269" s="8" t="s">
        <v>241</v>
      </c>
      <c r="X269" s="8">
        <v>3000</v>
      </c>
      <c r="Y269" s="8" t="s">
        <v>278</v>
      </c>
      <c r="Z269" s="8">
        <v>470</v>
      </c>
      <c r="AA269" s="8" t="s">
        <v>525</v>
      </c>
      <c r="AB269" s="8" t="s">
        <v>236</v>
      </c>
      <c r="AC269" s="8" t="s">
        <v>236</v>
      </c>
      <c r="AD269" s="8" t="s">
        <v>236</v>
      </c>
      <c r="AE269" s="8" t="s">
        <v>68</v>
      </c>
      <c r="AF269" s="8" t="s">
        <v>236</v>
      </c>
      <c r="AG269" s="8" t="s">
        <v>236</v>
      </c>
      <c r="AH269" s="8" t="s">
        <v>236</v>
      </c>
      <c r="AI269" s="8" t="s">
        <v>236</v>
      </c>
      <c r="AJ269" t="s">
        <v>519</v>
      </c>
      <c r="AK269">
        <v>12</v>
      </c>
      <c r="AL269">
        <v>1</v>
      </c>
      <c r="AM269" t="s">
        <v>297</v>
      </c>
      <c r="AN269" t="s">
        <v>236</v>
      </c>
      <c r="AO269" t="s">
        <v>529</v>
      </c>
      <c r="AP269" t="s">
        <v>519</v>
      </c>
      <c r="AQ269">
        <v>11</v>
      </c>
      <c r="AR269" t="s">
        <v>527</v>
      </c>
      <c r="AS269" t="s">
        <v>236</v>
      </c>
      <c r="AT269" t="s">
        <v>140</v>
      </c>
      <c r="AU269">
        <v>12</v>
      </c>
      <c r="AV269">
        <v>1</v>
      </c>
      <c r="AW269" t="s">
        <v>432</v>
      </c>
      <c r="AX269" t="s">
        <v>221</v>
      </c>
      <c r="AY269" t="s">
        <v>295</v>
      </c>
      <c r="AZ269">
        <v>1</v>
      </c>
      <c r="BA269" t="s">
        <v>435</v>
      </c>
      <c r="BB269" t="s">
        <v>431</v>
      </c>
      <c r="BC269" t="s">
        <v>419</v>
      </c>
      <c r="BD269" t="s">
        <v>236</v>
      </c>
      <c r="BE269" t="s">
        <v>437</v>
      </c>
      <c r="BF269" t="s">
        <v>530</v>
      </c>
      <c r="BG269" t="s">
        <v>433</v>
      </c>
      <c r="BH269" t="s">
        <v>420</v>
      </c>
      <c r="BI269" t="s">
        <v>533</v>
      </c>
      <c r="BJ269" t="s">
        <v>68</v>
      </c>
      <c r="BK269" t="s">
        <v>236</v>
      </c>
      <c r="BL269" t="s">
        <v>236</v>
      </c>
      <c r="BM269" t="s">
        <v>236</v>
      </c>
      <c r="BN269" t="s">
        <v>68</v>
      </c>
      <c r="BO269" t="s">
        <v>236</v>
      </c>
      <c r="BP269" t="s">
        <v>236</v>
      </c>
      <c r="BQ269" t="s">
        <v>236</v>
      </c>
      <c r="BR269" t="s">
        <v>236</v>
      </c>
      <c r="BS269" t="s">
        <v>521</v>
      </c>
      <c r="BT269">
        <v>0</v>
      </c>
    </row>
    <row r="270" spans="1:72" x14ac:dyDescent="0.15">
      <c r="A270" s="43">
        <v>2022</v>
      </c>
      <c r="B270" s="8">
        <v>12</v>
      </c>
      <c r="C270" s="8">
        <v>1</v>
      </c>
      <c r="D270" s="8" t="s">
        <v>297</v>
      </c>
      <c r="E270" s="8" t="s">
        <v>236</v>
      </c>
      <c r="F270" s="8" t="s">
        <v>57</v>
      </c>
      <c r="G270" s="8">
        <v>2022</v>
      </c>
      <c r="H270" s="8">
        <v>11</v>
      </c>
      <c r="I270" s="8" t="s">
        <v>527</v>
      </c>
      <c r="J270" s="8" t="s">
        <v>236</v>
      </c>
      <c r="K270" s="8">
        <v>1982</v>
      </c>
      <c r="L270" s="17">
        <v>12</v>
      </c>
      <c r="M270" s="8">
        <v>1</v>
      </c>
      <c r="N270" s="8" t="s">
        <v>48</v>
      </c>
      <c r="O270" s="8" t="s">
        <v>221</v>
      </c>
      <c r="P270" s="8" t="s">
        <v>295</v>
      </c>
      <c r="Q270" s="8">
        <v>3000</v>
      </c>
      <c r="R270" s="8" t="s">
        <v>57</v>
      </c>
      <c r="S270" s="8" t="s">
        <v>52</v>
      </c>
      <c r="T270" s="8" t="s">
        <v>70</v>
      </c>
      <c r="U270" s="8" t="s">
        <v>236</v>
      </c>
      <c r="V270" s="8">
        <v>1000</v>
      </c>
      <c r="W270" s="8" t="s">
        <v>241</v>
      </c>
      <c r="X270" s="8">
        <v>3000</v>
      </c>
      <c r="Y270" s="8" t="s">
        <v>278</v>
      </c>
      <c r="Z270" s="8">
        <v>470</v>
      </c>
      <c r="AA270" s="8" t="s">
        <v>525</v>
      </c>
      <c r="AB270" s="8" t="s">
        <v>236</v>
      </c>
      <c r="AC270" s="8" t="s">
        <v>236</v>
      </c>
      <c r="AD270" s="8" t="s">
        <v>236</v>
      </c>
      <c r="AE270" s="8" t="s">
        <v>68</v>
      </c>
      <c r="AF270" s="8" t="s">
        <v>236</v>
      </c>
      <c r="AG270" s="8" t="s">
        <v>236</v>
      </c>
      <c r="AH270" s="8" t="s">
        <v>236</v>
      </c>
      <c r="AI270" s="8" t="s">
        <v>236</v>
      </c>
      <c r="AJ270" t="s">
        <v>519</v>
      </c>
      <c r="AK270">
        <v>12</v>
      </c>
      <c r="AL270">
        <v>1</v>
      </c>
      <c r="AM270" t="s">
        <v>297</v>
      </c>
      <c r="AN270" t="s">
        <v>236</v>
      </c>
      <c r="AO270" t="s">
        <v>529</v>
      </c>
      <c r="AP270" t="s">
        <v>519</v>
      </c>
      <c r="AQ270">
        <v>11</v>
      </c>
      <c r="AR270" t="s">
        <v>527</v>
      </c>
      <c r="AS270" t="s">
        <v>236</v>
      </c>
      <c r="AT270" t="s">
        <v>145</v>
      </c>
      <c r="AU270">
        <v>12</v>
      </c>
      <c r="AV270">
        <v>1</v>
      </c>
      <c r="AW270" t="s">
        <v>432</v>
      </c>
      <c r="AX270" t="s">
        <v>221</v>
      </c>
      <c r="AY270" t="s">
        <v>295</v>
      </c>
      <c r="AZ270">
        <v>1</v>
      </c>
      <c r="BA270" t="s">
        <v>435</v>
      </c>
      <c r="BB270" t="s">
        <v>431</v>
      </c>
      <c r="BC270" t="s">
        <v>419</v>
      </c>
      <c r="BD270" t="s">
        <v>236</v>
      </c>
      <c r="BE270" t="s">
        <v>437</v>
      </c>
      <c r="BF270" t="s">
        <v>530</v>
      </c>
      <c r="BG270" t="s">
        <v>433</v>
      </c>
      <c r="BH270" t="s">
        <v>420</v>
      </c>
      <c r="BI270" t="s">
        <v>533</v>
      </c>
      <c r="BJ270" t="s">
        <v>68</v>
      </c>
      <c r="BK270" t="s">
        <v>236</v>
      </c>
      <c r="BL270" t="s">
        <v>236</v>
      </c>
      <c r="BM270" t="s">
        <v>236</v>
      </c>
      <c r="BN270" t="s">
        <v>68</v>
      </c>
      <c r="BO270" t="s">
        <v>236</v>
      </c>
      <c r="BP270" t="s">
        <v>236</v>
      </c>
      <c r="BQ270" t="s">
        <v>236</v>
      </c>
      <c r="BR270" t="s">
        <v>236</v>
      </c>
      <c r="BS270" t="s">
        <v>521</v>
      </c>
      <c r="BT270">
        <v>0</v>
      </c>
    </row>
    <row r="271" spans="1:72" x14ac:dyDescent="0.15">
      <c r="A271" s="43">
        <v>2022</v>
      </c>
      <c r="B271" s="8">
        <v>12</v>
      </c>
      <c r="C271" s="8">
        <v>1</v>
      </c>
      <c r="D271" s="8" t="s">
        <v>297</v>
      </c>
      <c r="E271" s="8" t="s">
        <v>236</v>
      </c>
      <c r="F271" s="8" t="s">
        <v>57</v>
      </c>
      <c r="G271" s="8">
        <v>2022</v>
      </c>
      <c r="H271" s="8">
        <v>11</v>
      </c>
      <c r="I271" s="8" t="s">
        <v>527</v>
      </c>
      <c r="J271" s="8" t="s">
        <v>236</v>
      </c>
      <c r="K271" s="8">
        <v>1977</v>
      </c>
      <c r="L271" s="17">
        <v>12</v>
      </c>
      <c r="M271" s="8">
        <v>1</v>
      </c>
      <c r="N271" s="8" t="s">
        <v>48</v>
      </c>
      <c r="O271" s="8" t="s">
        <v>221</v>
      </c>
      <c r="P271" s="8" t="s">
        <v>295</v>
      </c>
      <c r="Q271" s="8">
        <v>3000</v>
      </c>
      <c r="R271" s="8" t="s">
        <v>57</v>
      </c>
      <c r="S271" s="8" t="s">
        <v>52</v>
      </c>
      <c r="T271" s="8" t="s">
        <v>70</v>
      </c>
      <c r="U271" s="8" t="s">
        <v>236</v>
      </c>
      <c r="V271" s="8">
        <v>1000</v>
      </c>
      <c r="W271" s="8" t="s">
        <v>241</v>
      </c>
      <c r="X271" s="8">
        <v>3000</v>
      </c>
      <c r="Y271" s="8" t="s">
        <v>278</v>
      </c>
      <c r="Z271" s="8">
        <v>470</v>
      </c>
      <c r="AA271" s="8" t="s">
        <v>525</v>
      </c>
      <c r="AB271" s="8" t="s">
        <v>236</v>
      </c>
      <c r="AC271" s="8" t="s">
        <v>236</v>
      </c>
      <c r="AD271" s="8" t="s">
        <v>236</v>
      </c>
      <c r="AE271" s="8" t="s">
        <v>68</v>
      </c>
      <c r="AF271" s="8" t="s">
        <v>236</v>
      </c>
      <c r="AG271" s="8" t="s">
        <v>236</v>
      </c>
      <c r="AH271" s="8" t="s">
        <v>236</v>
      </c>
      <c r="AI271" s="8" t="s">
        <v>236</v>
      </c>
      <c r="AJ271" t="s">
        <v>519</v>
      </c>
      <c r="AK271">
        <v>12</v>
      </c>
      <c r="AL271">
        <v>1</v>
      </c>
      <c r="AM271" t="s">
        <v>297</v>
      </c>
      <c r="AN271" t="s">
        <v>236</v>
      </c>
      <c r="AO271" t="s">
        <v>529</v>
      </c>
      <c r="AP271" t="s">
        <v>519</v>
      </c>
      <c r="AQ271">
        <v>11</v>
      </c>
      <c r="AR271" t="s">
        <v>527</v>
      </c>
      <c r="AS271" t="s">
        <v>236</v>
      </c>
      <c r="AT271" t="s">
        <v>150</v>
      </c>
      <c r="AU271">
        <v>12</v>
      </c>
      <c r="AV271">
        <v>1</v>
      </c>
      <c r="AW271" t="s">
        <v>432</v>
      </c>
      <c r="AX271" t="s">
        <v>221</v>
      </c>
      <c r="AY271" t="s">
        <v>295</v>
      </c>
      <c r="AZ271">
        <v>1</v>
      </c>
      <c r="BA271" t="s">
        <v>435</v>
      </c>
      <c r="BB271" t="s">
        <v>431</v>
      </c>
      <c r="BC271" t="s">
        <v>419</v>
      </c>
      <c r="BD271" t="s">
        <v>236</v>
      </c>
      <c r="BE271" t="s">
        <v>437</v>
      </c>
      <c r="BF271" t="s">
        <v>530</v>
      </c>
      <c r="BG271" t="s">
        <v>433</v>
      </c>
      <c r="BH271" t="s">
        <v>420</v>
      </c>
      <c r="BI271" t="s">
        <v>533</v>
      </c>
      <c r="BJ271" t="s">
        <v>68</v>
      </c>
      <c r="BK271" t="s">
        <v>236</v>
      </c>
      <c r="BL271" t="s">
        <v>236</v>
      </c>
      <c r="BM271" t="s">
        <v>236</v>
      </c>
      <c r="BN271" t="s">
        <v>68</v>
      </c>
      <c r="BO271" t="s">
        <v>236</v>
      </c>
      <c r="BP271" t="s">
        <v>236</v>
      </c>
      <c r="BQ271" t="s">
        <v>236</v>
      </c>
      <c r="BR271" t="s">
        <v>236</v>
      </c>
      <c r="BS271" t="s">
        <v>521</v>
      </c>
      <c r="BT271">
        <v>0</v>
      </c>
    </row>
    <row r="272" spans="1:72" x14ac:dyDescent="0.15">
      <c r="A272" s="43">
        <v>2022</v>
      </c>
      <c r="B272" s="8">
        <v>12</v>
      </c>
      <c r="C272" s="8">
        <v>1</v>
      </c>
      <c r="D272" s="8" t="s">
        <v>297</v>
      </c>
      <c r="E272" s="8" t="s">
        <v>236</v>
      </c>
      <c r="F272" s="8" t="s">
        <v>57</v>
      </c>
      <c r="G272" s="8">
        <v>2022</v>
      </c>
      <c r="H272" s="8">
        <v>11</v>
      </c>
      <c r="I272" s="8" t="s">
        <v>527</v>
      </c>
      <c r="J272" s="8" t="s">
        <v>236</v>
      </c>
      <c r="K272" s="8">
        <v>1972</v>
      </c>
      <c r="L272" s="17">
        <v>12</v>
      </c>
      <c r="M272" s="8">
        <v>1</v>
      </c>
      <c r="N272" s="8" t="s">
        <v>48</v>
      </c>
      <c r="O272" s="8" t="s">
        <v>221</v>
      </c>
      <c r="P272" s="8" t="s">
        <v>295</v>
      </c>
      <c r="Q272" s="8">
        <v>3000</v>
      </c>
      <c r="R272" s="8" t="s">
        <v>57</v>
      </c>
      <c r="S272" s="8" t="s">
        <v>52</v>
      </c>
      <c r="T272" s="8" t="s">
        <v>70</v>
      </c>
      <c r="U272" s="8" t="s">
        <v>236</v>
      </c>
      <c r="V272" s="8">
        <v>1000</v>
      </c>
      <c r="W272" s="8" t="s">
        <v>241</v>
      </c>
      <c r="X272" s="8">
        <v>3000</v>
      </c>
      <c r="Y272" s="8" t="s">
        <v>278</v>
      </c>
      <c r="Z272" s="8">
        <v>470</v>
      </c>
      <c r="AA272" s="8" t="s">
        <v>525</v>
      </c>
      <c r="AB272" s="8" t="s">
        <v>236</v>
      </c>
      <c r="AC272" s="8" t="s">
        <v>236</v>
      </c>
      <c r="AD272" s="8" t="s">
        <v>236</v>
      </c>
      <c r="AE272" s="8" t="s">
        <v>68</v>
      </c>
      <c r="AF272" s="8" t="s">
        <v>236</v>
      </c>
      <c r="AG272" s="8" t="s">
        <v>236</v>
      </c>
      <c r="AH272" s="8" t="s">
        <v>236</v>
      </c>
      <c r="AI272" s="8" t="s">
        <v>236</v>
      </c>
      <c r="AJ272" t="s">
        <v>519</v>
      </c>
      <c r="AK272">
        <v>12</v>
      </c>
      <c r="AL272">
        <v>1</v>
      </c>
      <c r="AM272" t="s">
        <v>297</v>
      </c>
      <c r="AN272" t="s">
        <v>236</v>
      </c>
      <c r="AO272" t="s">
        <v>529</v>
      </c>
      <c r="AP272" t="s">
        <v>519</v>
      </c>
      <c r="AQ272">
        <v>11</v>
      </c>
      <c r="AR272" t="s">
        <v>527</v>
      </c>
      <c r="AS272" t="s">
        <v>236</v>
      </c>
      <c r="AT272" t="s">
        <v>155</v>
      </c>
      <c r="AU272">
        <v>12</v>
      </c>
      <c r="AV272">
        <v>1</v>
      </c>
      <c r="AW272" t="s">
        <v>432</v>
      </c>
      <c r="AX272" t="s">
        <v>221</v>
      </c>
      <c r="AY272" t="s">
        <v>295</v>
      </c>
      <c r="AZ272">
        <v>1</v>
      </c>
      <c r="BA272" t="s">
        <v>435</v>
      </c>
      <c r="BB272" t="s">
        <v>431</v>
      </c>
      <c r="BC272" t="s">
        <v>419</v>
      </c>
      <c r="BD272" t="s">
        <v>236</v>
      </c>
      <c r="BE272" t="s">
        <v>437</v>
      </c>
      <c r="BF272" t="s">
        <v>530</v>
      </c>
      <c r="BG272" t="s">
        <v>433</v>
      </c>
      <c r="BH272" t="s">
        <v>420</v>
      </c>
      <c r="BI272" t="s">
        <v>533</v>
      </c>
      <c r="BJ272" t="s">
        <v>68</v>
      </c>
      <c r="BK272" t="s">
        <v>236</v>
      </c>
      <c r="BL272" t="s">
        <v>236</v>
      </c>
      <c r="BM272" t="s">
        <v>236</v>
      </c>
      <c r="BN272" t="s">
        <v>68</v>
      </c>
      <c r="BO272" t="s">
        <v>236</v>
      </c>
      <c r="BP272" t="s">
        <v>236</v>
      </c>
      <c r="BQ272" t="s">
        <v>236</v>
      </c>
      <c r="BR272" t="s">
        <v>236</v>
      </c>
      <c r="BS272" t="s">
        <v>521</v>
      </c>
      <c r="BT272">
        <v>0</v>
      </c>
    </row>
    <row r="273" spans="1:72" x14ac:dyDescent="0.15">
      <c r="A273" s="43">
        <v>2022</v>
      </c>
      <c r="B273" s="8">
        <v>12</v>
      </c>
      <c r="C273" s="8">
        <v>1</v>
      </c>
      <c r="D273" s="8" t="s">
        <v>297</v>
      </c>
      <c r="E273" s="8" t="s">
        <v>236</v>
      </c>
      <c r="F273" s="8" t="s">
        <v>57</v>
      </c>
      <c r="G273" s="8">
        <v>2022</v>
      </c>
      <c r="H273" s="8">
        <v>11</v>
      </c>
      <c r="I273" s="8" t="s">
        <v>527</v>
      </c>
      <c r="J273" s="8" t="s">
        <v>236</v>
      </c>
      <c r="K273" s="8">
        <v>1962</v>
      </c>
      <c r="L273" s="17">
        <v>12</v>
      </c>
      <c r="M273" s="8">
        <v>1</v>
      </c>
      <c r="N273" s="8" t="s">
        <v>48</v>
      </c>
      <c r="O273" s="8" t="s">
        <v>221</v>
      </c>
      <c r="P273" s="8" t="s">
        <v>295</v>
      </c>
      <c r="Q273" s="8">
        <v>3000</v>
      </c>
      <c r="R273" s="8" t="s">
        <v>57</v>
      </c>
      <c r="S273" s="8" t="s">
        <v>52</v>
      </c>
      <c r="T273" s="8" t="s">
        <v>70</v>
      </c>
      <c r="U273" s="8" t="s">
        <v>236</v>
      </c>
      <c r="V273" s="8">
        <v>1000</v>
      </c>
      <c r="W273" s="8" t="s">
        <v>241</v>
      </c>
      <c r="X273" s="8">
        <v>3000</v>
      </c>
      <c r="Y273" s="8" t="s">
        <v>278</v>
      </c>
      <c r="Z273" s="8">
        <v>470</v>
      </c>
      <c r="AA273" s="8" t="s">
        <v>525</v>
      </c>
      <c r="AB273" s="8" t="s">
        <v>236</v>
      </c>
      <c r="AC273" s="8" t="s">
        <v>236</v>
      </c>
      <c r="AD273" s="8" t="s">
        <v>236</v>
      </c>
      <c r="AE273" s="8" t="s">
        <v>68</v>
      </c>
      <c r="AF273" s="8" t="s">
        <v>236</v>
      </c>
      <c r="AG273" s="8" t="s">
        <v>236</v>
      </c>
      <c r="AH273" s="8" t="s">
        <v>236</v>
      </c>
      <c r="AI273" s="8" t="s">
        <v>236</v>
      </c>
      <c r="AJ273" t="s">
        <v>519</v>
      </c>
      <c r="AK273">
        <v>12</v>
      </c>
      <c r="AL273">
        <v>1</v>
      </c>
      <c r="AM273" t="s">
        <v>297</v>
      </c>
      <c r="AN273" t="s">
        <v>236</v>
      </c>
      <c r="AO273" t="s">
        <v>529</v>
      </c>
      <c r="AP273" t="s">
        <v>519</v>
      </c>
      <c r="AQ273">
        <v>11</v>
      </c>
      <c r="AR273" t="s">
        <v>527</v>
      </c>
      <c r="AS273" t="s">
        <v>236</v>
      </c>
      <c r="AT273" t="s">
        <v>165</v>
      </c>
      <c r="AU273">
        <v>12</v>
      </c>
      <c r="AV273">
        <v>1</v>
      </c>
      <c r="AW273" t="s">
        <v>432</v>
      </c>
      <c r="AX273" t="s">
        <v>221</v>
      </c>
      <c r="AY273" t="s">
        <v>295</v>
      </c>
      <c r="AZ273">
        <v>1</v>
      </c>
      <c r="BA273" t="s">
        <v>435</v>
      </c>
      <c r="BB273" t="s">
        <v>431</v>
      </c>
      <c r="BC273" t="s">
        <v>419</v>
      </c>
      <c r="BD273" t="s">
        <v>236</v>
      </c>
      <c r="BE273" t="s">
        <v>437</v>
      </c>
      <c r="BF273" t="s">
        <v>530</v>
      </c>
      <c r="BG273" t="s">
        <v>433</v>
      </c>
      <c r="BH273" t="s">
        <v>420</v>
      </c>
      <c r="BI273" t="s">
        <v>533</v>
      </c>
      <c r="BJ273" t="s">
        <v>68</v>
      </c>
      <c r="BK273" t="s">
        <v>236</v>
      </c>
      <c r="BL273" t="s">
        <v>236</v>
      </c>
      <c r="BM273" t="s">
        <v>236</v>
      </c>
      <c r="BN273" t="s">
        <v>68</v>
      </c>
      <c r="BO273" t="s">
        <v>236</v>
      </c>
      <c r="BP273" t="s">
        <v>236</v>
      </c>
      <c r="BQ273" t="s">
        <v>236</v>
      </c>
      <c r="BR273" t="s">
        <v>236</v>
      </c>
      <c r="BS273" t="s">
        <v>521</v>
      </c>
      <c r="BT273">
        <v>0</v>
      </c>
    </row>
    <row r="274" spans="1:72" x14ac:dyDescent="0.15">
      <c r="A274" s="43">
        <v>2022</v>
      </c>
      <c r="B274" s="8">
        <v>12</v>
      </c>
      <c r="C274" s="8">
        <v>1</v>
      </c>
      <c r="D274" s="8" t="s">
        <v>297</v>
      </c>
      <c r="E274" s="8" t="s">
        <v>236</v>
      </c>
      <c r="F274" s="8" t="s">
        <v>57</v>
      </c>
      <c r="G274" s="8">
        <v>2022</v>
      </c>
      <c r="H274" s="8">
        <v>11</v>
      </c>
      <c r="I274" s="8" t="s">
        <v>527</v>
      </c>
      <c r="J274" s="8" t="s">
        <v>236</v>
      </c>
      <c r="K274" s="8">
        <v>1952</v>
      </c>
      <c r="L274" s="17">
        <v>12</v>
      </c>
      <c r="M274" s="8">
        <v>1</v>
      </c>
      <c r="N274" s="8" t="s">
        <v>48</v>
      </c>
      <c r="O274" s="8" t="s">
        <v>221</v>
      </c>
      <c r="P274" s="8" t="s">
        <v>295</v>
      </c>
      <c r="Q274" s="8">
        <v>3000</v>
      </c>
      <c r="R274" s="8" t="s">
        <v>57</v>
      </c>
      <c r="S274" s="8" t="s">
        <v>52</v>
      </c>
      <c r="T274" s="8" t="s">
        <v>70</v>
      </c>
      <c r="U274" s="8" t="s">
        <v>236</v>
      </c>
      <c r="V274" s="8">
        <v>1000</v>
      </c>
      <c r="W274" s="8" t="s">
        <v>241</v>
      </c>
      <c r="X274" s="8">
        <v>3000</v>
      </c>
      <c r="Y274" s="8" t="s">
        <v>278</v>
      </c>
      <c r="Z274" s="8">
        <v>470</v>
      </c>
      <c r="AA274" s="8" t="s">
        <v>525</v>
      </c>
      <c r="AB274" s="8" t="s">
        <v>236</v>
      </c>
      <c r="AC274" s="8" t="s">
        <v>236</v>
      </c>
      <c r="AD274" s="8" t="s">
        <v>236</v>
      </c>
      <c r="AE274" s="8" t="s">
        <v>68</v>
      </c>
      <c r="AF274" s="8" t="s">
        <v>236</v>
      </c>
      <c r="AG274" s="8" t="s">
        <v>236</v>
      </c>
      <c r="AH274" s="8" t="s">
        <v>236</v>
      </c>
      <c r="AI274" s="8" t="s">
        <v>236</v>
      </c>
      <c r="AJ274" t="s">
        <v>519</v>
      </c>
      <c r="AK274">
        <v>12</v>
      </c>
      <c r="AL274">
        <v>1</v>
      </c>
      <c r="AM274" t="s">
        <v>297</v>
      </c>
      <c r="AN274" t="s">
        <v>236</v>
      </c>
      <c r="AO274" t="s">
        <v>529</v>
      </c>
      <c r="AP274" t="s">
        <v>519</v>
      </c>
      <c r="AQ274">
        <v>11</v>
      </c>
      <c r="AR274" t="s">
        <v>527</v>
      </c>
      <c r="AS274" t="s">
        <v>236</v>
      </c>
      <c r="AT274" t="s">
        <v>175</v>
      </c>
      <c r="AU274">
        <v>12</v>
      </c>
      <c r="AV274">
        <v>1</v>
      </c>
      <c r="AW274" t="s">
        <v>432</v>
      </c>
      <c r="AX274" t="s">
        <v>221</v>
      </c>
      <c r="AY274" t="s">
        <v>295</v>
      </c>
      <c r="AZ274">
        <v>1</v>
      </c>
      <c r="BA274" t="s">
        <v>435</v>
      </c>
      <c r="BB274" t="s">
        <v>431</v>
      </c>
      <c r="BC274" t="s">
        <v>419</v>
      </c>
      <c r="BD274" t="s">
        <v>236</v>
      </c>
      <c r="BE274" t="s">
        <v>437</v>
      </c>
      <c r="BF274" t="s">
        <v>530</v>
      </c>
      <c r="BG274" t="s">
        <v>433</v>
      </c>
      <c r="BH274" t="s">
        <v>420</v>
      </c>
      <c r="BI274" t="s">
        <v>533</v>
      </c>
      <c r="BJ274" t="s">
        <v>68</v>
      </c>
      <c r="BK274" t="s">
        <v>236</v>
      </c>
      <c r="BL274" t="s">
        <v>236</v>
      </c>
      <c r="BM274" t="s">
        <v>236</v>
      </c>
      <c r="BN274" t="s">
        <v>68</v>
      </c>
      <c r="BO274" t="s">
        <v>236</v>
      </c>
      <c r="BP274" t="s">
        <v>236</v>
      </c>
      <c r="BQ274" t="s">
        <v>236</v>
      </c>
      <c r="BR274" t="s">
        <v>236</v>
      </c>
      <c r="BS274" t="s">
        <v>521</v>
      </c>
      <c r="BT274">
        <v>0</v>
      </c>
    </row>
    <row r="275" spans="1:72" x14ac:dyDescent="0.15">
      <c r="A275" s="43">
        <v>2022</v>
      </c>
      <c r="B275" s="8">
        <v>12</v>
      </c>
      <c r="C275" s="8">
        <v>1</v>
      </c>
      <c r="D275" s="8" t="s">
        <v>297</v>
      </c>
      <c r="E275" s="8" t="s">
        <v>236</v>
      </c>
      <c r="F275" s="8" t="s">
        <v>57</v>
      </c>
      <c r="G275" s="8">
        <v>2022</v>
      </c>
      <c r="H275" s="8">
        <v>11</v>
      </c>
      <c r="I275" s="8" t="s">
        <v>527</v>
      </c>
      <c r="J275" s="8" t="s">
        <v>236</v>
      </c>
      <c r="K275" s="8">
        <v>1992</v>
      </c>
      <c r="L275" s="17">
        <v>12</v>
      </c>
      <c r="M275" s="8">
        <v>1</v>
      </c>
      <c r="N275" s="8" t="s">
        <v>48</v>
      </c>
      <c r="O275" s="8" t="s">
        <v>221</v>
      </c>
      <c r="P275" s="8" t="s">
        <v>295</v>
      </c>
      <c r="Q275" s="8">
        <v>7000</v>
      </c>
      <c r="R275" s="8" t="s">
        <v>57</v>
      </c>
      <c r="S275" s="8" t="s">
        <v>52</v>
      </c>
      <c r="T275" s="8" t="s">
        <v>70</v>
      </c>
      <c r="U275" s="8" t="s">
        <v>236</v>
      </c>
      <c r="V275" s="8">
        <v>1000</v>
      </c>
      <c r="W275" s="8" t="s">
        <v>241</v>
      </c>
      <c r="X275" s="8">
        <v>3000</v>
      </c>
      <c r="Y275" s="8" t="s">
        <v>278</v>
      </c>
      <c r="Z275" s="8">
        <v>470</v>
      </c>
      <c r="AA275" s="8" t="s">
        <v>525</v>
      </c>
      <c r="AB275" s="8" t="s">
        <v>236</v>
      </c>
      <c r="AC275" s="8" t="s">
        <v>236</v>
      </c>
      <c r="AD275" s="8" t="s">
        <v>236</v>
      </c>
      <c r="AE275" s="8" t="s">
        <v>68</v>
      </c>
      <c r="AF275" s="8" t="s">
        <v>236</v>
      </c>
      <c r="AG275" s="8" t="s">
        <v>236</v>
      </c>
      <c r="AH275" s="8" t="s">
        <v>236</v>
      </c>
      <c r="AI275" s="8" t="s">
        <v>236</v>
      </c>
      <c r="AJ275" t="s">
        <v>519</v>
      </c>
      <c r="AK275">
        <v>12</v>
      </c>
      <c r="AL275">
        <v>1</v>
      </c>
      <c r="AM275" t="s">
        <v>297</v>
      </c>
      <c r="AN275" t="s">
        <v>236</v>
      </c>
      <c r="AO275" t="s">
        <v>529</v>
      </c>
      <c r="AP275" t="s">
        <v>519</v>
      </c>
      <c r="AQ275">
        <v>11</v>
      </c>
      <c r="AR275" t="s">
        <v>527</v>
      </c>
      <c r="AS275" t="s">
        <v>236</v>
      </c>
      <c r="AT275" t="s">
        <v>137</v>
      </c>
      <c r="AU275">
        <v>12</v>
      </c>
      <c r="AV275">
        <v>1</v>
      </c>
      <c r="AW275" t="s">
        <v>432</v>
      </c>
      <c r="AX275" t="s">
        <v>221</v>
      </c>
      <c r="AY275" t="s">
        <v>295</v>
      </c>
      <c r="AZ275">
        <v>3</v>
      </c>
      <c r="BA275" t="s">
        <v>435</v>
      </c>
      <c r="BB275" t="s">
        <v>431</v>
      </c>
      <c r="BC275" t="s">
        <v>419</v>
      </c>
      <c r="BD275" t="s">
        <v>236</v>
      </c>
      <c r="BE275" t="s">
        <v>437</v>
      </c>
      <c r="BF275" t="s">
        <v>530</v>
      </c>
      <c r="BG275" t="s">
        <v>433</v>
      </c>
      <c r="BH275" t="s">
        <v>420</v>
      </c>
      <c r="BI275" t="s">
        <v>533</v>
      </c>
      <c r="BJ275" t="s">
        <v>68</v>
      </c>
      <c r="BK275" t="s">
        <v>236</v>
      </c>
      <c r="BL275" t="s">
        <v>236</v>
      </c>
      <c r="BM275" t="s">
        <v>236</v>
      </c>
      <c r="BN275" t="s">
        <v>68</v>
      </c>
      <c r="BO275" t="s">
        <v>236</v>
      </c>
      <c r="BP275" t="s">
        <v>236</v>
      </c>
      <c r="BQ275" t="s">
        <v>236</v>
      </c>
      <c r="BR275" t="s">
        <v>236</v>
      </c>
      <c r="BS275" t="s">
        <v>521</v>
      </c>
      <c r="BT275">
        <v>0</v>
      </c>
    </row>
    <row r="276" spans="1:72" x14ac:dyDescent="0.15">
      <c r="A276" s="43">
        <v>2022</v>
      </c>
      <c r="B276" s="8">
        <v>12</v>
      </c>
      <c r="C276" s="8">
        <v>1</v>
      </c>
      <c r="D276" s="8" t="s">
        <v>297</v>
      </c>
      <c r="E276" s="8" t="s">
        <v>236</v>
      </c>
      <c r="F276" s="8" t="s">
        <v>57</v>
      </c>
      <c r="G276" s="8">
        <v>2022</v>
      </c>
      <c r="H276" s="8">
        <v>11</v>
      </c>
      <c r="I276" s="8" t="s">
        <v>527</v>
      </c>
      <c r="J276" s="8" t="s">
        <v>236</v>
      </c>
      <c r="K276" s="8">
        <v>1987</v>
      </c>
      <c r="L276" s="17">
        <v>12</v>
      </c>
      <c r="M276" s="8">
        <v>1</v>
      </c>
      <c r="N276" s="8" t="s">
        <v>48</v>
      </c>
      <c r="O276" s="8" t="s">
        <v>221</v>
      </c>
      <c r="P276" s="8" t="s">
        <v>295</v>
      </c>
      <c r="Q276" s="8">
        <v>7000</v>
      </c>
      <c r="R276" s="8" t="s">
        <v>57</v>
      </c>
      <c r="S276" s="8" t="s">
        <v>52</v>
      </c>
      <c r="T276" s="8" t="s">
        <v>70</v>
      </c>
      <c r="U276" s="8" t="s">
        <v>236</v>
      </c>
      <c r="V276" s="8">
        <v>1000</v>
      </c>
      <c r="W276" s="8" t="s">
        <v>241</v>
      </c>
      <c r="X276" s="8">
        <v>3000</v>
      </c>
      <c r="Y276" s="8" t="s">
        <v>278</v>
      </c>
      <c r="Z276" s="8">
        <v>470</v>
      </c>
      <c r="AA276" s="8" t="s">
        <v>525</v>
      </c>
      <c r="AB276" s="8" t="s">
        <v>236</v>
      </c>
      <c r="AC276" s="8" t="s">
        <v>236</v>
      </c>
      <c r="AD276" s="8" t="s">
        <v>236</v>
      </c>
      <c r="AE276" s="8" t="s">
        <v>68</v>
      </c>
      <c r="AF276" s="8" t="s">
        <v>236</v>
      </c>
      <c r="AG276" s="8" t="s">
        <v>236</v>
      </c>
      <c r="AH276" s="8" t="s">
        <v>236</v>
      </c>
      <c r="AI276" s="8" t="s">
        <v>236</v>
      </c>
      <c r="AJ276" t="s">
        <v>519</v>
      </c>
      <c r="AK276">
        <v>12</v>
      </c>
      <c r="AL276">
        <v>1</v>
      </c>
      <c r="AM276" t="s">
        <v>297</v>
      </c>
      <c r="AN276" t="s">
        <v>236</v>
      </c>
      <c r="AO276" t="s">
        <v>529</v>
      </c>
      <c r="AP276" t="s">
        <v>519</v>
      </c>
      <c r="AQ276">
        <v>11</v>
      </c>
      <c r="AR276" t="s">
        <v>527</v>
      </c>
      <c r="AS276" t="s">
        <v>236</v>
      </c>
      <c r="AT276" t="s">
        <v>140</v>
      </c>
      <c r="AU276">
        <v>12</v>
      </c>
      <c r="AV276">
        <v>1</v>
      </c>
      <c r="AW276" t="s">
        <v>432</v>
      </c>
      <c r="AX276" t="s">
        <v>221</v>
      </c>
      <c r="AY276" t="s">
        <v>295</v>
      </c>
      <c r="AZ276">
        <v>3</v>
      </c>
      <c r="BA276" t="s">
        <v>435</v>
      </c>
      <c r="BB276" t="s">
        <v>431</v>
      </c>
      <c r="BC276" t="s">
        <v>419</v>
      </c>
      <c r="BD276" t="s">
        <v>236</v>
      </c>
      <c r="BE276" t="s">
        <v>437</v>
      </c>
      <c r="BF276" t="s">
        <v>530</v>
      </c>
      <c r="BG276" t="s">
        <v>433</v>
      </c>
      <c r="BH276" t="s">
        <v>420</v>
      </c>
      <c r="BI276" t="s">
        <v>533</v>
      </c>
      <c r="BJ276" t="s">
        <v>68</v>
      </c>
      <c r="BK276" t="s">
        <v>236</v>
      </c>
      <c r="BL276" t="s">
        <v>236</v>
      </c>
      <c r="BM276" t="s">
        <v>236</v>
      </c>
      <c r="BN276" t="s">
        <v>68</v>
      </c>
      <c r="BO276" t="s">
        <v>236</v>
      </c>
      <c r="BP276" t="s">
        <v>236</v>
      </c>
      <c r="BQ276" t="s">
        <v>236</v>
      </c>
      <c r="BR276" t="s">
        <v>236</v>
      </c>
      <c r="BS276" t="s">
        <v>521</v>
      </c>
      <c r="BT276">
        <v>0</v>
      </c>
    </row>
    <row r="277" spans="1:72" x14ac:dyDescent="0.15">
      <c r="A277" s="43">
        <v>2022</v>
      </c>
      <c r="B277" s="8">
        <v>12</v>
      </c>
      <c r="C277" s="8">
        <v>1</v>
      </c>
      <c r="D277" s="8" t="s">
        <v>297</v>
      </c>
      <c r="E277" s="8" t="s">
        <v>236</v>
      </c>
      <c r="F277" s="8" t="s">
        <v>57</v>
      </c>
      <c r="G277" s="8">
        <v>2022</v>
      </c>
      <c r="H277" s="8">
        <v>11</v>
      </c>
      <c r="I277" s="8" t="s">
        <v>527</v>
      </c>
      <c r="J277" s="8" t="s">
        <v>236</v>
      </c>
      <c r="K277" s="8">
        <v>1982</v>
      </c>
      <c r="L277" s="17">
        <v>12</v>
      </c>
      <c r="M277" s="8">
        <v>1</v>
      </c>
      <c r="N277" s="8" t="s">
        <v>48</v>
      </c>
      <c r="O277" s="8" t="s">
        <v>221</v>
      </c>
      <c r="P277" s="8" t="s">
        <v>295</v>
      </c>
      <c r="Q277" s="8">
        <v>7000</v>
      </c>
      <c r="R277" s="8" t="s">
        <v>57</v>
      </c>
      <c r="S277" s="8" t="s">
        <v>52</v>
      </c>
      <c r="T277" s="8" t="s">
        <v>70</v>
      </c>
      <c r="U277" s="8" t="s">
        <v>236</v>
      </c>
      <c r="V277" s="8">
        <v>1000</v>
      </c>
      <c r="W277" s="8" t="s">
        <v>241</v>
      </c>
      <c r="X277" s="8">
        <v>3000</v>
      </c>
      <c r="Y277" s="8" t="s">
        <v>278</v>
      </c>
      <c r="Z277" s="8">
        <v>470</v>
      </c>
      <c r="AA277" s="8" t="s">
        <v>525</v>
      </c>
      <c r="AB277" s="8" t="s">
        <v>236</v>
      </c>
      <c r="AC277" s="8" t="s">
        <v>236</v>
      </c>
      <c r="AD277" s="8" t="s">
        <v>236</v>
      </c>
      <c r="AE277" s="8" t="s">
        <v>68</v>
      </c>
      <c r="AF277" s="8" t="s">
        <v>236</v>
      </c>
      <c r="AG277" s="8" t="s">
        <v>236</v>
      </c>
      <c r="AH277" s="8" t="s">
        <v>236</v>
      </c>
      <c r="AI277" s="8" t="s">
        <v>236</v>
      </c>
      <c r="AJ277" t="s">
        <v>519</v>
      </c>
      <c r="AK277">
        <v>12</v>
      </c>
      <c r="AL277">
        <v>1</v>
      </c>
      <c r="AM277" t="s">
        <v>297</v>
      </c>
      <c r="AN277" t="s">
        <v>236</v>
      </c>
      <c r="AO277" t="s">
        <v>529</v>
      </c>
      <c r="AP277" t="s">
        <v>519</v>
      </c>
      <c r="AQ277">
        <v>11</v>
      </c>
      <c r="AR277" t="s">
        <v>527</v>
      </c>
      <c r="AS277" t="s">
        <v>236</v>
      </c>
      <c r="AT277" t="s">
        <v>145</v>
      </c>
      <c r="AU277">
        <v>12</v>
      </c>
      <c r="AV277">
        <v>1</v>
      </c>
      <c r="AW277" t="s">
        <v>432</v>
      </c>
      <c r="AX277" t="s">
        <v>221</v>
      </c>
      <c r="AY277" t="s">
        <v>295</v>
      </c>
      <c r="AZ277">
        <v>3</v>
      </c>
      <c r="BA277" t="s">
        <v>435</v>
      </c>
      <c r="BB277" t="s">
        <v>431</v>
      </c>
      <c r="BC277" t="s">
        <v>419</v>
      </c>
      <c r="BD277" t="s">
        <v>236</v>
      </c>
      <c r="BE277" t="s">
        <v>437</v>
      </c>
      <c r="BF277" t="s">
        <v>530</v>
      </c>
      <c r="BG277" t="s">
        <v>433</v>
      </c>
      <c r="BH277" t="s">
        <v>420</v>
      </c>
      <c r="BI277" t="s">
        <v>533</v>
      </c>
      <c r="BJ277" t="s">
        <v>68</v>
      </c>
      <c r="BK277" t="s">
        <v>236</v>
      </c>
      <c r="BL277" t="s">
        <v>236</v>
      </c>
      <c r="BM277" t="s">
        <v>236</v>
      </c>
      <c r="BN277" t="s">
        <v>68</v>
      </c>
      <c r="BO277" t="s">
        <v>236</v>
      </c>
      <c r="BP277" t="s">
        <v>236</v>
      </c>
      <c r="BQ277" t="s">
        <v>236</v>
      </c>
      <c r="BR277" t="s">
        <v>236</v>
      </c>
      <c r="BS277" t="s">
        <v>521</v>
      </c>
      <c r="BT277">
        <v>0</v>
      </c>
    </row>
    <row r="278" spans="1:72" x14ac:dyDescent="0.15">
      <c r="A278" s="43">
        <v>2022</v>
      </c>
      <c r="B278" s="8">
        <v>12</v>
      </c>
      <c r="C278" s="8">
        <v>1</v>
      </c>
      <c r="D278" s="8" t="s">
        <v>297</v>
      </c>
      <c r="E278" s="8" t="s">
        <v>236</v>
      </c>
      <c r="F278" s="8" t="s">
        <v>57</v>
      </c>
      <c r="G278" s="8">
        <v>2022</v>
      </c>
      <c r="H278" s="8">
        <v>11</v>
      </c>
      <c r="I278" s="8" t="s">
        <v>527</v>
      </c>
      <c r="J278" s="8" t="s">
        <v>236</v>
      </c>
      <c r="K278" s="8">
        <v>1977</v>
      </c>
      <c r="L278" s="17">
        <v>12</v>
      </c>
      <c r="M278" s="8">
        <v>1</v>
      </c>
      <c r="N278" s="8" t="s">
        <v>48</v>
      </c>
      <c r="O278" s="8" t="s">
        <v>221</v>
      </c>
      <c r="P278" s="8" t="s">
        <v>295</v>
      </c>
      <c r="Q278" s="8">
        <v>7000</v>
      </c>
      <c r="R278" s="8" t="s">
        <v>57</v>
      </c>
      <c r="S278" s="8" t="s">
        <v>52</v>
      </c>
      <c r="T278" s="8" t="s">
        <v>70</v>
      </c>
      <c r="U278" s="8" t="s">
        <v>236</v>
      </c>
      <c r="V278" s="8">
        <v>1000</v>
      </c>
      <c r="W278" s="8" t="s">
        <v>241</v>
      </c>
      <c r="X278" s="8">
        <v>3000</v>
      </c>
      <c r="Y278" s="8" t="s">
        <v>278</v>
      </c>
      <c r="Z278" s="8">
        <v>470</v>
      </c>
      <c r="AA278" s="8" t="s">
        <v>525</v>
      </c>
      <c r="AB278" s="8" t="s">
        <v>236</v>
      </c>
      <c r="AC278" s="8" t="s">
        <v>236</v>
      </c>
      <c r="AD278" s="8" t="s">
        <v>236</v>
      </c>
      <c r="AE278" s="8" t="s">
        <v>68</v>
      </c>
      <c r="AF278" s="8" t="s">
        <v>236</v>
      </c>
      <c r="AG278" s="8" t="s">
        <v>236</v>
      </c>
      <c r="AH278" s="8" t="s">
        <v>236</v>
      </c>
      <c r="AI278" s="8" t="s">
        <v>236</v>
      </c>
      <c r="AJ278" t="s">
        <v>519</v>
      </c>
      <c r="AK278">
        <v>12</v>
      </c>
      <c r="AL278">
        <v>1</v>
      </c>
      <c r="AM278" t="s">
        <v>297</v>
      </c>
      <c r="AN278" t="s">
        <v>236</v>
      </c>
      <c r="AO278" t="s">
        <v>529</v>
      </c>
      <c r="AP278" t="s">
        <v>519</v>
      </c>
      <c r="AQ278">
        <v>11</v>
      </c>
      <c r="AR278" t="s">
        <v>527</v>
      </c>
      <c r="AS278" t="s">
        <v>236</v>
      </c>
      <c r="AT278" t="s">
        <v>150</v>
      </c>
      <c r="AU278">
        <v>12</v>
      </c>
      <c r="AV278">
        <v>1</v>
      </c>
      <c r="AW278" t="s">
        <v>432</v>
      </c>
      <c r="AX278" t="s">
        <v>221</v>
      </c>
      <c r="AY278" t="s">
        <v>295</v>
      </c>
      <c r="AZ278">
        <v>3</v>
      </c>
      <c r="BA278" t="s">
        <v>435</v>
      </c>
      <c r="BB278" t="s">
        <v>431</v>
      </c>
      <c r="BC278" t="s">
        <v>419</v>
      </c>
      <c r="BD278" t="s">
        <v>236</v>
      </c>
      <c r="BE278" t="s">
        <v>437</v>
      </c>
      <c r="BF278" t="s">
        <v>530</v>
      </c>
      <c r="BG278" t="s">
        <v>433</v>
      </c>
      <c r="BH278" t="s">
        <v>420</v>
      </c>
      <c r="BI278" t="s">
        <v>533</v>
      </c>
      <c r="BJ278" t="s">
        <v>68</v>
      </c>
      <c r="BK278" t="s">
        <v>236</v>
      </c>
      <c r="BL278" t="s">
        <v>236</v>
      </c>
      <c r="BM278" t="s">
        <v>236</v>
      </c>
      <c r="BN278" t="s">
        <v>68</v>
      </c>
      <c r="BO278" t="s">
        <v>236</v>
      </c>
      <c r="BP278" t="s">
        <v>236</v>
      </c>
      <c r="BQ278" t="s">
        <v>236</v>
      </c>
      <c r="BR278" t="s">
        <v>236</v>
      </c>
      <c r="BS278" t="s">
        <v>521</v>
      </c>
      <c r="BT278">
        <v>0</v>
      </c>
    </row>
    <row r="279" spans="1:72" x14ac:dyDescent="0.15">
      <c r="A279" s="43">
        <v>2022</v>
      </c>
      <c r="B279" s="8">
        <v>12</v>
      </c>
      <c r="C279" s="8">
        <v>1</v>
      </c>
      <c r="D279" s="8" t="s">
        <v>297</v>
      </c>
      <c r="E279" s="8" t="s">
        <v>236</v>
      </c>
      <c r="F279" s="8" t="s">
        <v>57</v>
      </c>
      <c r="G279" s="8">
        <v>2022</v>
      </c>
      <c r="H279" s="8">
        <v>11</v>
      </c>
      <c r="I279" s="8" t="s">
        <v>527</v>
      </c>
      <c r="J279" s="8" t="s">
        <v>236</v>
      </c>
      <c r="K279" s="8">
        <v>1972</v>
      </c>
      <c r="L279" s="17">
        <v>12</v>
      </c>
      <c r="M279" s="8">
        <v>1</v>
      </c>
      <c r="N279" s="8" t="s">
        <v>48</v>
      </c>
      <c r="O279" s="8" t="s">
        <v>221</v>
      </c>
      <c r="P279" s="8" t="s">
        <v>295</v>
      </c>
      <c r="Q279" s="8">
        <v>7000</v>
      </c>
      <c r="R279" s="8" t="s">
        <v>57</v>
      </c>
      <c r="S279" s="8" t="s">
        <v>52</v>
      </c>
      <c r="T279" s="8" t="s">
        <v>70</v>
      </c>
      <c r="U279" s="8" t="s">
        <v>236</v>
      </c>
      <c r="V279" s="8">
        <v>1000</v>
      </c>
      <c r="W279" s="8" t="s">
        <v>241</v>
      </c>
      <c r="X279" s="8">
        <v>3000</v>
      </c>
      <c r="Y279" s="8" t="s">
        <v>278</v>
      </c>
      <c r="Z279" s="8">
        <v>470</v>
      </c>
      <c r="AA279" s="8" t="s">
        <v>525</v>
      </c>
      <c r="AB279" s="8" t="s">
        <v>236</v>
      </c>
      <c r="AC279" s="8" t="s">
        <v>236</v>
      </c>
      <c r="AD279" s="8" t="s">
        <v>236</v>
      </c>
      <c r="AE279" s="8" t="s">
        <v>68</v>
      </c>
      <c r="AF279" s="8" t="s">
        <v>236</v>
      </c>
      <c r="AG279" s="8" t="s">
        <v>236</v>
      </c>
      <c r="AH279" s="8" t="s">
        <v>236</v>
      </c>
      <c r="AI279" s="8" t="s">
        <v>236</v>
      </c>
      <c r="AJ279" t="s">
        <v>519</v>
      </c>
      <c r="AK279">
        <v>12</v>
      </c>
      <c r="AL279">
        <v>1</v>
      </c>
      <c r="AM279" t="s">
        <v>297</v>
      </c>
      <c r="AN279" t="s">
        <v>236</v>
      </c>
      <c r="AO279" t="s">
        <v>529</v>
      </c>
      <c r="AP279" t="s">
        <v>519</v>
      </c>
      <c r="AQ279">
        <v>11</v>
      </c>
      <c r="AR279" t="s">
        <v>527</v>
      </c>
      <c r="AS279" t="s">
        <v>236</v>
      </c>
      <c r="AT279" t="s">
        <v>155</v>
      </c>
      <c r="AU279">
        <v>12</v>
      </c>
      <c r="AV279">
        <v>1</v>
      </c>
      <c r="AW279" t="s">
        <v>432</v>
      </c>
      <c r="AX279" t="s">
        <v>221</v>
      </c>
      <c r="AY279" t="s">
        <v>295</v>
      </c>
      <c r="AZ279">
        <v>3</v>
      </c>
      <c r="BA279" t="s">
        <v>435</v>
      </c>
      <c r="BB279" t="s">
        <v>431</v>
      </c>
      <c r="BC279" t="s">
        <v>419</v>
      </c>
      <c r="BD279" t="s">
        <v>236</v>
      </c>
      <c r="BE279" t="s">
        <v>437</v>
      </c>
      <c r="BF279" t="s">
        <v>530</v>
      </c>
      <c r="BG279" t="s">
        <v>433</v>
      </c>
      <c r="BH279" t="s">
        <v>420</v>
      </c>
      <c r="BI279" t="s">
        <v>533</v>
      </c>
      <c r="BJ279" t="s">
        <v>68</v>
      </c>
      <c r="BK279" t="s">
        <v>236</v>
      </c>
      <c r="BL279" t="s">
        <v>236</v>
      </c>
      <c r="BM279" t="s">
        <v>236</v>
      </c>
      <c r="BN279" t="s">
        <v>68</v>
      </c>
      <c r="BO279" t="s">
        <v>236</v>
      </c>
      <c r="BP279" t="s">
        <v>236</v>
      </c>
      <c r="BQ279" t="s">
        <v>236</v>
      </c>
      <c r="BR279" t="s">
        <v>236</v>
      </c>
      <c r="BS279" t="s">
        <v>521</v>
      </c>
      <c r="BT279">
        <v>0</v>
      </c>
    </row>
    <row r="280" spans="1:72" x14ac:dyDescent="0.15">
      <c r="A280" s="43">
        <v>2022</v>
      </c>
      <c r="B280" s="8">
        <v>12</v>
      </c>
      <c r="C280" s="8">
        <v>1</v>
      </c>
      <c r="D280" s="8" t="s">
        <v>297</v>
      </c>
      <c r="E280" s="8" t="s">
        <v>236</v>
      </c>
      <c r="F280" s="8" t="s">
        <v>57</v>
      </c>
      <c r="G280" s="8">
        <v>2022</v>
      </c>
      <c r="H280" s="8">
        <v>11</v>
      </c>
      <c r="I280" s="8" t="s">
        <v>527</v>
      </c>
      <c r="J280" s="8" t="s">
        <v>236</v>
      </c>
      <c r="K280" s="8">
        <v>1962</v>
      </c>
      <c r="L280" s="17">
        <v>12</v>
      </c>
      <c r="M280" s="8">
        <v>1</v>
      </c>
      <c r="N280" s="8" t="s">
        <v>48</v>
      </c>
      <c r="O280" s="8" t="s">
        <v>221</v>
      </c>
      <c r="P280" s="8" t="s">
        <v>295</v>
      </c>
      <c r="Q280" s="8">
        <v>7000</v>
      </c>
      <c r="R280" s="8" t="s">
        <v>57</v>
      </c>
      <c r="S280" s="8" t="s">
        <v>52</v>
      </c>
      <c r="T280" s="8" t="s">
        <v>70</v>
      </c>
      <c r="U280" s="8" t="s">
        <v>236</v>
      </c>
      <c r="V280" s="8">
        <v>1000</v>
      </c>
      <c r="W280" s="8" t="s">
        <v>241</v>
      </c>
      <c r="X280" s="8">
        <v>3000</v>
      </c>
      <c r="Y280" s="8" t="s">
        <v>278</v>
      </c>
      <c r="Z280" s="8">
        <v>470</v>
      </c>
      <c r="AA280" s="8" t="s">
        <v>525</v>
      </c>
      <c r="AB280" s="8" t="s">
        <v>236</v>
      </c>
      <c r="AC280" s="8" t="s">
        <v>236</v>
      </c>
      <c r="AD280" s="8" t="s">
        <v>236</v>
      </c>
      <c r="AE280" s="8" t="s">
        <v>68</v>
      </c>
      <c r="AF280" s="8" t="s">
        <v>236</v>
      </c>
      <c r="AG280" s="8" t="s">
        <v>236</v>
      </c>
      <c r="AH280" s="8" t="s">
        <v>236</v>
      </c>
      <c r="AI280" s="8" t="s">
        <v>236</v>
      </c>
      <c r="AJ280" t="s">
        <v>519</v>
      </c>
      <c r="AK280">
        <v>12</v>
      </c>
      <c r="AL280">
        <v>1</v>
      </c>
      <c r="AM280" t="s">
        <v>297</v>
      </c>
      <c r="AN280" t="s">
        <v>236</v>
      </c>
      <c r="AO280" t="s">
        <v>529</v>
      </c>
      <c r="AP280" t="s">
        <v>519</v>
      </c>
      <c r="AQ280">
        <v>11</v>
      </c>
      <c r="AR280" t="s">
        <v>527</v>
      </c>
      <c r="AS280" t="s">
        <v>236</v>
      </c>
      <c r="AT280" t="s">
        <v>165</v>
      </c>
      <c r="AU280">
        <v>12</v>
      </c>
      <c r="AV280">
        <v>1</v>
      </c>
      <c r="AW280" t="s">
        <v>432</v>
      </c>
      <c r="AX280" t="s">
        <v>221</v>
      </c>
      <c r="AY280" t="s">
        <v>295</v>
      </c>
      <c r="AZ280">
        <v>3</v>
      </c>
      <c r="BA280" t="s">
        <v>435</v>
      </c>
      <c r="BB280" t="s">
        <v>431</v>
      </c>
      <c r="BC280" t="s">
        <v>419</v>
      </c>
      <c r="BD280" t="s">
        <v>236</v>
      </c>
      <c r="BE280" t="s">
        <v>437</v>
      </c>
      <c r="BF280" t="s">
        <v>530</v>
      </c>
      <c r="BG280" t="s">
        <v>433</v>
      </c>
      <c r="BH280" t="s">
        <v>420</v>
      </c>
      <c r="BI280" t="s">
        <v>533</v>
      </c>
      <c r="BJ280" t="s">
        <v>68</v>
      </c>
      <c r="BK280" t="s">
        <v>236</v>
      </c>
      <c r="BL280" t="s">
        <v>236</v>
      </c>
      <c r="BM280" t="s">
        <v>236</v>
      </c>
      <c r="BN280" t="s">
        <v>68</v>
      </c>
      <c r="BO280" t="s">
        <v>236</v>
      </c>
      <c r="BP280" t="s">
        <v>236</v>
      </c>
      <c r="BQ280" t="s">
        <v>236</v>
      </c>
      <c r="BR280" t="s">
        <v>236</v>
      </c>
      <c r="BS280" t="s">
        <v>521</v>
      </c>
      <c r="BT280">
        <v>0</v>
      </c>
    </row>
    <row r="281" spans="1:72" x14ac:dyDescent="0.15">
      <c r="A281" s="43">
        <v>2022</v>
      </c>
      <c r="B281" s="8">
        <v>12</v>
      </c>
      <c r="C281" s="8">
        <v>1</v>
      </c>
      <c r="D281" s="8" t="s">
        <v>297</v>
      </c>
      <c r="E281" s="8" t="s">
        <v>236</v>
      </c>
      <c r="F281" s="8" t="s">
        <v>57</v>
      </c>
      <c r="G281" s="8">
        <v>2022</v>
      </c>
      <c r="H281" s="8">
        <v>11</v>
      </c>
      <c r="I281" s="8" t="s">
        <v>527</v>
      </c>
      <c r="J281" s="8" t="s">
        <v>236</v>
      </c>
      <c r="K281" s="8">
        <v>1952</v>
      </c>
      <c r="L281" s="17">
        <v>12</v>
      </c>
      <c r="M281" s="8">
        <v>1</v>
      </c>
      <c r="N281" s="8" t="s">
        <v>48</v>
      </c>
      <c r="O281" s="8" t="s">
        <v>221</v>
      </c>
      <c r="P281" s="8" t="s">
        <v>295</v>
      </c>
      <c r="Q281" s="8">
        <v>7000</v>
      </c>
      <c r="R281" s="8" t="s">
        <v>57</v>
      </c>
      <c r="S281" s="8" t="s">
        <v>52</v>
      </c>
      <c r="T281" s="8" t="s">
        <v>70</v>
      </c>
      <c r="U281" s="8" t="s">
        <v>236</v>
      </c>
      <c r="V281" s="8">
        <v>1000</v>
      </c>
      <c r="W281" s="8" t="s">
        <v>241</v>
      </c>
      <c r="X281" s="8">
        <v>3000</v>
      </c>
      <c r="Y281" s="8" t="s">
        <v>278</v>
      </c>
      <c r="Z281" s="8">
        <v>470</v>
      </c>
      <c r="AA281" s="8" t="s">
        <v>525</v>
      </c>
      <c r="AB281" s="8" t="s">
        <v>236</v>
      </c>
      <c r="AC281" s="8" t="s">
        <v>236</v>
      </c>
      <c r="AD281" s="8" t="s">
        <v>236</v>
      </c>
      <c r="AE281" s="8" t="s">
        <v>68</v>
      </c>
      <c r="AF281" s="8" t="s">
        <v>236</v>
      </c>
      <c r="AG281" s="8" t="s">
        <v>236</v>
      </c>
      <c r="AH281" s="8" t="s">
        <v>236</v>
      </c>
      <c r="AI281" s="8" t="s">
        <v>236</v>
      </c>
      <c r="AJ281" t="s">
        <v>519</v>
      </c>
      <c r="AK281">
        <v>12</v>
      </c>
      <c r="AL281">
        <v>1</v>
      </c>
      <c r="AM281" t="s">
        <v>297</v>
      </c>
      <c r="AN281" t="s">
        <v>236</v>
      </c>
      <c r="AO281" t="s">
        <v>529</v>
      </c>
      <c r="AP281" t="s">
        <v>519</v>
      </c>
      <c r="AQ281">
        <v>11</v>
      </c>
      <c r="AR281" t="s">
        <v>527</v>
      </c>
      <c r="AS281" t="s">
        <v>236</v>
      </c>
      <c r="AT281" t="s">
        <v>175</v>
      </c>
      <c r="AU281">
        <v>12</v>
      </c>
      <c r="AV281">
        <v>1</v>
      </c>
      <c r="AW281" t="s">
        <v>432</v>
      </c>
      <c r="AX281" t="s">
        <v>221</v>
      </c>
      <c r="AY281" t="s">
        <v>295</v>
      </c>
      <c r="AZ281">
        <v>3</v>
      </c>
      <c r="BA281" t="s">
        <v>435</v>
      </c>
      <c r="BB281" t="s">
        <v>431</v>
      </c>
      <c r="BC281" t="s">
        <v>419</v>
      </c>
      <c r="BD281" t="s">
        <v>236</v>
      </c>
      <c r="BE281" t="s">
        <v>437</v>
      </c>
      <c r="BF281" t="s">
        <v>530</v>
      </c>
      <c r="BG281" t="s">
        <v>433</v>
      </c>
      <c r="BH281" t="s">
        <v>420</v>
      </c>
      <c r="BI281" t="s">
        <v>533</v>
      </c>
      <c r="BJ281" t="s">
        <v>68</v>
      </c>
      <c r="BK281" t="s">
        <v>236</v>
      </c>
      <c r="BL281" t="s">
        <v>236</v>
      </c>
      <c r="BM281" t="s">
        <v>236</v>
      </c>
      <c r="BN281" t="s">
        <v>68</v>
      </c>
      <c r="BO281" t="s">
        <v>236</v>
      </c>
      <c r="BP281" t="s">
        <v>236</v>
      </c>
      <c r="BQ281" t="s">
        <v>236</v>
      </c>
      <c r="BR281" t="s">
        <v>236</v>
      </c>
      <c r="BS281" t="s">
        <v>521</v>
      </c>
      <c r="BT281">
        <v>0</v>
      </c>
    </row>
    <row r="282" spans="1:72" x14ac:dyDescent="0.15">
      <c r="A282" s="43">
        <v>2022</v>
      </c>
      <c r="B282" s="8">
        <v>12</v>
      </c>
      <c r="C282" s="8">
        <v>1</v>
      </c>
      <c r="D282" s="8" t="s">
        <v>297</v>
      </c>
      <c r="E282" s="8" t="s">
        <v>236</v>
      </c>
      <c r="F282" s="8" t="s">
        <v>57</v>
      </c>
      <c r="G282" s="8">
        <v>2022</v>
      </c>
      <c r="H282" s="8">
        <v>11</v>
      </c>
      <c r="I282" s="8" t="s">
        <v>527</v>
      </c>
      <c r="J282" s="8" t="s">
        <v>236</v>
      </c>
      <c r="K282" s="8">
        <v>1992</v>
      </c>
      <c r="L282" s="17">
        <v>12</v>
      </c>
      <c r="M282" s="8">
        <v>1</v>
      </c>
      <c r="N282" s="8" t="s">
        <v>48</v>
      </c>
      <c r="O282" s="8" t="s">
        <v>298</v>
      </c>
      <c r="P282" s="8" t="s">
        <v>224</v>
      </c>
      <c r="Q282" s="8">
        <v>3000</v>
      </c>
      <c r="R282" s="8" t="s">
        <v>57</v>
      </c>
      <c r="S282" s="8" t="s">
        <v>52</v>
      </c>
      <c r="T282" s="8" t="s">
        <v>70</v>
      </c>
      <c r="U282" s="8" t="s">
        <v>236</v>
      </c>
      <c r="V282" s="8">
        <v>1000</v>
      </c>
      <c r="W282" s="8" t="s">
        <v>241</v>
      </c>
      <c r="X282" s="8">
        <v>3000</v>
      </c>
      <c r="Y282" s="8" t="s">
        <v>278</v>
      </c>
      <c r="Z282" s="8">
        <v>470</v>
      </c>
      <c r="AA282" s="8" t="s">
        <v>525</v>
      </c>
      <c r="AB282" s="8" t="s">
        <v>236</v>
      </c>
      <c r="AC282" s="8" t="s">
        <v>236</v>
      </c>
      <c r="AD282" s="8" t="s">
        <v>236</v>
      </c>
      <c r="AE282" s="8" t="s">
        <v>68</v>
      </c>
      <c r="AF282" s="8" t="s">
        <v>236</v>
      </c>
      <c r="AG282" s="8" t="s">
        <v>236</v>
      </c>
      <c r="AH282" s="8" t="s">
        <v>236</v>
      </c>
      <c r="AI282" s="8" t="s">
        <v>236</v>
      </c>
      <c r="AJ282" t="s">
        <v>519</v>
      </c>
      <c r="AK282">
        <v>12</v>
      </c>
      <c r="AL282">
        <v>1</v>
      </c>
      <c r="AM282" t="s">
        <v>297</v>
      </c>
      <c r="AN282" t="s">
        <v>236</v>
      </c>
      <c r="AO282" t="s">
        <v>529</v>
      </c>
      <c r="AP282" t="s">
        <v>519</v>
      </c>
      <c r="AQ282">
        <v>11</v>
      </c>
      <c r="AR282" t="s">
        <v>527</v>
      </c>
      <c r="AS282" t="s">
        <v>236</v>
      </c>
      <c r="AT282" t="s">
        <v>137</v>
      </c>
      <c r="AU282">
        <v>12</v>
      </c>
      <c r="AV282">
        <v>1</v>
      </c>
      <c r="AW282" t="s">
        <v>432</v>
      </c>
      <c r="AX282" t="s">
        <v>298</v>
      </c>
      <c r="AY282" t="s">
        <v>224</v>
      </c>
      <c r="AZ282">
        <v>1</v>
      </c>
      <c r="BA282" t="s">
        <v>435</v>
      </c>
      <c r="BB282" t="s">
        <v>431</v>
      </c>
      <c r="BC282" t="s">
        <v>419</v>
      </c>
      <c r="BD282" t="s">
        <v>236</v>
      </c>
      <c r="BE282" t="s">
        <v>437</v>
      </c>
      <c r="BF282" t="s">
        <v>530</v>
      </c>
      <c r="BG282" t="s">
        <v>433</v>
      </c>
      <c r="BH282" t="s">
        <v>420</v>
      </c>
      <c r="BI282" t="s">
        <v>533</v>
      </c>
      <c r="BJ282" t="s">
        <v>68</v>
      </c>
      <c r="BK282" t="s">
        <v>236</v>
      </c>
      <c r="BL282" t="s">
        <v>236</v>
      </c>
      <c r="BM282" t="s">
        <v>236</v>
      </c>
      <c r="BN282" t="s">
        <v>68</v>
      </c>
      <c r="BO282" t="s">
        <v>236</v>
      </c>
      <c r="BP282" t="s">
        <v>236</v>
      </c>
      <c r="BQ282" t="s">
        <v>236</v>
      </c>
      <c r="BR282" t="s">
        <v>236</v>
      </c>
      <c r="BS282" t="s">
        <v>521</v>
      </c>
      <c r="BT282">
        <v>0</v>
      </c>
    </row>
    <row r="283" spans="1:72" x14ac:dyDescent="0.15">
      <c r="A283" s="43">
        <v>2022</v>
      </c>
      <c r="B283" s="8">
        <v>12</v>
      </c>
      <c r="C283" s="8">
        <v>1</v>
      </c>
      <c r="D283" s="8" t="s">
        <v>297</v>
      </c>
      <c r="E283" s="8" t="s">
        <v>236</v>
      </c>
      <c r="F283" s="8" t="s">
        <v>57</v>
      </c>
      <c r="G283" s="8">
        <v>2022</v>
      </c>
      <c r="H283" s="8">
        <v>11</v>
      </c>
      <c r="I283" s="8" t="s">
        <v>527</v>
      </c>
      <c r="J283" s="8" t="s">
        <v>236</v>
      </c>
      <c r="K283" s="8">
        <v>1987</v>
      </c>
      <c r="L283" s="17">
        <v>12</v>
      </c>
      <c r="M283" s="8">
        <v>1</v>
      </c>
      <c r="N283" s="8" t="s">
        <v>48</v>
      </c>
      <c r="O283" s="8" t="s">
        <v>298</v>
      </c>
      <c r="P283" s="8" t="s">
        <v>224</v>
      </c>
      <c r="Q283" s="8">
        <v>3000</v>
      </c>
      <c r="R283" s="8" t="s">
        <v>57</v>
      </c>
      <c r="S283" s="8" t="s">
        <v>52</v>
      </c>
      <c r="T283" s="8" t="s">
        <v>70</v>
      </c>
      <c r="U283" s="8" t="s">
        <v>236</v>
      </c>
      <c r="V283" s="8">
        <v>1000</v>
      </c>
      <c r="W283" s="8" t="s">
        <v>241</v>
      </c>
      <c r="X283" s="8">
        <v>3000</v>
      </c>
      <c r="Y283" s="8" t="s">
        <v>278</v>
      </c>
      <c r="Z283" s="8">
        <v>470</v>
      </c>
      <c r="AA283" s="8" t="s">
        <v>525</v>
      </c>
      <c r="AB283" s="8" t="s">
        <v>236</v>
      </c>
      <c r="AC283" s="8" t="s">
        <v>236</v>
      </c>
      <c r="AD283" s="8" t="s">
        <v>236</v>
      </c>
      <c r="AE283" s="8" t="s">
        <v>68</v>
      </c>
      <c r="AF283" s="8" t="s">
        <v>236</v>
      </c>
      <c r="AG283" s="8" t="s">
        <v>236</v>
      </c>
      <c r="AH283" s="8" t="s">
        <v>236</v>
      </c>
      <c r="AI283" s="8" t="s">
        <v>236</v>
      </c>
      <c r="AJ283" t="s">
        <v>519</v>
      </c>
      <c r="AK283">
        <v>12</v>
      </c>
      <c r="AL283">
        <v>1</v>
      </c>
      <c r="AM283" t="s">
        <v>297</v>
      </c>
      <c r="AN283" t="s">
        <v>236</v>
      </c>
      <c r="AO283" t="s">
        <v>529</v>
      </c>
      <c r="AP283" t="s">
        <v>519</v>
      </c>
      <c r="AQ283">
        <v>11</v>
      </c>
      <c r="AR283" t="s">
        <v>527</v>
      </c>
      <c r="AS283" t="s">
        <v>236</v>
      </c>
      <c r="AT283" t="s">
        <v>140</v>
      </c>
      <c r="AU283">
        <v>12</v>
      </c>
      <c r="AV283">
        <v>1</v>
      </c>
      <c r="AW283" t="s">
        <v>432</v>
      </c>
      <c r="AX283" t="s">
        <v>298</v>
      </c>
      <c r="AY283" t="s">
        <v>224</v>
      </c>
      <c r="AZ283">
        <v>1</v>
      </c>
      <c r="BA283" t="s">
        <v>435</v>
      </c>
      <c r="BB283" t="s">
        <v>431</v>
      </c>
      <c r="BC283" t="s">
        <v>419</v>
      </c>
      <c r="BD283" t="s">
        <v>236</v>
      </c>
      <c r="BE283" t="s">
        <v>437</v>
      </c>
      <c r="BF283" t="s">
        <v>530</v>
      </c>
      <c r="BG283" t="s">
        <v>433</v>
      </c>
      <c r="BH283" t="s">
        <v>420</v>
      </c>
      <c r="BI283" t="s">
        <v>533</v>
      </c>
      <c r="BJ283" t="s">
        <v>68</v>
      </c>
      <c r="BK283" t="s">
        <v>236</v>
      </c>
      <c r="BL283" t="s">
        <v>236</v>
      </c>
      <c r="BM283" t="s">
        <v>236</v>
      </c>
      <c r="BN283" t="s">
        <v>68</v>
      </c>
      <c r="BO283" t="s">
        <v>236</v>
      </c>
      <c r="BP283" t="s">
        <v>236</v>
      </c>
      <c r="BQ283" t="s">
        <v>236</v>
      </c>
      <c r="BR283" t="s">
        <v>236</v>
      </c>
      <c r="BS283" t="s">
        <v>521</v>
      </c>
      <c r="BT283">
        <v>0</v>
      </c>
    </row>
    <row r="284" spans="1:72" x14ac:dyDescent="0.15">
      <c r="A284" s="43">
        <v>2022</v>
      </c>
      <c r="B284" s="8">
        <v>12</v>
      </c>
      <c r="C284" s="8">
        <v>1</v>
      </c>
      <c r="D284" s="8" t="s">
        <v>297</v>
      </c>
      <c r="E284" s="8" t="s">
        <v>236</v>
      </c>
      <c r="F284" s="8" t="s">
        <v>57</v>
      </c>
      <c r="G284" s="8">
        <v>2022</v>
      </c>
      <c r="H284" s="8">
        <v>11</v>
      </c>
      <c r="I284" s="8" t="s">
        <v>527</v>
      </c>
      <c r="J284" s="8" t="s">
        <v>236</v>
      </c>
      <c r="K284" s="8">
        <v>1982</v>
      </c>
      <c r="L284" s="17">
        <v>12</v>
      </c>
      <c r="M284" s="8">
        <v>1</v>
      </c>
      <c r="N284" s="8" t="s">
        <v>48</v>
      </c>
      <c r="O284" s="8" t="s">
        <v>298</v>
      </c>
      <c r="P284" s="8" t="s">
        <v>224</v>
      </c>
      <c r="Q284" s="8">
        <v>3000</v>
      </c>
      <c r="R284" s="8" t="s">
        <v>57</v>
      </c>
      <c r="S284" s="8" t="s">
        <v>52</v>
      </c>
      <c r="T284" s="8" t="s">
        <v>70</v>
      </c>
      <c r="U284" s="8" t="s">
        <v>236</v>
      </c>
      <c r="V284" s="8">
        <v>1000</v>
      </c>
      <c r="W284" s="8" t="s">
        <v>241</v>
      </c>
      <c r="X284" s="8">
        <v>3000</v>
      </c>
      <c r="Y284" s="8" t="s">
        <v>278</v>
      </c>
      <c r="Z284" s="8">
        <v>470</v>
      </c>
      <c r="AA284" s="8" t="s">
        <v>525</v>
      </c>
      <c r="AB284" s="8" t="s">
        <v>236</v>
      </c>
      <c r="AC284" s="8" t="s">
        <v>236</v>
      </c>
      <c r="AD284" s="8" t="s">
        <v>236</v>
      </c>
      <c r="AE284" s="8" t="s">
        <v>68</v>
      </c>
      <c r="AF284" s="8" t="s">
        <v>236</v>
      </c>
      <c r="AG284" s="8" t="s">
        <v>236</v>
      </c>
      <c r="AH284" s="8" t="s">
        <v>236</v>
      </c>
      <c r="AI284" s="8" t="s">
        <v>236</v>
      </c>
      <c r="AJ284" t="s">
        <v>519</v>
      </c>
      <c r="AK284">
        <v>12</v>
      </c>
      <c r="AL284">
        <v>1</v>
      </c>
      <c r="AM284" t="s">
        <v>297</v>
      </c>
      <c r="AN284" t="s">
        <v>236</v>
      </c>
      <c r="AO284" t="s">
        <v>529</v>
      </c>
      <c r="AP284" t="s">
        <v>519</v>
      </c>
      <c r="AQ284">
        <v>11</v>
      </c>
      <c r="AR284" t="s">
        <v>527</v>
      </c>
      <c r="AS284" t="s">
        <v>236</v>
      </c>
      <c r="AT284" t="s">
        <v>145</v>
      </c>
      <c r="AU284">
        <v>12</v>
      </c>
      <c r="AV284">
        <v>1</v>
      </c>
      <c r="AW284" t="s">
        <v>432</v>
      </c>
      <c r="AX284" t="s">
        <v>298</v>
      </c>
      <c r="AY284" t="s">
        <v>224</v>
      </c>
      <c r="AZ284">
        <v>1</v>
      </c>
      <c r="BA284" t="s">
        <v>435</v>
      </c>
      <c r="BB284" t="s">
        <v>431</v>
      </c>
      <c r="BC284" t="s">
        <v>419</v>
      </c>
      <c r="BD284" t="s">
        <v>236</v>
      </c>
      <c r="BE284" t="s">
        <v>437</v>
      </c>
      <c r="BF284" t="s">
        <v>530</v>
      </c>
      <c r="BG284" t="s">
        <v>433</v>
      </c>
      <c r="BH284" t="s">
        <v>420</v>
      </c>
      <c r="BI284" t="s">
        <v>533</v>
      </c>
      <c r="BJ284" t="s">
        <v>68</v>
      </c>
      <c r="BK284" t="s">
        <v>236</v>
      </c>
      <c r="BL284" t="s">
        <v>236</v>
      </c>
      <c r="BM284" t="s">
        <v>236</v>
      </c>
      <c r="BN284" t="s">
        <v>68</v>
      </c>
      <c r="BO284" t="s">
        <v>236</v>
      </c>
      <c r="BP284" t="s">
        <v>236</v>
      </c>
      <c r="BQ284" t="s">
        <v>236</v>
      </c>
      <c r="BR284" t="s">
        <v>236</v>
      </c>
      <c r="BS284" t="s">
        <v>521</v>
      </c>
      <c r="BT284">
        <v>0</v>
      </c>
    </row>
    <row r="285" spans="1:72" x14ac:dyDescent="0.15">
      <c r="A285" s="43">
        <v>2022</v>
      </c>
      <c r="B285" s="8">
        <v>12</v>
      </c>
      <c r="C285" s="8">
        <v>1</v>
      </c>
      <c r="D285" s="8" t="s">
        <v>297</v>
      </c>
      <c r="E285" s="8" t="s">
        <v>236</v>
      </c>
      <c r="F285" s="8" t="s">
        <v>57</v>
      </c>
      <c r="G285" s="8">
        <v>2022</v>
      </c>
      <c r="H285" s="8">
        <v>11</v>
      </c>
      <c r="I285" s="8" t="s">
        <v>527</v>
      </c>
      <c r="J285" s="8" t="s">
        <v>236</v>
      </c>
      <c r="K285" s="8">
        <v>1977</v>
      </c>
      <c r="L285" s="17">
        <v>12</v>
      </c>
      <c r="M285" s="8">
        <v>1</v>
      </c>
      <c r="N285" s="8" t="s">
        <v>48</v>
      </c>
      <c r="O285" s="8" t="s">
        <v>298</v>
      </c>
      <c r="P285" s="8" t="s">
        <v>224</v>
      </c>
      <c r="Q285" s="8">
        <v>3000</v>
      </c>
      <c r="R285" s="8" t="s">
        <v>57</v>
      </c>
      <c r="S285" s="8" t="s">
        <v>52</v>
      </c>
      <c r="T285" s="8" t="s">
        <v>70</v>
      </c>
      <c r="U285" s="8" t="s">
        <v>236</v>
      </c>
      <c r="V285" s="8">
        <v>1000</v>
      </c>
      <c r="W285" s="8" t="s">
        <v>241</v>
      </c>
      <c r="X285" s="8">
        <v>3000</v>
      </c>
      <c r="Y285" s="8" t="s">
        <v>278</v>
      </c>
      <c r="Z285" s="8">
        <v>470</v>
      </c>
      <c r="AA285" s="8" t="s">
        <v>525</v>
      </c>
      <c r="AB285" s="8" t="s">
        <v>236</v>
      </c>
      <c r="AC285" s="8" t="s">
        <v>236</v>
      </c>
      <c r="AD285" s="8" t="s">
        <v>236</v>
      </c>
      <c r="AE285" s="8" t="s">
        <v>68</v>
      </c>
      <c r="AF285" s="8" t="s">
        <v>236</v>
      </c>
      <c r="AG285" s="8" t="s">
        <v>236</v>
      </c>
      <c r="AH285" s="8" t="s">
        <v>236</v>
      </c>
      <c r="AI285" s="8" t="s">
        <v>236</v>
      </c>
      <c r="AJ285" t="s">
        <v>519</v>
      </c>
      <c r="AK285">
        <v>12</v>
      </c>
      <c r="AL285">
        <v>1</v>
      </c>
      <c r="AM285" t="s">
        <v>297</v>
      </c>
      <c r="AN285" t="s">
        <v>236</v>
      </c>
      <c r="AO285" t="s">
        <v>529</v>
      </c>
      <c r="AP285" t="s">
        <v>519</v>
      </c>
      <c r="AQ285">
        <v>11</v>
      </c>
      <c r="AR285" t="s">
        <v>527</v>
      </c>
      <c r="AS285" t="s">
        <v>236</v>
      </c>
      <c r="AT285" t="s">
        <v>150</v>
      </c>
      <c r="AU285">
        <v>12</v>
      </c>
      <c r="AV285">
        <v>1</v>
      </c>
      <c r="AW285" t="s">
        <v>432</v>
      </c>
      <c r="AX285" t="s">
        <v>298</v>
      </c>
      <c r="AY285" t="s">
        <v>224</v>
      </c>
      <c r="AZ285">
        <v>1</v>
      </c>
      <c r="BA285" t="s">
        <v>435</v>
      </c>
      <c r="BB285" t="s">
        <v>431</v>
      </c>
      <c r="BC285" t="s">
        <v>419</v>
      </c>
      <c r="BD285" t="s">
        <v>236</v>
      </c>
      <c r="BE285" t="s">
        <v>437</v>
      </c>
      <c r="BF285" t="s">
        <v>530</v>
      </c>
      <c r="BG285" t="s">
        <v>433</v>
      </c>
      <c r="BH285" t="s">
        <v>420</v>
      </c>
      <c r="BI285" t="s">
        <v>533</v>
      </c>
      <c r="BJ285" t="s">
        <v>68</v>
      </c>
      <c r="BK285" t="s">
        <v>236</v>
      </c>
      <c r="BL285" t="s">
        <v>236</v>
      </c>
      <c r="BM285" t="s">
        <v>236</v>
      </c>
      <c r="BN285" t="s">
        <v>68</v>
      </c>
      <c r="BO285" t="s">
        <v>236</v>
      </c>
      <c r="BP285" t="s">
        <v>236</v>
      </c>
      <c r="BQ285" t="s">
        <v>236</v>
      </c>
      <c r="BR285" t="s">
        <v>236</v>
      </c>
      <c r="BS285" t="s">
        <v>521</v>
      </c>
      <c r="BT285">
        <v>0</v>
      </c>
    </row>
    <row r="286" spans="1:72" x14ac:dyDescent="0.15">
      <c r="A286" s="43">
        <v>2022</v>
      </c>
      <c r="B286" s="8">
        <v>12</v>
      </c>
      <c r="C286" s="8">
        <v>1</v>
      </c>
      <c r="D286" s="8" t="s">
        <v>297</v>
      </c>
      <c r="E286" s="8" t="s">
        <v>236</v>
      </c>
      <c r="F286" s="8" t="s">
        <v>57</v>
      </c>
      <c r="G286" s="8">
        <v>2022</v>
      </c>
      <c r="H286" s="8">
        <v>11</v>
      </c>
      <c r="I286" s="8" t="s">
        <v>527</v>
      </c>
      <c r="J286" s="8" t="s">
        <v>236</v>
      </c>
      <c r="K286" s="8">
        <v>1972</v>
      </c>
      <c r="L286" s="17">
        <v>12</v>
      </c>
      <c r="M286" s="8">
        <v>1</v>
      </c>
      <c r="N286" s="8" t="s">
        <v>48</v>
      </c>
      <c r="O286" s="8" t="s">
        <v>298</v>
      </c>
      <c r="P286" s="8" t="s">
        <v>224</v>
      </c>
      <c r="Q286" s="8">
        <v>3000</v>
      </c>
      <c r="R286" s="8" t="s">
        <v>57</v>
      </c>
      <c r="S286" s="8" t="s">
        <v>52</v>
      </c>
      <c r="T286" s="8" t="s">
        <v>70</v>
      </c>
      <c r="U286" s="8" t="s">
        <v>236</v>
      </c>
      <c r="V286" s="8">
        <v>1000</v>
      </c>
      <c r="W286" s="8" t="s">
        <v>241</v>
      </c>
      <c r="X286" s="8">
        <v>3000</v>
      </c>
      <c r="Y286" s="8" t="s">
        <v>278</v>
      </c>
      <c r="Z286" s="8">
        <v>470</v>
      </c>
      <c r="AA286" s="8" t="s">
        <v>525</v>
      </c>
      <c r="AB286" s="8" t="s">
        <v>236</v>
      </c>
      <c r="AC286" s="8" t="s">
        <v>236</v>
      </c>
      <c r="AD286" s="8" t="s">
        <v>236</v>
      </c>
      <c r="AE286" s="8" t="s">
        <v>68</v>
      </c>
      <c r="AF286" s="8" t="s">
        <v>236</v>
      </c>
      <c r="AG286" s="8" t="s">
        <v>236</v>
      </c>
      <c r="AH286" s="8" t="s">
        <v>236</v>
      </c>
      <c r="AI286" s="8" t="s">
        <v>236</v>
      </c>
      <c r="AJ286" t="s">
        <v>519</v>
      </c>
      <c r="AK286">
        <v>12</v>
      </c>
      <c r="AL286">
        <v>1</v>
      </c>
      <c r="AM286" t="s">
        <v>297</v>
      </c>
      <c r="AN286" t="s">
        <v>236</v>
      </c>
      <c r="AO286" t="s">
        <v>529</v>
      </c>
      <c r="AP286" t="s">
        <v>519</v>
      </c>
      <c r="AQ286">
        <v>11</v>
      </c>
      <c r="AR286" t="s">
        <v>527</v>
      </c>
      <c r="AS286" t="s">
        <v>236</v>
      </c>
      <c r="AT286" t="s">
        <v>155</v>
      </c>
      <c r="AU286">
        <v>12</v>
      </c>
      <c r="AV286">
        <v>1</v>
      </c>
      <c r="AW286" t="s">
        <v>432</v>
      </c>
      <c r="AX286" t="s">
        <v>298</v>
      </c>
      <c r="AY286" t="s">
        <v>224</v>
      </c>
      <c r="AZ286">
        <v>1</v>
      </c>
      <c r="BA286" t="s">
        <v>435</v>
      </c>
      <c r="BB286" t="s">
        <v>431</v>
      </c>
      <c r="BC286" t="s">
        <v>419</v>
      </c>
      <c r="BD286" t="s">
        <v>236</v>
      </c>
      <c r="BE286" t="s">
        <v>437</v>
      </c>
      <c r="BF286" t="s">
        <v>530</v>
      </c>
      <c r="BG286" t="s">
        <v>433</v>
      </c>
      <c r="BH286" t="s">
        <v>420</v>
      </c>
      <c r="BI286" t="s">
        <v>533</v>
      </c>
      <c r="BJ286" t="s">
        <v>68</v>
      </c>
      <c r="BK286" t="s">
        <v>236</v>
      </c>
      <c r="BL286" t="s">
        <v>236</v>
      </c>
      <c r="BM286" t="s">
        <v>236</v>
      </c>
      <c r="BN286" t="s">
        <v>68</v>
      </c>
      <c r="BO286" t="s">
        <v>236</v>
      </c>
      <c r="BP286" t="s">
        <v>236</v>
      </c>
      <c r="BQ286" t="s">
        <v>236</v>
      </c>
      <c r="BR286" t="s">
        <v>236</v>
      </c>
      <c r="BS286" t="s">
        <v>521</v>
      </c>
      <c r="BT286">
        <v>0</v>
      </c>
    </row>
    <row r="287" spans="1:72" x14ac:dyDescent="0.15">
      <c r="A287" s="43">
        <v>2022</v>
      </c>
      <c r="B287" s="8">
        <v>12</v>
      </c>
      <c r="C287" s="8">
        <v>1</v>
      </c>
      <c r="D287" s="8" t="s">
        <v>297</v>
      </c>
      <c r="E287" s="8" t="s">
        <v>236</v>
      </c>
      <c r="F287" s="8" t="s">
        <v>57</v>
      </c>
      <c r="G287" s="8">
        <v>2022</v>
      </c>
      <c r="H287" s="8">
        <v>11</v>
      </c>
      <c r="I287" s="8" t="s">
        <v>527</v>
      </c>
      <c r="J287" s="8" t="s">
        <v>236</v>
      </c>
      <c r="K287" s="8">
        <v>1962</v>
      </c>
      <c r="L287" s="17">
        <v>12</v>
      </c>
      <c r="M287" s="8">
        <v>1</v>
      </c>
      <c r="N287" s="8" t="s">
        <v>48</v>
      </c>
      <c r="O287" s="8" t="s">
        <v>298</v>
      </c>
      <c r="P287" s="8" t="s">
        <v>224</v>
      </c>
      <c r="Q287" s="8">
        <v>3000</v>
      </c>
      <c r="R287" s="8" t="s">
        <v>57</v>
      </c>
      <c r="S287" s="8" t="s">
        <v>52</v>
      </c>
      <c r="T287" s="8" t="s">
        <v>70</v>
      </c>
      <c r="U287" s="8" t="s">
        <v>236</v>
      </c>
      <c r="V287" s="8">
        <v>1000</v>
      </c>
      <c r="W287" s="8" t="s">
        <v>241</v>
      </c>
      <c r="X287" s="8">
        <v>3000</v>
      </c>
      <c r="Y287" s="8" t="s">
        <v>278</v>
      </c>
      <c r="Z287" s="8">
        <v>470</v>
      </c>
      <c r="AA287" s="8" t="s">
        <v>525</v>
      </c>
      <c r="AB287" s="8" t="s">
        <v>236</v>
      </c>
      <c r="AC287" s="8" t="s">
        <v>236</v>
      </c>
      <c r="AD287" s="8" t="s">
        <v>236</v>
      </c>
      <c r="AE287" s="8" t="s">
        <v>68</v>
      </c>
      <c r="AF287" s="8" t="s">
        <v>236</v>
      </c>
      <c r="AG287" s="8" t="s">
        <v>236</v>
      </c>
      <c r="AH287" s="8" t="s">
        <v>236</v>
      </c>
      <c r="AI287" s="8" t="s">
        <v>236</v>
      </c>
      <c r="AJ287" t="s">
        <v>519</v>
      </c>
      <c r="AK287">
        <v>12</v>
      </c>
      <c r="AL287">
        <v>1</v>
      </c>
      <c r="AM287" t="s">
        <v>297</v>
      </c>
      <c r="AN287" t="s">
        <v>236</v>
      </c>
      <c r="AO287" t="s">
        <v>529</v>
      </c>
      <c r="AP287" t="s">
        <v>519</v>
      </c>
      <c r="AQ287">
        <v>11</v>
      </c>
      <c r="AR287" t="s">
        <v>527</v>
      </c>
      <c r="AS287" t="s">
        <v>236</v>
      </c>
      <c r="AT287" t="s">
        <v>165</v>
      </c>
      <c r="AU287">
        <v>12</v>
      </c>
      <c r="AV287">
        <v>1</v>
      </c>
      <c r="AW287" t="s">
        <v>432</v>
      </c>
      <c r="AX287" t="s">
        <v>298</v>
      </c>
      <c r="AY287" t="s">
        <v>224</v>
      </c>
      <c r="AZ287">
        <v>1</v>
      </c>
      <c r="BA287" t="s">
        <v>435</v>
      </c>
      <c r="BB287" t="s">
        <v>431</v>
      </c>
      <c r="BC287" t="s">
        <v>419</v>
      </c>
      <c r="BD287" t="s">
        <v>236</v>
      </c>
      <c r="BE287" t="s">
        <v>437</v>
      </c>
      <c r="BF287" t="s">
        <v>530</v>
      </c>
      <c r="BG287" t="s">
        <v>433</v>
      </c>
      <c r="BH287" t="s">
        <v>420</v>
      </c>
      <c r="BI287" t="s">
        <v>533</v>
      </c>
      <c r="BJ287" t="s">
        <v>68</v>
      </c>
      <c r="BK287" t="s">
        <v>236</v>
      </c>
      <c r="BL287" t="s">
        <v>236</v>
      </c>
      <c r="BM287" t="s">
        <v>236</v>
      </c>
      <c r="BN287" t="s">
        <v>68</v>
      </c>
      <c r="BO287" t="s">
        <v>236</v>
      </c>
      <c r="BP287" t="s">
        <v>236</v>
      </c>
      <c r="BQ287" t="s">
        <v>236</v>
      </c>
      <c r="BR287" t="s">
        <v>236</v>
      </c>
      <c r="BS287" t="s">
        <v>521</v>
      </c>
      <c r="BT287">
        <v>0</v>
      </c>
    </row>
    <row r="288" spans="1:72" x14ac:dyDescent="0.15">
      <c r="A288" s="43">
        <v>2022</v>
      </c>
      <c r="B288" s="8">
        <v>12</v>
      </c>
      <c r="C288" s="8">
        <v>1</v>
      </c>
      <c r="D288" s="8" t="s">
        <v>297</v>
      </c>
      <c r="E288" s="8" t="s">
        <v>236</v>
      </c>
      <c r="F288" s="8" t="s">
        <v>57</v>
      </c>
      <c r="G288" s="8">
        <v>2022</v>
      </c>
      <c r="H288" s="8">
        <v>11</v>
      </c>
      <c r="I288" s="8" t="s">
        <v>527</v>
      </c>
      <c r="J288" s="8" t="s">
        <v>236</v>
      </c>
      <c r="K288" s="8">
        <v>1952</v>
      </c>
      <c r="L288" s="17">
        <v>12</v>
      </c>
      <c r="M288" s="8">
        <v>1</v>
      </c>
      <c r="N288" s="8" t="s">
        <v>48</v>
      </c>
      <c r="O288" s="8" t="s">
        <v>298</v>
      </c>
      <c r="P288" s="8" t="s">
        <v>224</v>
      </c>
      <c r="Q288" s="8">
        <v>3000</v>
      </c>
      <c r="R288" s="8" t="s">
        <v>57</v>
      </c>
      <c r="S288" s="8" t="s">
        <v>52</v>
      </c>
      <c r="T288" s="8" t="s">
        <v>70</v>
      </c>
      <c r="U288" s="8" t="s">
        <v>236</v>
      </c>
      <c r="V288" s="8">
        <v>1000</v>
      </c>
      <c r="W288" s="8" t="s">
        <v>241</v>
      </c>
      <c r="X288" s="8">
        <v>3000</v>
      </c>
      <c r="Y288" s="8" t="s">
        <v>278</v>
      </c>
      <c r="Z288" s="8">
        <v>470</v>
      </c>
      <c r="AA288" s="8" t="s">
        <v>525</v>
      </c>
      <c r="AB288" s="8" t="s">
        <v>236</v>
      </c>
      <c r="AC288" s="8" t="s">
        <v>236</v>
      </c>
      <c r="AD288" s="8" t="s">
        <v>236</v>
      </c>
      <c r="AE288" s="8" t="s">
        <v>68</v>
      </c>
      <c r="AF288" s="8" t="s">
        <v>236</v>
      </c>
      <c r="AG288" s="8" t="s">
        <v>236</v>
      </c>
      <c r="AH288" s="8" t="s">
        <v>236</v>
      </c>
      <c r="AI288" s="8" t="s">
        <v>236</v>
      </c>
      <c r="AJ288" t="s">
        <v>519</v>
      </c>
      <c r="AK288">
        <v>12</v>
      </c>
      <c r="AL288">
        <v>1</v>
      </c>
      <c r="AM288" t="s">
        <v>297</v>
      </c>
      <c r="AN288" t="s">
        <v>236</v>
      </c>
      <c r="AO288" t="s">
        <v>529</v>
      </c>
      <c r="AP288" t="s">
        <v>519</v>
      </c>
      <c r="AQ288">
        <v>11</v>
      </c>
      <c r="AR288" t="s">
        <v>527</v>
      </c>
      <c r="AS288" t="s">
        <v>236</v>
      </c>
      <c r="AT288" t="s">
        <v>175</v>
      </c>
      <c r="AU288">
        <v>12</v>
      </c>
      <c r="AV288">
        <v>1</v>
      </c>
      <c r="AW288" t="s">
        <v>432</v>
      </c>
      <c r="AX288" t="s">
        <v>298</v>
      </c>
      <c r="AY288" t="s">
        <v>224</v>
      </c>
      <c r="AZ288">
        <v>1</v>
      </c>
      <c r="BA288" t="s">
        <v>435</v>
      </c>
      <c r="BB288" t="s">
        <v>431</v>
      </c>
      <c r="BC288" t="s">
        <v>419</v>
      </c>
      <c r="BD288" t="s">
        <v>236</v>
      </c>
      <c r="BE288" t="s">
        <v>437</v>
      </c>
      <c r="BF288" t="s">
        <v>530</v>
      </c>
      <c r="BG288" t="s">
        <v>433</v>
      </c>
      <c r="BH288" t="s">
        <v>420</v>
      </c>
      <c r="BI288" t="s">
        <v>533</v>
      </c>
      <c r="BJ288" t="s">
        <v>68</v>
      </c>
      <c r="BK288" t="s">
        <v>236</v>
      </c>
      <c r="BL288" t="s">
        <v>236</v>
      </c>
      <c r="BM288" t="s">
        <v>236</v>
      </c>
      <c r="BN288" t="s">
        <v>68</v>
      </c>
      <c r="BO288" t="s">
        <v>236</v>
      </c>
      <c r="BP288" t="s">
        <v>236</v>
      </c>
      <c r="BQ288" t="s">
        <v>236</v>
      </c>
      <c r="BR288" t="s">
        <v>236</v>
      </c>
      <c r="BS288" t="s">
        <v>521</v>
      </c>
      <c r="BT288">
        <v>0</v>
      </c>
    </row>
    <row r="289" spans="1:72" x14ac:dyDescent="0.15">
      <c r="A289" s="43">
        <v>2022</v>
      </c>
      <c r="B289" s="8">
        <v>12</v>
      </c>
      <c r="C289" s="8">
        <v>1</v>
      </c>
      <c r="D289" s="8" t="s">
        <v>297</v>
      </c>
      <c r="E289" s="8" t="s">
        <v>236</v>
      </c>
      <c r="F289" s="8" t="s">
        <v>57</v>
      </c>
      <c r="G289" s="8">
        <v>2022</v>
      </c>
      <c r="H289" s="8">
        <v>11</v>
      </c>
      <c r="I289" s="8" t="s">
        <v>527</v>
      </c>
      <c r="J289" s="8" t="s">
        <v>236</v>
      </c>
      <c r="K289" s="8">
        <v>1992</v>
      </c>
      <c r="L289" s="17">
        <v>12</v>
      </c>
      <c r="M289" s="8">
        <v>1</v>
      </c>
      <c r="N289" s="8" t="s">
        <v>48</v>
      </c>
      <c r="O289" s="8" t="s">
        <v>298</v>
      </c>
      <c r="P289" s="8" t="s">
        <v>224</v>
      </c>
      <c r="Q289" s="8">
        <v>7000</v>
      </c>
      <c r="R289" s="8" t="s">
        <v>57</v>
      </c>
      <c r="S289" s="8" t="s">
        <v>52</v>
      </c>
      <c r="T289" s="8" t="s">
        <v>70</v>
      </c>
      <c r="U289" s="8" t="s">
        <v>236</v>
      </c>
      <c r="V289" s="8">
        <v>1000</v>
      </c>
      <c r="W289" s="8" t="s">
        <v>241</v>
      </c>
      <c r="X289" s="8">
        <v>3000</v>
      </c>
      <c r="Y289" s="8" t="s">
        <v>278</v>
      </c>
      <c r="Z289" s="8">
        <v>470</v>
      </c>
      <c r="AA289" s="8" t="s">
        <v>525</v>
      </c>
      <c r="AB289" s="8" t="s">
        <v>236</v>
      </c>
      <c r="AC289" s="8" t="s">
        <v>236</v>
      </c>
      <c r="AD289" s="8" t="s">
        <v>236</v>
      </c>
      <c r="AE289" s="8" t="s">
        <v>68</v>
      </c>
      <c r="AF289" s="8" t="s">
        <v>236</v>
      </c>
      <c r="AG289" s="8" t="s">
        <v>236</v>
      </c>
      <c r="AH289" s="8" t="s">
        <v>236</v>
      </c>
      <c r="AI289" s="8" t="s">
        <v>236</v>
      </c>
      <c r="AJ289" t="s">
        <v>519</v>
      </c>
      <c r="AK289">
        <v>12</v>
      </c>
      <c r="AL289">
        <v>1</v>
      </c>
      <c r="AM289" t="s">
        <v>297</v>
      </c>
      <c r="AN289" t="s">
        <v>236</v>
      </c>
      <c r="AO289" t="s">
        <v>529</v>
      </c>
      <c r="AP289" t="s">
        <v>519</v>
      </c>
      <c r="AQ289">
        <v>11</v>
      </c>
      <c r="AR289" t="s">
        <v>527</v>
      </c>
      <c r="AS289" t="s">
        <v>236</v>
      </c>
      <c r="AT289" t="s">
        <v>137</v>
      </c>
      <c r="AU289">
        <v>12</v>
      </c>
      <c r="AV289">
        <v>1</v>
      </c>
      <c r="AW289" t="s">
        <v>432</v>
      </c>
      <c r="AX289" t="s">
        <v>298</v>
      </c>
      <c r="AY289" t="s">
        <v>224</v>
      </c>
      <c r="AZ289">
        <v>3</v>
      </c>
      <c r="BA289" t="s">
        <v>435</v>
      </c>
      <c r="BB289" t="s">
        <v>431</v>
      </c>
      <c r="BC289" t="s">
        <v>419</v>
      </c>
      <c r="BD289" t="s">
        <v>236</v>
      </c>
      <c r="BE289" t="s">
        <v>437</v>
      </c>
      <c r="BF289" t="s">
        <v>530</v>
      </c>
      <c r="BG289" t="s">
        <v>433</v>
      </c>
      <c r="BH289" t="s">
        <v>420</v>
      </c>
      <c r="BI289" t="s">
        <v>533</v>
      </c>
      <c r="BJ289" t="s">
        <v>68</v>
      </c>
      <c r="BK289" t="s">
        <v>236</v>
      </c>
      <c r="BL289" t="s">
        <v>236</v>
      </c>
      <c r="BM289" t="s">
        <v>236</v>
      </c>
      <c r="BN289" t="s">
        <v>68</v>
      </c>
      <c r="BO289" t="s">
        <v>236</v>
      </c>
      <c r="BP289" t="s">
        <v>236</v>
      </c>
      <c r="BQ289" t="s">
        <v>236</v>
      </c>
      <c r="BR289" t="s">
        <v>236</v>
      </c>
      <c r="BS289" t="s">
        <v>521</v>
      </c>
      <c r="BT289">
        <v>0</v>
      </c>
    </row>
    <row r="290" spans="1:72" x14ac:dyDescent="0.15">
      <c r="A290" s="43">
        <v>2022</v>
      </c>
      <c r="B290" s="8">
        <v>12</v>
      </c>
      <c r="C290" s="8">
        <v>1</v>
      </c>
      <c r="D290" s="8" t="s">
        <v>297</v>
      </c>
      <c r="E290" s="8" t="s">
        <v>236</v>
      </c>
      <c r="F290" s="8" t="s">
        <v>57</v>
      </c>
      <c r="G290" s="8">
        <v>2022</v>
      </c>
      <c r="H290" s="8">
        <v>11</v>
      </c>
      <c r="I290" s="8" t="s">
        <v>527</v>
      </c>
      <c r="J290" s="8" t="s">
        <v>236</v>
      </c>
      <c r="K290" s="8">
        <v>1987</v>
      </c>
      <c r="L290" s="17">
        <v>12</v>
      </c>
      <c r="M290" s="8">
        <v>1</v>
      </c>
      <c r="N290" s="8" t="s">
        <v>48</v>
      </c>
      <c r="O290" s="8" t="s">
        <v>298</v>
      </c>
      <c r="P290" s="8" t="s">
        <v>224</v>
      </c>
      <c r="Q290" s="8">
        <v>7000</v>
      </c>
      <c r="R290" s="8" t="s">
        <v>57</v>
      </c>
      <c r="S290" s="8" t="s">
        <v>52</v>
      </c>
      <c r="T290" s="8" t="s">
        <v>70</v>
      </c>
      <c r="U290" s="8" t="s">
        <v>236</v>
      </c>
      <c r="V290" s="8">
        <v>1000</v>
      </c>
      <c r="W290" s="8" t="s">
        <v>241</v>
      </c>
      <c r="X290" s="8">
        <v>3000</v>
      </c>
      <c r="Y290" s="8" t="s">
        <v>278</v>
      </c>
      <c r="Z290" s="8">
        <v>470</v>
      </c>
      <c r="AA290" s="8" t="s">
        <v>525</v>
      </c>
      <c r="AB290" s="8" t="s">
        <v>236</v>
      </c>
      <c r="AC290" s="8" t="s">
        <v>236</v>
      </c>
      <c r="AD290" s="8" t="s">
        <v>236</v>
      </c>
      <c r="AE290" s="8" t="s">
        <v>68</v>
      </c>
      <c r="AF290" s="8" t="s">
        <v>236</v>
      </c>
      <c r="AG290" s="8" t="s">
        <v>236</v>
      </c>
      <c r="AH290" s="8" t="s">
        <v>236</v>
      </c>
      <c r="AI290" s="8" t="s">
        <v>236</v>
      </c>
      <c r="AJ290" t="s">
        <v>519</v>
      </c>
      <c r="AK290">
        <v>12</v>
      </c>
      <c r="AL290">
        <v>1</v>
      </c>
      <c r="AM290" t="s">
        <v>297</v>
      </c>
      <c r="AN290" t="s">
        <v>236</v>
      </c>
      <c r="AO290" t="s">
        <v>529</v>
      </c>
      <c r="AP290" t="s">
        <v>519</v>
      </c>
      <c r="AQ290">
        <v>11</v>
      </c>
      <c r="AR290" t="s">
        <v>527</v>
      </c>
      <c r="AS290" t="s">
        <v>236</v>
      </c>
      <c r="AT290" t="s">
        <v>140</v>
      </c>
      <c r="AU290">
        <v>12</v>
      </c>
      <c r="AV290">
        <v>1</v>
      </c>
      <c r="AW290" t="s">
        <v>432</v>
      </c>
      <c r="AX290" t="s">
        <v>298</v>
      </c>
      <c r="AY290" t="s">
        <v>224</v>
      </c>
      <c r="AZ290">
        <v>3</v>
      </c>
      <c r="BA290" t="s">
        <v>435</v>
      </c>
      <c r="BB290" t="s">
        <v>431</v>
      </c>
      <c r="BC290" t="s">
        <v>419</v>
      </c>
      <c r="BD290" t="s">
        <v>236</v>
      </c>
      <c r="BE290" t="s">
        <v>437</v>
      </c>
      <c r="BF290" t="s">
        <v>530</v>
      </c>
      <c r="BG290" t="s">
        <v>433</v>
      </c>
      <c r="BH290" t="s">
        <v>420</v>
      </c>
      <c r="BI290" t="s">
        <v>533</v>
      </c>
      <c r="BJ290" t="s">
        <v>68</v>
      </c>
      <c r="BK290" t="s">
        <v>236</v>
      </c>
      <c r="BL290" t="s">
        <v>236</v>
      </c>
      <c r="BM290" t="s">
        <v>236</v>
      </c>
      <c r="BN290" t="s">
        <v>68</v>
      </c>
      <c r="BO290" t="s">
        <v>236</v>
      </c>
      <c r="BP290" t="s">
        <v>236</v>
      </c>
      <c r="BQ290" t="s">
        <v>236</v>
      </c>
      <c r="BR290" t="s">
        <v>236</v>
      </c>
      <c r="BS290" t="s">
        <v>521</v>
      </c>
      <c r="BT290">
        <v>0</v>
      </c>
    </row>
    <row r="291" spans="1:72" x14ac:dyDescent="0.15">
      <c r="A291" s="43">
        <v>2022</v>
      </c>
      <c r="B291" s="8">
        <v>12</v>
      </c>
      <c r="C291" s="8">
        <v>1</v>
      </c>
      <c r="D291" s="8" t="s">
        <v>297</v>
      </c>
      <c r="E291" s="8" t="s">
        <v>236</v>
      </c>
      <c r="F291" s="8" t="s">
        <v>57</v>
      </c>
      <c r="G291" s="8">
        <v>2022</v>
      </c>
      <c r="H291" s="8">
        <v>11</v>
      </c>
      <c r="I291" s="8" t="s">
        <v>527</v>
      </c>
      <c r="J291" s="8" t="s">
        <v>236</v>
      </c>
      <c r="K291" s="8">
        <v>1982</v>
      </c>
      <c r="L291" s="17">
        <v>12</v>
      </c>
      <c r="M291" s="8">
        <v>1</v>
      </c>
      <c r="N291" s="8" t="s">
        <v>48</v>
      </c>
      <c r="O291" s="8" t="s">
        <v>298</v>
      </c>
      <c r="P291" s="8" t="s">
        <v>224</v>
      </c>
      <c r="Q291" s="8">
        <v>7000</v>
      </c>
      <c r="R291" s="8" t="s">
        <v>57</v>
      </c>
      <c r="S291" s="8" t="s">
        <v>52</v>
      </c>
      <c r="T291" s="8" t="s">
        <v>70</v>
      </c>
      <c r="U291" s="8" t="s">
        <v>236</v>
      </c>
      <c r="V291" s="8">
        <v>1000</v>
      </c>
      <c r="W291" s="8" t="s">
        <v>241</v>
      </c>
      <c r="X291" s="8">
        <v>3000</v>
      </c>
      <c r="Y291" s="8" t="s">
        <v>278</v>
      </c>
      <c r="Z291" s="8">
        <v>470</v>
      </c>
      <c r="AA291" s="8" t="s">
        <v>525</v>
      </c>
      <c r="AB291" s="8" t="s">
        <v>236</v>
      </c>
      <c r="AC291" s="8" t="s">
        <v>236</v>
      </c>
      <c r="AD291" s="8" t="s">
        <v>236</v>
      </c>
      <c r="AE291" s="8" t="s">
        <v>68</v>
      </c>
      <c r="AF291" s="8" t="s">
        <v>236</v>
      </c>
      <c r="AG291" s="8" t="s">
        <v>236</v>
      </c>
      <c r="AH291" s="8" t="s">
        <v>236</v>
      </c>
      <c r="AI291" s="8" t="s">
        <v>236</v>
      </c>
      <c r="AJ291" t="s">
        <v>519</v>
      </c>
      <c r="AK291">
        <v>12</v>
      </c>
      <c r="AL291">
        <v>1</v>
      </c>
      <c r="AM291" t="s">
        <v>297</v>
      </c>
      <c r="AN291" t="s">
        <v>236</v>
      </c>
      <c r="AO291" t="s">
        <v>529</v>
      </c>
      <c r="AP291" t="s">
        <v>519</v>
      </c>
      <c r="AQ291">
        <v>11</v>
      </c>
      <c r="AR291" t="s">
        <v>527</v>
      </c>
      <c r="AS291" t="s">
        <v>236</v>
      </c>
      <c r="AT291" t="s">
        <v>145</v>
      </c>
      <c r="AU291">
        <v>12</v>
      </c>
      <c r="AV291">
        <v>1</v>
      </c>
      <c r="AW291" t="s">
        <v>432</v>
      </c>
      <c r="AX291" t="s">
        <v>298</v>
      </c>
      <c r="AY291" t="s">
        <v>224</v>
      </c>
      <c r="AZ291">
        <v>3</v>
      </c>
      <c r="BA291" t="s">
        <v>435</v>
      </c>
      <c r="BB291" t="s">
        <v>431</v>
      </c>
      <c r="BC291" t="s">
        <v>419</v>
      </c>
      <c r="BD291" t="s">
        <v>236</v>
      </c>
      <c r="BE291" t="s">
        <v>437</v>
      </c>
      <c r="BF291" t="s">
        <v>530</v>
      </c>
      <c r="BG291" t="s">
        <v>433</v>
      </c>
      <c r="BH291" t="s">
        <v>420</v>
      </c>
      <c r="BI291" t="s">
        <v>533</v>
      </c>
      <c r="BJ291" t="s">
        <v>68</v>
      </c>
      <c r="BK291" t="s">
        <v>236</v>
      </c>
      <c r="BL291" t="s">
        <v>236</v>
      </c>
      <c r="BM291" t="s">
        <v>236</v>
      </c>
      <c r="BN291" t="s">
        <v>68</v>
      </c>
      <c r="BO291" t="s">
        <v>236</v>
      </c>
      <c r="BP291" t="s">
        <v>236</v>
      </c>
      <c r="BQ291" t="s">
        <v>236</v>
      </c>
      <c r="BR291" t="s">
        <v>236</v>
      </c>
      <c r="BS291" t="s">
        <v>521</v>
      </c>
      <c r="BT291">
        <v>0</v>
      </c>
    </row>
    <row r="292" spans="1:72" x14ac:dyDescent="0.15">
      <c r="A292" s="43">
        <v>2022</v>
      </c>
      <c r="B292" s="8">
        <v>12</v>
      </c>
      <c r="C292" s="8">
        <v>1</v>
      </c>
      <c r="D292" s="8" t="s">
        <v>297</v>
      </c>
      <c r="E292" s="8" t="s">
        <v>236</v>
      </c>
      <c r="F292" s="8" t="s">
        <v>57</v>
      </c>
      <c r="G292" s="8">
        <v>2022</v>
      </c>
      <c r="H292" s="8">
        <v>11</v>
      </c>
      <c r="I292" s="8" t="s">
        <v>527</v>
      </c>
      <c r="J292" s="8" t="s">
        <v>236</v>
      </c>
      <c r="K292" s="8">
        <v>1977</v>
      </c>
      <c r="L292" s="17">
        <v>12</v>
      </c>
      <c r="M292" s="8">
        <v>1</v>
      </c>
      <c r="N292" s="8" t="s">
        <v>48</v>
      </c>
      <c r="O292" s="8" t="s">
        <v>298</v>
      </c>
      <c r="P292" s="8" t="s">
        <v>224</v>
      </c>
      <c r="Q292" s="8">
        <v>7000</v>
      </c>
      <c r="R292" s="8" t="s">
        <v>57</v>
      </c>
      <c r="S292" s="8" t="s">
        <v>52</v>
      </c>
      <c r="T292" s="8" t="s">
        <v>70</v>
      </c>
      <c r="U292" s="8" t="s">
        <v>236</v>
      </c>
      <c r="V292" s="8">
        <v>1000</v>
      </c>
      <c r="W292" s="8" t="s">
        <v>241</v>
      </c>
      <c r="X292" s="8">
        <v>3000</v>
      </c>
      <c r="Y292" s="8" t="s">
        <v>278</v>
      </c>
      <c r="Z292" s="8">
        <v>470</v>
      </c>
      <c r="AA292" s="8" t="s">
        <v>525</v>
      </c>
      <c r="AB292" s="8" t="s">
        <v>236</v>
      </c>
      <c r="AC292" s="8" t="s">
        <v>236</v>
      </c>
      <c r="AD292" s="8" t="s">
        <v>236</v>
      </c>
      <c r="AE292" s="8" t="s">
        <v>68</v>
      </c>
      <c r="AF292" s="8" t="s">
        <v>236</v>
      </c>
      <c r="AG292" s="8" t="s">
        <v>236</v>
      </c>
      <c r="AH292" s="8" t="s">
        <v>236</v>
      </c>
      <c r="AI292" s="8" t="s">
        <v>236</v>
      </c>
      <c r="AJ292" t="s">
        <v>519</v>
      </c>
      <c r="AK292">
        <v>12</v>
      </c>
      <c r="AL292">
        <v>1</v>
      </c>
      <c r="AM292" t="s">
        <v>297</v>
      </c>
      <c r="AN292" t="s">
        <v>236</v>
      </c>
      <c r="AO292" t="s">
        <v>529</v>
      </c>
      <c r="AP292" t="s">
        <v>519</v>
      </c>
      <c r="AQ292">
        <v>11</v>
      </c>
      <c r="AR292" t="s">
        <v>527</v>
      </c>
      <c r="AS292" t="s">
        <v>236</v>
      </c>
      <c r="AT292" t="s">
        <v>150</v>
      </c>
      <c r="AU292">
        <v>12</v>
      </c>
      <c r="AV292">
        <v>1</v>
      </c>
      <c r="AW292" t="s">
        <v>432</v>
      </c>
      <c r="AX292" t="s">
        <v>298</v>
      </c>
      <c r="AY292" t="s">
        <v>224</v>
      </c>
      <c r="AZ292">
        <v>3</v>
      </c>
      <c r="BA292" t="s">
        <v>435</v>
      </c>
      <c r="BB292" t="s">
        <v>431</v>
      </c>
      <c r="BC292" t="s">
        <v>419</v>
      </c>
      <c r="BD292" t="s">
        <v>236</v>
      </c>
      <c r="BE292" t="s">
        <v>437</v>
      </c>
      <c r="BF292" t="s">
        <v>530</v>
      </c>
      <c r="BG292" t="s">
        <v>433</v>
      </c>
      <c r="BH292" t="s">
        <v>420</v>
      </c>
      <c r="BI292" t="s">
        <v>533</v>
      </c>
      <c r="BJ292" t="s">
        <v>68</v>
      </c>
      <c r="BK292" t="s">
        <v>236</v>
      </c>
      <c r="BL292" t="s">
        <v>236</v>
      </c>
      <c r="BM292" t="s">
        <v>236</v>
      </c>
      <c r="BN292" t="s">
        <v>68</v>
      </c>
      <c r="BO292" t="s">
        <v>236</v>
      </c>
      <c r="BP292" t="s">
        <v>236</v>
      </c>
      <c r="BQ292" t="s">
        <v>236</v>
      </c>
      <c r="BR292" t="s">
        <v>236</v>
      </c>
      <c r="BS292" t="s">
        <v>521</v>
      </c>
      <c r="BT292">
        <v>0</v>
      </c>
    </row>
    <row r="293" spans="1:72" x14ac:dyDescent="0.15">
      <c r="A293" s="43">
        <v>2022</v>
      </c>
      <c r="B293" s="8">
        <v>12</v>
      </c>
      <c r="C293" s="8">
        <v>1</v>
      </c>
      <c r="D293" s="8" t="s">
        <v>297</v>
      </c>
      <c r="E293" s="8" t="s">
        <v>236</v>
      </c>
      <c r="F293" s="8" t="s">
        <v>57</v>
      </c>
      <c r="G293" s="8">
        <v>2022</v>
      </c>
      <c r="H293" s="8">
        <v>11</v>
      </c>
      <c r="I293" s="8" t="s">
        <v>527</v>
      </c>
      <c r="J293" s="8" t="s">
        <v>236</v>
      </c>
      <c r="K293" s="8">
        <v>1972</v>
      </c>
      <c r="L293" s="17">
        <v>12</v>
      </c>
      <c r="M293" s="8">
        <v>1</v>
      </c>
      <c r="N293" s="8" t="s">
        <v>48</v>
      </c>
      <c r="O293" s="8" t="s">
        <v>298</v>
      </c>
      <c r="P293" s="8" t="s">
        <v>224</v>
      </c>
      <c r="Q293" s="8">
        <v>7000</v>
      </c>
      <c r="R293" s="8" t="s">
        <v>57</v>
      </c>
      <c r="S293" s="8" t="s">
        <v>52</v>
      </c>
      <c r="T293" s="8" t="s">
        <v>70</v>
      </c>
      <c r="U293" s="8" t="s">
        <v>236</v>
      </c>
      <c r="V293" s="8">
        <v>1000</v>
      </c>
      <c r="W293" s="8" t="s">
        <v>241</v>
      </c>
      <c r="X293" s="8">
        <v>3000</v>
      </c>
      <c r="Y293" s="8" t="s">
        <v>278</v>
      </c>
      <c r="Z293" s="8">
        <v>470</v>
      </c>
      <c r="AA293" s="8" t="s">
        <v>525</v>
      </c>
      <c r="AB293" s="8" t="s">
        <v>236</v>
      </c>
      <c r="AC293" s="8" t="s">
        <v>236</v>
      </c>
      <c r="AD293" s="8" t="s">
        <v>236</v>
      </c>
      <c r="AE293" s="8" t="s">
        <v>68</v>
      </c>
      <c r="AF293" s="8" t="s">
        <v>236</v>
      </c>
      <c r="AG293" s="8" t="s">
        <v>236</v>
      </c>
      <c r="AH293" s="8" t="s">
        <v>236</v>
      </c>
      <c r="AI293" s="8" t="s">
        <v>236</v>
      </c>
      <c r="AJ293" t="s">
        <v>519</v>
      </c>
      <c r="AK293">
        <v>12</v>
      </c>
      <c r="AL293">
        <v>1</v>
      </c>
      <c r="AM293" t="s">
        <v>297</v>
      </c>
      <c r="AN293" t="s">
        <v>236</v>
      </c>
      <c r="AO293" t="s">
        <v>529</v>
      </c>
      <c r="AP293" t="s">
        <v>519</v>
      </c>
      <c r="AQ293">
        <v>11</v>
      </c>
      <c r="AR293" t="s">
        <v>527</v>
      </c>
      <c r="AS293" t="s">
        <v>236</v>
      </c>
      <c r="AT293" t="s">
        <v>155</v>
      </c>
      <c r="AU293">
        <v>12</v>
      </c>
      <c r="AV293">
        <v>1</v>
      </c>
      <c r="AW293" t="s">
        <v>432</v>
      </c>
      <c r="AX293" t="s">
        <v>298</v>
      </c>
      <c r="AY293" t="s">
        <v>224</v>
      </c>
      <c r="AZ293">
        <v>3</v>
      </c>
      <c r="BA293" t="s">
        <v>435</v>
      </c>
      <c r="BB293" t="s">
        <v>431</v>
      </c>
      <c r="BC293" t="s">
        <v>419</v>
      </c>
      <c r="BD293" t="s">
        <v>236</v>
      </c>
      <c r="BE293" t="s">
        <v>437</v>
      </c>
      <c r="BF293" t="s">
        <v>530</v>
      </c>
      <c r="BG293" t="s">
        <v>433</v>
      </c>
      <c r="BH293" t="s">
        <v>420</v>
      </c>
      <c r="BI293" t="s">
        <v>533</v>
      </c>
      <c r="BJ293" t="s">
        <v>68</v>
      </c>
      <c r="BK293" t="s">
        <v>236</v>
      </c>
      <c r="BL293" t="s">
        <v>236</v>
      </c>
      <c r="BM293" t="s">
        <v>236</v>
      </c>
      <c r="BN293" t="s">
        <v>68</v>
      </c>
      <c r="BO293" t="s">
        <v>236</v>
      </c>
      <c r="BP293" t="s">
        <v>236</v>
      </c>
      <c r="BQ293" t="s">
        <v>236</v>
      </c>
      <c r="BR293" t="s">
        <v>236</v>
      </c>
      <c r="BS293" t="s">
        <v>521</v>
      </c>
      <c r="BT293">
        <v>0</v>
      </c>
    </row>
    <row r="294" spans="1:72" x14ac:dyDescent="0.15">
      <c r="A294" s="43">
        <v>2022</v>
      </c>
      <c r="B294" s="8">
        <v>12</v>
      </c>
      <c r="C294" s="8">
        <v>1</v>
      </c>
      <c r="D294" s="8" t="s">
        <v>297</v>
      </c>
      <c r="E294" s="8" t="s">
        <v>236</v>
      </c>
      <c r="F294" s="8" t="s">
        <v>57</v>
      </c>
      <c r="G294" s="8">
        <v>2022</v>
      </c>
      <c r="H294" s="8">
        <v>11</v>
      </c>
      <c r="I294" s="8" t="s">
        <v>527</v>
      </c>
      <c r="J294" s="8" t="s">
        <v>236</v>
      </c>
      <c r="K294" s="8">
        <v>1962</v>
      </c>
      <c r="L294" s="17">
        <v>12</v>
      </c>
      <c r="M294" s="8">
        <v>1</v>
      </c>
      <c r="N294" s="8" t="s">
        <v>48</v>
      </c>
      <c r="O294" s="8" t="s">
        <v>298</v>
      </c>
      <c r="P294" s="8" t="s">
        <v>224</v>
      </c>
      <c r="Q294" s="8">
        <v>7000</v>
      </c>
      <c r="R294" s="8" t="s">
        <v>57</v>
      </c>
      <c r="S294" s="8" t="s">
        <v>52</v>
      </c>
      <c r="T294" s="8" t="s">
        <v>70</v>
      </c>
      <c r="U294" s="8" t="s">
        <v>236</v>
      </c>
      <c r="V294" s="8">
        <v>1000</v>
      </c>
      <c r="W294" s="8" t="s">
        <v>241</v>
      </c>
      <c r="X294" s="8">
        <v>3000</v>
      </c>
      <c r="Y294" s="8" t="s">
        <v>278</v>
      </c>
      <c r="Z294" s="8">
        <v>470</v>
      </c>
      <c r="AA294" s="8" t="s">
        <v>525</v>
      </c>
      <c r="AB294" s="8" t="s">
        <v>236</v>
      </c>
      <c r="AC294" s="8" t="s">
        <v>236</v>
      </c>
      <c r="AD294" s="8" t="s">
        <v>236</v>
      </c>
      <c r="AE294" s="8" t="s">
        <v>68</v>
      </c>
      <c r="AF294" s="8" t="s">
        <v>236</v>
      </c>
      <c r="AG294" s="8" t="s">
        <v>236</v>
      </c>
      <c r="AH294" s="8" t="s">
        <v>236</v>
      </c>
      <c r="AI294" s="8" t="s">
        <v>236</v>
      </c>
      <c r="AJ294" t="s">
        <v>519</v>
      </c>
      <c r="AK294">
        <v>12</v>
      </c>
      <c r="AL294">
        <v>1</v>
      </c>
      <c r="AM294" t="s">
        <v>297</v>
      </c>
      <c r="AN294" t="s">
        <v>236</v>
      </c>
      <c r="AO294" t="s">
        <v>529</v>
      </c>
      <c r="AP294" t="s">
        <v>519</v>
      </c>
      <c r="AQ294">
        <v>11</v>
      </c>
      <c r="AR294" t="s">
        <v>527</v>
      </c>
      <c r="AS294" t="s">
        <v>236</v>
      </c>
      <c r="AT294" t="s">
        <v>165</v>
      </c>
      <c r="AU294">
        <v>12</v>
      </c>
      <c r="AV294">
        <v>1</v>
      </c>
      <c r="AW294" t="s">
        <v>432</v>
      </c>
      <c r="AX294" t="s">
        <v>298</v>
      </c>
      <c r="AY294" t="s">
        <v>224</v>
      </c>
      <c r="AZ294">
        <v>3</v>
      </c>
      <c r="BA294" t="s">
        <v>435</v>
      </c>
      <c r="BB294" t="s">
        <v>431</v>
      </c>
      <c r="BC294" t="s">
        <v>419</v>
      </c>
      <c r="BD294" t="s">
        <v>236</v>
      </c>
      <c r="BE294" t="s">
        <v>437</v>
      </c>
      <c r="BF294" t="s">
        <v>530</v>
      </c>
      <c r="BG294" t="s">
        <v>433</v>
      </c>
      <c r="BH294" t="s">
        <v>420</v>
      </c>
      <c r="BI294" t="s">
        <v>533</v>
      </c>
      <c r="BJ294" t="s">
        <v>68</v>
      </c>
      <c r="BK294" t="s">
        <v>236</v>
      </c>
      <c r="BL294" t="s">
        <v>236</v>
      </c>
      <c r="BM294" t="s">
        <v>236</v>
      </c>
      <c r="BN294" t="s">
        <v>68</v>
      </c>
      <c r="BO294" t="s">
        <v>236</v>
      </c>
      <c r="BP294" t="s">
        <v>236</v>
      </c>
      <c r="BQ294" t="s">
        <v>236</v>
      </c>
      <c r="BR294" t="s">
        <v>236</v>
      </c>
      <c r="BS294" t="s">
        <v>521</v>
      </c>
      <c r="BT294">
        <v>0</v>
      </c>
    </row>
    <row r="295" spans="1:72" x14ac:dyDescent="0.15">
      <c r="A295" s="43">
        <v>2022</v>
      </c>
      <c r="B295" s="8">
        <v>12</v>
      </c>
      <c r="C295" s="8">
        <v>1</v>
      </c>
      <c r="D295" s="8" t="s">
        <v>297</v>
      </c>
      <c r="E295" s="8" t="s">
        <v>236</v>
      </c>
      <c r="F295" s="8" t="s">
        <v>57</v>
      </c>
      <c r="G295" s="8">
        <v>2022</v>
      </c>
      <c r="H295" s="8">
        <v>11</v>
      </c>
      <c r="I295" s="8" t="s">
        <v>527</v>
      </c>
      <c r="J295" s="8" t="s">
        <v>236</v>
      </c>
      <c r="K295" s="8">
        <v>1952</v>
      </c>
      <c r="L295" s="17">
        <v>12</v>
      </c>
      <c r="M295" s="8">
        <v>1</v>
      </c>
      <c r="N295" s="8" t="s">
        <v>48</v>
      </c>
      <c r="O295" s="8" t="s">
        <v>298</v>
      </c>
      <c r="P295" s="8" t="s">
        <v>224</v>
      </c>
      <c r="Q295" s="8">
        <v>7000</v>
      </c>
      <c r="R295" s="8" t="s">
        <v>57</v>
      </c>
      <c r="S295" s="8" t="s">
        <v>52</v>
      </c>
      <c r="T295" s="8" t="s">
        <v>70</v>
      </c>
      <c r="U295" s="8" t="s">
        <v>236</v>
      </c>
      <c r="V295" s="8">
        <v>1000</v>
      </c>
      <c r="W295" s="8" t="s">
        <v>241</v>
      </c>
      <c r="X295" s="8">
        <v>3000</v>
      </c>
      <c r="Y295" s="8" t="s">
        <v>278</v>
      </c>
      <c r="Z295" s="8">
        <v>470</v>
      </c>
      <c r="AA295" s="8" t="s">
        <v>525</v>
      </c>
      <c r="AB295" s="8" t="s">
        <v>236</v>
      </c>
      <c r="AC295" s="8" t="s">
        <v>236</v>
      </c>
      <c r="AD295" s="8" t="s">
        <v>236</v>
      </c>
      <c r="AE295" s="8" t="s">
        <v>68</v>
      </c>
      <c r="AF295" s="8" t="s">
        <v>236</v>
      </c>
      <c r="AG295" s="8" t="s">
        <v>236</v>
      </c>
      <c r="AH295" s="8" t="s">
        <v>236</v>
      </c>
      <c r="AI295" s="8" t="s">
        <v>236</v>
      </c>
      <c r="AJ295" t="s">
        <v>519</v>
      </c>
      <c r="AK295">
        <v>12</v>
      </c>
      <c r="AL295">
        <v>1</v>
      </c>
      <c r="AM295" t="s">
        <v>297</v>
      </c>
      <c r="AN295" t="s">
        <v>236</v>
      </c>
      <c r="AO295" t="s">
        <v>529</v>
      </c>
      <c r="AP295" t="s">
        <v>519</v>
      </c>
      <c r="AQ295">
        <v>11</v>
      </c>
      <c r="AR295" t="s">
        <v>527</v>
      </c>
      <c r="AS295" t="s">
        <v>236</v>
      </c>
      <c r="AT295" t="s">
        <v>175</v>
      </c>
      <c r="AU295">
        <v>12</v>
      </c>
      <c r="AV295">
        <v>1</v>
      </c>
      <c r="AW295" t="s">
        <v>432</v>
      </c>
      <c r="AX295" t="s">
        <v>298</v>
      </c>
      <c r="AY295" t="s">
        <v>224</v>
      </c>
      <c r="AZ295">
        <v>3</v>
      </c>
      <c r="BA295" t="s">
        <v>435</v>
      </c>
      <c r="BB295" t="s">
        <v>431</v>
      </c>
      <c r="BC295" t="s">
        <v>419</v>
      </c>
      <c r="BD295" t="s">
        <v>236</v>
      </c>
      <c r="BE295" t="s">
        <v>437</v>
      </c>
      <c r="BF295" t="s">
        <v>530</v>
      </c>
      <c r="BG295" t="s">
        <v>433</v>
      </c>
      <c r="BH295" t="s">
        <v>420</v>
      </c>
      <c r="BI295" t="s">
        <v>533</v>
      </c>
      <c r="BJ295" t="s">
        <v>68</v>
      </c>
      <c r="BK295" t="s">
        <v>236</v>
      </c>
      <c r="BL295" t="s">
        <v>236</v>
      </c>
      <c r="BM295" t="s">
        <v>236</v>
      </c>
      <c r="BN295" t="s">
        <v>68</v>
      </c>
      <c r="BO295" t="s">
        <v>236</v>
      </c>
      <c r="BP295" t="s">
        <v>236</v>
      </c>
      <c r="BQ295" t="s">
        <v>236</v>
      </c>
      <c r="BR295" t="s">
        <v>236</v>
      </c>
      <c r="BS295" t="s">
        <v>521</v>
      </c>
      <c r="BT295">
        <v>0</v>
      </c>
    </row>
    <row r="296" spans="1:72" x14ac:dyDescent="0.15">
      <c r="A296" s="43">
        <v>2022</v>
      </c>
      <c r="B296" s="8">
        <v>12</v>
      </c>
      <c r="C296" s="8">
        <v>1</v>
      </c>
      <c r="D296" s="8" t="s">
        <v>297</v>
      </c>
      <c r="E296" s="8" t="s">
        <v>236</v>
      </c>
      <c r="F296" s="8" t="s">
        <v>57</v>
      </c>
      <c r="G296" s="8">
        <v>2022</v>
      </c>
      <c r="H296" s="8">
        <v>11</v>
      </c>
      <c r="I296" s="8" t="s">
        <v>527</v>
      </c>
      <c r="J296" s="8" t="s">
        <v>236</v>
      </c>
      <c r="K296" s="8">
        <v>1992</v>
      </c>
      <c r="L296" s="17">
        <v>12</v>
      </c>
      <c r="M296" s="8">
        <v>1</v>
      </c>
      <c r="N296" s="8" t="s">
        <v>48</v>
      </c>
      <c r="O296" s="8" t="s">
        <v>298</v>
      </c>
      <c r="P296" s="8" t="s">
        <v>295</v>
      </c>
      <c r="Q296" s="8">
        <v>3000</v>
      </c>
      <c r="R296" s="8" t="s">
        <v>57</v>
      </c>
      <c r="S296" s="8" t="s">
        <v>52</v>
      </c>
      <c r="T296" s="8" t="s">
        <v>70</v>
      </c>
      <c r="U296" s="8" t="s">
        <v>236</v>
      </c>
      <c r="V296" s="8">
        <v>1000</v>
      </c>
      <c r="W296" s="8" t="s">
        <v>241</v>
      </c>
      <c r="X296" s="8">
        <v>3000</v>
      </c>
      <c r="Y296" s="8" t="s">
        <v>278</v>
      </c>
      <c r="Z296" s="8">
        <v>470</v>
      </c>
      <c r="AA296" s="8" t="s">
        <v>525</v>
      </c>
      <c r="AB296" s="8" t="s">
        <v>236</v>
      </c>
      <c r="AC296" s="8" t="s">
        <v>236</v>
      </c>
      <c r="AD296" s="8" t="s">
        <v>236</v>
      </c>
      <c r="AE296" s="8" t="s">
        <v>68</v>
      </c>
      <c r="AF296" s="8" t="s">
        <v>236</v>
      </c>
      <c r="AG296" s="8" t="s">
        <v>236</v>
      </c>
      <c r="AH296" s="8" t="s">
        <v>236</v>
      </c>
      <c r="AI296" s="8" t="s">
        <v>236</v>
      </c>
      <c r="AJ296" t="s">
        <v>519</v>
      </c>
      <c r="AK296">
        <v>12</v>
      </c>
      <c r="AL296">
        <v>1</v>
      </c>
      <c r="AM296" t="s">
        <v>297</v>
      </c>
      <c r="AN296" t="s">
        <v>236</v>
      </c>
      <c r="AO296" t="s">
        <v>529</v>
      </c>
      <c r="AP296" t="s">
        <v>519</v>
      </c>
      <c r="AQ296">
        <v>11</v>
      </c>
      <c r="AR296" t="s">
        <v>527</v>
      </c>
      <c r="AS296" t="s">
        <v>236</v>
      </c>
      <c r="AT296" t="s">
        <v>137</v>
      </c>
      <c r="AU296">
        <v>12</v>
      </c>
      <c r="AV296">
        <v>1</v>
      </c>
      <c r="AW296" t="s">
        <v>432</v>
      </c>
      <c r="AX296" t="s">
        <v>298</v>
      </c>
      <c r="AY296" t="s">
        <v>295</v>
      </c>
      <c r="AZ296">
        <v>1</v>
      </c>
      <c r="BA296" t="s">
        <v>435</v>
      </c>
      <c r="BB296" t="s">
        <v>431</v>
      </c>
      <c r="BC296" t="s">
        <v>419</v>
      </c>
      <c r="BD296" t="s">
        <v>236</v>
      </c>
      <c r="BE296" t="s">
        <v>437</v>
      </c>
      <c r="BF296" t="s">
        <v>530</v>
      </c>
      <c r="BG296" t="s">
        <v>433</v>
      </c>
      <c r="BH296" t="s">
        <v>420</v>
      </c>
      <c r="BI296" t="s">
        <v>533</v>
      </c>
      <c r="BJ296" t="s">
        <v>68</v>
      </c>
      <c r="BK296" t="s">
        <v>236</v>
      </c>
      <c r="BL296" t="s">
        <v>236</v>
      </c>
      <c r="BM296" t="s">
        <v>236</v>
      </c>
      <c r="BN296" t="s">
        <v>68</v>
      </c>
      <c r="BO296" t="s">
        <v>236</v>
      </c>
      <c r="BP296" t="s">
        <v>236</v>
      </c>
      <c r="BQ296" t="s">
        <v>236</v>
      </c>
      <c r="BR296" t="s">
        <v>236</v>
      </c>
      <c r="BS296" t="s">
        <v>521</v>
      </c>
      <c r="BT296">
        <v>0</v>
      </c>
    </row>
    <row r="297" spans="1:72" x14ac:dyDescent="0.15">
      <c r="A297" s="43">
        <v>2022</v>
      </c>
      <c r="B297" s="8">
        <v>12</v>
      </c>
      <c r="C297" s="8">
        <v>1</v>
      </c>
      <c r="D297" s="8" t="s">
        <v>297</v>
      </c>
      <c r="E297" s="8" t="s">
        <v>236</v>
      </c>
      <c r="F297" s="8" t="s">
        <v>57</v>
      </c>
      <c r="G297" s="8">
        <v>2022</v>
      </c>
      <c r="H297" s="8">
        <v>11</v>
      </c>
      <c r="I297" s="8" t="s">
        <v>527</v>
      </c>
      <c r="J297" s="8" t="s">
        <v>236</v>
      </c>
      <c r="K297" s="8">
        <v>1987</v>
      </c>
      <c r="L297" s="17">
        <v>12</v>
      </c>
      <c r="M297" s="8">
        <v>1</v>
      </c>
      <c r="N297" s="8" t="s">
        <v>48</v>
      </c>
      <c r="O297" s="8" t="s">
        <v>298</v>
      </c>
      <c r="P297" s="8" t="s">
        <v>295</v>
      </c>
      <c r="Q297" s="8">
        <v>3000</v>
      </c>
      <c r="R297" s="8" t="s">
        <v>57</v>
      </c>
      <c r="S297" s="8" t="s">
        <v>52</v>
      </c>
      <c r="T297" s="8" t="s">
        <v>70</v>
      </c>
      <c r="U297" s="8" t="s">
        <v>236</v>
      </c>
      <c r="V297" s="8">
        <v>1000</v>
      </c>
      <c r="W297" s="8" t="s">
        <v>241</v>
      </c>
      <c r="X297" s="8">
        <v>3000</v>
      </c>
      <c r="Y297" s="8" t="s">
        <v>278</v>
      </c>
      <c r="Z297" s="8">
        <v>470</v>
      </c>
      <c r="AA297" s="8" t="s">
        <v>525</v>
      </c>
      <c r="AB297" s="8" t="s">
        <v>236</v>
      </c>
      <c r="AC297" s="8" t="s">
        <v>236</v>
      </c>
      <c r="AD297" s="8" t="s">
        <v>236</v>
      </c>
      <c r="AE297" s="8" t="s">
        <v>68</v>
      </c>
      <c r="AF297" s="8" t="s">
        <v>236</v>
      </c>
      <c r="AG297" s="8" t="s">
        <v>236</v>
      </c>
      <c r="AH297" s="8" t="s">
        <v>236</v>
      </c>
      <c r="AI297" s="8" t="s">
        <v>236</v>
      </c>
      <c r="AJ297" t="s">
        <v>519</v>
      </c>
      <c r="AK297">
        <v>12</v>
      </c>
      <c r="AL297">
        <v>1</v>
      </c>
      <c r="AM297" t="s">
        <v>297</v>
      </c>
      <c r="AN297" t="s">
        <v>236</v>
      </c>
      <c r="AO297" t="s">
        <v>529</v>
      </c>
      <c r="AP297" t="s">
        <v>519</v>
      </c>
      <c r="AQ297">
        <v>11</v>
      </c>
      <c r="AR297" t="s">
        <v>527</v>
      </c>
      <c r="AS297" t="s">
        <v>236</v>
      </c>
      <c r="AT297" t="s">
        <v>140</v>
      </c>
      <c r="AU297">
        <v>12</v>
      </c>
      <c r="AV297">
        <v>1</v>
      </c>
      <c r="AW297" t="s">
        <v>432</v>
      </c>
      <c r="AX297" t="s">
        <v>298</v>
      </c>
      <c r="AY297" t="s">
        <v>295</v>
      </c>
      <c r="AZ297">
        <v>1</v>
      </c>
      <c r="BA297" t="s">
        <v>435</v>
      </c>
      <c r="BB297" t="s">
        <v>431</v>
      </c>
      <c r="BC297" t="s">
        <v>419</v>
      </c>
      <c r="BD297" t="s">
        <v>236</v>
      </c>
      <c r="BE297" t="s">
        <v>437</v>
      </c>
      <c r="BF297" t="s">
        <v>530</v>
      </c>
      <c r="BG297" t="s">
        <v>433</v>
      </c>
      <c r="BH297" t="s">
        <v>420</v>
      </c>
      <c r="BI297" t="s">
        <v>533</v>
      </c>
      <c r="BJ297" t="s">
        <v>68</v>
      </c>
      <c r="BK297" t="s">
        <v>236</v>
      </c>
      <c r="BL297" t="s">
        <v>236</v>
      </c>
      <c r="BM297" t="s">
        <v>236</v>
      </c>
      <c r="BN297" t="s">
        <v>68</v>
      </c>
      <c r="BO297" t="s">
        <v>236</v>
      </c>
      <c r="BP297" t="s">
        <v>236</v>
      </c>
      <c r="BQ297" t="s">
        <v>236</v>
      </c>
      <c r="BR297" t="s">
        <v>236</v>
      </c>
      <c r="BS297" t="s">
        <v>521</v>
      </c>
      <c r="BT297">
        <v>0</v>
      </c>
    </row>
    <row r="298" spans="1:72" x14ac:dyDescent="0.15">
      <c r="A298" s="43">
        <v>2022</v>
      </c>
      <c r="B298" s="8">
        <v>12</v>
      </c>
      <c r="C298" s="8">
        <v>1</v>
      </c>
      <c r="D298" s="8" t="s">
        <v>297</v>
      </c>
      <c r="E298" s="8" t="s">
        <v>236</v>
      </c>
      <c r="F298" s="8" t="s">
        <v>57</v>
      </c>
      <c r="G298" s="8">
        <v>2022</v>
      </c>
      <c r="H298" s="8">
        <v>11</v>
      </c>
      <c r="I298" s="8" t="s">
        <v>527</v>
      </c>
      <c r="J298" s="8" t="s">
        <v>236</v>
      </c>
      <c r="K298" s="8">
        <v>1982</v>
      </c>
      <c r="L298" s="17">
        <v>12</v>
      </c>
      <c r="M298" s="8">
        <v>1</v>
      </c>
      <c r="N298" s="8" t="s">
        <v>48</v>
      </c>
      <c r="O298" s="8" t="s">
        <v>298</v>
      </c>
      <c r="P298" s="8" t="s">
        <v>295</v>
      </c>
      <c r="Q298" s="8">
        <v>3000</v>
      </c>
      <c r="R298" s="8" t="s">
        <v>57</v>
      </c>
      <c r="S298" s="8" t="s">
        <v>52</v>
      </c>
      <c r="T298" s="8" t="s">
        <v>70</v>
      </c>
      <c r="U298" s="8" t="s">
        <v>236</v>
      </c>
      <c r="V298" s="8">
        <v>1000</v>
      </c>
      <c r="W298" s="8" t="s">
        <v>241</v>
      </c>
      <c r="X298" s="8">
        <v>3000</v>
      </c>
      <c r="Y298" s="8" t="s">
        <v>278</v>
      </c>
      <c r="Z298" s="8">
        <v>470</v>
      </c>
      <c r="AA298" s="8" t="s">
        <v>525</v>
      </c>
      <c r="AB298" s="8" t="s">
        <v>236</v>
      </c>
      <c r="AC298" s="8" t="s">
        <v>236</v>
      </c>
      <c r="AD298" s="8" t="s">
        <v>236</v>
      </c>
      <c r="AE298" s="8" t="s">
        <v>68</v>
      </c>
      <c r="AF298" s="8" t="s">
        <v>236</v>
      </c>
      <c r="AG298" s="8" t="s">
        <v>236</v>
      </c>
      <c r="AH298" s="8" t="s">
        <v>236</v>
      </c>
      <c r="AI298" s="8" t="s">
        <v>236</v>
      </c>
      <c r="AJ298" t="s">
        <v>519</v>
      </c>
      <c r="AK298">
        <v>12</v>
      </c>
      <c r="AL298">
        <v>1</v>
      </c>
      <c r="AM298" t="s">
        <v>297</v>
      </c>
      <c r="AN298" t="s">
        <v>236</v>
      </c>
      <c r="AO298" t="s">
        <v>529</v>
      </c>
      <c r="AP298" t="s">
        <v>519</v>
      </c>
      <c r="AQ298">
        <v>11</v>
      </c>
      <c r="AR298" t="s">
        <v>527</v>
      </c>
      <c r="AS298" t="s">
        <v>236</v>
      </c>
      <c r="AT298" t="s">
        <v>145</v>
      </c>
      <c r="AU298">
        <v>12</v>
      </c>
      <c r="AV298">
        <v>1</v>
      </c>
      <c r="AW298" t="s">
        <v>432</v>
      </c>
      <c r="AX298" t="s">
        <v>298</v>
      </c>
      <c r="AY298" t="s">
        <v>295</v>
      </c>
      <c r="AZ298">
        <v>1</v>
      </c>
      <c r="BA298" t="s">
        <v>435</v>
      </c>
      <c r="BB298" t="s">
        <v>431</v>
      </c>
      <c r="BC298" t="s">
        <v>419</v>
      </c>
      <c r="BD298" t="s">
        <v>236</v>
      </c>
      <c r="BE298" t="s">
        <v>437</v>
      </c>
      <c r="BF298" t="s">
        <v>530</v>
      </c>
      <c r="BG298" t="s">
        <v>433</v>
      </c>
      <c r="BH298" t="s">
        <v>420</v>
      </c>
      <c r="BI298" t="s">
        <v>533</v>
      </c>
      <c r="BJ298" t="s">
        <v>68</v>
      </c>
      <c r="BK298" t="s">
        <v>236</v>
      </c>
      <c r="BL298" t="s">
        <v>236</v>
      </c>
      <c r="BM298" t="s">
        <v>236</v>
      </c>
      <c r="BN298" t="s">
        <v>68</v>
      </c>
      <c r="BO298" t="s">
        <v>236</v>
      </c>
      <c r="BP298" t="s">
        <v>236</v>
      </c>
      <c r="BQ298" t="s">
        <v>236</v>
      </c>
      <c r="BR298" t="s">
        <v>236</v>
      </c>
      <c r="BS298" t="s">
        <v>521</v>
      </c>
      <c r="BT298">
        <v>0</v>
      </c>
    </row>
    <row r="299" spans="1:72" x14ac:dyDescent="0.15">
      <c r="A299" s="43">
        <v>2022</v>
      </c>
      <c r="B299" s="8">
        <v>12</v>
      </c>
      <c r="C299" s="8">
        <v>1</v>
      </c>
      <c r="D299" s="8" t="s">
        <v>297</v>
      </c>
      <c r="E299" s="8" t="s">
        <v>236</v>
      </c>
      <c r="F299" s="8" t="s">
        <v>57</v>
      </c>
      <c r="G299" s="8">
        <v>2022</v>
      </c>
      <c r="H299" s="8">
        <v>11</v>
      </c>
      <c r="I299" s="8" t="s">
        <v>527</v>
      </c>
      <c r="J299" s="8" t="s">
        <v>236</v>
      </c>
      <c r="K299" s="8">
        <v>1977</v>
      </c>
      <c r="L299" s="17">
        <v>12</v>
      </c>
      <c r="M299" s="8">
        <v>1</v>
      </c>
      <c r="N299" s="8" t="s">
        <v>48</v>
      </c>
      <c r="O299" s="8" t="s">
        <v>298</v>
      </c>
      <c r="P299" s="8" t="s">
        <v>295</v>
      </c>
      <c r="Q299" s="8">
        <v>3000</v>
      </c>
      <c r="R299" s="8" t="s">
        <v>57</v>
      </c>
      <c r="S299" s="8" t="s">
        <v>52</v>
      </c>
      <c r="T299" s="8" t="s">
        <v>70</v>
      </c>
      <c r="U299" s="8" t="s">
        <v>236</v>
      </c>
      <c r="V299" s="8">
        <v>1000</v>
      </c>
      <c r="W299" s="8" t="s">
        <v>241</v>
      </c>
      <c r="X299" s="8">
        <v>3000</v>
      </c>
      <c r="Y299" s="8" t="s">
        <v>278</v>
      </c>
      <c r="Z299" s="8">
        <v>470</v>
      </c>
      <c r="AA299" s="8" t="s">
        <v>525</v>
      </c>
      <c r="AB299" s="8" t="s">
        <v>236</v>
      </c>
      <c r="AC299" s="8" t="s">
        <v>236</v>
      </c>
      <c r="AD299" s="8" t="s">
        <v>236</v>
      </c>
      <c r="AE299" s="8" t="s">
        <v>68</v>
      </c>
      <c r="AF299" s="8" t="s">
        <v>236</v>
      </c>
      <c r="AG299" s="8" t="s">
        <v>236</v>
      </c>
      <c r="AH299" s="8" t="s">
        <v>236</v>
      </c>
      <c r="AI299" s="8" t="s">
        <v>236</v>
      </c>
      <c r="AJ299" t="s">
        <v>519</v>
      </c>
      <c r="AK299">
        <v>12</v>
      </c>
      <c r="AL299">
        <v>1</v>
      </c>
      <c r="AM299" t="s">
        <v>297</v>
      </c>
      <c r="AN299" t="s">
        <v>236</v>
      </c>
      <c r="AO299" t="s">
        <v>529</v>
      </c>
      <c r="AP299" t="s">
        <v>519</v>
      </c>
      <c r="AQ299">
        <v>11</v>
      </c>
      <c r="AR299" t="s">
        <v>527</v>
      </c>
      <c r="AS299" t="s">
        <v>236</v>
      </c>
      <c r="AT299" t="s">
        <v>150</v>
      </c>
      <c r="AU299">
        <v>12</v>
      </c>
      <c r="AV299">
        <v>1</v>
      </c>
      <c r="AW299" t="s">
        <v>432</v>
      </c>
      <c r="AX299" t="s">
        <v>298</v>
      </c>
      <c r="AY299" t="s">
        <v>295</v>
      </c>
      <c r="AZ299">
        <v>1</v>
      </c>
      <c r="BA299" t="s">
        <v>435</v>
      </c>
      <c r="BB299" t="s">
        <v>431</v>
      </c>
      <c r="BC299" t="s">
        <v>419</v>
      </c>
      <c r="BD299" t="s">
        <v>236</v>
      </c>
      <c r="BE299" t="s">
        <v>437</v>
      </c>
      <c r="BF299" t="s">
        <v>530</v>
      </c>
      <c r="BG299" t="s">
        <v>433</v>
      </c>
      <c r="BH299" t="s">
        <v>420</v>
      </c>
      <c r="BI299" t="s">
        <v>533</v>
      </c>
      <c r="BJ299" t="s">
        <v>68</v>
      </c>
      <c r="BK299" t="s">
        <v>236</v>
      </c>
      <c r="BL299" t="s">
        <v>236</v>
      </c>
      <c r="BM299" t="s">
        <v>236</v>
      </c>
      <c r="BN299" t="s">
        <v>68</v>
      </c>
      <c r="BO299" t="s">
        <v>236</v>
      </c>
      <c r="BP299" t="s">
        <v>236</v>
      </c>
      <c r="BQ299" t="s">
        <v>236</v>
      </c>
      <c r="BR299" t="s">
        <v>236</v>
      </c>
      <c r="BS299" t="s">
        <v>521</v>
      </c>
      <c r="BT299">
        <v>0</v>
      </c>
    </row>
    <row r="300" spans="1:72" x14ac:dyDescent="0.15">
      <c r="A300" s="43">
        <v>2022</v>
      </c>
      <c r="B300" s="8">
        <v>12</v>
      </c>
      <c r="C300" s="8">
        <v>1</v>
      </c>
      <c r="D300" s="8" t="s">
        <v>297</v>
      </c>
      <c r="E300" s="8" t="s">
        <v>236</v>
      </c>
      <c r="F300" s="8" t="s">
        <v>57</v>
      </c>
      <c r="G300" s="8">
        <v>2022</v>
      </c>
      <c r="H300" s="8">
        <v>11</v>
      </c>
      <c r="I300" s="8" t="s">
        <v>527</v>
      </c>
      <c r="J300" s="8" t="s">
        <v>236</v>
      </c>
      <c r="K300" s="8">
        <v>1972</v>
      </c>
      <c r="L300" s="17">
        <v>12</v>
      </c>
      <c r="M300" s="8">
        <v>1</v>
      </c>
      <c r="N300" s="8" t="s">
        <v>48</v>
      </c>
      <c r="O300" s="8" t="s">
        <v>298</v>
      </c>
      <c r="P300" s="8" t="s">
        <v>295</v>
      </c>
      <c r="Q300" s="8">
        <v>3000</v>
      </c>
      <c r="R300" s="8" t="s">
        <v>57</v>
      </c>
      <c r="S300" s="8" t="s">
        <v>52</v>
      </c>
      <c r="T300" s="8" t="s">
        <v>70</v>
      </c>
      <c r="U300" s="8" t="s">
        <v>236</v>
      </c>
      <c r="V300" s="8">
        <v>1000</v>
      </c>
      <c r="W300" s="8" t="s">
        <v>241</v>
      </c>
      <c r="X300" s="8">
        <v>3000</v>
      </c>
      <c r="Y300" s="8" t="s">
        <v>278</v>
      </c>
      <c r="Z300" s="8">
        <v>470</v>
      </c>
      <c r="AA300" s="8" t="s">
        <v>525</v>
      </c>
      <c r="AB300" s="8" t="s">
        <v>236</v>
      </c>
      <c r="AC300" s="8" t="s">
        <v>236</v>
      </c>
      <c r="AD300" s="8" t="s">
        <v>236</v>
      </c>
      <c r="AE300" s="8" t="s">
        <v>68</v>
      </c>
      <c r="AF300" s="8" t="s">
        <v>236</v>
      </c>
      <c r="AG300" s="8" t="s">
        <v>236</v>
      </c>
      <c r="AH300" s="8" t="s">
        <v>236</v>
      </c>
      <c r="AI300" s="8" t="s">
        <v>236</v>
      </c>
      <c r="AJ300" t="s">
        <v>519</v>
      </c>
      <c r="AK300">
        <v>12</v>
      </c>
      <c r="AL300">
        <v>1</v>
      </c>
      <c r="AM300" t="s">
        <v>297</v>
      </c>
      <c r="AN300" t="s">
        <v>236</v>
      </c>
      <c r="AO300" t="s">
        <v>529</v>
      </c>
      <c r="AP300" t="s">
        <v>519</v>
      </c>
      <c r="AQ300">
        <v>11</v>
      </c>
      <c r="AR300" t="s">
        <v>527</v>
      </c>
      <c r="AS300" t="s">
        <v>236</v>
      </c>
      <c r="AT300" t="s">
        <v>155</v>
      </c>
      <c r="AU300">
        <v>12</v>
      </c>
      <c r="AV300">
        <v>1</v>
      </c>
      <c r="AW300" t="s">
        <v>432</v>
      </c>
      <c r="AX300" t="s">
        <v>298</v>
      </c>
      <c r="AY300" t="s">
        <v>295</v>
      </c>
      <c r="AZ300">
        <v>1</v>
      </c>
      <c r="BA300" t="s">
        <v>435</v>
      </c>
      <c r="BB300" t="s">
        <v>431</v>
      </c>
      <c r="BC300" t="s">
        <v>419</v>
      </c>
      <c r="BD300" t="s">
        <v>236</v>
      </c>
      <c r="BE300" t="s">
        <v>437</v>
      </c>
      <c r="BF300" t="s">
        <v>530</v>
      </c>
      <c r="BG300" t="s">
        <v>433</v>
      </c>
      <c r="BH300" t="s">
        <v>420</v>
      </c>
      <c r="BI300" t="s">
        <v>533</v>
      </c>
      <c r="BJ300" t="s">
        <v>68</v>
      </c>
      <c r="BK300" t="s">
        <v>236</v>
      </c>
      <c r="BL300" t="s">
        <v>236</v>
      </c>
      <c r="BM300" t="s">
        <v>236</v>
      </c>
      <c r="BN300" t="s">
        <v>68</v>
      </c>
      <c r="BO300" t="s">
        <v>236</v>
      </c>
      <c r="BP300" t="s">
        <v>236</v>
      </c>
      <c r="BQ300" t="s">
        <v>236</v>
      </c>
      <c r="BR300" t="s">
        <v>236</v>
      </c>
      <c r="BS300" t="s">
        <v>521</v>
      </c>
      <c r="BT300">
        <v>0</v>
      </c>
    </row>
    <row r="301" spans="1:72" x14ac:dyDescent="0.15">
      <c r="A301" s="43">
        <v>2022</v>
      </c>
      <c r="B301" s="8">
        <v>12</v>
      </c>
      <c r="C301" s="8">
        <v>1</v>
      </c>
      <c r="D301" s="8" t="s">
        <v>297</v>
      </c>
      <c r="E301" s="8" t="s">
        <v>236</v>
      </c>
      <c r="F301" s="8" t="s">
        <v>57</v>
      </c>
      <c r="G301" s="8">
        <v>2022</v>
      </c>
      <c r="H301" s="8">
        <v>11</v>
      </c>
      <c r="I301" s="8" t="s">
        <v>527</v>
      </c>
      <c r="J301" s="8" t="s">
        <v>236</v>
      </c>
      <c r="K301" s="8">
        <v>1962</v>
      </c>
      <c r="L301" s="17">
        <v>12</v>
      </c>
      <c r="M301" s="8">
        <v>1</v>
      </c>
      <c r="N301" s="8" t="s">
        <v>48</v>
      </c>
      <c r="O301" s="8" t="s">
        <v>298</v>
      </c>
      <c r="P301" s="8" t="s">
        <v>295</v>
      </c>
      <c r="Q301" s="8">
        <v>3000</v>
      </c>
      <c r="R301" s="8" t="s">
        <v>57</v>
      </c>
      <c r="S301" s="8" t="s">
        <v>52</v>
      </c>
      <c r="T301" s="8" t="s">
        <v>70</v>
      </c>
      <c r="U301" s="8" t="s">
        <v>236</v>
      </c>
      <c r="V301" s="8">
        <v>1000</v>
      </c>
      <c r="W301" s="8" t="s">
        <v>241</v>
      </c>
      <c r="X301" s="8">
        <v>3000</v>
      </c>
      <c r="Y301" s="8" t="s">
        <v>278</v>
      </c>
      <c r="Z301" s="8">
        <v>470</v>
      </c>
      <c r="AA301" s="8" t="s">
        <v>525</v>
      </c>
      <c r="AB301" s="8" t="s">
        <v>236</v>
      </c>
      <c r="AC301" s="8" t="s">
        <v>236</v>
      </c>
      <c r="AD301" s="8" t="s">
        <v>236</v>
      </c>
      <c r="AE301" s="8" t="s">
        <v>68</v>
      </c>
      <c r="AF301" s="8" t="s">
        <v>236</v>
      </c>
      <c r="AG301" s="8" t="s">
        <v>236</v>
      </c>
      <c r="AH301" s="8" t="s">
        <v>236</v>
      </c>
      <c r="AI301" s="8" t="s">
        <v>236</v>
      </c>
      <c r="AJ301" t="s">
        <v>519</v>
      </c>
      <c r="AK301">
        <v>12</v>
      </c>
      <c r="AL301">
        <v>1</v>
      </c>
      <c r="AM301" t="s">
        <v>297</v>
      </c>
      <c r="AN301" t="s">
        <v>236</v>
      </c>
      <c r="AO301" t="s">
        <v>529</v>
      </c>
      <c r="AP301" t="s">
        <v>519</v>
      </c>
      <c r="AQ301">
        <v>11</v>
      </c>
      <c r="AR301" t="s">
        <v>527</v>
      </c>
      <c r="AS301" t="s">
        <v>236</v>
      </c>
      <c r="AT301" t="s">
        <v>165</v>
      </c>
      <c r="AU301">
        <v>12</v>
      </c>
      <c r="AV301">
        <v>1</v>
      </c>
      <c r="AW301" t="s">
        <v>432</v>
      </c>
      <c r="AX301" t="s">
        <v>298</v>
      </c>
      <c r="AY301" t="s">
        <v>295</v>
      </c>
      <c r="AZ301">
        <v>1</v>
      </c>
      <c r="BA301" t="s">
        <v>435</v>
      </c>
      <c r="BB301" t="s">
        <v>431</v>
      </c>
      <c r="BC301" t="s">
        <v>419</v>
      </c>
      <c r="BD301" t="s">
        <v>236</v>
      </c>
      <c r="BE301" t="s">
        <v>437</v>
      </c>
      <c r="BF301" t="s">
        <v>530</v>
      </c>
      <c r="BG301" t="s">
        <v>433</v>
      </c>
      <c r="BH301" t="s">
        <v>420</v>
      </c>
      <c r="BI301" t="s">
        <v>533</v>
      </c>
      <c r="BJ301" t="s">
        <v>68</v>
      </c>
      <c r="BK301" t="s">
        <v>236</v>
      </c>
      <c r="BL301" t="s">
        <v>236</v>
      </c>
      <c r="BM301" t="s">
        <v>236</v>
      </c>
      <c r="BN301" t="s">
        <v>68</v>
      </c>
      <c r="BO301" t="s">
        <v>236</v>
      </c>
      <c r="BP301" t="s">
        <v>236</v>
      </c>
      <c r="BQ301" t="s">
        <v>236</v>
      </c>
      <c r="BR301" t="s">
        <v>236</v>
      </c>
      <c r="BS301" t="s">
        <v>521</v>
      </c>
      <c r="BT301">
        <v>0</v>
      </c>
    </row>
    <row r="302" spans="1:72" x14ac:dyDescent="0.15">
      <c r="A302" s="43">
        <v>2022</v>
      </c>
      <c r="B302" s="8">
        <v>12</v>
      </c>
      <c r="C302" s="8">
        <v>1</v>
      </c>
      <c r="D302" s="8" t="s">
        <v>297</v>
      </c>
      <c r="E302" s="8" t="s">
        <v>236</v>
      </c>
      <c r="F302" s="8" t="s">
        <v>57</v>
      </c>
      <c r="G302" s="8">
        <v>2022</v>
      </c>
      <c r="H302" s="8">
        <v>11</v>
      </c>
      <c r="I302" s="8" t="s">
        <v>527</v>
      </c>
      <c r="J302" s="8" t="s">
        <v>236</v>
      </c>
      <c r="K302" s="8">
        <v>1952</v>
      </c>
      <c r="L302" s="17">
        <v>12</v>
      </c>
      <c r="M302" s="8">
        <v>1</v>
      </c>
      <c r="N302" s="8" t="s">
        <v>48</v>
      </c>
      <c r="O302" s="8" t="s">
        <v>298</v>
      </c>
      <c r="P302" s="8" t="s">
        <v>295</v>
      </c>
      <c r="Q302" s="8">
        <v>3000</v>
      </c>
      <c r="R302" s="8" t="s">
        <v>57</v>
      </c>
      <c r="S302" s="8" t="s">
        <v>52</v>
      </c>
      <c r="T302" s="8" t="s">
        <v>70</v>
      </c>
      <c r="U302" s="8" t="s">
        <v>236</v>
      </c>
      <c r="V302" s="8">
        <v>1000</v>
      </c>
      <c r="W302" s="8" t="s">
        <v>241</v>
      </c>
      <c r="X302" s="8">
        <v>3000</v>
      </c>
      <c r="Y302" s="8" t="s">
        <v>278</v>
      </c>
      <c r="Z302" s="8">
        <v>470</v>
      </c>
      <c r="AA302" s="8" t="s">
        <v>525</v>
      </c>
      <c r="AB302" s="8" t="s">
        <v>236</v>
      </c>
      <c r="AC302" s="8" t="s">
        <v>236</v>
      </c>
      <c r="AD302" s="8" t="s">
        <v>236</v>
      </c>
      <c r="AE302" s="8" t="s">
        <v>68</v>
      </c>
      <c r="AF302" s="8" t="s">
        <v>236</v>
      </c>
      <c r="AG302" s="8" t="s">
        <v>236</v>
      </c>
      <c r="AH302" s="8" t="s">
        <v>236</v>
      </c>
      <c r="AI302" s="8" t="s">
        <v>236</v>
      </c>
      <c r="AJ302" t="s">
        <v>519</v>
      </c>
      <c r="AK302">
        <v>12</v>
      </c>
      <c r="AL302">
        <v>1</v>
      </c>
      <c r="AM302" t="s">
        <v>297</v>
      </c>
      <c r="AN302" t="s">
        <v>236</v>
      </c>
      <c r="AO302" t="s">
        <v>529</v>
      </c>
      <c r="AP302" t="s">
        <v>519</v>
      </c>
      <c r="AQ302">
        <v>11</v>
      </c>
      <c r="AR302" t="s">
        <v>527</v>
      </c>
      <c r="AS302" t="s">
        <v>236</v>
      </c>
      <c r="AT302" t="s">
        <v>175</v>
      </c>
      <c r="AU302">
        <v>12</v>
      </c>
      <c r="AV302">
        <v>1</v>
      </c>
      <c r="AW302" t="s">
        <v>432</v>
      </c>
      <c r="AX302" t="s">
        <v>298</v>
      </c>
      <c r="AY302" t="s">
        <v>295</v>
      </c>
      <c r="AZ302">
        <v>1</v>
      </c>
      <c r="BA302" t="s">
        <v>435</v>
      </c>
      <c r="BB302" t="s">
        <v>431</v>
      </c>
      <c r="BC302" t="s">
        <v>419</v>
      </c>
      <c r="BD302" t="s">
        <v>236</v>
      </c>
      <c r="BE302" t="s">
        <v>437</v>
      </c>
      <c r="BF302" t="s">
        <v>530</v>
      </c>
      <c r="BG302" t="s">
        <v>433</v>
      </c>
      <c r="BH302" t="s">
        <v>420</v>
      </c>
      <c r="BI302" t="s">
        <v>533</v>
      </c>
      <c r="BJ302" t="s">
        <v>68</v>
      </c>
      <c r="BK302" t="s">
        <v>236</v>
      </c>
      <c r="BL302" t="s">
        <v>236</v>
      </c>
      <c r="BM302" t="s">
        <v>236</v>
      </c>
      <c r="BN302" t="s">
        <v>68</v>
      </c>
      <c r="BO302" t="s">
        <v>236</v>
      </c>
      <c r="BP302" t="s">
        <v>236</v>
      </c>
      <c r="BQ302" t="s">
        <v>236</v>
      </c>
      <c r="BR302" t="s">
        <v>236</v>
      </c>
      <c r="BS302" t="s">
        <v>521</v>
      </c>
      <c r="BT302">
        <v>0</v>
      </c>
    </row>
    <row r="303" spans="1:72" x14ac:dyDescent="0.15">
      <c r="A303" s="43">
        <v>2022</v>
      </c>
      <c r="B303" s="8">
        <v>12</v>
      </c>
      <c r="C303" s="8">
        <v>1</v>
      </c>
      <c r="D303" s="8" t="s">
        <v>297</v>
      </c>
      <c r="E303" s="8" t="s">
        <v>236</v>
      </c>
      <c r="F303" s="8" t="s">
        <v>57</v>
      </c>
      <c r="G303" s="8">
        <v>2022</v>
      </c>
      <c r="H303" s="8">
        <v>11</v>
      </c>
      <c r="I303" s="8" t="s">
        <v>527</v>
      </c>
      <c r="J303" s="8" t="s">
        <v>236</v>
      </c>
      <c r="K303" s="8">
        <v>1992</v>
      </c>
      <c r="L303" s="17">
        <v>12</v>
      </c>
      <c r="M303" s="8">
        <v>1</v>
      </c>
      <c r="N303" s="8" t="s">
        <v>48</v>
      </c>
      <c r="O303" s="8" t="s">
        <v>298</v>
      </c>
      <c r="P303" s="8" t="s">
        <v>295</v>
      </c>
      <c r="Q303" s="8">
        <v>7000</v>
      </c>
      <c r="R303" s="8" t="s">
        <v>57</v>
      </c>
      <c r="S303" s="8" t="s">
        <v>52</v>
      </c>
      <c r="T303" s="8" t="s">
        <v>70</v>
      </c>
      <c r="U303" s="8" t="s">
        <v>236</v>
      </c>
      <c r="V303" s="8">
        <v>1000</v>
      </c>
      <c r="W303" s="8" t="s">
        <v>241</v>
      </c>
      <c r="X303" s="8">
        <v>3000</v>
      </c>
      <c r="Y303" s="8" t="s">
        <v>278</v>
      </c>
      <c r="Z303" s="8">
        <v>470</v>
      </c>
      <c r="AA303" s="8" t="s">
        <v>525</v>
      </c>
      <c r="AB303" s="8" t="s">
        <v>236</v>
      </c>
      <c r="AC303" s="8" t="s">
        <v>236</v>
      </c>
      <c r="AD303" s="8" t="s">
        <v>236</v>
      </c>
      <c r="AE303" s="8" t="s">
        <v>68</v>
      </c>
      <c r="AF303" s="8" t="s">
        <v>236</v>
      </c>
      <c r="AG303" s="8" t="s">
        <v>236</v>
      </c>
      <c r="AH303" s="8" t="s">
        <v>236</v>
      </c>
      <c r="AI303" s="8" t="s">
        <v>236</v>
      </c>
      <c r="AJ303" t="s">
        <v>519</v>
      </c>
      <c r="AK303">
        <v>12</v>
      </c>
      <c r="AL303">
        <v>1</v>
      </c>
      <c r="AM303" t="s">
        <v>297</v>
      </c>
      <c r="AN303" t="s">
        <v>236</v>
      </c>
      <c r="AO303" t="s">
        <v>529</v>
      </c>
      <c r="AP303" t="s">
        <v>519</v>
      </c>
      <c r="AQ303">
        <v>11</v>
      </c>
      <c r="AR303" t="s">
        <v>527</v>
      </c>
      <c r="AS303" t="s">
        <v>236</v>
      </c>
      <c r="AT303" t="s">
        <v>137</v>
      </c>
      <c r="AU303">
        <v>12</v>
      </c>
      <c r="AV303">
        <v>1</v>
      </c>
      <c r="AW303" t="s">
        <v>432</v>
      </c>
      <c r="AX303" t="s">
        <v>298</v>
      </c>
      <c r="AY303" t="s">
        <v>295</v>
      </c>
      <c r="AZ303">
        <v>3</v>
      </c>
      <c r="BA303" t="s">
        <v>435</v>
      </c>
      <c r="BB303" t="s">
        <v>431</v>
      </c>
      <c r="BC303" t="s">
        <v>419</v>
      </c>
      <c r="BD303" t="s">
        <v>236</v>
      </c>
      <c r="BE303" t="s">
        <v>437</v>
      </c>
      <c r="BF303" t="s">
        <v>530</v>
      </c>
      <c r="BG303" t="s">
        <v>433</v>
      </c>
      <c r="BH303" t="s">
        <v>420</v>
      </c>
      <c r="BI303" t="s">
        <v>533</v>
      </c>
      <c r="BJ303" t="s">
        <v>68</v>
      </c>
      <c r="BK303" t="s">
        <v>236</v>
      </c>
      <c r="BL303" t="s">
        <v>236</v>
      </c>
      <c r="BM303" t="s">
        <v>236</v>
      </c>
      <c r="BN303" t="s">
        <v>68</v>
      </c>
      <c r="BO303" t="s">
        <v>236</v>
      </c>
      <c r="BP303" t="s">
        <v>236</v>
      </c>
      <c r="BQ303" t="s">
        <v>236</v>
      </c>
      <c r="BR303" t="s">
        <v>236</v>
      </c>
      <c r="BS303" t="s">
        <v>521</v>
      </c>
      <c r="BT303">
        <v>0</v>
      </c>
    </row>
    <row r="304" spans="1:72" x14ac:dyDescent="0.15">
      <c r="A304" s="43">
        <v>2022</v>
      </c>
      <c r="B304" s="8">
        <v>12</v>
      </c>
      <c r="C304" s="8">
        <v>1</v>
      </c>
      <c r="D304" s="8" t="s">
        <v>297</v>
      </c>
      <c r="E304" s="8" t="s">
        <v>236</v>
      </c>
      <c r="F304" s="8" t="s">
        <v>57</v>
      </c>
      <c r="G304" s="8">
        <v>2022</v>
      </c>
      <c r="H304" s="8">
        <v>11</v>
      </c>
      <c r="I304" s="8" t="s">
        <v>527</v>
      </c>
      <c r="J304" s="8" t="s">
        <v>236</v>
      </c>
      <c r="K304" s="8">
        <v>1987</v>
      </c>
      <c r="L304" s="17">
        <v>12</v>
      </c>
      <c r="M304" s="8">
        <v>1</v>
      </c>
      <c r="N304" s="8" t="s">
        <v>48</v>
      </c>
      <c r="O304" s="8" t="s">
        <v>298</v>
      </c>
      <c r="P304" s="8" t="s">
        <v>295</v>
      </c>
      <c r="Q304" s="8">
        <v>7000</v>
      </c>
      <c r="R304" s="8" t="s">
        <v>57</v>
      </c>
      <c r="S304" s="8" t="s">
        <v>52</v>
      </c>
      <c r="T304" s="8" t="s">
        <v>70</v>
      </c>
      <c r="U304" s="8" t="s">
        <v>236</v>
      </c>
      <c r="V304" s="8">
        <v>1000</v>
      </c>
      <c r="W304" s="8" t="s">
        <v>241</v>
      </c>
      <c r="X304" s="8">
        <v>3000</v>
      </c>
      <c r="Y304" s="8" t="s">
        <v>278</v>
      </c>
      <c r="Z304" s="8">
        <v>470</v>
      </c>
      <c r="AA304" s="8" t="s">
        <v>525</v>
      </c>
      <c r="AB304" s="8" t="s">
        <v>236</v>
      </c>
      <c r="AC304" s="8" t="s">
        <v>236</v>
      </c>
      <c r="AD304" s="8" t="s">
        <v>236</v>
      </c>
      <c r="AE304" s="8" t="s">
        <v>68</v>
      </c>
      <c r="AF304" s="8" t="s">
        <v>236</v>
      </c>
      <c r="AG304" s="8" t="s">
        <v>236</v>
      </c>
      <c r="AH304" s="8" t="s">
        <v>236</v>
      </c>
      <c r="AI304" s="8" t="s">
        <v>236</v>
      </c>
      <c r="AJ304" t="s">
        <v>519</v>
      </c>
      <c r="AK304">
        <v>12</v>
      </c>
      <c r="AL304">
        <v>1</v>
      </c>
      <c r="AM304" t="s">
        <v>297</v>
      </c>
      <c r="AN304" t="s">
        <v>236</v>
      </c>
      <c r="AO304" t="s">
        <v>529</v>
      </c>
      <c r="AP304" t="s">
        <v>519</v>
      </c>
      <c r="AQ304">
        <v>11</v>
      </c>
      <c r="AR304" t="s">
        <v>527</v>
      </c>
      <c r="AS304" t="s">
        <v>236</v>
      </c>
      <c r="AT304" t="s">
        <v>140</v>
      </c>
      <c r="AU304">
        <v>12</v>
      </c>
      <c r="AV304">
        <v>1</v>
      </c>
      <c r="AW304" t="s">
        <v>432</v>
      </c>
      <c r="AX304" t="s">
        <v>298</v>
      </c>
      <c r="AY304" t="s">
        <v>295</v>
      </c>
      <c r="AZ304">
        <v>3</v>
      </c>
      <c r="BA304" t="s">
        <v>435</v>
      </c>
      <c r="BB304" t="s">
        <v>431</v>
      </c>
      <c r="BC304" t="s">
        <v>419</v>
      </c>
      <c r="BD304" t="s">
        <v>236</v>
      </c>
      <c r="BE304" t="s">
        <v>437</v>
      </c>
      <c r="BF304" t="s">
        <v>530</v>
      </c>
      <c r="BG304" t="s">
        <v>433</v>
      </c>
      <c r="BH304" t="s">
        <v>420</v>
      </c>
      <c r="BI304" t="s">
        <v>533</v>
      </c>
      <c r="BJ304" t="s">
        <v>68</v>
      </c>
      <c r="BK304" t="s">
        <v>236</v>
      </c>
      <c r="BL304" t="s">
        <v>236</v>
      </c>
      <c r="BM304" t="s">
        <v>236</v>
      </c>
      <c r="BN304" t="s">
        <v>68</v>
      </c>
      <c r="BO304" t="s">
        <v>236</v>
      </c>
      <c r="BP304" t="s">
        <v>236</v>
      </c>
      <c r="BQ304" t="s">
        <v>236</v>
      </c>
      <c r="BR304" t="s">
        <v>236</v>
      </c>
      <c r="BS304" t="s">
        <v>521</v>
      </c>
      <c r="BT304">
        <v>0</v>
      </c>
    </row>
    <row r="305" spans="1:72" x14ac:dyDescent="0.15">
      <c r="A305" s="43">
        <v>2022</v>
      </c>
      <c r="B305" s="8">
        <v>12</v>
      </c>
      <c r="C305" s="8">
        <v>1</v>
      </c>
      <c r="D305" s="8" t="s">
        <v>297</v>
      </c>
      <c r="E305" s="8" t="s">
        <v>236</v>
      </c>
      <c r="F305" s="8" t="s">
        <v>57</v>
      </c>
      <c r="G305" s="8">
        <v>2022</v>
      </c>
      <c r="H305" s="8">
        <v>11</v>
      </c>
      <c r="I305" s="8" t="s">
        <v>527</v>
      </c>
      <c r="J305" s="8" t="s">
        <v>236</v>
      </c>
      <c r="K305" s="8">
        <v>1982</v>
      </c>
      <c r="L305" s="17">
        <v>12</v>
      </c>
      <c r="M305" s="8">
        <v>1</v>
      </c>
      <c r="N305" s="8" t="s">
        <v>48</v>
      </c>
      <c r="O305" s="8" t="s">
        <v>298</v>
      </c>
      <c r="P305" s="8" t="s">
        <v>295</v>
      </c>
      <c r="Q305" s="8">
        <v>7000</v>
      </c>
      <c r="R305" s="8" t="s">
        <v>57</v>
      </c>
      <c r="S305" s="8" t="s">
        <v>52</v>
      </c>
      <c r="T305" s="8" t="s">
        <v>70</v>
      </c>
      <c r="U305" s="8" t="s">
        <v>236</v>
      </c>
      <c r="V305" s="8">
        <v>1000</v>
      </c>
      <c r="W305" s="8" t="s">
        <v>241</v>
      </c>
      <c r="X305" s="8">
        <v>3000</v>
      </c>
      <c r="Y305" s="8" t="s">
        <v>278</v>
      </c>
      <c r="Z305" s="8">
        <v>470</v>
      </c>
      <c r="AA305" s="8" t="s">
        <v>525</v>
      </c>
      <c r="AB305" s="8" t="s">
        <v>236</v>
      </c>
      <c r="AC305" s="8" t="s">
        <v>236</v>
      </c>
      <c r="AD305" s="8" t="s">
        <v>236</v>
      </c>
      <c r="AE305" s="8" t="s">
        <v>68</v>
      </c>
      <c r="AF305" s="8" t="s">
        <v>236</v>
      </c>
      <c r="AG305" s="8" t="s">
        <v>236</v>
      </c>
      <c r="AH305" s="8" t="s">
        <v>236</v>
      </c>
      <c r="AI305" s="8" t="s">
        <v>236</v>
      </c>
      <c r="AJ305" t="s">
        <v>519</v>
      </c>
      <c r="AK305">
        <v>12</v>
      </c>
      <c r="AL305">
        <v>1</v>
      </c>
      <c r="AM305" t="s">
        <v>297</v>
      </c>
      <c r="AN305" t="s">
        <v>236</v>
      </c>
      <c r="AO305" t="s">
        <v>529</v>
      </c>
      <c r="AP305" t="s">
        <v>519</v>
      </c>
      <c r="AQ305">
        <v>11</v>
      </c>
      <c r="AR305" t="s">
        <v>527</v>
      </c>
      <c r="AS305" t="s">
        <v>236</v>
      </c>
      <c r="AT305" t="s">
        <v>145</v>
      </c>
      <c r="AU305">
        <v>12</v>
      </c>
      <c r="AV305">
        <v>1</v>
      </c>
      <c r="AW305" t="s">
        <v>432</v>
      </c>
      <c r="AX305" t="s">
        <v>298</v>
      </c>
      <c r="AY305" t="s">
        <v>295</v>
      </c>
      <c r="AZ305">
        <v>3</v>
      </c>
      <c r="BA305" t="s">
        <v>435</v>
      </c>
      <c r="BB305" t="s">
        <v>431</v>
      </c>
      <c r="BC305" t="s">
        <v>419</v>
      </c>
      <c r="BD305" t="s">
        <v>236</v>
      </c>
      <c r="BE305" t="s">
        <v>437</v>
      </c>
      <c r="BF305" t="s">
        <v>530</v>
      </c>
      <c r="BG305" t="s">
        <v>433</v>
      </c>
      <c r="BH305" t="s">
        <v>420</v>
      </c>
      <c r="BI305" t="s">
        <v>533</v>
      </c>
      <c r="BJ305" t="s">
        <v>68</v>
      </c>
      <c r="BK305" t="s">
        <v>236</v>
      </c>
      <c r="BL305" t="s">
        <v>236</v>
      </c>
      <c r="BM305" t="s">
        <v>236</v>
      </c>
      <c r="BN305" t="s">
        <v>68</v>
      </c>
      <c r="BO305" t="s">
        <v>236</v>
      </c>
      <c r="BP305" t="s">
        <v>236</v>
      </c>
      <c r="BQ305" t="s">
        <v>236</v>
      </c>
      <c r="BR305" t="s">
        <v>236</v>
      </c>
      <c r="BS305" t="s">
        <v>521</v>
      </c>
      <c r="BT305">
        <v>0</v>
      </c>
    </row>
    <row r="306" spans="1:72" x14ac:dyDescent="0.15">
      <c r="A306" s="43">
        <v>2022</v>
      </c>
      <c r="B306" s="8">
        <v>12</v>
      </c>
      <c r="C306" s="8">
        <v>1</v>
      </c>
      <c r="D306" s="8" t="s">
        <v>297</v>
      </c>
      <c r="E306" s="8" t="s">
        <v>236</v>
      </c>
      <c r="F306" s="8" t="s">
        <v>57</v>
      </c>
      <c r="G306" s="8">
        <v>2022</v>
      </c>
      <c r="H306" s="8">
        <v>11</v>
      </c>
      <c r="I306" s="8" t="s">
        <v>527</v>
      </c>
      <c r="J306" s="8" t="s">
        <v>236</v>
      </c>
      <c r="K306" s="8">
        <v>1977</v>
      </c>
      <c r="L306" s="17">
        <v>12</v>
      </c>
      <c r="M306" s="8">
        <v>1</v>
      </c>
      <c r="N306" s="8" t="s">
        <v>48</v>
      </c>
      <c r="O306" s="8" t="s">
        <v>298</v>
      </c>
      <c r="P306" s="8" t="s">
        <v>295</v>
      </c>
      <c r="Q306" s="8">
        <v>7000</v>
      </c>
      <c r="R306" s="8" t="s">
        <v>57</v>
      </c>
      <c r="S306" s="8" t="s">
        <v>52</v>
      </c>
      <c r="T306" s="8" t="s">
        <v>70</v>
      </c>
      <c r="U306" s="8" t="s">
        <v>236</v>
      </c>
      <c r="V306" s="8">
        <v>1000</v>
      </c>
      <c r="W306" s="8" t="s">
        <v>241</v>
      </c>
      <c r="X306" s="8">
        <v>3000</v>
      </c>
      <c r="Y306" s="8" t="s">
        <v>278</v>
      </c>
      <c r="Z306" s="8">
        <v>470</v>
      </c>
      <c r="AA306" s="8" t="s">
        <v>525</v>
      </c>
      <c r="AB306" s="8" t="s">
        <v>236</v>
      </c>
      <c r="AC306" s="8" t="s">
        <v>236</v>
      </c>
      <c r="AD306" s="8" t="s">
        <v>236</v>
      </c>
      <c r="AE306" s="8" t="s">
        <v>68</v>
      </c>
      <c r="AF306" s="8" t="s">
        <v>236</v>
      </c>
      <c r="AG306" s="8" t="s">
        <v>236</v>
      </c>
      <c r="AH306" s="8" t="s">
        <v>236</v>
      </c>
      <c r="AI306" s="8" t="s">
        <v>236</v>
      </c>
      <c r="AJ306" t="s">
        <v>519</v>
      </c>
      <c r="AK306">
        <v>12</v>
      </c>
      <c r="AL306">
        <v>1</v>
      </c>
      <c r="AM306" t="s">
        <v>297</v>
      </c>
      <c r="AN306" t="s">
        <v>236</v>
      </c>
      <c r="AO306" t="s">
        <v>529</v>
      </c>
      <c r="AP306" t="s">
        <v>519</v>
      </c>
      <c r="AQ306">
        <v>11</v>
      </c>
      <c r="AR306" t="s">
        <v>527</v>
      </c>
      <c r="AS306" t="s">
        <v>236</v>
      </c>
      <c r="AT306" t="s">
        <v>150</v>
      </c>
      <c r="AU306">
        <v>12</v>
      </c>
      <c r="AV306">
        <v>1</v>
      </c>
      <c r="AW306" t="s">
        <v>432</v>
      </c>
      <c r="AX306" t="s">
        <v>298</v>
      </c>
      <c r="AY306" t="s">
        <v>295</v>
      </c>
      <c r="AZ306">
        <v>3</v>
      </c>
      <c r="BA306" t="s">
        <v>435</v>
      </c>
      <c r="BB306" t="s">
        <v>431</v>
      </c>
      <c r="BC306" t="s">
        <v>419</v>
      </c>
      <c r="BD306" t="s">
        <v>236</v>
      </c>
      <c r="BE306" t="s">
        <v>437</v>
      </c>
      <c r="BF306" t="s">
        <v>530</v>
      </c>
      <c r="BG306" t="s">
        <v>433</v>
      </c>
      <c r="BH306" t="s">
        <v>420</v>
      </c>
      <c r="BI306" t="s">
        <v>533</v>
      </c>
      <c r="BJ306" t="s">
        <v>68</v>
      </c>
      <c r="BK306" t="s">
        <v>236</v>
      </c>
      <c r="BL306" t="s">
        <v>236</v>
      </c>
      <c r="BM306" t="s">
        <v>236</v>
      </c>
      <c r="BN306" t="s">
        <v>68</v>
      </c>
      <c r="BO306" t="s">
        <v>236</v>
      </c>
      <c r="BP306" t="s">
        <v>236</v>
      </c>
      <c r="BQ306" t="s">
        <v>236</v>
      </c>
      <c r="BR306" t="s">
        <v>236</v>
      </c>
      <c r="BS306" t="s">
        <v>521</v>
      </c>
      <c r="BT306">
        <v>0</v>
      </c>
    </row>
    <row r="307" spans="1:72" x14ac:dyDescent="0.15">
      <c r="A307" s="43">
        <v>2022</v>
      </c>
      <c r="B307" s="8">
        <v>12</v>
      </c>
      <c r="C307" s="8">
        <v>1</v>
      </c>
      <c r="D307" s="8" t="s">
        <v>297</v>
      </c>
      <c r="E307" s="8" t="s">
        <v>236</v>
      </c>
      <c r="F307" s="8" t="s">
        <v>57</v>
      </c>
      <c r="G307" s="8">
        <v>2022</v>
      </c>
      <c r="H307" s="8">
        <v>11</v>
      </c>
      <c r="I307" s="8" t="s">
        <v>527</v>
      </c>
      <c r="J307" s="8" t="s">
        <v>236</v>
      </c>
      <c r="K307" s="8">
        <v>1972</v>
      </c>
      <c r="L307" s="17">
        <v>12</v>
      </c>
      <c r="M307" s="8">
        <v>1</v>
      </c>
      <c r="N307" s="8" t="s">
        <v>48</v>
      </c>
      <c r="O307" s="8" t="s">
        <v>298</v>
      </c>
      <c r="P307" s="8" t="s">
        <v>295</v>
      </c>
      <c r="Q307" s="8">
        <v>7000</v>
      </c>
      <c r="R307" s="8" t="s">
        <v>57</v>
      </c>
      <c r="S307" s="8" t="s">
        <v>52</v>
      </c>
      <c r="T307" s="8" t="s">
        <v>70</v>
      </c>
      <c r="U307" s="8" t="s">
        <v>236</v>
      </c>
      <c r="V307" s="8">
        <v>1000</v>
      </c>
      <c r="W307" s="8" t="s">
        <v>241</v>
      </c>
      <c r="X307" s="8">
        <v>3000</v>
      </c>
      <c r="Y307" s="8" t="s">
        <v>278</v>
      </c>
      <c r="Z307" s="8">
        <v>470</v>
      </c>
      <c r="AA307" s="8" t="s">
        <v>525</v>
      </c>
      <c r="AB307" s="8" t="s">
        <v>236</v>
      </c>
      <c r="AC307" s="8" t="s">
        <v>236</v>
      </c>
      <c r="AD307" s="8" t="s">
        <v>236</v>
      </c>
      <c r="AE307" s="8" t="s">
        <v>68</v>
      </c>
      <c r="AF307" s="8" t="s">
        <v>236</v>
      </c>
      <c r="AG307" s="8" t="s">
        <v>236</v>
      </c>
      <c r="AH307" s="8" t="s">
        <v>236</v>
      </c>
      <c r="AI307" s="8" t="s">
        <v>236</v>
      </c>
      <c r="AJ307" t="s">
        <v>519</v>
      </c>
      <c r="AK307">
        <v>12</v>
      </c>
      <c r="AL307">
        <v>1</v>
      </c>
      <c r="AM307" t="s">
        <v>297</v>
      </c>
      <c r="AN307" t="s">
        <v>236</v>
      </c>
      <c r="AO307" t="s">
        <v>529</v>
      </c>
      <c r="AP307" t="s">
        <v>519</v>
      </c>
      <c r="AQ307">
        <v>11</v>
      </c>
      <c r="AR307" t="s">
        <v>527</v>
      </c>
      <c r="AS307" t="s">
        <v>236</v>
      </c>
      <c r="AT307" t="s">
        <v>155</v>
      </c>
      <c r="AU307">
        <v>12</v>
      </c>
      <c r="AV307">
        <v>1</v>
      </c>
      <c r="AW307" t="s">
        <v>432</v>
      </c>
      <c r="AX307" t="s">
        <v>298</v>
      </c>
      <c r="AY307" t="s">
        <v>295</v>
      </c>
      <c r="AZ307">
        <v>3</v>
      </c>
      <c r="BA307" t="s">
        <v>435</v>
      </c>
      <c r="BB307" t="s">
        <v>431</v>
      </c>
      <c r="BC307" t="s">
        <v>419</v>
      </c>
      <c r="BD307" t="s">
        <v>236</v>
      </c>
      <c r="BE307" t="s">
        <v>437</v>
      </c>
      <c r="BF307" t="s">
        <v>530</v>
      </c>
      <c r="BG307" t="s">
        <v>433</v>
      </c>
      <c r="BH307" t="s">
        <v>420</v>
      </c>
      <c r="BI307" t="s">
        <v>533</v>
      </c>
      <c r="BJ307" t="s">
        <v>68</v>
      </c>
      <c r="BK307" t="s">
        <v>236</v>
      </c>
      <c r="BL307" t="s">
        <v>236</v>
      </c>
      <c r="BM307" t="s">
        <v>236</v>
      </c>
      <c r="BN307" t="s">
        <v>68</v>
      </c>
      <c r="BO307" t="s">
        <v>236</v>
      </c>
      <c r="BP307" t="s">
        <v>236</v>
      </c>
      <c r="BQ307" t="s">
        <v>236</v>
      </c>
      <c r="BR307" t="s">
        <v>236</v>
      </c>
      <c r="BS307" t="s">
        <v>521</v>
      </c>
      <c r="BT307">
        <v>0</v>
      </c>
    </row>
    <row r="308" spans="1:72" x14ac:dyDescent="0.15">
      <c r="A308" s="43">
        <v>2022</v>
      </c>
      <c r="B308" s="8">
        <v>12</v>
      </c>
      <c r="C308" s="8">
        <v>1</v>
      </c>
      <c r="D308" s="8" t="s">
        <v>297</v>
      </c>
      <c r="E308" s="8" t="s">
        <v>236</v>
      </c>
      <c r="F308" s="8" t="s">
        <v>57</v>
      </c>
      <c r="G308" s="8">
        <v>2022</v>
      </c>
      <c r="H308" s="8">
        <v>11</v>
      </c>
      <c r="I308" s="8" t="s">
        <v>527</v>
      </c>
      <c r="J308" s="8" t="s">
        <v>236</v>
      </c>
      <c r="K308" s="8">
        <v>1962</v>
      </c>
      <c r="L308" s="17">
        <v>12</v>
      </c>
      <c r="M308" s="8">
        <v>1</v>
      </c>
      <c r="N308" s="8" t="s">
        <v>48</v>
      </c>
      <c r="O308" s="8" t="s">
        <v>298</v>
      </c>
      <c r="P308" s="8" t="s">
        <v>295</v>
      </c>
      <c r="Q308" s="8">
        <v>7000</v>
      </c>
      <c r="R308" s="8" t="s">
        <v>57</v>
      </c>
      <c r="S308" s="8" t="s">
        <v>52</v>
      </c>
      <c r="T308" s="8" t="s">
        <v>70</v>
      </c>
      <c r="U308" s="8" t="s">
        <v>236</v>
      </c>
      <c r="V308" s="8">
        <v>1000</v>
      </c>
      <c r="W308" s="8" t="s">
        <v>241</v>
      </c>
      <c r="X308" s="8">
        <v>3000</v>
      </c>
      <c r="Y308" s="8" t="s">
        <v>278</v>
      </c>
      <c r="Z308" s="8">
        <v>470</v>
      </c>
      <c r="AA308" s="8" t="s">
        <v>525</v>
      </c>
      <c r="AB308" s="8" t="s">
        <v>236</v>
      </c>
      <c r="AC308" s="8" t="s">
        <v>236</v>
      </c>
      <c r="AD308" s="8" t="s">
        <v>236</v>
      </c>
      <c r="AE308" s="8" t="s">
        <v>68</v>
      </c>
      <c r="AF308" s="8" t="s">
        <v>236</v>
      </c>
      <c r="AG308" s="8" t="s">
        <v>236</v>
      </c>
      <c r="AH308" s="8" t="s">
        <v>236</v>
      </c>
      <c r="AI308" s="8" t="s">
        <v>236</v>
      </c>
      <c r="AJ308" t="s">
        <v>519</v>
      </c>
      <c r="AK308">
        <v>12</v>
      </c>
      <c r="AL308">
        <v>1</v>
      </c>
      <c r="AM308" t="s">
        <v>297</v>
      </c>
      <c r="AN308" t="s">
        <v>236</v>
      </c>
      <c r="AO308" t="s">
        <v>529</v>
      </c>
      <c r="AP308" t="s">
        <v>519</v>
      </c>
      <c r="AQ308">
        <v>11</v>
      </c>
      <c r="AR308" t="s">
        <v>527</v>
      </c>
      <c r="AS308" t="s">
        <v>236</v>
      </c>
      <c r="AT308" t="s">
        <v>165</v>
      </c>
      <c r="AU308">
        <v>12</v>
      </c>
      <c r="AV308">
        <v>1</v>
      </c>
      <c r="AW308" t="s">
        <v>432</v>
      </c>
      <c r="AX308" t="s">
        <v>298</v>
      </c>
      <c r="AY308" t="s">
        <v>295</v>
      </c>
      <c r="AZ308">
        <v>3</v>
      </c>
      <c r="BA308" t="s">
        <v>435</v>
      </c>
      <c r="BB308" t="s">
        <v>431</v>
      </c>
      <c r="BC308" t="s">
        <v>419</v>
      </c>
      <c r="BD308" t="s">
        <v>236</v>
      </c>
      <c r="BE308" t="s">
        <v>437</v>
      </c>
      <c r="BF308" t="s">
        <v>530</v>
      </c>
      <c r="BG308" t="s">
        <v>433</v>
      </c>
      <c r="BH308" t="s">
        <v>420</v>
      </c>
      <c r="BI308" t="s">
        <v>533</v>
      </c>
      <c r="BJ308" t="s">
        <v>68</v>
      </c>
      <c r="BK308" t="s">
        <v>236</v>
      </c>
      <c r="BL308" t="s">
        <v>236</v>
      </c>
      <c r="BM308" t="s">
        <v>236</v>
      </c>
      <c r="BN308" t="s">
        <v>68</v>
      </c>
      <c r="BO308" t="s">
        <v>236</v>
      </c>
      <c r="BP308" t="s">
        <v>236</v>
      </c>
      <c r="BQ308" t="s">
        <v>236</v>
      </c>
      <c r="BR308" t="s">
        <v>236</v>
      </c>
      <c r="BS308" t="s">
        <v>521</v>
      </c>
      <c r="BT308">
        <v>0</v>
      </c>
    </row>
    <row r="309" spans="1:72" x14ac:dyDescent="0.15">
      <c r="A309" s="43">
        <v>2022</v>
      </c>
      <c r="B309" s="8">
        <v>12</v>
      </c>
      <c r="C309" s="8">
        <v>1</v>
      </c>
      <c r="D309" s="8" t="s">
        <v>297</v>
      </c>
      <c r="E309" s="8" t="s">
        <v>236</v>
      </c>
      <c r="F309" s="8" t="s">
        <v>57</v>
      </c>
      <c r="G309" s="8">
        <v>2022</v>
      </c>
      <c r="H309" s="8">
        <v>11</v>
      </c>
      <c r="I309" s="8" t="s">
        <v>527</v>
      </c>
      <c r="J309" s="8" t="s">
        <v>236</v>
      </c>
      <c r="K309" s="8">
        <v>1952</v>
      </c>
      <c r="L309" s="17">
        <v>12</v>
      </c>
      <c r="M309" s="8">
        <v>1</v>
      </c>
      <c r="N309" s="8" t="s">
        <v>48</v>
      </c>
      <c r="O309" s="8" t="s">
        <v>298</v>
      </c>
      <c r="P309" s="8" t="s">
        <v>295</v>
      </c>
      <c r="Q309" s="8">
        <v>7000</v>
      </c>
      <c r="R309" s="8" t="s">
        <v>57</v>
      </c>
      <c r="S309" s="8" t="s">
        <v>52</v>
      </c>
      <c r="T309" s="8" t="s">
        <v>70</v>
      </c>
      <c r="U309" s="8" t="s">
        <v>236</v>
      </c>
      <c r="V309" s="8">
        <v>1000</v>
      </c>
      <c r="W309" s="8" t="s">
        <v>241</v>
      </c>
      <c r="X309" s="8">
        <v>3000</v>
      </c>
      <c r="Y309" s="8" t="s">
        <v>278</v>
      </c>
      <c r="Z309" s="8">
        <v>470</v>
      </c>
      <c r="AA309" s="8" t="s">
        <v>525</v>
      </c>
      <c r="AB309" s="8" t="s">
        <v>236</v>
      </c>
      <c r="AC309" s="8" t="s">
        <v>236</v>
      </c>
      <c r="AD309" s="8" t="s">
        <v>236</v>
      </c>
      <c r="AE309" s="8" t="s">
        <v>68</v>
      </c>
      <c r="AF309" s="8" t="s">
        <v>236</v>
      </c>
      <c r="AG309" s="8" t="s">
        <v>236</v>
      </c>
      <c r="AH309" s="8" t="s">
        <v>236</v>
      </c>
      <c r="AI309" s="8" t="s">
        <v>236</v>
      </c>
      <c r="AJ309" t="s">
        <v>519</v>
      </c>
      <c r="AK309">
        <v>12</v>
      </c>
      <c r="AL309">
        <v>1</v>
      </c>
      <c r="AM309" t="s">
        <v>297</v>
      </c>
      <c r="AN309" t="s">
        <v>236</v>
      </c>
      <c r="AO309" t="s">
        <v>529</v>
      </c>
      <c r="AP309" t="s">
        <v>519</v>
      </c>
      <c r="AQ309">
        <v>11</v>
      </c>
      <c r="AR309" t="s">
        <v>527</v>
      </c>
      <c r="AS309" t="s">
        <v>236</v>
      </c>
      <c r="AT309" t="s">
        <v>175</v>
      </c>
      <c r="AU309">
        <v>12</v>
      </c>
      <c r="AV309">
        <v>1</v>
      </c>
      <c r="AW309" t="s">
        <v>432</v>
      </c>
      <c r="AX309" t="s">
        <v>298</v>
      </c>
      <c r="AY309" t="s">
        <v>295</v>
      </c>
      <c r="AZ309">
        <v>3</v>
      </c>
      <c r="BA309" t="s">
        <v>435</v>
      </c>
      <c r="BB309" t="s">
        <v>431</v>
      </c>
      <c r="BC309" t="s">
        <v>419</v>
      </c>
      <c r="BD309" t="s">
        <v>236</v>
      </c>
      <c r="BE309" t="s">
        <v>437</v>
      </c>
      <c r="BF309" t="s">
        <v>530</v>
      </c>
      <c r="BG309" t="s">
        <v>433</v>
      </c>
      <c r="BH309" t="s">
        <v>420</v>
      </c>
      <c r="BI309" t="s">
        <v>533</v>
      </c>
      <c r="BJ309" t="s">
        <v>68</v>
      </c>
      <c r="BK309" t="s">
        <v>236</v>
      </c>
      <c r="BL309" t="s">
        <v>236</v>
      </c>
      <c r="BM309" t="s">
        <v>236</v>
      </c>
      <c r="BN309" t="s">
        <v>68</v>
      </c>
      <c r="BO309" t="s">
        <v>236</v>
      </c>
      <c r="BP309" t="s">
        <v>236</v>
      </c>
      <c r="BQ309" t="s">
        <v>236</v>
      </c>
      <c r="BR309" t="s">
        <v>236</v>
      </c>
      <c r="BS309" t="s">
        <v>521</v>
      </c>
      <c r="BT309">
        <v>0</v>
      </c>
    </row>
    <row r="310" spans="1:72" x14ac:dyDescent="0.15">
      <c r="A310" s="43">
        <v>2022</v>
      </c>
      <c r="B310" s="8">
        <v>12</v>
      </c>
      <c r="C310" s="8">
        <v>1</v>
      </c>
      <c r="D310" s="8">
        <v>20</v>
      </c>
      <c r="E310" s="8" t="s">
        <v>236</v>
      </c>
      <c r="F310" s="8" t="s">
        <v>57</v>
      </c>
      <c r="G310" s="8">
        <v>2017</v>
      </c>
      <c r="H310" s="8">
        <v>12</v>
      </c>
      <c r="I310" s="8" t="s">
        <v>528</v>
      </c>
      <c r="J310" s="8" t="s">
        <v>236</v>
      </c>
      <c r="K310" s="8">
        <v>1982</v>
      </c>
      <c r="L310" s="17">
        <v>12</v>
      </c>
      <c r="M310" s="8">
        <v>1</v>
      </c>
      <c r="N310" s="8" t="s">
        <v>48</v>
      </c>
      <c r="O310" s="8" t="s">
        <v>221</v>
      </c>
      <c r="P310" s="8" t="s">
        <v>224</v>
      </c>
      <c r="Q310" s="8">
        <v>3000</v>
      </c>
      <c r="R310" s="8" t="s">
        <v>57</v>
      </c>
      <c r="S310" s="8" t="s">
        <v>52</v>
      </c>
      <c r="T310" s="8" t="s">
        <v>70</v>
      </c>
      <c r="U310" s="8" t="s">
        <v>68</v>
      </c>
      <c r="V310" s="8">
        <v>1000</v>
      </c>
      <c r="W310" s="8" t="s">
        <v>241</v>
      </c>
      <c r="X310" s="8">
        <v>5000</v>
      </c>
      <c r="Y310" s="8" t="s">
        <v>278</v>
      </c>
      <c r="Z310" s="8">
        <v>180</v>
      </c>
      <c r="AA310" s="8" t="s">
        <v>525</v>
      </c>
      <c r="AB310" s="8" t="s">
        <v>236</v>
      </c>
      <c r="AC310" s="8" t="s">
        <v>236</v>
      </c>
      <c r="AD310" s="8" t="s">
        <v>236</v>
      </c>
      <c r="AE310" s="8" t="s">
        <v>68</v>
      </c>
      <c r="AF310" s="8" t="s">
        <v>236</v>
      </c>
      <c r="AG310" s="8" t="s">
        <v>236</v>
      </c>
      <c r="AH310" s="8" t="s">
        <v>236</v>
      </c>
      <c r="AI310" s="8" t="s">
        <v>236</v>
      </c>
      <c r="AJ310" t="s">
        <v>519</v>
      </c>
      <c r="AK310">
        <v>12</v>
      </c>
      <c r="AL310">
        <v>1</v>
      </c>
      <c r="AM310" t="s">
        <v>85</v>
      </c>
      <c r="AN310" t="s">
        <v>236</v>
      </c>
      <c r="AO310" t="s">
        <v>529</v>
      </c>
      <c r="AP310" t="s">
        <v>112</v>
      </c>
      <c r="AQ310">
        <v>12</v>
      </c>
      <c r="AR310" t="s">
        <v>528</v>
      </c>
      <c r="AS310" t="s">
        <v>236</v>
      </c>
      <c r="AT310" t="s">
        <v>145</v>
      </c>
      <c r="AU310">
        <v>12</v>
      </c>
      <c r="AV310">
        <v>1</v>
      </c>
      <c r="AW310" t="s">
        <v>432</v>
      </c>
      <c r="AX310" t="s">
        <v>221</v>
      </c>
      <c r="AY310" t="s">
        <v>224</v>
      </c>
      <c r="AZ310">
        <v>1</v>
      </c>
      <c r="BA310" t="s">
        <v>435</v>
      </c>
      <c r="BB310" t="s">
        <v>431</v>
      </c>
      <c r="BC310" t="s">
        <v>419</v>
      </c>
      <c r="BD310" t="s">
        <v>522</v>
      </c>
      <c r="BE310" t="s">
        <v>437</v>
      </c>
      <c r="BF310" t="s">
        <v>530</v>
      </c>
      <c r="BG310" t="s">
        <v>531</v>
      </c>
      <c r="BH310" t="s">
        <v>420</v>
      </c>
      <c r="BI310" t="s">
        <v>534</v>
      </c>
      <c r="BJ310" t="s">
        <v>68</v>
      </c>
      <c r="BK310" t="s">
        <v>236</v>
      </c>
      <c r="BL310" t="s">
        <v>236</v>
      </c>
      <c r="BM310" t="s">
        <v>236</v>
      </c>
      <c r="BN310" t="s">
        <v>68</v>
      </c>
      <c r="BO310" t="s">
        <v>236</v>
      </c>
      <c r="BP310" t="s">
        <v>236</v>
      </c>
      <c r="BQ310" t="s">
        <v>236</v>
      </c>
      <c r="BR310" t="s">
        <v>236</v>
      </c>
      <c r="BS310" t="s">
        <v>436</v>
      </c>
      <c r="BT310">
        <v>0</v>
      </c>
    </row>
    <row r="311" spans="1:72" x14ac:dyDescent="0.15">
      <c r="A311" s="43">
        <v>2022</v>
      </c>
      <c r="B311" s="8">
        <v>12</v>
      </c>
      <c r="C311" s="8">
        <v>1</v>
      </c>
      <c r="D311" s="8">
        <v>20</v>
      </c>
      <c r="E311" s="8" t="s">
        <v>236</v>
      </c>
      <c r="F311" s="8" t="s">
        <v>57</v>
      </c>
      <c r="G311" s="8">
        <v>2017</v>
      </c>
      <c r="H311" s="8">
        <v>12</v>
      </c>
      <c r="I311" s="8" t="s">
        <v>528</v>
      </c>
      <c r="J311" s="8" t="s">
        <v>236</v>
      </c>
      <c r="K311" s="8">
        <v>1972</v>
      </c>
      <c r="L311" s="17">
        <v>12</v>
      </c>
      <c r="M311" s="8">
        <v>1</v>
      </c>
      <c r="N311" s="8" t="s">
        <v>48</v>
      </c>
      <c r="O311" s="8" t="s">
        <v>221</v>
      </c>
      <c r="P311" s="8" t="s">
        <v>224</v>
      </c>
      <c r="Q311" s="8">
        <v>3000</v>
      </c>
      <c r="R311" s="8" t="s">
        <v>57</v>
      </c>
      <c r="S311" s="8" t="s">
        <v>52</v>
      </c>
      <c r="T311" s="8" t="s">
        <v>70</v>
      </c>
      <c r="U311" s="8" t="s">
        <v>68</v>
      </c>
      <c r="V311" s="8">
        <v>1000</v>
      </c>
      <c r="W311" s="8" t="s">
        <v>241</v>
      </c>
      <c r="X311" s="8">
        <v>5000</v>
      </c>
      <c r="Y311" s="8" t="s">
        <v>278</v>
      </c>
      <c r="Z311" s="8">
        <v>180</v>
      </c>
      <c r="AA311" s="8" t="s">
        <v>525</v>
      </c>
      <c r="AB311" s="8" t="s">
        <v>236</v>
      </c>
      <c r="AC311" s="8" t="s">
        <v>236</v>
      </c>
      <c r="AD311" s="8" t="s">
        <v>236</v>
      </c>
      <c r="AE311" s="8" t="s">
        <v>68</v>
      </c>
      <c r="AF311" s="8" t="s">
        <v>236</v>
      </c>
      <c r="AG311" s="8" t="s">
        <v>236</v>
      </c>
      <c r="AH311" s="8" t="s">
        <v>236</v>
      </c>
      <c r="AI311" s="8" t="s">
        <v>236</v>
      </c>
      <c r="AJ311" t="s">
        <v>519</v>
      </c>
      <c r="AK311">
        <v>12</v>
      </c>
      <c r="AL311">
        <v>1</v>
      </c>
      <c r="AM311" t="s">
        <v>85</v>
      </c>
      <c r="AN311" t="s">
        <v>236</v>
      </c>
      <c r="AO311" t="s">
        <v>529</v>
      </c>
      <c r="AP311" t="s">
        <v>112</v>
      </c>
      <c r="AQ311">
        <v>12</v>
      </c>
      <c r="AR311" t="s">
        <v>528</v>
      </c>
      <c r="AS311" t="s">
        <v>236</v>
      </c>
      <c r="AT311" t="s">
        <v>155</v>
      </c>
      <c r="AU311">
        <v>12</v>
      </c>
      <c r="AV311">
        <v>1</v>
      </c>
      <c r="AW311" t="s">
        <v>432</v>
      </c>
      <c r="AX311" t="s">
        <v>221</v>
      </c>
      <c r="AY311" t="s">
        <v>224</v>
      </c>
      <c r="AZ311">
        <v>1</v>
      </c>
      <c r="BA311" t="s">
        <v>435</v>
      </c>
      <c r="BB311" t="s">
        <v>431</v>
      </c>
      <c r="BC311" t="s">
        <v>419</v>
      </c>
      <c r="BD311" t="s">
        <v>522</v>
      </c>
      <c r="BE311" t="s">
        <v>437</v>
      </c>
      <c r="BF311" t="s">
        <v>530</v>
      </c>
      <c r="BG311" t="s">
        <v>531</v>
      </c>
      <c r="BH311" t="s">
        <v>420</v>
      </c>
      <c r="BI311" t="s">
        <v>534</v>
      </c>
      <c r="BJ311" t="s">
        <v>68</v>
      </c>
      <c r="BK311" t="s">
        <v>236</v>
      </c>
      <c r="BL311" t="s">
        <v>236</v>
      </c>
      <c r="BM311" t="s">
        <v>236</v>
      </c>
      <c r="BN311" t="s">
        <v>68</v>
      </c>
      <c r="BO311" t="s">
        <v>236</v>
      </c>
      <c r="BP311" t="s">
        <v>236</v>
      </c>
      <c r="BQ311" t="s">
        <v>236</v>
      </c>
      <c r="BR311" t="s">
        <v>236</v>
      </c>
      <c r="BS311" t="s">
        <v>436</v>
      </c>
      <c r="BT311">
        <v>0</v>
      </c>
    </row>
    <row r="312" spans="1:72" x14ac:dyDescent="0.15">
      <c r="A312" s="43">
        <v>2022</v>
      </c>
      <c r="B312" s="8">
        <v>12</v>
      </c>
      <c r="C312" s="8">
        <v>1</v>
      </c>
      <c r="D312" s="8">
        <v>20</v>
      </c>
      <c r="E312" s="8" t="s">
        <v>236</v>
      </c>
      <c r="F312" s="8" t="s">
        <v>57</v>
      </c>
      <c r="G312" s="8">
        <v>2017</v>
      </c>
      <c r="H312" s="8">
        <v>12</v>
      </c>
      <c r="I312" s="8" t="s">
        <v>528</v>
      </c>
      <c r="J312" s="8" t="s">
        <v>236</v>
      </c>
      <c r="K312" s="8">
        <v>1962</v>
      </c>
      <c r="L312" s="17">
        <v>12</v>
      </c>
      <c r="M312" s="8">
        <v>1</v>
      </c>
      <c r="N312" s="8" t="s">
        <v>48</v>
      </c>
      <c r="O312" s="8" t="s">
        <v>221</v>
      </c>
      <c r="P312" s="8" t="s">
        <v>224</v>
      </c>
      <c r="Q312" s="8">
        <v>3000</v>
      </c>
      <c r="R312" s="8" t="s">
        <v>57</v>
      </c>
      <c r="S312" s="8" t="s">
        <v>52</v>
      </c>
      <c r="T312" s="8" t="s">
        <v>70</v>
      </c>
      <c r="U312" s="8" t="s">
        <v>68</v>
      </c>
      <c r="V312" s="8">
        <v>1000</v>
      </c>
      <c r="W312" s="8" t="s">
        <v>241</v>
      </c>
      <c r="X312" s="8">
        <v>5000</v>
      </c>
      <c r="Y312" s="8" t="s">
        <v>278</v>
      </c>
      <c r="Z312" s="8">
        <v>180</v>
      </c>
      <c r="AA312" s="8" t="s">
        <v>525</v>
      </c>
      <c r="AB312" s="8" t="s">
        <v>236</v>
      </c>
      <c r="AC312" s="8" t="s">
        <v>236</v>
      </c>
      <c r="AD312" s="8" t="s">
        <v>236</v>
      </c>
      <c r="AE312" s="8" t="s">
        <v>68</v>
      </c>
      <c r="AF312" s="8" t="s">
        <v>236</v>
      </c>
      <c r="AG312" s="8" t="s">
        <v>236</v>
      </c>
      <c r="AH312" s="8" t="s">
        <v>236</v>
      </c>
      <c r="AI312" s="8" t="s">
        <v>236</v>
      </c>
      <c r="AJ312" t="s">
        <v>519</v>
      </c>
      <c r="AK312">
        <v>12</v>
      </c>
      <c r="AL312">
        <v>1</v>
      </c>
      <c r="AM312" t="s">
        <v>85</v>
      </c>
      <c r="AN312" t="s">
        <v>236</v>
      </c>
      <c r="AO312" t="s">
        <v>529</v>
      </c>
      <c r="AP312" t="s">
        <v>112</v>
      </c>
      <c r="AQ312">
        <v>12</v>
      </c>
      <c r="AR312" t="s">
        <v>528</v>
      </c>
      <c r="AS312" t="s">
        <v>236</v>
      </c>
      <c r="AT312" t="s">
        <v>165</v>
      </c>
      <c r="AU312">
        <v>12</v>
      </c>
      <c r="AV312">
        <v>1</v>
      </c>
      <c r="AW312" t="s">
        <v>432</v>
      </c>
      <c r="AX312" t="s">
        <v>221</v>
      </c>
      <c r="AY312" t="s">
        <v>224</v>
      </c>
      <c r="AZ312">
        <v>1</v>
      </c>
      <c r="BA312" t="s">
        <v>435</v>
      </c>
      <c r="BB312" t="s">
        <v>431</v>
      </c>
      <c r="BC312" t="s">
        <v>419</v>
      </c>
      <c r="BD312" t="s">
        <v>522</v>
      </c>
      <c r="BE312" t="s">
        <v>437</v>
      </c>
      <c r="BF312" t="s">
        <v>530</v>
      </c>
      <c r="BG312" t="s">
        <v>531</v>
      </c>
      <c r="BH312" t="s">
        <v>420</v>
      </c>
      <c r="BI312" t="s">
        <v>534</v>
      </c>
      <c r="BJ312" t="s">
        <v>68</v>
      </c>
      <c r="BK312" t="s">
        <v>236</v>
      </c>
      <c r="BL312" t="s">
        <v>236</v>
      </c>
      <c r="BM312" t="s">
        <v>236</v>
      </c>
      <c r="BN312" t="s">
        <v>68</v>
      </c>
      <c r="BO312" t="s">
        <v>236</v>
      </c>
      <c r="BP312" t="s">
        <v>236</v>
      </c>
      <c r="BQ312" t="s">
        <v>236</v>
      </c>
      <c r="BR312" t="s">
        <v>236</v>
      </c>
      <c r="BS312" t="s">
        <v>436</v>
      </c>
      <c r="BT312">
        <v>0</v>
      </c>
    </row>
  </sheetData>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ヘンスウチ!$E$3:$E$24</xm:f>
          </x14:formula1>
          <xm:sqref>D2:D49</xm:sqref>
        </x14:dataValidation>
        <x14:dataValidation type="list" allowBlank="1" showInputMessage="1" showErrorMessage="1">
          <x14:formula1>
            <xm:f>ヘンスウチ!$K$38:$K$39</xm:f>
          </x14:formula1>
          <xm:sqref>E2:E49</xm:sqref>
        </x14:dataValidation>
        <x14:dataValidation type="list" allowBlank="1" showInputMessage="1" showErrorMessage="1">
          <x14:formula1>
            <xm:f>ヘンスウチ!$H$12:$H$15</xm:f>
          </x14:formula1>
          <xm:sqref>F2:F49</xm:sqref>
        </x14:dataValidation>
        <x14:dataValidation type="list" allowBlank="1" showInputMessage="1" showErrorMessage="1">
          <x14:formula1>
            <xm:f>ヘンスウチ!$H$3:$H$9</xm:f>
          </x14:formula1>
          <xm:sqref>N2:N49</xm:sqref>
        </x14:dataValidation>
        <x14:dataValidation type="list" allowBlank="1" showInputMessage="1" showErrorMessage="1">
          <x14:formula1>
            <xm:f>ヘンスウチ!$E$27:$E$56</xm:f>
          </x14:formula1>
          <xm:sqref>Q2:Q49</xm:sqref>
        </x14:dataValidation>
        <x14:dataValidation type="list" allowBlank="1" showInputMessage="1" showErrorMessage="1">
          <x14:formula1>
            <xm:f>ヘンスウチ!$H$23:$H$26</xm:f>
          </x14:formula1>
          <xm:sqref>R2:R49</xm:sqref>
        </x14:dataValidation>
        <x14:dataValidation type="list" allowBlank="1" showInputMessage="1" showErrorMessage="1">
          <x14:formula1>
            <xm:f>ヘンスウチ!$H$18:$H$20</xm:f>
          </x14:formula1>
          <xm:sqref>S2:S49</xm:sqref>
        </x14:dataValidation>
        <x14:dataValidation type="list" allowBlank="1" showInputMessage="1" showErrorMessage="1">
          <x14:formula1>
            <xm:f>ヘンスウチ!$K$14:$K$19</xm:f>
          </x14:formula1>
          <xm:sqref>T2:T49</xm:sqref>
        </x14:dataValidation>
        <x14:dataValidation type="list" allowBlank="1" showInputMessage="1" showErrorMessage="1">
          <x14:formula1>
            <xm:f>ヘンスウチ!$K$38:$K$40</xm:f>
          </x14:formula1>
          <xm:sqref>U2:U49</xm:sqref>
        </x14:dataValidation>
        <x14:dataValidation type="list" allowBlank="1" showInputMessage="1" showErrorMessage="1">
          <x14:formula1>
            <xm:f>ヘンスウチ!$K$22:$K$24</xm:f>
          </x14:formula1>
          <xm:sqref>V2:V49</xm:sqref>
        </x14:dataValidation>
        <x14:dataValidation type="list" allowBlank="1" showInputMessage="1" showErrorMessage="1">
          <x14:formula1>
            <xm:f>ヘンスウチ!$K$64:$K$65</xm:f>
          </x14:formula1>
          <xm:sqref>W2:W49</xm:sqref>
        </x14:dataValidation>
        <x14:dataValidation type="list" allowBlank="1" showInputMessage="1" showErrorMessage="1">
          <x14:formula1>
            <xm:f>ヘンスウチ!$K$27:$K$35</xm:f>
          </x14:formula1>
          <xm:sqref>X2:X49</xm:sqref>
        </x14:dataValidation>
        <x14:dataValidation type="list" allowBlank="1" showInputMessage="1" showErrorMessage="1">
          <x14:formula1>
            <xm:f>ヘンスウチ!$K$4:$K$6</xm:f>
          </x14:formula1>
          <xm:sqref>Y2:Y49</xm:sqref>
        </x14:dataValidation>
        <x14:dataValidation type="list" allowBlank="1" showInputMessage="1" showErrorMessage="1">
          <x14:formula1>
            <xm:f>ヘンスウチ!$K$9:$K$11</xm:f>
          </x14:formula1>
          <xm:sqref>AA2:AA49</xm:sqref>
        </x14:dataValidation>
        <x14:dataValidation type="list" allowBlank="1" showInputMessage="1" showErrorMessage="1">
          <x14:formula1>
            <xm:f>ヘンスウチ!$K$43:$K$49</xm:f>
          </x14:formula1>
          <xm:sqref>AB2:AB49</xm:sqref>
        </x14:dataValidation>
        <x14:dataValidation type="list" allowBlank="1" showInputMessage="1" showErrorMessage="1">
          <x14:formula1>
            <xm:f>ヘンスウチ!$K$52:$K$55</xm:f>
          </x14:formula1>
          <xm:sqref>AG2:AG49</xm:sqref>
        </x14:dataValidation>
        <x14:dataValidation type="list" allowBlank="1" showInputMessage="1" showErrorMessage="1">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2:L166"/>
  <sheetViews>
    <sheetView topLeftCell="A52" zoomScale="70" zoomScaleNormal="70" workbookViewId="0">
      <selection activeCell="G68" sqref="G68"/>
    </sheetView>
  </sheetViews>
  <sheetFormatPr defaultRowHeight="13.5" x14ac:dyDescent="0.15"/>
  <cols>
    <col min="1" max="1" width="4.375" customWidth="1"/>
    <col min="2" max="3" width="14.375" customWidth="1"/>
    <col min="9" max="9" width="23" customWidth="1"/>
    <col min="10" max="10" width="5.625" customWidth="1"/>
    <col min="11" max="11" width="22.625" customWidth="1"/>
    <col min="12" max="12" width="22.125" customWidth="1"/>
  </cols>
  <sheetData>
    <row r="2" spans="2:12" x14ac:dyDescent="0.15">
      <c r="B2" s="10" t="s">
        <v>2</v>
      </c>
      <c r="C2" s="10" t="s">
        <v>3</v>
      </c>
      <c r="E2" s="10" t="s">
        <v>37</v>
      </c>
      <c r="F2" s="10" t="s">
        <v>3</v>
      </c>
      <c r="H2" s="10" t="s">
        <v>43</v>
      </c>
      <c r="I2" s="10" t="s">
        <v>3</v>
      </c>
    </row>
    <row r="3" spans="2:12" x14ac:dyDescent="0.15">
      <c r="B3" s="11">
        <v>2018</v>
      </c>
      <c r="C3" s="12" t="s">
        <v>80</v>
      </c>
      <c r="E3" s="14">
        <v>20</v>
      </c>
      <c r="F3" s="12" t="s">
        <v>85</v>
      </c>
      <c r="H3" s="11" t="s">
        <v>44</v>
      </c>
      <c r="I3" s="12" t="s">
        <v>44</v>
      </c>
      <c r="K3" s="18" t="s">
        <v>67</v>
      </c>
      <c r="L3" s="10" t="s">
        <v>282</v>
      </c>
    </row>
    <row r="4" spans="2:12" x14ac:dyDescent="0.15">
      <c r="B4" s="11">
        <v>2019</v>
      </c>
      <c r="C4" s="12" t="s">
        <v>361</v>
      </c>
      <c r="E4" s="14">
        <v>19</v>
      </c>
      <c r="F4" s="12" t="s">
        <v>86</v>
      </c>
      <c r="H4" s="11" t="s">
        <v>45</v>
      </c>
      <c r="I4" s="12" t="s">
        <v>214</v>
      </c>
      <c r="K4" s="11" t="s">
        <v>279</v>
      </c>
      <c r="L4" s="1" t="s">
        <v>283</v>
      </c>
    </row>
    <row r="5" spans="2:12" x14ac:dyDescent="0.15">
      <c r="B5" s="11">
        <v>2020</v>
      </c>
      <c r="C5" s="12" t="s">
        <v>362</v>
      </c>
      <c r="E5" s="14">
        <v>18</v>
      </c>
      <c r="F5" s="12" t="s">
        <v>87</v>
      </c>
      <c r="H5" s="11" t="s">
        <v>48</v>
      </c>
      <c r="I5" s="12" t="s">
        <v>215</v>
      </c>
      <c r="K5" s="11" t="s">
        <v>280</v>
      </c>
      <c r="L5" s="1" t="s">
        <v>284</v>
      </c>
    </row>
    <row r="6" spans="2:12" x14ac:dyDescent="0.15">
      <c r="B6" s="11">
        <v>2021</v>
      </c>
      <c r="C6" s="12" t="s">
        <v>363</v>
      </c>
      <c r="E6" s="14">
        <v>17</v>
      </c>
      <c r="F6" s="12" t="s">
        <v>88</v>
      </c>
      <c r="H6" s="11" t="s">
        <v>50</v>
      </c>
      <c r="I6" s="12" t="s">
        <v>216</v>
      </c>
      <c r="K6" s="11" t="s">
        <v>281</v>
      </c>
      <c r="L6" s="1" t="s">
        <v>285</v>
      </c>
    </row>
    <row r="7" spans="2:12" x14ac:dyDescent="0.15">
      <c r="B7" s="11">
        <v>2022</v>
      </c>
      <c r="C7" s="12" t="s">
        <v>364</v>
      </c>
      <c r="E7" s="14">
        <v>16</v>
      </c>
      <c r="F7" s="12" t="s">
        <v>89</v>
      </c>
      <c r="H7" s="11" t="s">
        <v>49</v>
      </c>
      <c r="I7" s="12" t="s">
        <v>217</v>
      </c>
    </row>
    <row r="8" spans="2:12" x14ac:dyDescent="0.15">
      <c r="B8" s="11">
        <v>2023</v>
      </c>
      <c r="C8" s="12" t="s">
        <v>365</v>
      </c>
      <c r="E8" s="14">
        <v>15</v>
      </c>
      <c r="F8" s="12" t="s">
        <v>90</v>
      </c>
      <c r="H8" s="11" t="s">
        <v>47</v>
      </c>
      <c r="I8" s="12" t="s">
        <v>218</v>
      </c>
      <c r="K8" s="10" t="s">
        <v>65</v>
      </c>
    </row>
    <row r="9" spans="2:12" x14ac:dyDescent="0.15">
      <c r="B9" s="11">
        <v>2024</v>
      </c>
      <c r="C9" s="12" t="s">
        <v>366</v>
      </c>
      <c r="E9" s="14">
        <v>14</v>
      </c>
      <c r="F9" s="12" t="s">
        <v>91</v>
      </c>
      <c r="H9" s="11" t="s">
        <v>46</v>
      </c>
      <c r="I9" s="12" t="s">
        <v>219</v>
      </c>
      <c r="K9" s="11" t="s">
        <v>287</v>
      </c>
      <c r="L9" s="1" t="s">
        <v>68</v>
      </c>
    </row>
    <row r="10" spans="2:12" x14ac:dyDescent="0.15">
      <c r="E10" s="14">
        <v>13</v>
      </c>
      <c r="F10" s="12" t="s">
        <v>92</v>
      </c>
      <c r="K10" s="11" t="s">
        <v>286</v>
      </c>
      <c r="L10" s="1" t="s">
        <v>286</v>
      </c>
    </row>
    <row r="11" spans="2:12" x14ac:dyDescent="0.15">
      <c r="B11" s="10" t="s">
        <v>4</v>
      </c>
      <c r="C11" s="10" t="s">
        <v>3</v>
      </c>
      <c r="E11" s="14">
        <v>12</v>
      </c>
      <c r="F11" s="12" t="s">
        <v>93</v>
      </c>
      <c r="H11" s="10" t="s">
        <v>55</v>
      </c>
      <c r="I11" s="10" t="s">
        <v>56</v>
      </c>
      <c r="K11" s="11" t="s">
        <v>288</v>
      </c>
      <c r="L11" s="1" t="s">
        <v>236</v>
      </c>
    </row>
    <row r="12" spans="2:12" x14ac:dyDescent="0.15">
      <c r="B12" s="11">
        <v>1</v>
      </c>
      <c r="C12" s="13" t="s">
        <v>6</v>
      </c>
      <c r="E12" s="14">
        <v>11</v>
      </c>
      <c r="F12" s="12" t="s">
        <v>94</v>
      </c>
      <c r="H12" s="11" t="s">
        <v>57</v>
      </c>
      <c r="I12" s="1">
        <v>1</v>
      </c>
    </row>
    <row r="13" spans="2:12" x14ac:dyDescent="0.15">
      <c r="B13" s="11">
        <v>2</v>
      </c>
      <c r="C13" s="13" t="s">
        <v>7</v>
      </c>
      <c r="E13" s="14">
        <v>10</v>
      </c>
      <c r="F13" s="12" t="s">
        <v>95</v>
      </c>
      <c r="H13" s="11" t="s">
        <v>58</v>
      </c>
      <c r="I13" s="1">
        <v>2</v>
      </c>
      <c r="K13" s="10" t="s">
        <v>69</v>
      </c>
      <c r="L13" s="10" t="s">
        <v>71</v>
      </c>
    </row>
    <row r="14" spans="2:12" x14ac:dyDescent="0.15">
      <c r="B14" s="11">
        <v>3</v>
      </c>
      <c r="C14" s="13" t="s">
        <v>8</v>
      </c>
      <c r="E14" s="14">
        <v>9</v>
      </c>
      <c r="F14" s="12" t="s">
        <v>96</v>
      </c>
      <c r="H14" s="11" t="s">
        <v>59</v>
      </c>
      <c r="I14" s="1">
        <v>3</v>
      </c>
      <c r="K14" s="11">
        <v>500</v>
      </c>
      <c r="L14" s="12" t="s">
        <v>229</v>
      </c>
    </row>
    <row r="15" spans="2:12" x14ac:dyDescent="0.15">
      <c r="B15" s="11">
        <v>4</v>
      </c>
      <c r="C15" s="13" t="s">
        <v>9</v>
      </c>
      <c r="E15" s="14">
        <v>8</v>
      </c>
      <c r="F15" s="12" t="s">
        <v>97</v>
      </c>
      <c r="H15" s="11" t="s">
        <v>60</v>
      </c>
      <c r="I15" s="1">
        <v>4</v>
      </c>
      <c r="K15" s="11">
        <v>1000</v>
      </c>
      <c r="L15" s="12" t="s">
        <v>230</v>
      </c>
    </row>
    <row r="16" spans="2:12" x14ac:dyDescent="0.15">
      <c r="B16" s="11">
        <v>5</v>
      </c>
      <c r="C16" s="13" t="s">
        <v>10</v>
      </c>
      <c r="E16" s="14">
        <v>7</v>
      </c>
      <c r="F16" s="12" t="s">
        <v>98</v>
      </c>
      <c r="K16" s="11">
        <v>2000</v>
      </c>
      <c r="L16" s="12" t="s">
        <v>231</v>
      </c>
    </row>
    <row r="17" spans="2:12" x14ac:dyDescent="0.15">
      <c r="B17" s="11">
        <v>6</v>
      </c>
      <c r="C17" s="13" t="s">
        <v>11</v>
      </c>
      <c r="E17" s="14">
        <v>6</v>
      </c>
      <c r="F17" s="12" t="s">
        <v>99</v>
      </c>
      <c r="H17" s="10" t="s">
        <v>63</v>
      </c>
      <c r="I17" s="10" t="s">
        <v>42</v>
      </c>
      <c r="K17" s="11">
        <v>3000</v>
      </c>
      <c r="L17" s="12" t="s">
        <v>232</v>
      </c>
    </row>
    <row r="18" spans="2:12" x14ac:dyDescent="0.15">
      <c r="B18" s="11">
        <v>7</v>
      </c>
      <c r="C18" s="13" t="s">
        <v>12</v>
      </c>
      <c r="E18" s="14">
        <v>5</v>
      </c>
      <c r="F18" s="12" t="s">
        <v>100</v>
      </c>
      <c r="H18" s="11" t="s">
        <v>52</v>
      </c>
      <c r="I18" s="1" t="s">
        <v>266</v>
      </c>
      <c r="K18" s="11">
        <v>5000</v>
      </c>
      <c r="L18" s="12" t="s">
        <v>233</v>
      </c>
    </row>
    <row r="19" spans="2:12" x14ac:dyDescent="0.15">
      <c r="B19" s="11">
        <v>8</v>
      </c>
      <c r="C19" s="13" t="s">
        <v>13</v>
      </c>
      <c r="E19" s="14">
        <v>4</v>
      </c>
      <c r="F19" s="12" t="s">
        <v>101</v>
      </c>
      <c r="H19" s="11" t="s">
        <v>53</v>
      </c>
      <c r="I19" s="1" t="s">
        <v>53</v>
      </c>
      <c r="K19" s="11" t="s">
        <v>70</v>
      </c>
      <c r="L19" s="12" t="s">
        <v>70</v>
      </c>
    </row>
    <row r="20" spans="2:12" x14ac:dyDescent="0.15">
      <c r="B20" s="11">
        <v>9</v>
      </c>
      <c r="C20" s="13" t="s">
        <v>14</v>
      </c>
      <c r="E20" s="14">
        <v>3</v>
      </c>
      <c r="F20" s="12" t="s">
        <v>102</v>
      </c>
      <c r="H20" s="11" t="s">
        <v>54</v>
      </c>
      <c r="I20" s="1" t="s">
        <v>267</v>
      </c>
    </row>
    <row r="21" spans="2:12" x14ac:dyDescent="0.15">
      <c r="B21" s="11">
        <v>10</v>
      </c>
      <c r="C21" s="13" t="s">
        <v>15</v>
      </c>
      <c r="E21" s="14">
        <v>2</v>
      </c>
      <c r="F21" s="12" t="s">
        <v>103</v>
      </c>
      <c r="K21" s="10" t="s">
        <v>72</v>
      </c>
      <c r="L21" s="10" t="s">
        <v>73</v>
      </c>
    </row>
    <row r="22" spans="2:12" x14ac:dyDescent="0.15">
      <c r="B22" s="11">
        <v>11</v>
      </c>
      <c r="C22" s="13" t="s">
        <v>16</v>
      </c>
      <c r="E22" s="14">
        <v>1</v>
      </c>
      <c r="F22" s="12" t="s">
        <v>103</v>
      </c>
      <c r="H22" s="10" t="s">
        <v>64</v>
      </c>
      <c r="I22" s="10" t="s">
        <v>56</v>
      </c>
      <c r="K22" s="11">
        <v>500</v>
      </c>
      <c r="L22" s="12" t="s">
        <v>229</v>
      </c>
    </row>
    <row r="23" spans="2:12" x14ac:dyDescent="0.15">
      <c r="B23" s="11">
        <v>12</v>
      </c>
      <c r="C23" s="13" t="s">
        <v>17</v>
      </c>
      <c r="E23" s="11" t="s">
        <v>38</v>
      </c>
      <c r="F23" s="12" t="s">
        <v>38</v>
      </c>
      <c r="H23" s="11" t="s">
        <v>57</v>
      </c>
      <c r="I23" s="1" t="s">
        <v>107</v>
      </c>
      <c r="K23" s="11">
        <v>1000</v>
      </c>
      <c r="L23" s="12" t="s">
        <v>230</v>
      </c>
    </row>
    <row r="24" spans="2:12" x14ac:dyDescent="0.15">
      <c r="E24" s="11" t="s">
        <v>39</v>
      </c>
      <c r="F24" s="12" t="s">
        <v>39</v>
      </c>
      <c r="H24" s="11" t="s">
        <v>58</v>
      </c>
      <c r="I24" s="1" t="s">
        <v>106</v>
      </c>
      <c r="K24" s="11">
        <v>2000</v>
      </c>
      <c r="L24" s="12" t="s">
        <v>231</v>
      </c>
    </row>
    <row r="25" spans="2:12" x14ac:dyDescent="0.15">
      <c r="B25" s="10" t="s">
        <v>5</v>
      </c>
      <c r="C25" s="10" t="s">
        <v>3</v>
      </c>
      <c r="H25" s="11" t="s">
        <v>59</v>
      </c>
      <c r="I25" s="1" t="s">
        <v>105</v>
      </c>
    </row>
    <row r="26" spans="2:12" x14ac:dyDescent="0.15">
      <c r="B26" s="11">
        <v>1</v>
      </c>
      <c r="C26" s="13" t="s">
        <v>6</v>
      </c>
      <c r="E26" s="10" t="s">
        <v>41</v>
      </c>
      <c r="F26" s="10" t="s">
        <v>42</v>
      </c>
      <c r="H26" s="11" t="s">
        <v>60</v>
      </c>
      <c r="I26" s="1" t="s">
        <v>417</v>
      </c>
      <c r="K26" s="10" t="s">
        <v>74</v>
      </c>
      <c r="L26" s="10" t="s">
        <v>75</v>
      </c>
    </row>
    <row r="27" spans="2:12" x14ac:dyDescent="0.15">
      <c r="B27" s="11">
        <v>2</v>
      </c>
      <c r="C27" s="13" t="s">
        <v>7</v>
      </c>
      <c r="E27" s="14">
        <v>1000</v>
      </c>
      <c r="F27" s="1">
        <v>1</v>
      </c>
      <c r="K27" s="11">
        <v>3000</v>
      </c>
      <c r="L27" s="12" t="s">
        <v>232</v>
      </c>
    </row>
    <row r="28" spans="2:12" x14ac:dyDescent="0.15">
      <c r="B28" s="11">
        <v>3</v>
      </c>
      <c r="C28" s="13" t="s">
        <v>8</v>
      </c>
      <c r="E28" s="14">
        <f>E27+1000</f>
        <v>2000</v>
      </c>
      <c r="F28" s="1">
        <v>1</v>
      </c>
      <c r="H28" s="10" t="s">
        <v>268</v>
      </c>
      <c r="I28" s="10" t="s">
        <v>42</v>
      </c>
      <c r="K28" s="11">
        <v>4000</v>
      </c>
      <c r="L28" s="12" t="s">
        <v>243</v>
      </c>
    </row>
    <row r="29" spans="2:12" x14ac:dyDescent="0.15">
      <c r="B29" s="11">
        <v>4</v>
      </c>
      <c r="C29" s="13" t="s">
        <v>9</v>
      </c>
      <c r="E29" s="14">
        <f t="shared" ref="E29:E56" si="0">E28+1000</f>
        <v>3000</v>
      </c>
      <c r="F29" s="1">
        <v>1</v>
      </c>
      <c r="H29" s="11" t="s">
        <v>57</v>
      </c>
      <c r="I29" s="1" t="s">
        <v>269</v>
      </c>
      <c r="K29" s="11">
        <v>5000</v>
      </c>
      <c r="L29" s="12" t="s">
        <v>233</v>
      </c>
    </row>
    <row r="30" spans="2:12" x14ac:dyDescent="0.15">
      <c r="B30" s="11">
        <v>5</v>
      </c>
      <c r="C30" s="13" t="s">
        <v>10</v>
      </c>
      <c r="E30" s="14">
        <f t="shared" si="0"/>
        <v>4000</v>
      </c>
      <c r="F30" s="2">
        <v>2</v>
      </c>
      <c r="H30" s="11" t="s">
        <v>58</v>
      </c>
      <c r="I30" s="1" t="s">
        <v>106</v>
      </c>
      <c r="K30" s="11">
        <v>6000</v>
      </c>
      <c r="L30" s="12" t="s">
        <v>244</v>
      </c>
    </row>
    <row r="31" spans="2:12" x14ac:dyDescent="0.15">
      <c r="B31" s="11">
        <v>6</v>
      </c>
      <c r="C31" s="13" t="s">
        <v>11</v>
      </c>
      <c r="E31" s="14">
        <f t="shared" si="0"/>
        <v>5000</v>
      </c>
      <c r="F31" s="2">
        <v>2</v>
      </c>
      <c r="H31" s="11" t="s">
        <v>59</v>
      </c>
      <c r="I31" s="1" t="s">
        <v>105</v>
      </c>
      <c r="K31" s="11">
        <v>7000</v>
      </c>
      <c r="L31" s="12" t="s">
        <v>245</v>
      </c>
    </row>
    <row r="32" spans="2:12" x14ac:dyDescent="0.15">
      <c r="B32" s="11">
        <v>7</v>
      </c>
      <c r="C32" s="13" t="s">
        <v>12</v>
      </c>
      <c r="E32" s="14">
        <f t="shared" si="0"/>
        <v>6000</v>
      </c>
      <c r="F32" s="2">
        <v>3</v>
      </c>
      <c r="H32" s="11" t="s">
        <v>60</v>
      </c>
      <c r="I32" s="1" t="s">
        <v>418</v>
      </c>
      <c r="K32" s="11">
        <v>8000</v>
      </c>
      <c r="L32" s="12" t="s">
        <v>246</v>
      </c>
    </row>
    <row r="33" spans="2:12" x14ac:dyDescent="0.15">
      <c r="B33" s="11">
        <v>8</v>
      </c>
      <c r="C33" s="13" t="s">
        <v>13</v>
      </c>
      <c r="E33" s="14">
        <f t="shared" si="0"/>
        <v>7000</v>
      </c>
      <c r="F33" s="2">
        <v>3</v>
      </c>
      <c r="K33" s="11">
        <v>9000</v>
      </c>
      <c r="L33" s="12" t="s">
        <v>247</v>
      </c>
    </row>
    <row r="34" spans="2:12" x14ac:dyDescent="0.15">
      <c r="B34" s="11">
        <v>9</v>
      </c>
      <c r="C34" s="13" t="s">
        <v>14</v>
      </c>
      <c r="E34" s="14">
        <f t="shared" si="0"/>
        <v>8000</v>
      </c>
      <c r="F34" s="2">
        <v>3</v>
      </c>
      <c r="K34" s="11">
        <v>10000</v>
      </c>
      <c r="L34" s="12" t="s">
        <v>242</v>
      </c>
    </row>
    <row r="35" spans="2:12" x14ac:dyDescent="0.15">
      <c r="B35" s="11">
        <v>10</v>
      </c>
      <c r="C35" s="13" t="s">
        <v>15</v>
      </c>
      <c r="E35" s="14">
        <f t="shared" si="0"/>
        <v>9000</v>
      </c>
      <c r="F35" s="2">
        <v>3</v>
      </c>
      <c r="K35" s="11" t="s">
        <v>70</v>
      </c>
      <c r="L35" s="12" t="s">
        <v>70</v>
      </c>
    </row>
    <row r="36" spans="2:12" x14ac:dyDescent="0.15">
      <c r="B36" s="11">
        <v>11</v>
      </c>
      <c r="C36" s="13" t="s">
        <v>16</v>
      </c>
      <c r="E36" s="14">
        <f t="shared" si="0"/>
        <v>10000</v>
      </c>
      <c r="F36" s="2">
        <v>3</v>
      </c>
    </row>
    <row r="37" spans="2:12" x14ac:dyDescent="0.15">
      <c r="B37" s="11">
        <v>12</v>
      </c>
      <c r="C37" s="13" t="s">
        <v>17</v>
      </c>
      <c r="E37" s="14">
        <f t="shared" si="0"/>
        <v>11000</v>
      </c>
      <c r="F37" s="2">
        <v>4</v>
      </c>
      <c r="K37" s="10" t="s">
        <v>234</v>
      </c>
      <c r="L37" s="10" t="s">
        <v>235</v>
      </c>
    </row>
    <row r="38" spans="2:12" x14ac:dyDescent="0.15">
      <c r="B38" s="11">
        <v>13</v>
      </c>
      <c r="C38" s="13" t="s">
        <v>18</v>
      </c>
      <c r="E38" s="14">
        <f t="shared" si="0"/>
        <v>12000</v>
      </c>
      <c r="F38" s="2">
        <v>4</v>
      </c>
      <c r="K38" s="11" t="s">
        <v>40</v>
      </c>
      <c r="L38" s="12" t="s">
        <v>40</v>
      </c>
    </row>
    <row r="39" spans="2:12" x14ac:dyDescent="0.15">
      <c r="B39" s="11">
        <v>14</v>
      </c>
      <c r="C39" s="13" t="s">
        <v>19</v>
      </c>
      <c r="E39" s="14">
        <f t="shared" si="0"/>
        <v>13000</v>
      </c>
      <c r="F39" s="2">
        <v>4</v>
      </c>
      <c r="K39" s="11" t="s">
        <v>66</v>
      </c>
      <c r="L39" s="12" t="s">
        <v>237</v>
      </c>
    </row>
    <row r="40" spans="2:12" x14ac:dyDescent="0.15">
      <c r="B40" s="11">
        <v>15</v>
      </c>
      <c r="C40" s="13" t="s">
        <v>20</v>
      </c>
      <c r="E40" s="14">
        <f t="shared" si="0"/>
        <v>14000</v>
      </c>
      <c r="F40" s="2">
        <v>4</v>
      </c>
      <c r="K40" s="11" t="s">
        <v>70</v>
      </c>
      <c r="L40" s="12" t="s">
        <v>70</v>
      </c>
    </row>
    <row r="41" spans="2:12" x14ac:dyDescent="0.15">
      <c r="B41" s="11">
        <v>16</v>
      </c>
      <c r="C41" s="13" t="s">
        <v>21</v>
      </c>
      <c r="E41" s="14">
        <f t="shared" si="0"/>
        <v>15000</v>
      </c>
      <c r="F41" s="2">
        <v>4</v>
      </c>
    </row>
    <row r="42" spans="2:12" x14ac:dyDescent="0.15">
      <c r="B42" s="11">
        <v>17</v>
      </c>
      <c r="C42" s="13" t="s">
        <v>22</v>
      </c>
      <c r="E42" s="14">
        <f t="shared" si="0"/>
        <v>16000</v>
      </c>
      <c r="F42" s="2">
        <v>5</v>
      </c>
      <c r="K42" s="10" t="s">
        <v>250</v>
      </c>
    </row>
    <row r="43" spans="2:12" x14ac:dyDescent="0.15">
      <c r="B43" s="11">
        <v>18</v>
      </c>
      <c r="C43" s="13" t="s">
        <v>23</v>
      </c>
      <c r="E43" s="14">
        <f t="shared" si="0"/>
        <v>17000</v>
      </c>
      <c r="F43" s="2">
        <v>5</v>
      </c>
      <c r="K43" s="11" t="s">
        <v>40</v>
      </c>
    </row>
    <row r="44" spans="2:12" x14ac:dyDescent="0.15">
      <c r="B44" s="11">
        <v>19</v>
      </c>
      <c r="C44" s="13" t="s">
        <v>24</v>
      </c>
      <c r="E44" s="14">
        <f t="shared" si="0"/>
        <v>18000</v>
      </c>
      <c r="F44" s="2">
        <v>5</v>
      </c>
      <c r="K44" s="11" t="s">
        <v>251</v>
      </c>
    </row>
    <row r="45" spans="2:12" x14ac:dyDescent="0.15">
      <c r="B45" s="11">
        <v>20</v>
      </c>
      <c r="C45" s="13" t="s">
        <v>25</v>
      </c>
      <c r="E45" s="14">
        <f t="shared" si="0"/>
        <v>19000</v>
      </c>
      <c r="F45" s="2">
        <v>5</v>
      </c>
      <c r="K45" s="11" t="s">
        <v>252</v>
      </c>
    </row>
    <row r="46" spans="2:12" x14ac:dyDescent="0.15">
      <c r="B46" s="11">
        <v>21</v>
      </c>
      <c r="C46" s="13" t="s">
        <v>26</v>
      </c>
      <c r="E46" s="14">
        <f t="shared" si="0"/>
        <v>20000</v>
      </c>
      <c r="F46" s="2">
        <v>5</v>
      </c>
      <c r="K46" s="11" t="s">
        <v>253</v>
      </c>
    </row>
    <row r="47" spans="2:12" x14ac:dyDescent="0.15">
      <c r="B47" s="11">
        <v>22</v>
      </c>
      <c r="C47" s="13" t="s">
        <v>27</v>
      </c>
      <c r="E47" s="14">
        <f t="shared" si="0"/>
        <v>21000</v>
      </c>
      <c r="F47" s="2">
        <v>5</v>
      </c>
      <c r="K47" s="11" t="s">
        <v>254</v>
      </c>
    </row>
    <row r="48" spans="2:12" x14ac:dyDescent="0.15">
      <c r="B48" s="11">
        <v>23</v>
      </c>
      <c r="C48" s="13" t="s">
        <v>28</v>
      </c>
      <c r="E48" s="14">
        <f t="shared" si="0"/>
        <v>22000</v>
      </c>
      <c r="F48" s="2">
        <v>5</v>
      </c>
      <c r="K48" s="11" t="s">
        <v>255</v>
      </c>
    </row>
    <row r="49" spans="2:12" x14ac:dyDescent="0.15">
      <c r="B49" s="11">
        <v>24</v>
      </c>
      <c r="C49" s="13" t="s">
        <v>29</v>
      </c>
      <c r="E49" s="14">
        <f t="shared" si="0"/>
        <v>23000</v>
      </c>
      <c r="F49" s="2">
        <v>5</v>
      </c>
      <c r="K49" s="11" t="s">
        <v>256</v>
      </c>
    </row>
    <row r="50" spans="2:12" x14ac:dyDescent="0.15">
      <c r="B50" s="11">
        <v>25</v>
      </c>
      <c r="C50" s="13" t="s">
        <v>30</v>
      </c>
      <c r="E50" s="14">
        <f t="shared" si="0"/>
        <v>24000</v>
      </c>
      <c r="F50" s="2">
        <v>5</v>
      </c>
    </row>
    <row r="51" spans="2:12" x14ac:dyDescent="0.15">
      <c r="B51" s="11">
        <v>26</v>
      </c>
      <c r="C51" s="13" t="s">
        <v>31</v>
      </c>
      <c r="E51" s="14">
        <f t="shared" si="0"/>
        <v>25000</v>
      </c>
      <c r="F51" s="2">
        <v>5</v>
      </c>
      <c r="K51" s="10" t="s">
        <v>270</v>
      </c>
      <c r="L51" s="10" t="s">
        <v>271</v>
      </c>
    </row>
    <row r="52" spans="2:12" x14ac:dyDescent="0.15">
      <c r="B52" s="11">
        <v>27</v>
      </c>
      <c r="C52" s="13" t="s">
        <v>32</v>
      </c>
      <c r="E52" s="14">
        <f t="shared" si="0"/>
        <v>26000</v>
      </c>
      <c r="F52" s="2">
        <v>5</v>
      </c>
      <c r="K52" s="11" t="s">
        <v>40</v>
      </c>
      <c r="L52" s="12" t="s">
        <v>40</v>
      </c>
    </row>
    <row r="53" spans="2:12" x14ac:dyDescent="0.15">
      <c r="B53" s="11">
        <v>28</v>
      </c>
      <c r="C53" s="13" t="s">
        <v>33</v>
      </c>
      <c r="E53" s="14">
        <f t="shared" si="0"/>
        <v>27000</v>
      </c>
      <c r="F53" s="2">
        <v>5</v>
      </c>
      <c r="K53" s="11">
        <v>3000</v>
      </c>
      <c r="L53" s="12" t="s">
        <v>232</v>
      </c>
    </row>
    <row r="54" spans="2:12" x14ac:dyDescent="0.15">
      <c r="B54" s="11">
        <v>29</v>
      </c>
      <c r="C54" s="13" t="s">
        <v>34</v>
      </c>
      <c r="E54" s="14">
        <f t="shared" si="0"/>
        <v>28000</v>
      </c>
      <c r="F54" s="2">
        <v>5</v>
      </c>
      <c r="K54" s="11">
        <v>5000</v>
      </c>
      <c r="L54" s="12" t="s">
        <v>233</v>
      </c>
    </row>
    <row r="55" spans="2:12" x14ac:dyDescent="0.15">
      <c r="B55" s="11">
        <v>30</v>
      </c>
      <c r="C55" s="13" t="s">
        <v>35</v>
      </c>
      <c r="E55" s="14">
        <f t="shared" si="0"/>
        <v>29000</v>
      </c>
      <c r="F55" s="2">
        <v>5</v>
      </c>
      <c r="K55" s="11">
        <v>10000</v>
      </c>
      <c r="L55" s="12" t="s">
        <v>272</v>
      </c>
    </row>
    <row r="56" spans="2:12" x14ac:dyDescent="0.15">
      <c r="B56" s="11">
        <v>31</v>
      </c>
      <c r="C56" s="13" t="s">
        <v>36</v>
      </c>
      <c r="E56" s="14">
        <f t="shared" si="0"/>
        <v>30000</v>
      </c>
      <c r="F56" s="2">
        <v>5</v>
      </c>
    </row>
    <row r="57" spans="2:12" x14ac:dyDescent="0.15">
      <c r="K57" s="10" t="s">
        <v>277</v>
      </c>
      <c r="L57" s="10" t="s">
        <v>3</v>
      </c>
    </row>
    <row r="58" spans="2:12" x14ac:dyDescent="0.15">
      <c r="B58" s="10" t="s">
        <v>344</v>
      </c>
      <c r="C58" s="10" t="s">
        <v>3</v>
      </c>
      <c r="K58" s="11" t="s">
        <v>40</v>
      </c>
      <c r="L58" s="12" t="s">
        <v>40</v>
      </c>
    </row>
    <row r="59" spans="2:12" x14ac:dyDescent="0.15">
      <c r="B59" s="11">
        <v>2026</v>
      </c>
      <c r="C59" s="12" t="s">
        <v>446</v>
      </c>
      <c r="K59" s="11" t="s">
        <v>51</v>
      </c>
      <c r="L59" s="12" t="s">
        <v>274</v>
      </c>
    </row>
    <row r="60" spans="2:12" x14ac:dyDescent="0.15">
      <c r="B60" s="11">
        <f t="shared" ref="B60:B67" si="1">B59-1</f>
        <v>2025</v>
      </c>
      <c r="C60" s="12" t="s">
        <v>445</v>
      </c>
      <c r="K60" s="11" t="s">
        <v>273</v>
      </c>
      <c r="L60" s="12" t="s">
        <v>275</v>
      </c>
    </row>
    <row r="61" spans="2:12" x14ac:dyDescent="0.15">
      <c r="B61" s="11">
        <f t="shared" si="1"/>
        <v>2024</v>
      </c>
      <c r="C61" s="12" t="s">
        <v>444</v>
      </c>
      <c r="K61" s="11" t="s">
        <v>53</v>
      </c>
      <c r="L61" s="12" t="s">
        <v>276</v>
      </c>
    </row>
    <row r="62" spans="2:12" x14ac:dyDescent="0.15">
      <c r="B62" s="11">
        <f t="shared" si="1"/>
        <v>2023</v>
      </c>
      <c r="C62" s="12" t="s">
        <v>443</v>
      </c>
    </row>
    <row r="63" spans="2:12" x14ac:dyDescent="0.15">
      <c r="B63" s="11">
        <f t="shared" si="1"/>
        <v>2022</v>
      </c>
      <c r="C63" s="12" t="s">
        <v>442</v>
      </c>
      <c r="K63" s="10" t="s">
        <v>240</v>
      </c>
    </row>
    <row r="64" spans="2:12" x14ac:dyDescent="0.15">
      <c r="B64" s="11">
        <f t="shared" si="1"/>
        <v>2021</v>
      </c>
      <c r="C64" s="12" t="s">
        <v>441</v>
      </c>
      <c r="K64" s="11" t="s">
        <v>241</v>
      </c>
    </row>
    <row r="65" spans="2:11" x14ac:dyDescent="0.15">
      <c r="B65" s="11">
        <f t="shared" si="1"/>
        <v>2020</v>
      </c>
      <c r="C65" s="12" t="s">
        <v>370</v>
      </c>
      <c r="K65" s="11" t="s">
        <v>343</v>
      </c>
    </row>
    <row r="66" spans="2:11" x14ac:dyDescent="0.15">
      <c r="B66" s="11">
        <f t="shared" si="1"/>
        <v>2019</v>
      </c>
      <c r="C66" s="12" t="s">
        <v>369</v>
      </c>
    </row>
    <row r="67" spans="2:11" x14ac:dyDescent="0.15">
      <c r="B67" s="11">
        <f t="shared" si="1"/>
        <v>2018</v>
      </c>
      <c r="C67" s="12" t="s">
        <v>111</v>
      </c>
    </row>
    <row r="68" spans="2:11" x14ac:dyDescent="0.15">
      <c r="B68" s="11">
        <f t="shared" ref="B68:B130" si="2">B67-1</f>
        <v>2017</v>
      </c>
      <c r="C68" s="12" t="s">
        <v>112</v>
      </c>
    </row>
    <row r="69" spans="2:11" x14ac:dyDescent="0.15">
      <c r="B69" s="11">
        <f t="shared" si="2"/>
        <v>2016</v>
      </c>
      <c r="C69" s="12" t="s">
        <v>113</v>
      </c>
    </row>
    <row r="70" spans="2:11" x14ac:dyDescent="0.15">
      <c r="B70" s="11">
        <f t="shared" si="2"/>
        <v>2015</v>
      </c>
      <c r="C70" s="12" t="s">
        <v>114</v>
      </c>
    </row>
    <row r="71" spans="2:11" x14ac:dyDescent="0.15">
      <c r="B71" s="11">
        <f t="shared" si="2"/>
        <v>2014</v>
      </c>
      <c r="C71" s="12" t="s">
        <v>115</v>
      </c>
    </row>
    <row r="72" spans="2:11" x14ac:dyDescent="0.15">
      <c r="B72" s="11">
        <f t="shared" si="2"/>
        <v>2013</v>
      </c>
      <c r="C72" s="12" t="s">
        <v>116</v>
      </c>
    </row>
    <row r="73" spans="2:11" x14ac:dyDescent="0.15">
      <c r="B73" s="11">
        <f t="shared" si="2"/>
        <v>2012</v>
      </c>
      <c r="C73" s="12" t="s">
        <v>117</v>
      </c>
    </row>
    <row r="74" spans="2:11" x14ac:dyDescent="0.15">
      <c r="B74" s="11">
        <f t="shared" si="2"/>
        <v>2011</v>
      </c>
      <c r="C74" s="12" t="s">
        <v>118</v>
      </c>
    </row>
    <row r="75" spans="2:11" x14ac:dyDescent="0.15">
      <c r="B75" s="11">
        <f t="shared" si="2"/>
        <v>2010</v>
      </c>
      <c r="C75" s="12" t="s">
        <v>119</v>
      </c>
    </row>
    <row r="76" spans="2:11" x14ac:dyDescent="0.15">
      <c r="B76" s="11">
        <f t="shared" si="2"/>
        <v>2009</v>
      </c>
      <c r="C76" s="12" t="s">
        <v>120</v>
      </c>
    </row>
    <row r="77" spans="2:11" x14ac:dyDescent="0.15">
      <c r="B77" s="11">
        <f t="shared" si="2"/>
        <v>2008</v>
      </c>
      <c r="C77" s="12" t="s">
        <v>121</v>
      </c>
    </row>
    <row r="78" spans="2:11" x14ac:dyDescent="0.15">
      <c r="B78" s="11">
        <f t="shared" si="2"/>
        <v>2007</v>
      </c>
      <c r="C78" s="12" t="s">
        <v>122</v>
      </c>
    </row>
    <row r="79" spans="2:11" x14ac:dyDescent="0.15">
      <c r="B79" s="11">
        <f t="shared" si="2"/>
        <v>2006</v>
      </c>
      <c r="C79" s="12" t="s">
        <v>123</v>
      </c>
    </row>
    <row r="80" spans="2:11" x14ac:dyDescent="0.15">
      <c r="B80" s="11">
        <f t="shared" si="2"/>
        <v>2005</v>
      </c>
      <c r="C80" s="12" t="s">
        <v>124</v>
      </c>
    </row>
    <row r="81" spans="2:3" x14ac:dyDescent="0.15">
      <c r="B81" s="11">
        <f t="shared" si="2"/>
        <v>2004</v>
      </c>
      <c r="C81" s="12" t="s">
        <v>125</v>
      </c>
    </row>
    <row r="82" spans="2:3" x14ac:dyDescent="0.15">
      <c r="B82" s="11">
        <f t="shared" si="2"/>
        <v>2003</v>
      </c>
      <c r="C82" s="12" t="s">
        <v>126</v>
      </c>
    </row>
    <row r="83" spans="2:3" x14ac:dyDescent="0.15">
      <c r="B83" s="11">
        <f t="shared" si="2"/>
        <v>2002</v>
      </c>
      <c r="C83" s="12" t="s">
        <v>127</v>
      </c>
    </row>
    <row r="84" spans="2:3" x14ac:dyDescent="0.15">
      <c r="B84" s="11">
        <f t="shared" si="2"/>
        <v>2001</v>
      </c>
      <c r="C84" s="12" t="s">
        <v>128</v>
      </c>
    </row>
    <row r="85" spans="2:3" x14ac:dyDescent="0.15">
      <c r="B85" s="11">
        <f t="shared" si="2"/>
        <v>2000</v>
      </c>
      <c r="C85" s="12" t="s">
        <v>129</v>
      </c>
    </row>
    <row r="86" spans="2:3" x14ac:dyDescent="0.15">
      <c r="B86" s="11">
        <f t="shared" si="2"/>
        <v>1999</v>
      </c>
      <c r="C86" s="12" t="s">
        <v>130</v>
      </c>
    </row>
    <row r="87" spans="2:3" x14ac:dyDescent="0.15">
      <c r="B87" s="11">
        <f t="shared" si="2"/>
        <v>1998</v>
      </c>
      <c r="C87" s="12" t="s">
        <v>131</v>
      </c>
    </row>
    <row r="88" spans="2:3" x14ac:dyDescent="0.15">
      <c r="B88" s="11">
        <f t="shared" si="2"/>
        <v>1997</v>
      </c>
      <c r="C88" s="12" t="s">
        <v>132</v>
      </c>
    </row>
    <row r="89" spans="2:3" x14ac:dyDescent="0.15">
      <c r="B89" s="11">
        <f t="shared" si="2"/>
        <v>1996</v>
      </c>
      <c r="C89" s="12" t="s">
        <v>133</v>
      </c>
    </row>
    <row r="90" spans="2:3" x14ac:dyDescent="0.15">
      <c r="B90" s="11">
        <f t="shared" si="2"/>
        <v>1995</v>
      </c>
      <c r="C90" s="12" t="s">
        <v>134</v>
      </c>
    </row>
    <row r="91" spans="2:3" x14ac:dyDescent="0.15">
      <c r="B91" s="11">
        <f t="shared" si="2"/>
        <v>1994</v>
      </c>
      <c r="C91" s="12" t="s">
        <v>135</v>
      </c>
    </row>
    <row r="92" spans="2:3" x14ac:dyDescent="0.15">
      <c r="B92" s="11">
        <f t="shared" si="2"/>
        <v>1993</v>
      </c>
      <c r="C92" s="12" t="s">
        <v>136</v>
      </c>
    </row>
    <row r="93" spans="2:3" x14ac:dyDescent="0.15">
      <c r="B93" s="11">
        <f t="shared" si="2"/>
        <v>1992</v>
      </c>
      <c r="C93" s="12" t="s">
        <v>137</v>
      </c>
    </row>
    <row r="94" spans="2:3" x14ac:dyDescent="0.15">
      <c r="B94" s="11">
        <f t="shared" si="2"/>
        <v>1991</v>
      </c>
      <c r="C94" s="12" t="s">
        <v>138</v>
      </c>
    </row>
    <row r="95" spans="2:3" x14ac:dyDescent="0.15">
      <c r="B95" s="11">
        <f t="shared" si="2"/>
        <v>1990</v>
      </c>
      <c r="C95" s="12" t="s">
        <v>139</v>
      </c>
    </row>
    <row r="96" spans="2:3" x14ac:dyDescent="0.15">
      <c r="B96" s="11">
        <f t="shared" si="2"/>
        <v>1989</v>
      </c>
      <c r="C96" s="12" t="s">
        <v>299</v>
      </c>
    </row>
    <row r="97" spans="2:3" x14ac:dyDescent="0.15">
      <c r="B97" s="11">
        <f t="shared" si="2"/>
        <v>1988</v>
      </c>
      <c r="C97" s="12" t="s">
        <v>345</v>
      </c>
    </row>
    <row r="98" spans="2:3" x14ac:dyDescent="0.15">
      <c r="B98" s="11">
        <f t="shared" si="2"/>
        <v>1987</v>
      </c>
      <c r="C98" s="12" t="s">
        <v>140</v>
      </c>
    </row>
    <row r="99" spans="2:3" x14ac:dyDescent="0.15">
      <c r="B99" s="11">
        <f t="shared" si="2"/>
        <v>1986</v>
      </c>
      <c r="C99" s="12" t="s">
        <v>141</v>
      </c>
    </row>
    <row r="100" spans="2:3" x14ac:dyDescent="0.15">
      <c r="B100" s="11">
        <f t="shared" si="2"/>
        <v>1985</v>
      </c>
      <c r="C100" s="12" t="s">
        <v>142</v>
      </c>
    </row>
    <row r="101" spans="2:3" x14ac:dyDescent="0.15">
      <c r="B101" s="11">
        <f t="shared" si="2"/>
        <v>1984</v>
      </c>
      <c r="C101" s="12" t="s">
        <v>143</v>
      </c>
    </row>
    <row r="102" spans="2:3" x14ac:dyDescent="0.15">
      <c r="B102" s="11">
        <f t="shared" si="2"/>
        <v>1983</v>
      </c>
      <c r="C102" s="12" t="s">
        <v>144</v>
      </c>
    </row>
    <row r="103" spans="2:3" x14ac:dyDescent="0.15">
      <c r="B103" s="11">
        <f t="shared" si="2"/>
        <v>1982</v>
      </c>
      <c r="C103" s="12" t="s">
        <v>145</v>
      </c>
    </row>
    <row r="104" spans="2:3" x14ac:dyDescent="0.15">
      <c r="B104" s="11">
        <f t="shared" si="2"/>
        <v>1981</v>
      </c>
      <c r="C104" s="12" t="s">
        <v>146</v>
      </c>
    </row>
    <row r="105" spans="2:3" x14ac:dyDescent="0.15">
      <c r="B105" s="11">
        <f t="shared" si="2"/>
        <v>1980</v>
      </c>
      <c r="C105" s="12" t="s">
        <v>147</v>
      </c>
    </row>
    <row r="106" spans="2:3" x14ac:dyDescent="0.15">
      <c r="B106" s="11">
        <f t="shared" si="2"/>
        <v>1979</v>
      </c>
      <c r="C106" s="12" t="s">
        <v>148</v>
      </c>
    </row>
    <row r="107" spans="2:3" x14ac:dyDescent="0.15">
      <c r="B107" s="11">
        <f t="shared" si="2"/>
        <v>1978</v>
      </c>
      <c r="C107" s="12" t="s">
        <v>149</v>
      </c>
    </row>
    <row r="108" spans="2:3" x14ac:dyDescent="0.15">
      <c r="B108" s="11">
        <f t="shared" si="2"/>
        <v>1977</v>
      </c>
      <c r="C108" s="12" t="s">
        <v>150</v>
      </c>
    </row>
    <row r="109" spans="2:3" x14ac:dyDescent="0.15">
      <c r="B109" s="11">
        <f t="shared" si="2"/>
        <v>1976</v>
      </c>
      <c r="C109" s="12" t="s">
        <v>151</v>
      </c>
    </row>
    <row r="110" spans="2:3" x14ac:dyDescent="0.15">
      <c r="B110" s="11">
        <f t="shared" si="2"/>
        <v>1975</v>
      </c>
      <c r="C110" s="12" t="s">
        <v>152</v>
      </c>
    </row>
    <row r="111" spans="2:3" x14ac:dyDescent="0.15">
      <c r="B111" s="11">
        <f t="shared" si="2"/>
        <v>1974</v>
      </c>
      <c r="C111" s="12" t="s">
        <v>153</v>
      </c>
    </row>
    <row r="112" spans="2:3" x14ac:dyDescent="0.15">
      <c r="B112" s="11">
        <f t="shared" si="2"/>
        <v>1973</v>
      </c>
      <c r="C112" s="12" t="s">
        <v>154</v>
      </c>
    </row>
    <row r="113" spans="2:3" x14ac:dyDescent="0.15">
      <c r="B113" s="11">
        <f t="shared" si="2"/>
        <v>1972</v>
      </c>
      <c r="C113" s="12" t="s">
        <v>155</v>
      </c>
    </row>
    <row r="114" spans="2:3" x14ac:dyDescent="0.15">
      <c r="B114" s="11">
        <f t="shared" si="2"/>
        <v>1971</v>
      </c>
      <c r="C114" s="12" t="s">
        <v>156</v>
      </c>
    </row>
    <row r="115" spans="2:3" x14ac:dyDescent="0.15">
      <c r="B115" s="11">
        <f t="shared" si="2"/>
        <v>1970</v>
      </c>
      <c r="C115" s="12" t="s">
        <v>157</v>
      </c>
    </row>
    <row r="116" spans="2:3" x14ac:dyDescent="0.15">
      <c r="B116" s="11">
        <f t="shared" si="2"/>
        <v>1969</v>
      </c>
      <c r="C116" s="12" t="s">
        <v>158</v>
      </c>
    </row>
    <row r="117" spans="2:3" x14ac:dyDescent="0.15">
      <c r="B117" s="11">
        <f t="shared" si="2"/>
        <v>1968</v>
      </c>
      <c r="C117" s="12" t="s">
        <v>159</v>
      </c>
    </row>
    <row r="118" spans="2:3" x14ac:dyDescent="0.15">
      <c r="B118" s="11">
        <f t="shared" si="2"/>
        <v>1967</v>
      </c>
      <c r="C118" s="12" t="s">
        <v>160</v>
      </c>
    </row>
    <row r="119" spans="2:3" x14ac:dyDescent="0.15">
      <c r="B119" s="11">
        <f t="shared" si="2"/>
        <v>1966</v>
      </c>
      <c r="C119" s="12" t="s">
        <v>161</v>
      </c>
    </row>
    <row r="120" spans="2:3" x14ac:dyDescent="0.15">
      <c r="B120" s="11">
        <f t="shared" si="2"/>
        <v>1965</v>
      </c>
      <c r="C120" s="12" t="s">
        <v>162</v>
      </c>
    </row>
    <row r="121" spans="2:3" x14ac:dyDescent="0.15">
      <c r="B121" s="11">
        <f t="shared" si="2"/>
        <v>1964</v>
      </c>
      <c r="C121" s="12" t="s">
        <v>163</v>
      </c>
    </row>
    <row r="122" spans="2:3" x14ac:dyDescent="0.15">
      <c r="B122" s="11">
        <f t="shared" si="2"/>
        <v>1963</v>
      </c>
      <c r="C122" s="12" t="s">
        <v>164</v>
      </c>
    </row>
    <row r="123" spans="2:3" x14ac:dyDescent="0.15">
      <c r="B123" s="11">
        <f t="shared" si="2"/>
        <v>1962</v>
      </c>
      <c r="C123" s="12" t="s">
        <v>165</v>
      </c>
    </row>
    <row r="124" spans="2:3" x14ac:dyDescent="0.15">
      <c r="B124" s="11">
        <f t="shared" si="2"/>
        <v>1961</v>
      </c>
      <c r="C124" s="12" t="s">
        <v>166</v>
      </c>
    </row>
    <row r="125" spans="2:3" x14ac:dyDescent="0.15">
      <c r="B125" s="11">
        <f t="shared" si="2"/>
        <v>1960</v>
      </c>
      <c r="C125" s="12" t="s">
        <v>167</v>
      </c>
    </row>
    <row r="126" spans="2:3" x14ac:dyDescent="0.15">
      <c r="B126" s="11">
        <f t="shared" si="2"/>
        <v>1959</v>
      </c>
      <c r="C126" s="12" t="s">
        <v>168</v>
      </c>
    </row>
    <row r="127" spans="2:3" x14ac:dyDescent="0.15">
      <c r="B127" s="11">
        <f t="shared" si="2"/>
        <v>1958</v>
      </c>
      <c r="C127" s="12" t="s">
        <v>169</v>
      </c>
    </row>
    <row r="128" spans="2:3" x14ac:dyDescent="0.15">
      <c r="B128" s="11">
        <f t="shared" si="2"/>
        <v>1957</v>
      </c>
      <c r="C128" s="12" t="s">
        <v>170</v>
      </c>
    </row>
    <row r="129" spans="2:3" x14ac:dyDescent="0.15">
      <c r="B129" s="11">
        <f t="shared" si="2"/>
        <v>1956</v>
      </c>
      <c r="C129" s="12" t="s">
        <v>171</v>
      </c>
    </row>
    <row r="130" spans="2:3" x14ac:dyDescent="0.15">
      <c r="B130" s="11">
        <f t="shared" si="2"/>
        <v>1955</v>
      </c>
      <c r="C130" s="12" t="s">
        <v>172</v>
      </c>
    </row>
    <row r="131" spans="2:3" x14ac:dyDescent="0.15">
      <c r="B131" s="11">
        <f t="shared" ref="B131:B166" si="3">B130-1</f>
        <v>1954</v>
      </c>
      <c r="C131" s="12" t="s">
        <v>173</v>
      </c>
    </row>
    <row r="132" spans="2:3" x14ac:dyDescent="0.15">
      <c r="B132" s="11">
        <f t="shared" si="3"/>
        <v>1953</v>
      </c>
      <c r="C132" s="12" t="s">
        <v>174</v>
      </c>
    </row>
    <row r="133" spans="2:3" x14ac:dyDescent="0.15">
      <c r="B133" s="11">
        <f t="shared" si="3"/>
        <v>1952</v>
      </c>
      <c r="C133" s="12" t="s">
        <v>175</v>
      </c>
    </row>
    <row r="134" spans="2:3" x14ac:dyDescent="0.15">
      <c r="B134" s="11">
        <f t="shared" si="3"/>
        <v>1951</v>
      </c>
      <c r="C134" s="12" t="s">
        <v>176</v>
      </c>
    </row>
    <row r="135" spans="2:3" x14ac:dyDescent="0.15">
      <c r="B135" s="11">
        <f t="shared" si="3"/>
        <v>1950</v>
      </c>
      <c r="C135" s="12" t="s">
        <v>177</v>
      </c>
    </row>
    <row r="136" spans="2:3" x14ac:dyDescent="0.15">
      <c r="B136" s="11">
        <f t="shared" si="3"/>
        <v>1949</v>
      </c>
      <c r="C136" s="12" t="s">
        <v>178</v>
      </c>
    </row>
    <row r="137" spans="2:3" x14ac:dyDescent="0.15">
      <c r="B137" s="11">
        <f t="shared" si="3"/>
        <v>1948</v>
      </c>
      <c r="C137" s="12" t="s">
        <v>180</v>
      </c>
    </row>
    <row r="138" spans="2:3" x14ac:dyDescent="0.15">
      <c r="B138" s="11">
        <f t="shared" si="3"/>
        <v>1947</v>
      </c>
      <c r="C138" s="12" t="s">
        <v>181</v>
      </c>
    </row>
    <row r="139" spans="2:3" x14ac:dyDescent="0.15">
      <c r="B139" s="11">
        <f t="shared" si="3"/>
        <v>1946</v>
      </c>
      <c r="C139" s="12" t="s">
        <v>182</v>
      </c>
    </row>
    <row r="140" spans="2:3" x14ac:dyDescent="0.15">
      <c r="B140" s="11">
        <f t="shared" si="3"/>
        <v>1945</v>
      </c>
      <c r="C140" s="12" t="s">
        <v>183</v>
      </c>
    </row>
    <row r="141" spans="2:3" x14ac:dyDescent="0.15">
      <c r="B141" s="11">
        <f t="shared" si="3"/>
        <v>1944</v>
      </c>
      <c r="C141" s="12" t="s">
        <v>184</v>
      </c>
    </row>
    <row r="142" spans="2:3" x14ac:dyDescent="0.15">
      <c r="B142" s="11">
        <f t="shared" si="3"/>
        <v>1943</v>
      </c>
      <c r="C142" s="12" t="s">
        <v>185</v>
      </c>
    </row>
    <row r="143" spans="2:3" x14ac:dyDescent="0.15">
      <c r="B143" s="11">
        <f t="shared" si="3"/>
        <v>1942</v>
      </c>
      <c r="C143" s="12" t="s">
        <v>186</v>
      </c>
    </row>
    <row r="144" spans="2:3" x14ac:dyDescent="0.15">
      <c r="B144" s="11">
        <f t="shared" si="3"/>
        <v>1941</v>
      </c>
      <c r="C144" s="12" t="s">
        <v>187</v>
      </c>
    </row>
    <row r="145" spans="2:3" x14ac:dyDescent="0.15">
      <c r="B145" s="11">
        <f t="shared" si="3"/>
        <v>1940</v>
      </c>
      <c r="C145" s="12" t="s">
        <v>188</v>
      </c>
    </row>
    <row r="146" spans="2:3" x14ac:dyDescent="0.15">
      <c r="B146" s="11">
        <f t="shared" si="3"/>
        <v>1939</v>
      </c>
      <c r="C146" s="12" t="s">
        <v>189</v>
      </c>
    </row>
    <row r="147" spans="2:3" x14ac:dyDescent="0.15">
      <c r="B147" s="11">
        <f t="shared" si="3"/>
        <v>1938</v>
      </c>
      <c r="C147" s="12" t="s">
        <v>190</v>
      </c>
    </row>
    <row r="148" spans="2:3" x14ac:dyDescent="0.15">
      <c r="B148" s="11">
        <f t="shared" si="3"/>
        <v>1937</v>
      </c>
      <c r="C148" s="12" t="s">
        <v>191</v>
      </c>
    </row>
    <row r="149" spans="2:3" x14ac:dyDescent="0.15">
      <c r="B149" s="11">
        <f t="shared" si="3"/>
        <v>1936</v>
      </c>
      <c r="C149" s="12" t="s">
        <v>192</v>
      </c>
    </row>
    <row r="150" spans="2:3" x14ac:dyDescent="0.15">
      <c r="B150" s="11">
        <f t="shared" si="3"/>
        <v>1935</v>
      </c>
      <c r="C150" s="12" t="s">
        <v>193</v>
      </c>
    </row>
    <row r="151" spans="2:3" x14ac:dyDescent="0.15">
      <c r="B151" s="11">
        <f t="shared" si="3"/>
        <v>1934</v>
      </c>
      <c r="C151" s="12" t="s">
        <v>194</v>
      </c>
    </row>
    <row r="152" spans="2:3" x14ac:dyDescent="0.15">
      <c r="B152" s="11">
        <f t="shared" si="3"/>
        <v>1933</v>
      </c>
      <c r="C152" s="12" t="s">
        <v>195</v>
      </c>
    </row>
    <row r="153" spans="2:3" x14ac:dyDescent="0.15">
      <c r="B153" s="11">
        <f t="shared" si="3"/>
        <v>1932</v>
      </c>
      <c r="C153" s="12" t="s">
        <v>196</v>
      </c>
    </row>
    <row r="154" spans="2:3" x14ac:dyDescent="0.15">
      <c r="B154" s="11">
        <f t="shared" si="3"/>
        <v>1931</v>
      </c>
      <c r="C154" s="12" t="s">
        <v>197</v>
      </c>
    </row>
    <row r="155" spans="2:3" x14ac:dyDescent="0.15">
      <c r="B155" s="11">
        <f t="shared" si="3"/>
        <v>1930</v>
      </c>
      <c r="C155" s="12" t="s">
        <v>198</v>
      </c>
    </row>
    <row r="156" spans="2:3" x14ac:dyDescent="0.15">
      <c r="B156" s="11">
        <f t="shared" si="3"/>
        <v>1929</v>
      </c>
      <c r="C156" s="12" t="s">
        <v>199</v>
      </c>
    </row>
    <row r="157" spans="2:3" x14ac:dyDescent="0.15">
      <c r="B157" s="11">
        <f t="shared" si="3"/>
        <v>1928</v>
      </c>
      <c r="C157" s="12" t="s">
        <v>200</v>
      </c>
    </row>
    <row r="158" spans="2:3" x14ac:dyDescent="0.15">
      <c r="B158" s="11">
        <f t="shared" si="3"/>
        <v>1927</v>
      </c>
      <c r="C158" s="12" t="s">
        <v>201</v>
      </c>
    </row>
    <row r="159" spans="2:3" x14ac:dyDescent="0.15">
      <c r="B159" s="11">
        <f t="shared" si="3"/>
        <v>1926</v>
      </c>
      <c r="C159" s="12" t="s">
        <v>202</v>
      </c>
    </row>
    <row r="160" spans="2:3" x14ac:dyDescent="0.15">
      <c r="B160" s="11">
        <f t="shared" si="3"/>
        <v>1925</v>
      </c>
      <c r="C160" s="12" t="s">
        <v>203</v>
      </c>
    </row>
    <row r="161" spans="2:3" x14ac:dyDescent="0.15">
      <c r="B161" s="11">
        <f t="shared" si="3"/>
        <v>1924</v>
      </c>
      <c r="C161" s="12" t="s">
        <v>204</v>
      </c>
    </row>
    <row r="162" spans="2:3" x14ac:dyDescent="0.15">
      <c r="B162" s="11">
        <f t="shared" si="3"/>
        <v>1923</v>
      </c>
      <c r="C162" s="12" t="s">
        <v>205</v>
      </c>
    </row>
    <row r="163" spans="2:3" x14ac:dyDescent="0.15">
      <c r="B163" s="11">
        <f t="shared" si="3"/>
        <v>1922</v>
      </c>
      <c r="C163" s="12" t="s">
        <v>206</v>
      </c>
    </row>
    <row r="164" spans="2:3" x14ac:dyDescent="0.15">
      <c r="B164" s="11">
        <f t="shared" si="3"/>
        <v>1921</v>
      </c>
      <c r="C164" s="12" t="s">
        <v>207</v>
      </c>
    </row>
    <row r="165" spans="2:3" x14ac:dyDescent="0.15">
      <c r="B165" s="11">
        <f t="shared" si="3"/>
        <v>1920</v>
      </c>
      <c r="C165" s="12" t="s">
        <v>208</v>
      </c>
    </row>
    <row r="166" spans="2:3" x14ac:dyDescent="0.15">
      <c r="B166" s="11">
        <f t="shared" si="3"/>
        <v>1919</v>
      </c>
      <c r="C166" s="12" t="s">
        <v>209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RowHeight="13.5" x14ac:dyDescent="0.15"/>
  <sheetData>
    <row r="1" spans="4:12" x14ac:dyDescent="0.15">
      <c r="H1" t="s">
        <v>406</v>
      </c>
      <c r="K1" t="s">
        <v>405</v>
      </c>
    </row>
    <row r="2" spans="4:12" x14ac:dyDescent="0.15">
      <c r="H2" s="20" t="s">
        <v>55</v>
      </c>
      <c r="I2" s="20" t="s">
        <v>210</v>
      </c>
      <c r="K2" s="20" t="s">
        <v>55</v>
      </c>
      <c r="L2" s="20" t="s">
        <v>210</v>
      </c>
    </row>
    <row r="3" spans="4:12" x14ac:dyDescent="0.15">
      <c r="H3" s="14">
        <v>30</v>
      </c>
      <c r="I3" s="1">
        <f>$E$9</f>
        <v>1992</v>
      </c>
      <c r="K3" s="14">
        <f t="shared" ref="K3:K11" si="0">K4-1</f>
        <v>20</v>
      </c>
      <c r="L3" s="1">
        <f t="shared" ref="L3:L11" si="1">L4+1</f>
        <v>2002</v>
      </c>
    </row>
    <row r="4" spans="4:12" x14ac:dyDescent="0.15">
      <c r="H4" s="14">
        <f>H3+1</f>
        <v>31</v>
      </c>
      <c r="I4" s="1">
        <f>I3-1</f>
        <v>1991</v>
      </c>
      <c r="K4" s="14">
        <f t="shared" si="0"/>
        <v>21</v>
      </c>
      <c r="L4" s="1">
        <f t="shared" si="1"/>
        <v>2001</v>
      </c>
    </row>
    <row r="5" spans="4:12" x14ac:dyDescent="0.15">
      <c r="H5" s="14">
        <f t="shared" ref="H5:H35" si="2">H4+1</f>
        <v>32</v>
      </c>
      <c r="I5" s="1">
        <f t="shared" ref="I5:I35" si="3">I4-1</f>
        <v>1990</v>
      </c>
      <c r="K5" s="14">
        <f t="shared" si="0"/>
        <v>22</v>
      </c>
      <c r="L5" s="1">
        <f t="shared" si="1"/>
        <v>2000</v>
      </c>
    </row>
    <row r="6" spans="4:12" x14ac:dyDescent="0.15">
      <c r="H6" s="14">
        <f t="shared" si="2"/>
        <v>33</v>
      </c>
      <c r="I6" s="1">
        <f t="shared" si="3"/>
        <v>1989</v>
      </c>
      <c r="K6" s="14">
        <f t="shared" si="0"/>
        <v>23</v>
      </c>
      <c r="L6" s="1">
        <f t="shared" si="1"/>
        <v>1999</v>
      </c>
    </row>
    <row r="7" spans="4:12" x14ac:dyDescent="0.15">
      <c r="H7" s="14">
        <f t="shared" si="2"/>
        <v>34</v>
      </c>
      <c r="I7" s="1">
        <f t="shared" si="3"/>
        <v>1988</v>
      </c>
      <c r="K7" s="14">
        <f t="shared" si="0"/>
        <v>24</v>
      </c>
      <c r="L7" s="1">
        <f t="shared" si="1"/>
        <v>1998</v>
      </c>
    </row>
    <row r="8" spans="4:12" x14ac:dyDescent="0.15">
      <c r="D8" s="20" t="s">
        <v>210</v>
      </c>
      <c r="H8" s="14">
        <f t="shared" si="2"/>
        <v>35</v>
      </c>
      <c r="I8" s="1">
        <f t="shared" si="3"/>
        <v>1987</v>
      </c>
      <c r="K8" s="14">
        <f t="shared" si="0"/>
        <v>25</v>
      </c>
      <c r="L8" s="1">
        <f t="shared" si="1"/>
        <v>1997</v>
      </c>
    </row>
    <row r="9" spans="4:12" x14ac:dyDescent="0.15">
      <c r="D9" s="14">
        <v>1</v>
      </c>
      <c r="E9" s="1">
        <f>説明書!$U$22-30</f>
        <v>1992</v>
      </c>
      <c r="H9" s="14">
        <f t="shared" si="2"/>
        <v>36</v>
      </c>
      <c r="I9" s="1">
        <f t="shared" si="3"/>
        <v>1986</v>
      </c>
      <c r="K9" s="14">
        <f t="shared" si="0"/>
        <v>26</v>
      </c>
      <c r="L9" s="1">
        <f t="shared" si="1"/>
        <v>1996</v>
      </c>
    </row>
    <row r="10" spans="4:12" x14ac:dyDescent="0.15">
      <c r="D10" s="14">
        <v>2</v>
      </c>
      <c r="E10" s="1">
        <f>説明書!$U$22-35</f>
        <v>1987</v>
      </c>
      <c r="H10" s="14">
        <f t="shared" si="2"/>
        <v>37</v>
      </c>
      <c r="I10" s="1">
        <f t="shared" si="3"/>
        <v>1985</v>
      </c>
      <c r="K10" s="14">
        <f t="shared" si="0"/>
        <v>27</v>
      </c>
      <c r="L10" s="1">
        <f t="shared" si="1"/>
        <v>1995</v>
      </c>
    </row>
    <row r="11" spans="4:12" x14ac:dyDescent="0.15">
      <c r="D11" s="14">
        <v>3</v>
      </c>
      <c r="E11" s="1">
        <f>説明書!$U$22-40</f>
        <v>1982</v>
      </c>
      <c r="H11" s="14">
        <f t="shared" si="2"/>
        <v>38</v>
      </c>
      <c r="I11" s="1">
        <f t="shared" si="3"/>
        <v>1984</v>
      </c>
      <c r="K11" s="14">
        <f t="shared" si="0"/>
        <v>28</v>
      </c>
      <c r="L11" s="1">
        <f t="shared" si="1"/>
        <v>1994</v>
      </c>
    </row>
    <row r="12" spans="4:12" x14ac:dyDescent="0.15">
      <c r="D12" s="14">
        <v>4</v>
      </c>
      <c r="E12" s="1">
        <f>説明書!$U$22-45</f>
        <v>1977</v>
      </c>
      <c r="H12" s="14">
        <f t="shared" si="2"/>
        <v>39</v>
      </c>
      <c r="I12" s="1">
        <f t="shared" si="3"/>
        <v>1983</v>
      </c>
      <c r="K12" s="14">
        <f>K13-1</f>
        <v>29</v>
      </c>
      <c r="L12" s="1">
        <f>L13+1</f>
        <v>1993</v>
      </c>
    </row>
    <row r="13" spans="4:12" x14ac:dyDescent="0.15">
      <c r="D13" s="14">
        <v>5</v>
      </c>
      <c r="E13" s="1">
        <f>説明書!$U$22-50</f>
        <v>1972</v>
      </c>
      <c r="H13" s="14">
        <f t="shared" si="2"/>
        <v>40</v>
      </c>
      <c r="I13" s="1">
        <f t="shared" si="3"/>
        <v>1982</v>
      </c>
      <c r="K13" s="14">
        <v>30</v>
      </c>
      <c r="L13" s="1">
        <f>説明書!$U$104-30</f>
        <v>1992</v>
      </c>
    </row>
    <row r="14" spans="4:12" x14ac:dyDescent="0.15">
      <c r="D14" s="14">
        <v>6</v>
      </c>
      <c r="E14" s="1">
        <f>説明書!$U$22-60</f>
        <v>1962</v>
      </c>
      <c r="H14" s="14">
        <f t="shared" si="2"/>
        <v>41</v>
      </c>
      <c r="I14" s="1">
        <f t="shared" si="3"/>
        <v>1981</v>
      </c>
      <c r="K14" s="14">
        <f>K13+1</f>
        <v>31</v>
      </c>
      <c r="L14" s="1">
        <f>L13-1</f>
        <v>1991</v>
      </c>
    </row>
    <row r="15" spans="4:12" x14ac:dyDescent="0.15">
      <c r="D15" s="14">
        <v>7</v>
      </c>
      <c r="E15" s="1">
        <f>説明書!$U$22-70</f>
        <v>1952</v>
      </c>
      <c r="H15" s="14">
        <f t="shared" si="2"/>
        <v>42</v>
      </c>
      <c r="I15" s="1">
        <f t="shared" si="3"/>
        <v>1980</v>
      </c>
      <c r="K15" s="14">
        <f t="shared" ref="K15:K45" si="4">K14+1</f>
        <v>32</v>
      </c>
      <c r="L15" s="1">
        <f t="shared" ref="L15:L45" si="5">L14-1</f>
        <v>1990</v>
      </c>
    </row>
    <row r="16" spans="4:12" x14ac:dyDescent="0.15">
      <c r="H16" s="14">
        <f t="shared" si="2"/>
        <v>43</v>
      </c>
      <c r="I16" s="1">
        <f t="shared" si="3"/>
        <v>1979</v>
      </c>
      <c r="K16" s="14">
        <f t="shared" si="4"/>
        <v>33</v>
      </c>
      <c r="L16" s="1">
        <f t="shared" si="5"/>
        <v>1989</v>
      </c>
    </row>
    <row r="17" spans="4:12" x14ac:dyDescent="0.15">
      <c r="D17" s="5" t="s">
        <v>222</v>
      </c>
      <c r="H17" s="14">
        <f t="shared" si="2"/>
        <v>44</v>
      </c>
      <c r="I17" s="1">
        <f t="shared" si="3"/>
        <v>1978</v>
      </c>
      <c r="K17" s="14">
        <f t="shared" si="4"/>
        <v>34</v>
      </c>
      <c r="L17" s="1">
        <f t="shared" si="5"/>
        <v>1988</v>
      </c>
    </row>
    <row r="18" spans="4:12" x14ac:dyDescent="0.15">
      <c r="D18" s="14">
        <v>1</v>
      </c>
      <c r="E18" s="12" t="s">
        <v>225</v>
      </c>
      <c r="H18" s="14">
        <f t="shared" si="2"/>
        <v>45</v>
      </c>
      <c r="I18" s="1">
        <f t="shared" si="3"/>
        <v>1977</v>
      </c>
      <c r="K18" s="14">
        <f t="shared" si="4"/>
        <v>35</v>
      </c>
      <c r="L18" s="1">
        <f t="shared" si="5"/>
        <v>1987</v>
      </c>
    </row>
    <row r="19" spans="4:12" x14ac:dyDescent="0.15">
      <c r="D19" s="14">
        <v>2</v>
      </c>
      <c r="E19" s="12" t="s">
        <v>296</v>
      </c>
      <c r="H19" s="14">
        <f t="shared" si="2"/>
        <v>46</v>
      </c>
      <c r="I19" s="1">
        <f t="shared" si="3"/>
        <v>1976</v>
      </c>
      <c r="K19" s="14">
        <f t="shared" si="4"/>
        <v>36</v>
      </c>
      <c r="L19" s="1">
        <f t="shared" si="5"/>
        <v>1986</v>
      </c>
    </row>
    <row r="20" spans="4:12" x14ac:dyDescent="0.15">
      <c r="H20" s="14">
        <f t="shared" si="2"/>
        <v>47</v>
      </c>
      <c r="I20" s="1">
        <f t="shared" si="3"/>
        <v>1975</v>
      </c>
      <c r="K20" s="14">
        <f t="shared" si="4"/>
        <v>37</v>
      </c>
      <c r="L20" s="1">
        <f t="shared" si="5"/>
        <v>1985</v>
      </c>
    </row>
    <row r="21" spans="4:12" x14ac:dyDescent="0.15">
      <c r="D21" s="5" t="s">
        <v>41</v>
      </c>
      <c r="H21" s="14">
        <f t="shared" si="2"/>
        <v>48</v>
      </c>
      <c r="I21" s="1">
        <f t="shared" si="3"/>
        <v>1974</v>
      </c>
      <c r="K21" s="14">
        <f t="shared" si="4"/>
        <v>38</v>
      </c>
      <c r="L21" s="1">
        <f t="shared" si="5"/>
        <v>1984</v>
      </c>
    </row>
    <row r="22" spans="4:12" x14ac:dyDescent="0.15">
      <c r="D22" s="14">
        <v>1</v>
      </c>
      <c r="E22" s="1">
        <v>3000</v>
      </c>
      <c r="H22" s="14">
        <f t="shared" si="2"/>
        <v>49</v>
      </c>
      <c r="I22" s="1">
        <f t="shared" si="3"/>
        <v>1973</v>
      </c>
      <c r="K22" s="14">
        <f t="shared" si="4"/>
        <v>39</v>
      </c>
      <c r="L22" s="1">
        <f t="shared" si="5"/>
        <v>1983</v>
      </c>
    </row>
    <row r="23" spans="4:12" x14ac:dyDescent="0.15">
      <c r="D23" s="14">
        <v>2</v>
      </c>
      <c r="E23" s="1">
        <v>7000</v>
      </c>
      <c r="H23" s="14">
        <f t="shared" si="2"/>
        <v>50</v>
      </c>
      <c r="I23" s="1">
        <f t="shared" si="3"/>
        <v>1972</v>
      </c>
      <c r="K23" s="14">
        <f t="shared" si="4"/>
        <v>40</v>
      </c>
      <c r="L23" s="1">
        <f t="shared" si="5"/>
        <v>1982</v>
      </c>
    </row>
    <row r="24" spans="4:12" x14ac:dyDescent="0.15">
      <c r="H24" s="14">
        <f t="shared" si="2"/>
        <v>51</v>
      </c>
      <c r="I24" s="1">
        <f t="shared" si="3"/>
        <v>1971</v>
      </c>
      <c r="K24" s="14">
        <f t="shared" si="4"/>
        <v>41</v>
      </c>
      <c r="L24" s="1">
        <f t="shared" si="5"/>
        <v>1981</v>
      </c>
    </row>
    <row r="25" spans="4:12" x14ac:dyDescent="0.15">
      <c r="H25" s="14">
        <f t="shared" si="2"/>
        <v>52</v>
      </c>
      <c r="I25" s="1">
        <f t="shared" si="3"/>
        <v>1970</v>
      </c>
      <c r="K25" s="14">
        <f t="shared" si="4"/>
        <v>42</v>
      </c>
      <c r="L25" s="1">
        <f t="shared" si="5"/>
        <v>1980</v>
      </c>
    </row>
    <row r="26" spans="4:12" x14ac:dyDescent="0.15">
      <c r="H26" s="14">
        <f t="shared" si="2"/>
        <v>53</v>
      </c>
      <c r="I26" s="1">
        <f t="shared" si="3"/>
        <v>1969</v>
      </c>
      <c r="K26" s="14">
        <f t="shared" si="4"/>
        <v>43</v>
      </c>
      <c r="L26" s="1">
        <f t="shared" si="5"/>
        <v>1979</v>
      </c>
    </row>
    <row r="27" spans="4:12" x14ac:dyDescent="0.15">
      <c r="H27" s="14">
        <f t="shared" si="2"/>
        <v>54</v>
      </c>
      <c r="I27" s="1">
        <f t="shared" si="3"/>
        <v>1968</v>
      </c>
      <c r="K27" s="14">
        <f t="shared" si="4"/>
        <v>44</v>
      </c>
      <c r="L27" s="1">
        <f t="shared" si="5"/>
        <v>1978</v>
      </c>
    </row>
    <row r="28" spans="4:12" x14ac:dyDescent="0.15">
      <c r="H28" s="14">
        <f t="shared" si="2"/>
        <v>55</v>
      </c>
      <c r="I28" s="1">
        <f t="shared" si="3"/>
        <v>1967</v>
      </c>
      <c r="K28" s="14">
        <f t="shared" si="4"/>
        <v>45</v>
      </c>
      <c r="L28" s="1">
        <f t="shared" si="5"/>
        <v>1977</v>
      </c>
    </row>
    <row r="29" spans="4:12" x14ac:dyDescent="0.15">
      <c r="H29" s="14">
        <f t="shared" si="2"/>
        <v>56</v>
      </c>
      <c r="I29" s="1">
        <f t="shared" si="3"/>
        <v>1966</v>
      </c>
      <c r="K29" s="14">
        <f t="shared" si="4"/>
        <v>46</v>
      </c>
      <c r="L29" s="1">
        <f t="shared" si="5"/>
        <v>1976</v>
      </c>
    </row>
    <row r="30" spans="4:12" x14ac:dyDescent="0.15">
      <c r="H30" s="14">
        <f t="shared" si="2"/>
        <v>57</v>
      </c>
      <c r="I30" s="1">
        <f t="shared" si="3"/>
        <v>1965</v>
      </c>
      <c r="K30" s="14">
        <f t="shared" si="4"/>
        <v>47</v>
      </c>
      <c r="L30" s="1">
        <f t="shared" si="5"/>
        <v>1975</v>
      </c>
    </row>
    <row r="31" spans="4:12" x14ac:dyDescent="0.15">
      <c r="H31" s="14">
        <f t="shared" si="2"/>
        <v>58</v>
      </c>
      <c r="I31" s="1">
        <f t="shared" si="3"/>
        <v>1964</v>
      </c>
      <c r="K31" s="14">
        <f t="shared" si="4"/>
        <v>48</v>
      </c>
      <c r="L31" s="1">
        <f t="shared" si="5"/>
        <v>1974</v>
      </c>
    </row>
    <row r="32" spans="4:12" x14ac:dyDescent="0.15">
      <c r="H32" s="14">
        <f t="shared" si="2"/>
        <v>59</v>
      </c>
      <c r="I32" s="1">
        <f t="shared" si="3"/>
        <v>1963</v>
      </c>
      <c r="K32" s="14">
        <f t="shared" si="4"/>
        <v>49</v>
      </c>
      <c r="L32" s="1">
        <f t="shared" si="5"/>
        <v>1973</v>
      </c>
    </row>
    <row r="33" spans="8:12" x14ac:dyDescent="0.15">
      <c r="H33" s="14">
        <f t="shared" si="2"/>
        <v>60</v>
      </c>
      <c r="I33" s="1">
        <f t="shared" si="3"/>
        <v>1962</v>
      </c>
      <c r="K33" s="14">
        <f t="shared" si="4"/>
        <v>50</v>
      </c>
      <c r="L33" s="1">
        <f t="shared" si="5"/>
        <v>1972</v>
      </c>
    </row>
    <row r="34" spans="8:12" x14ac:dyDescent="0.15">
      <c r="H34" s="14">
        <f t="shared" si="2"/>
        <v>61</v>
      </c>
      <c r="I34" s="1">
        <f t="shared" si="3"/>
        <v>1961</v>
      </c>
      <c r="K34" s="14">
        <f t="shared" si="4"/>
        <v>51</v>
      </c>
      <c r="L34" s="1">
        <f t="shared" si="5"/>
        <v>1971</v>
      </c>
    </row>
    <row r="35" spans="8:12" x14ac:dyDescent="0.15">
      <c r="H35" s="14">
        <f t="shared" si="2"/>
        <v>62</v>
      </c>
      <c r="I35" s="1">
        <f t="shared" si="3"/>
        <v>1960</v>
      </c>
      <c r="K35" s="14">
        <f t="shared" si="4"/>
        <v>52</v>
      </c>
      <c r="L35" s="1">
        <f t="shared" si="5"/>
        <v>1970</v>
      </c>
    </row>
    <row r="36" spans="8:12" x14ac:dyDescent="0.15">
      <c r="H36" s="14">
        <f>H35+1</f>
        <v>63</v>
      </c>
      <c r="I36" s="1">
        <f>I35-1</f>
        <v>1959</v>
      </c>
      <c r="K36" s="14">
        <f t="shared" si="4"/>
        <v>53</v>
      </c>
      <c r="L36" s="1">
        <f t="shared" si="5"/>
        <v>1969</v>
      </c>
    </row>
    <row r="37" spans="8:12" x14ac:dyDescent="0.15">
      <c r="H37" s="14">
        <f t="shared" ref="H37:H42" si="6">H36+1</f>
        <v>64</v>
      </c>
      <c r="I37" s="1">
        <f t="shared" ref="I37:I42" si="7">I36-1</f>
        <v>1958</v>
      </c>
      <c r="K37" s="14">
        <f t="shared" si="4"/>
        <v>54</v>
      </c>
      <c r="L37" s="1">
        <f t="shared" si="5"/>
        <v>1968</v>
      </c>
    </row>
    <row r="38" spans="8:12" x14ac:dyDescent="0.15">
      <c r="H38" s="14">
        <f t="shared" si="6"/>
        <v>65</v>
      </c>
      <c r="I38" s="1">
        <f t="shared" si="7"/>
        <v>1957</v>
      </c>
      <c r="K38" s="14">
        <f t="shared" si="4"/>
        <v>55</v>
      </c>
      <c r="L38" s="1">
        <f t="shared" si="5"/>
        <v>1967</v>
      </c>
    </row>
    <row r="39" spans="8:12" x14ac:dyDescent="0.15">
      <c r="H39" s="14">
        <f t="shared" si="6"/>
        <v>66</v>
      </c>
      <c r="I39" s="1">
        <f t="shared" si="7"/>
        <v>1956</v>
      </c>
      <c r="K39" s="14">
        <f t="shared" si="4"/>
        <v>56</v>
      </c>
      <c r="L39" s="1">
        <f t="shared" si="5"/>
        <v>1966</v>
      </c>
    </row>
    <row r="40" spans="8:12" x14ac:dyDescent="0.15">
      <c r="H40" s="14">
        <f t="shared" si="6"/>
        <v>67</v>
      </c>
      <c r="I40" s="1">
        <f t="shared" si="7"/>
        <v>1955</v>
      </c>
      <c r="K40" s="14">
        <f t="shared" si="4"/>
        <v>57</v>
      </c>
      <c r="L40" s="1">
        <f t="shared" si="5"/>
        <v>1965</v>
      </c>
    </row>
    <row r="41" spans="8:12" x14ac:dyDescent="0.15">
      <c r="H41" s="14">
        <f t="shared" si="6"/>
        <v>68</v>
      </c>
      <c r="I41" s="1">
        <f t="shared" si="7"/>
        <v>1954</v>
      </c>
      <c r="K41" s="14">
        <f t="shared" si="4"/>
        <v>58</v>
      </c>
      <c r="L41" s="1">
        <f t="shared" si="5"/>
        <v>1964</v>
      </c>
    </row>
    <row r="42" spans="8:12" x14ac:dyDescent="0.15">
      <c r="H42" s="14">
        <f t="shared" si="6"/>
        <v>69</v>
      </c>
      <c r="I42" s="1">
        <f t="shared" si="7"/>
        <v>1953</v>
      </c>
      <c r="K42" s="14">
        <f t="shared" si="4"/>
        <v>59</v>
      </c>
      <c r="L42" s="1">
        <f t="shared" si="5"/>
        <v>1963</v>
      </c>
    </row>
    <row r="43" spans="8:12" x14ac:dyDescent="0.15">
      <c r="K43" s="14">
        <f t="shared" si="4"/>
        <v>60</v>
      </c>
      <c r="L43" s="1">
        <f t="shared" si="5"/>
        <v>1962</v>
      </c>
    </row>
    <row r="44" spans="8:12" x14ac:dyDescent="0.15">
      <c r="K44" s="14">
        <f t="shared" si="4"/>
        <v>61</v>
      </c>
      <c r="L44" s="1">
        <f t="shared" si="5"/>
        <v>1961</v>
      </c>
    </row>
    <row r="45" spans="8:12" x14ac:dyDescent="0.15">
      <c r="K45" s="14">
        <f t="shared" si="4"/>
        <v>62</v>
      </c>
      <c r="L45" s="1">
        <f t="shared" si="5"/>
        <v>1960</v>
      </c>
    </row>
    <row r="46" spans="8:12" x14ac:dyDescent="0.15">
      <c r="K46" s="14">
        <f>K45+1</f>
        <v>63</v>
      </c>
      <c r="L46" s="1">
        <f>L45-1</f>
        <v>1959</v>
      </c>
    </row>
    <row r="47" spans="8:12" x14ac:dyDescent="0.15">
      <c r="K47" s="14">
        <f t="shared" ref="K47:K63" si="8">K46+1</f>
        <v>64</v>
      </c>
      <c r="L47" s="1">
        <f t="shared" ref="L47:L63" si="9">L46-1</f>
        <v>1958</v>
      </c>
    </row>
    <row r="48" spans="8:12" x14ac:dyDescent="0.15">
      <c r="K48" s="14">
        <f t="shared" si="8"/>
        <v>65</v>
      </c>
      <c r="L48" s="1">
        <f t="shared" si="9"/>
        <v>1957</v>
      </c>
    </row>
    <row r="49" spans="11:12" x14ac:dyDescent="0.15">
      <c r="K49" s="14">
        <f t="shared" si="8"/>
        <v>66</v>
      </c>
      <c r="L49" s="1">
        <f t="shared" si="9"/>
        <v>1956</v>
      </c>
    </row>
    <row r="50" spans="11:12" x14ac:dyDescent="0.15">
      <c r="K50" s="14">
        <f t="shared" si="8"/>
        <v>67</v>
      </c>
      <c r="L50" s="1">
        <f t="shared" si="9"/>
        <v>1955</v>
      </c>
    </row>
    <row r="51" spans="11:12" x14ac:dyDescent="0.15">
      <c r="K51" s="14">
        <f t="shared" si="8"/>
        <v>68</v>
      </c>
      <c r="L51" s="1">
        <f t="shared" si="9"/>
        <v>1954</v>
      </c>
    </row>
    <row r="52" spans="11:12" x14ac:dyDescent="0.15">
      <c r="K52" s="14">
        <f t="shared" si="8"/>
        <v>69</v>
      </c>
      <c r="L52" s="1">
        <f t="shared" si="9"/>
        <v>1953</v>
      </c>
    </row>
    <row r="53" spans="11:12" x14ac:dyDescent="0.15">
      <c r="K53" s="14">
        <f t="shared" si="8"/>
        <v>70</v>
      </c>
      <c r="L53" s="1">
        <f t="shared" si="9"/>
        <v>1952</v>
      </c>
    </row>
    <row r="54" spans="11:12" x14ac:dyDescent="0.15">
      <c r="K54" s="14">
        <f t="shared" si="8"/>
        <v>71</v>
      </c>
      <c r="L54" s="1">
        <f t="shared" si="9"/>
        <v>1951</v>
      </c>
    </row>
    <row r="55" spans="11:12" x14ac:dyDescent="0.15">
      <c r="K55" s="14">
        <f t="shared" si="8"/>
        <v>72</v>
      </c>
      <c r="L55" s="1">
        <f t="shared" si="9"/>
        <v>1950</v>
      </c>
    </row>
    <row r="56" spans="11:12" x14ac:dyDescent="0.15">
      <c r="K56" s="14">
        <f t="shared" si="8"/>
        <v>73</v>
      </c>
      <c r="L56" s="1">
        <f t="shared" si="9"/>
        <v>1949</v>
      </c>
    </row>
    <row r="57" spans="11:12" x14ac:dyDescent="0.15">
      <c r="K57" s="14">
        <f t="shared" si="8"/>
        <v>74</v>
      </c>
      <c r="L57" s="1">
        <f t="shared" si="9"/>
        <v>1948</v>
      </c>
    </row>
    <row r="58" spans="11:12" x14ac:dyDescent="0.15">
      <c r="K58" s="14">
        <f t="shared" si="8"/>
        <v>75</v>
      </c>
      <c r="L58" s="1">
        <f t="shared" si="9"/>
        <v>1947</v>
      </c>
    </row>
    <row r="59" spans="11:12" x14ac:dyDescent="0.15">
      <c r="K59" s="14">
        <f t="shared" si="8"/>
        <v>76</v>
      </c>
      <c r="L59" s="1">
        <f t="shared" si="9"/>
        <v>1946</v>
      </c>
    </row>
    <row r="60" spans="11:12" x14ac:dyDescent="0.15">
      <c r="K60" s="14">
        <f t="shared" si="8"/>
        <v>77</v>
      </c>
      <c r="L60" s="1">
        <f t="shared" si="9"/>
        <v>1945</v>
      </c>
    </row>
    <row r="61" spans="11:12" x14ac:dyDescent="0.15">
      <c r="K61" s="14">
        <f t="shared" si="8"/>
        <v>78</v>
      </c>
      <c r="L61" s="1">
        <f t="shared" si="9"/>
        <v>1944</v>
      </c>
    </row>
    <row r="62" spans="11:12" x14ac:dyDescent="0.15">
      <c r="K62" s="14">
        <f t="shared" si="8"/>
        <v>79</v>
      </c>
      <c r="L62" s="1">
        <f t="shared" si="9"/>
        <v>1943</v>
      </c>
    </row>
    <row r="63" spans="11:12" x14ac:dyDescent="0.15">
      <c r="K63" s="14">
        <f t="shared" si="8"/>
        <v>80</v>
      </c>
      <c r="L63" s="1">
        <f t="shared" si="9"/>
        <v>1942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RowHeight="13.5" x14ac:dyDescent="0.15"/>
  <cols>
    <col min="1" max="1" width="12.75" bestFit="1" customWidth="1"/>
    <col min="2" max="3" width="4.375" bestFit="1" customWidth="1"/>
    <col min="4" max="4" width="7.875" bestFit="1" customWidth="1"/>
    <col min="5" max="5" width="8.125" bestFit="1" customWidth="1"/>
    <col min="6" max="6" width="13.125" bestFit="1" customWidth="1"/>
    <col min="7" max="7" width="12.75" bestFit="1" customWidth="1"/>
    <col min="8" max="8" width="8.125" bestFit="1" customWidth="1"/>
    <col min="9" max="9" width="6.25" bestFit="1" customWidth="1"/>
    <col min="10" max="10" width="6.25" customWidth="1"/>
    <col min="11" max="11" width="12.75" bestFit="1" customWidth="1"/>
    <col min="12" max="13" width="9.75" bestFit="1" customWidth="1"/>
    <col min="14" max="14" width="6.25" bestFit="1" customWidth="1"/>
    <col min="15" max="15" width="8.125" bestFit="1" customWidth="1"/>
    <col min="16" max="17" width="10" bestFit="1" customWidth="1"/>
    <col min="18" max="18" width="14.125" bestFit="1" customWidth="1"/>
    <col min="19" max="19" width="12.5" bestFit="1" customWidth="1"/>
    <col min="20" max="20" width="9.875" bestFit="1" customWidth="1"/>
    <col min="21" max="21" width="8.25" bestFit="1" customWidth="1"/>
    <col min="22" max="22" width="9.625" bestFit="1" customWidth="1"/>
    <col min="23" max="23" width="10" bestFit="1" customWidth="1"/>
    <col min="24" max="24" width="9.875" bestFit="1" customWidth="1"/>
    <col min="25" max="25" width="24" bestFit="1" customWidth="1"/>
    <col min="26" max="26" width="9.875" bestFit="1" customWidth="1"/>
    <col min="27" max="29" width="10" bestFit="1" customWidth="1"/>
    <col min="30" max="30" width="8.125" bestFit="1" customWidth="1"/>
    <col min="31" max="34" width="6.25" bestFit="1" customWidth="1"/>
    <col min="35" max="35" width="16.25" bestFit="1" customWidth="1"/>
    <col min="36" max="36" width="13" bestFit="1" customWidth="1"/>
    <col min="37" max="37" width="6.25" bestFit="1" customWidth="1"/>
    <col min="38" max="39" width="7.125" bestFit="1" customWidth="1"/>
  </cols>
  <sheetData>
    <row r="1" spans="1:42" x14ac:dyDescent="0.15">
      <c r="A1" s="7" t="str">
        <f>CONCATENATE(Z打鍵!A1,"3")</f>
        <v>西暦3</v>
      </c>
      <c r="B1" s="7" t="str">
        <f>CONCATENATE(Z打鍵!B1,"3")</f>
        <v>月3</v>
      </c>
      <c r="C1" s="7" t="str">
        <f>CONCATENATE(Z打鍵!C1,"3")</f>
        <v>日3</v>
      </c>
      <c r="D1" s="7" t="str">
        <f>CONCATENATE(Z打鍵!D1,"3")</f>
        <v>NF3</v>
      </c>
      <c r="E1" s="7" t="str">
        <f>CONCATENATE(Z打鍵!E1,"3")</f>
        <v>背番号3</v>
      </c>
      <c r="F1" s="7" t="str">
        <f>CONCATENATE(Z打鍵!F1,"3")</f>
        <v>年齢限定3</v>
      </c>
      <c r="G1" s="7" t="str">
        <f>CONCATENATE(Z打鍵!G1,"3")</f>
        <v>初度年3</v>
      </c>
      <c r="H1" s="7" t="str">
        <f>CONCATENATE(Z打鍵!H1,"3")</f>
        <v>初度月3</v>
      </c>
      <c r="I1" s="7" t="str">
        <f>CONCATENATE(Z打鍵!I1,"3")</f>
        <v>型式3</v>
      </c>
      <c r="J1" s="7" t="s">
        <v>353</v>
      </c>
      <c r="K1" s="7" t="str">
        <f>CONCATENATE(Z打鍵!K1,"3")</f>
        <v>生年3</v>
      </c>
      <c r="L1" s="7" t="str">
        <f>CONCATENATE(Z打鍵!L1,"3")</f>
        <v>生まれ月3</v>
      </c>
      <c r="M1" s="7" t="str">
        <f>CONCATENATE(Z打鍵!M1,"3")</f>
        <v>生まれ日3</v>
      </c>
      <c r="N1" s="7" t="str">
        <f>CONCATENATE(Z打鍵!N1,"3")</f>
        <v>地域3</v>
      </c>
      <c r="O1" s="7" t="str">
        <f>CONCATENATE(Z打鍵!O1,"3")</f>
        <v>免許3</v>
      </c>
      <c r="P1" s="7" t="str">
        <f>CONCATENATE(Z打鍵!P1,"3")</f>
        <v>使用目的3</v>
      </c>
      <c r="Q1" s="7" t="str">
        <f>CONCATENATE(Z打鍵!Q1,"3")</f>
        <v>走行距離3</v>
      </c>
      <c r="R1" s="7" t="str">
        <f>CONCATENATE(Z打鍵!R1,"3")</f>
        <v>年齢限定修正3</v>
      </c>
      <c r="S1" s="7" t="str">
        <f>CONCATENATE(Z打鍵!S1,"3")</f>
        <v>運限修正3</v>
      </c>
      <c r="T1" s="7" t="str">
        <f>CONCATENATE(Z打鍵!T1,"3")</f>
        <v>対物AMT3</v>
      </c>
      <c r="U1" s="7" t="str">
        <f>CONCATENATE(Z打鍵!U1,"3")</f>
        <v>対物LL3</v>
      </c>
      <c r="V1" s="7" t="str">
        <f>CONCATENATE(Z打鍵!V1,"3")</f>
        <v>搭乗者3</v>
      </c>
      <c r="W1" s="7" t="str">
        <f>CONCATENATE(Z打鍵!W1,"3")</f>
        <v>人傷種類3</v>
      </c>
      <c r="X1" s="7" t="s">
        <v>291</v>
      </c>
      <c r="Y1" s="7" t="str">
        <f>CONCATENATE(Z打鍵!Y1,"3")</f>
        <v>車両保険種類3</v>
      </c>
      <c r="Z1" s="7" t="str">
        <f>CONCATENATE(Z打鍵!Z1,"3")</f>
        <v>車両AMT3</v>
      </c>
      <c r="AA1" s="7" t="str">
        <f>CONCATENATE(Z打鍵!AA1,"3")</f>
        <v>車両免責3</v>
      </c>
      <c r="AB1" s="7" t="str">
        <f>CONCATENATE(Z打鍵!AB1,"3")</f>
        <v>積載動産3</v>
      </c>
      <c r="AC1" s="7" t="str">
        <f>CONCATENATE(Z打鍵!AC1,"3")</f>
        <v>代車費用3</v>
      </c>
      <c r="AD1" s="7" t="str">
        <f>CONCATENATE(Z打鍵!AD1,"3")</f>
        <v>地噴津3</v>
      </c>
      <c r="AE1" s="7" t="str">
        <f>CONCATENATE(Z打鍵!AE1,"3")</f>
        <v>弁特3</v>
      </c>
      <c r="AF1" s="7" t="str">
        <f>CONCATENATE(Z打鍵!AF1,"3")</f>
        <v>原付3</v>
      </c>
      <c r="AG1" s="7" t="str">
        <f>CONCATENATE(Z打鍵!AG1,"3")</f>
        <v>個賠3</v>
      </c>
      <c r="AH1" s="7" t="str">
        <f>CONCATENATE(Z打鍵!AH1,"3")</f>
        <v>傷害3</v>
      </c>
      <c r="AI1" s="7" t="str">
        <f>CONCATENATE(Z打鍵!AI1,"3")</f>
        <v>地噴津死亡傷害3</v>
      </c>
      <c r="AJ1" s="7" t="s">
        <v>79</v>
      </c>
      <c r="AK1" s="7" t="s">
        <v>62</v>
      </c>
      <c r="AL1" s="3" t="s">
        <v>0</v>
      </c>
      <c r="AM1" s="3" t="s">
        <v>1</v>
      </c>
      <c r="AN1" s="3" t="s">
        <v>346</v>
      </c>
      <c r="AO1" s="3" t="s">
        <v>347</v>
      </c>
      <c r="AP1" s="3" t="s">
        <v>348</v>
      </c>
    </row>
    <row r="2" spans="1:42" x14ac:dyDescent="0.15">
      <c r="A2" s="8" t="str">
        <f>VLOOKUP(Z打鍵!$A2,ヘンスウチ!$B$3:$C$9,2,FALSE)</f>
        <v>2022(令和04)</v>
      </c>
      <c r="B2" s="8">
        <f>Z打鍵!$B2</f>
        <v>12</v>
      </c>
      <c r="C2" s="8">
        <f>Z打鍵!$C2</f>
        <v>1</v>
      </c>
      <c r="D2" s="8" t="str">
        <f>VLOOKUP(Z打鍵!$D2,ヘンスウチ!$E$3:$F$24,2,FALSE)</f>
        <v>20 等級</v>
      </c>
      <c r="E2" s="8" t="str">
        <f>Z打鍵!$E2</f>
        <v>なし</v>
      </c>
      <c r="F2" s="8" t="str">
        <f>VLOOKUP(Z打鍵!$F2,ヘンスウチ!$H$23:$I$26,2,FALSE)</f>
        <v>35歳以上補償</v>
      </c>
      <c r="G2" s="8" t="str">
        <f>VLOOKUP(Z打鍵!$G2,ヘンスウチ!$B$59:$C$166,2,FALSE)</f>
        <v>2017(平成29)</v>
      </c>
      <c r="H2" s="8">
        <f>Z打鍵!$H2</f>
        <v>12</v>
      </c>
      <c r="I2" s="8" t="str">
        <f>Z打鍵!$I2</f>
        <v>DJ5FS</v>
      </c>
      <c r="J2" s="8" t="str">
        <f>Z打鍵!$J2</f>
        <v>なし</v>
      </c>
      <c r="K2" s="8" t="str">
        <f>IF(AND(Z打鍵!$K2=1989,Z打鍵!$L2=1,Z打鍵!$M2&lt;=7),"1989(昭和64)",VLOOKUP(Z打鍵!$K2,ヘンスウチ!$B$65:$C$166,2,FALSE))</f>
        <v>1992(平成04)</v>
      </c>
      <c r="L2" s="30">
        <f>Z打鍵!$L2</f>
        <v>12</v>
      </c>
      <c r="M2" s="8">
        <f>Z打鍵!$M2</f>
        <v>1</v>
      </c>
      <c r="N2" s="8" t="str">
        <f>VLOOKUP(Z打鍵!$N2,ヘンスウチ!$H$3:$I$9,2,FALSE)</f>
        <v>東京</v>
      </c>
      <c r="O2" s="8" t="str">
        <f>Z打鍵!$O2</f>
        <v>ゴールド</v>
      </c>
      <c r="P2" s="8" t="str">
        <f>Z打鍵!$P2</f>
        <v>日常</v>
      </c>
      <c r="Q2" s="8">
        <f>VLOOKUP(Z打鍵!$Q2,ヘンスウチ!$E$26:$F$56,2,FALSE)</f>
        <v>1</v>
      </c>
      <c r="R2" s="8" t="str">
        <f>VLOOKUP(Z打鍵!$R2,ヘンスウチ!$H$29:$I$32,2,FALSE)</f>
        <v>30歳以上補償</v>
      </c>
      <c r="S2" s="8" t="str">
        <f>VLOOKUP(Z打鍵!$S2,ヘンスウチ!$H$18:$I$20,2,FALSE)</f>
        <v>本人と配偶者</v>
      </c>
      <c r="T2" s="8" t="str">
        <f>VLOOKUP(Z打鍵!$T2,ヘンスウチ!$K$14:$L$19,2,FALSE)</f>
        <v>無制限</v>
      </c>
      <c r="U2" s="8" t="str">
        <f>VLOOKUP(Z打鍵!$U2,ヘンスウチ!$K$38:$L$40,2,FALSE)</f>
        <v>なし</v>
      </c>
      <c r="V2" s="8" t="str">
        <f>VLOOKUP(Z打鍵!$V2,ヘンスウチ!$K$22:$L$24,2,FALSE)</f>
        <v>1,000万円</v>
      </c>
      <c r="W2" s="8" t="str">
        <f>Z打鍵!$W2</f>
        <v>車内外</v>
      </c>
      <c r="X2" s="8" t="str">
        <f>VLOOKUP(Z打鍵!$X2,ヘンスウチ!$K$27:$L$35,2,FALSE)</f>
        <v>3,000万円</v>
      </c>
      <c r="Y2" s="8" t="str">
        <f>VLOOKUP(Z打鍵!$Y2,ヘンスウチ!$K$4:$L$6,2,FALSE)</f>
        <v>ワイドカバー型（一般条件）</v>
      </c>
      <c r="Z2" s="8" t="str">
        <f>CONCATENATE(Z打鍵!$Z2,"万円")</f>
        <v>110万円</v>
      </c>
      <c r="AA2" s="8" t="str">
        <f>VLOOKUP(Z打鍵!$AA2,ヘンスウチ!$K$9:$L$11,2,FALSE)</f>
        <v>あり</v>
      </c>
      <c r="AB2" s="8" t="str">
        <f>Z打鍵!$AB2</f>
        <v>なし</v>
      </c>
      <c r="AC2" s="8" t="str">
        <f>Z打鍵!$AC2</f>
        <v>なし</v>
      </c>
      <c r="AD2" s="8" t="str">
        <f>Z打鍵!$AD2</f>
        <v>なし</v>
      </c>
      <c r="AE2" s="8" t="str">
        <f>Z打鍵!$AE2</f>
        <v>あり</v>
      </c>
      <c r="AF2" s="8" t="str">
        <f>Z打鍵!$AF2</f>
        <v>なし</v>
      </c>
      <c r="AG2" s="8" t="str">
        <f>VLOOKUP(Z打鍵!$AG2,ヘンスウチ!$K$52:$L$55,2,FALSE)</f>
        <v>なし</v>
      </c>
      <c r="AH2" s="8" t="str">
        <f>VLOOKUP(Z打鍵!$AH2,ヘンスウチ!$K$58:$L$61,2,FALSE)</f>
        <v>なし</v>
      </c>
      <c r="AI2" s="8" t="str">
        <f>VLOOKUP(Z打鍵!$AI2,ヘンスウチ!$K$58:$L$61,2,FALSE)</f>
        <v>なし</v>
      </c>
      <c r="AJ2" s="8" t="str">
        <f>IF(OR(Z打鍵!$D2="6S",Z打鍵!$D2="7S"),"純新規","純新規以外")</f>
        <v>純新規以外</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8">
        <f>COUNTA(Z打鍵!$A:$A)-1+2</f>
        <v>313</v>
      </c>
      <c r="AM2" s="30">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2022-10-06T09:45:56Z</dcterms:modified>
</cp:coreProperties>
</file>