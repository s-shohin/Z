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safic\Documents\ファイル元帳\"/>
    </mc:Choice>
  </mc:AlternateContent>
  <bookViews>
    <workbookView xWindow="0" yWindow="0" windowWidth="20490" windowHeight="8475" tabRatio="874" activeTab="1"/>
  </bookViews>
  <sheets>
    <sheet name="説明書" sheetId="8" r:id="rId1"/>
    <sheet name="Z打鍵" sheetId="1" r:id="rId2"/>
    <sheet name="ヘンスウチ" sheetId="2" r:id="rId3"/>
    <sheet name="ランダマイザー" sheetId="3" r:id="rId4"/>
    <sheet name="関数" sheetId="6" r:id="rId5"/>
  </sheets>
  <definedNames>
    <definedName name="_xlnm._FilterDatabase" localSheetId="1" hidden="1">Z打鍵!$A$1:$BY$642</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101" i="8" l="1"/>
  <c r="AF101" i="8"/>
  <c r="AA101" i="8"/>
  <c r="Z101" i="8"/>
  <c r="W101" i="8"/>
  <c r="AJ100" i="8"/>
  <c r="AH100" i="8"/>
  <c r="AH101" i="8" s="1"/>
  <c r="AG100" i="8"/>
  <c r="AG101" i="8" s="1"/>
  <c r="AF100" i="8"/>
  <c r="AD100" i="8"/>
  <c r="AD101" i="8" s="1"/>
  <c r="AC100" i="8"/>
  <c r="AC101" i="8" s="1"/>
  <c r="AB100" i="8"/>
  <c r="AB101" i="8" s="1"/>
  <c r="AA100" i="8"/>
  <c r="Z100" i="8"/>
  <c r="Y100" i="8"/>
  <c r="Y101" i="8" s="1"/>
  <c r="X100" i="8"/>
  <c r="X101" i="8" s="1"/>
  <c r="W100" i="8"/>
  <c r="V100" i="8"/>
  <c r="V101" i="8" s="1"/>
  <c r="U100" i="8"/>
  <c r="U101" i="8" s="1"/>
  <c r="AJ97" i="8"/>
  <c r="AH97" i="8"/>
  <c r="AG97" i="8"/>
  <c r="AF97" i="8"/>
  <c r="AC97" i="8"/>
  <c r="AB97" i="8"/>
  <c r="AA97" i="8"/>
  <c r="Z97" i="8"/>
  <c r="Y97" i="8"/>
  <c r="W97" i="8"/>
  <c r="V97" i="8"/>
  <c r="U97" i="8"/>
  <c r="AF96" i="8"/>
  <c r="AD96" i="8"/>
  <c r="AD97" i="8" s="1"/>
  <c r="V96" i="8"/>
  <c r="X96" i="8" s="1"/>
  <c r="X97" i="8" s="1"/>
  <c r="AI93" i="8"/>
  <c r="AE93" i="8"/>
  <c r="AJ84" i="8"/>
  <c r="AJ85" i="8" s="1"/>
  <c r="AI84" i="8"/>
  <c r="AI85" i="8" s="1"/>
  <c r="AH84" i="8"/>
  <c r="AH85" i="8" s="1"/>
  <c r="AG84" i="8"/>
  <c r="AG85" i="8" s="1"/>
  <c r="AF84" i="8"/>
  <c r="AF85" i="8" s="1"/>
  <c r="AE84" i="8"/>
  <c r="AE85" i="8" s="1"/>
  <c r="AD84" i="8"/>
  <c r="AD85" i="8" s="1"/>
  <c r="AC84" i="8"/>
  <c r="AC85" i="8" s="1"/>
  <c r="AB84" i="8"/>
  <c r="AB85" i="8" s="1"/>
  <c r="AA84" i="8"/>
  <c r="AA85" i="8" s="1"/>
  <c r="Z84" i="8"/>
  <c r="Z85" i="8" s="1"/>
  <c r="Y84" i="8"/>
  <c r="Y85" i="8" s="1"/>
  <c r="X84" i="8"/>
  <c r="X85" i="8" s="1"/>
  <c r="W84" i="8"/>
  <c r="W85" i="8" s="1"/>
  <c r="V84" i="8"/>
  <c r="V85" i="8" s="1"/>
  <c r="U84" i="8"/>
  <c r="U85" i="8" s="1"/>
  <c r="AJ81" i="8"/>
  <c r="AI81" i="8"/>
  <c r="AH81" i="8"/>
  <c r="AG81" i="8"/>
  <c r="AF81" i="8"/>
  <c r="AE81" i="8"/>
  <c r="AD81" i="8"/>
  <c r="AC81" i="8"/>
  <c r="AB81" i="8"/>
  <c r="AA81" i="8"/>
  <c r="Z81" i="8"/>
  <c r="Y81" i="8"/>
  <c r="X81" i="8"/>
  <c r="W81" i="8"/>
  <c r="V81" i="8"/>
  <c r="U81" i="8"/>
  <c r="BR1" i="1" l="1"/>
  <c r="BQ1" i="1"/>
  <c r="BP1" i="1"/>
  <c r="BO1" i="1"/>
  <c r="BN1" i="1"/>
  <c r="BM1" i="1"/>
  <c r="BL1" i="1"/>
  <c r="BK1" i="1"/>
  <c r="BJ1" i="1"/>
  <c r="BI1" i="1"/>
  <c r="BH1" i="1"/>
  <c r="BF1" i="1"/>
  <c r="BE1" i="1"/>
  <c r="BD1" i="1"/>
  <c r="BC1" i="1"/>
  <c r="BB1" i="1"/>
  <c r="BA1" i="1"/>
  <c r="AZ1" i="1"/>
  <c r="AY1" i="1"/>
  <c r="AX1" i="1"/>
  <c r="AW1" i="1"/>
  <c r="AV1" i="1"/>
  <c r="AU1" i="1"/>
  <c r="AT1" i="1"/>
  <c r="AR1" i="1"/>
  <c r="AQ1" i="1"/>
  <c r="AP1" i="1"/>
  <c r="AO1" i="1"/>
  <c r="AN1" i="1"/>
  <c r="AM1" i="1"/>
  <c r="AL1" i="1"/>
  <c r="AK1" i="1"/>
  <c r="AJ1" i="1"/>
  <c r="W31" i="8" l="1"/>
  <c r="W32" i="8" s="1"/>
  <c r="V31" i="8"/>
  <c r="V32" i="8" s="1"/>
  <c r="U31" i="8"/>
  <c r="U32" i="8" s="1"/>
  <c r="X28" i="8"/>
  <c r="X31" i="8" s="1"/>
  <c r="X32" i="8" s="1"/>
  <c r="Z186" i="8" l="1"/>
  <c r="Z185" i="8"/>
  <c r="AE164" i="8" l="1"/>
  <c r="AE165" i="8" l="1"/>
  <c r="AE166" i="8"/>
  <c r="AE172" i="8"/>
  <c r="AE179" i="8" s="1"/>
  <c r="AE193" i="8" s="1"/>
  <c r="AE171" i="8"/>
  <c r="AE178" i="8" s="1"/>
  <c r="AE192" i="8" s="1"/>
  <c r="G2" i="6"/>
  <c r="B60" i="2"/>
  <c r="B61" i="2" s="1"/>
  <c r="B62" i="2" s="1"/>
  <c r="B63" i="2" s="1"/>
  <c r="B64" i="2" s="1"/>
  <c r="B65" i="2" s="1"/>
  <c r="B66" i="2" s="1"/>
  <c r="B67" i="2" s="1"/>
  <c r="AE167" i="8" l="1"/>
  <c r="AE173" i="8"/>
  <c r="AE180" i="8" s="1"/>
  <c r="AE194" i="8" s="1"/>
  <c r="AE174" i="8" l="1"/>
  <c r="AE181" i="8" s="1"/>
  <c r="AE195" i="8" s="1"/>
  <c r="AE168" i="8"/>
  <c r="AE175" i="8" l="1"/>
  <c r="AE182" i="8" s="1"/>
  <c r="AE196" i="8" s="1"/>
  <c r="AE108" i="8" l="1"/>
  <c r="AE109" i="8" s="1"/>
  <c r="AE110" i="8" s="1"/>
  <c r="AE111" i="8" s="1"/>
  <c r="AE112" i="8" s="1"/>
  <c r="AE113" i="8" s="1"/>
  <c r="AE114" i="8" s="1"/>
  <c r="AE115" i="8" s="1"/>
  <c r="AE116" i="8" s="1"/>
  <c r="AE117" i="8" s="1"/>
  <c r="AE118" i="8" s="1"/>
  <c r="AE119" i="8" s="1"/>
  <c r="AE120" i="8" s="1"/>
  <c r="AE121" i="8" s="1"/>
  <c r="AE122" i="8" s="1"/>
  <c r="AE123" i="8" s="1"/>
  <c r="AE124" i="8" s="1"/>
  <c r="AE125" i="8" s="1"/>
  <c r="AE126" i="8" s="1"/>
  <c r="AE127" i="8" s="1"/>
  <c r="AE128" i="8" s="1"/>
  <c r="AE129" i="8" s="1"/>
  <c r="AE130" i="8" s="1"/>
  <c r="Z108" i="8"/>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Z137" i="8" s="1"/>
  <c r="Z138" i="8" s="1"/>
  <c r="Z139" i="8" s="1"/>
  <c r="Z140" i="8" s="1"/>
  <c r="Z141" i="8" s="1"/>
  <c r="Z142" i="8" s="1"/>
  <c r="Z143" i="8" s="1"/>
  <c r="Z144" i="8" s="1"/>
  <c r="Z145" i="8" s="1"/>
  <c r="Z146" i="8" s="1"/>
  <c r="Z147" i="8" s="1"/>
  <c r="Z148" i="8" s="1"/>
  <c r="Z149" i="8" s="1"/>
  <c r="Z150" i="8" s="1"/>
  <c r="Z151" i="8" s="1"/>
  <c r="Z152" i="8" s="1"/>
  <c r="Z153" i="8" s="1"/>
  <c r="Z154" i="8" s="1"/>
  <c r="Z155" i="8" s="1"/>
  <c r="Z156" i="8" s="1"/>
  <c r="Z157" i="8" s="1"/>
  <c r="Z158" i="8" s="1"/>
  <c r="Z159" i="8" s="1"/>
  <c r="Z160" i="8" s="1"/>
  <c r="Z161" i="8" s="1"/>
  <c r="Z162" i="8" s="1"/>
  <c r="Z163" i="8" s="1"/>
  <c r="Z164" i="8" s="1"/>
  <c r="Z165" i="8" s="1"/>
  <c r="Z166" i="8" s="1"/>
  <c r="Z167" i="8" s="1"/>
  <c r="Z168" i="8" s="1"/>
  <c r="Z169" i="8" s="1"/>
  <c r="Z170" i="8" s="1"/>
  <c r="Z171" i="8" s="1"/>
  <c r="Z172" i="8" s="1"/>
  <c r="Z173" i="8" s="1"/>
  <c r="Z174" i="8" s="1"/>
  <c r="Z175" i="8" s="1"/>
  <c r="Z176" i="8" s="1"/>
  <c r="Z177" i="8" s="1"/>
  <c r="Z178" i="8" s="1"/>
  <c r="Z179" i="8" s="1"/>
  <c r="Z180" i="8" s="1"/>
  <c r="Z181" i="8" s="1"/>
  <c r="Z182" i="8" s="1"/>
  <c r="Z184" i="8" s="1"/>
  <c r="AE131" i="8" l="1"/>
  <c r="AE132" i="8" s="1"/>
  <c r="AE133" i="8" s="1"/>
  <c r="AE134" i="8" s="1"/>
  <c r="AE135" i="8" s="1"/>
  <c r="AE136" i="8" s="1"/>
  <c r="AE137" i="8" s="1"/>
  <c r="AE138" i="8" s="1"/>
  <c r="AE139" i="8" s="1"/>
  <c r="AE140" i="8" s="1"/>
  <c r="AE141" i="8" s="1"/>
  <c r="AE142" i="8" s="1"/>
  <c r="AE143" i="8" s="1"/>
  <c r="AE144" i="8" s="1"/>
  <c r="AE145" i="8" s="1"/>
  <c r="AE146" i="8" s="1"/>
  <c r="AE147" i="8" s="1"/>
  <c r="AE148" i="8" s="1"/>
  <c r="AE150" i="8" s="1"/>
  <c r="AE151" i="8" s="1"/>
  <c r="AE152" i="8" s="1"/>
  <c r="AE153" i="8" s="1"/>
  <c r="AE154" i="8" s="1"/>
  <c r="AE155" i="8" s="1"/>
  <c r="AE156" i="8" s="1"/>
  <c r="AE157" i="8" s="1"/>
  <c r="AE158" i="8" s="1"/>
  <c r="AE159" i="8" s="1"/>
  <c r="Z187" i="8" l="1"/>
  <c r="Z188" i="8" l="1"/>
  <c r="Z189" i="8" l="1"/>
  <c r="Z190" i="8" l="1"/>
  <c r="Z191" i="8" l="1"/>
  <c r="Z192" i="8" l="1"/>
  <c r="AK2" i="6"/>
  <c r="Z193" i="8" l="1"/>
  <c r="Z194" i="8" l="1"/>
  <c r="Z195" i="8" l="1"/>
  <c r="AM2" i="6"/>
  <c r="Z196" i="8" l="1"/>
  <c r="Z197" i="8" l="1"/>
  <c r="Z198" i="8" l="1"/>
  <c r="Z199" i="8" l="1"/>
  <c r="K63" i="3" l="1"/>
  <c r="K53" i="3"/>
  <c r="K54" i="3" s="1"/>
  <c r="K55" i="3" s="1"/>
  <c r="K56" i="3" s="1"/>
  <c r="K57" i="3" s="1"/>
  <c r="K58" i="3" s="1"/>
  <c r="K59" i="3" s="1"/>
  <c r="K60" i="3" s="1"/>
  <c r="K61" i="3" s="1"/>
  <c r="K62" i="3" s="1"/>
  <c r="K11" i="3"/>
  <c r="K10" i="3" s="1"/>
  <c r="K9" i="3" s="1"/>
  <c r="K8" i="3" s="1"/>
  <c r="K7" i="3" s="1"/>
  <c r="K6" i="3" s="1"/>
  <c r="K5" i="3" s="1"/>
  <c r="K4" i="3" s="1"/>
  <c r="K3" i="3" s="1"/>
  <c r="K12" i="3"/>
  <c r="L13" i="3" l="1"/>
  <c r="K14" i="3"/>
  <c r="K15" i="3" s="1"/>
  <c r="K16" i="3" s="1"/>
  <c r="K17" i="3" s="1"/>
  <c r="K18" i="3" s="1"/>
  <c r="K19" i="3" s="1"/>
  <c r="K20" i="3" s="1"/>
  <c r="K21" i="3" s="1"/>
  <c r="K22" i="3" s="1"/>
  <c r="K23" i="3" s="1"/>
  <c r="K24" i="3" s="1"/>
  <c r="K25" i="3" s="1"/>
  <c r="K26" i="3" s="1"/>
  <c r="K27" i="3" s="1"/>
  <c r="K28" i="3" s="1"/>
  <c r="K29" i="3" s="1"/>
  <c r="K30" i="3" s="1"/>
  <c r="K31" i="3" s="1"/>
  <c r="K32" i="3" s="1"/>
  <c r="K33" i="3" s="1"/>
  <c r="K34" i="3" s="1"/>
  <c r="K35" i="3" s="1"/>
  <c r="K36" i="3" s="1"/>
  <c r="K37" i="3" s="1"/>
  <c r="K38" i="3" s="1"/>
  <c r="K39" i="3" s="1"/>
  <c r="K40" i="3" s="1"/>
  <c r="K41" i="3" s="1"/>
  <c r="K42" i="3" s="1"/>
  <c r="K43" i="3" s="1"/>
  <c r="K44" i="3" s="1"/>
  <c r="K45" i="3" s="1"/>
  <c r="K46" i="3" s="1"/>
  <c r="K47" i="3" s="1"/>
  <c r="K48" i="3" s="1"/>
  <c r="K49" i="3" s="1"/>
  <c r="K50" i="3" s="1"/>
  <c r="K51" i="3" s="1"/>
  <c r="K52" i="3" s="1"/>
  <c r="L14" i="3" l="1"/>
  <c r="L15" i="3" s="1"/>
  <c r="L16" i="3" s="1"/>
  <c r="L12" i="3"/>
  <c r="L11" i="3" l="1"/>
  <c r="L10" i="3" s="1"/>
  <c r="L9" i="3" s="1"/>
  <c r="L17" i="3"/>
  <c r="L18" i="3" s="1"/>
  <c r="L19" i="3" s="1"/>
  <c r="L8" i="3" l="1"/>
  <c r="L20" i="3"/>
  <c r="L21" i="3" s="1"/>
  <c r="L22" i="3" s="1"/>
  <c r="B68" i="2"/>
  <c r="B69" i="2" s="1"/>
  <c r="B70" i="2" s="1"/>
  <c r="B71" i="2" s="1"/>
  <c r="B72" i="2" s="1"/>
  <c r="B73" i="2" s="1"/>
  <c r="B74" i="2" s="1"/>
  <c r="B75" i="2" s="1"/>
  <c r="B76" i="2" s="1"/>
  <c r="B77" i="2" s="1"/>
  <c r="B78" i="2" s="1"/>
  <c r="B79" i="2" s="1"/>
  <c r="B80" i="2" s="1"/>
  <c r="B81" i="2" s="1"/>
  <c r="B82" i="2" s="1"/>
  <c r="B83" i="2" s="1"/>
  <c r="B84" i="2" s="1"/>
  <c r="B85" i="2" s="1"/>
  <c r="B86" i="2" s="1"/>
  <c r="B87" i="2" s="1"/>
  <c r="B88" i="2" s="1"/>
  <c r="B89" i="2" s="1"/>
  <c r="B90" i="2" s="1"/>
  <c r="B91" i="2" s="1"/>
  <c r="B92" i="2" s="1"/>
  <c r="B93" i="2" s="1"/>
  <c r="B94" i="2" s="1"/>
  <c r="B95" i="2" s="1"/>
  <c r="B96" i="2" s="1"/>
  <c r="B97" i="2" s="1"/>
  <c r="B98" i="2" s="1"/>
  <c r="B99" i="2" s="1"/>
  <c r="B100" i="2" s="1"/>
  <c r="B101" i="2" s="1"/>
  <c r="B102" i="2" s="1"/>
  <c r="B103" i="2" s="1"/>
  <c r="B104" i="2" s="1"/>
  <c r="B105" i="2" s="1"/>
  <c r="B106" i="2" s="1"/>
  <c r="B107" i="2" s="1"/>
  <c r="B108" i="2" s="1"/>
  <c r="B109" i="2" s="1"/>
  <c r="B110" i="2" s="1"/>
  <c r="B111" i="2" s="1"/>
  <c r="B112" i="2" s="1"/>
  <c r="B113" i="2" s="1"/>
  <c r="B114" i="2" s="1"/>
  <c r="B115" i="2" s="1"/>
  <c r="B116" i="2" s="1"/>
  <c r="B117" i="2" s="1"/>
  <c r="B118" i="2" s="1"/>
  <c r="B119" i="2" s="1"/>
  <c r="B120" i="2" s="1"/>
  <c r="B121" i="2" s="1"/>
  <c r="B122" i="2" s="1"/>
  <c r="B123" i="2" s="1"/>
  <c r="B124" i="2" s="1"/>
  <c r="B125" i="2" s="1"/>
  <c r="B126" i="2" s="1"/>
  <c r="B127" i="2" s="1"/>
  <c r="B128" i="2" s="1"/>
  <c r="B129" i="2" s="1"/>
  <c r="B130" i="2" s="1"/>
  <c r="B131" i="2" s="1"/>
  <c r="B132" i="2" s="1"/>
  <c r="B133" i="2" s="1"/>
  <c r="B134" i="2" s="1"/>
  <c r="B135" i="2" s="1"/>
  <c r="B136" i="2" s="1"/>
  <c r="B137" i="2" s="1"/>
  <c r="B138" i="2" s="1"/>
  <c r="B139" i="2" s="1"/>
  <c r="B140" i="2" s="1"/>
  <c r="B141" i="2" s="1"/>
  <c r="B142" i="2" s="1"/>
  <c r="B143" i="2" s="1"/>
  <c r="B144" i="2" s="1"/>
  <c r="B145" i="2" s="1"/>
  <c r="B146" i="2" s="1"/>
  <c r="B147" i="2" s="1"/>
  <c r="B148" i="2" s="1"/>
  <c r="B149" i="2" s="1"/>
  <c r="B150" i="2" s="1"/>
  <c r="B151" i="2" s="1"/>
  <c r="B152" i="2" s="1"/>
  <c r="B153" i="2" s="1"/>
  <c r="B154" i="2" s="1"/>
  <c r="B155" i="2" s="1"/>
  <c r="B156" i="2" s="1"/>
  <c r="B157" i="2" s="1"/>
  <c r="B158" i="2" s="1"/>
  <c r="B159" i="2" s="1"/>
  <c r="B160" i="2" s="1"/>
  <c r="B161" i="2" s="1"/>
  <c r="B162" i="2" s="1"/>
  <c r="B163" i="2" s="1"/>
  <c r="B164" i="2" s="1"/>
  <c r="B165" i="2" s="1"/>
  <c r="B166" i="2" s="1"/>
  <c r="L23" i="3" l="1"/>
  <c r="L7" i="3"/>
  <c r="L6" i="3" s="1"/>
  <c r="W22" i="8"/>
  <c r="X22" i="8" s="1"/>
  <c r="L5" i="3" l="1"/>
  <c r="L4" i="3" s="1"/>
  <c r="L24" i="3"/>
  <c r="L25" i="3" s="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AN2" i="6"/>
  <c r="L54" i="3" l="1"/>
  <c r="L55" i="3" s="1"/>
  <c r="L56" i="3" s="1"/>
  <c r="L57" i="3" s="1"/>
  <c r="L58" i="3" s="1"/>
  <c r="L59" i="3" s="1"/>
  <c r="L60" i="3" s="1"/>
  <c r="L61" i="3" s="1"/>
  <c r="L62" i="3" s="1"/>
  <c r="L63" i="3" s="1"/>
  <c r="L3" i="3"/>
  <c r="H4" i="3"/>
  <c r="H5" i="3" s="1"/>
  <c r="H6" i="3" s="1"/>
  <c r="H7" i="3" s="1"/>
  <c r="H8" i="3" s="1"/>
  <c r="H9" i="3" s="1"/>
  <c r="H10" i="3" s="1"/>
  <c r="H11" i="3" s="1"/>
  <c r="H12" i="3" s="1"/>
  <c r="H13" i="3" s="1"/>
  <c r="H14" i="3" s="1"/>
  <c r="H15" i="3" s="1"/>
  <c r="H16" i="3" s="1"/>
  <c r="H17" i="3" s="1"/>
  <c r="H18" i="3" s="1"/>
  <c r="H19" i="3" s="1"/>
  <c r="H20" i="3" s="1"/>
  <c r="H21" i="3" s="1"/>
  <c r="H22" i="3" s="1"/>
  <c r="H23" i="3" s="1"/>
  <c r="H24" i="3" s="1"/>
  <c r="H25" i="3" s="1"/>
  <c r="H26" i="3" s="1"/>
  <c r="H27" i="3" s="1"/>
  <c r="H28" i="3" s="1"/>
  <c r="H29" i="3" s="1"/>
  <c r="H30" i="3" s="1"/>
  <c r="H31" i="3" s="1"/>
  <c r="H32" i="3" s="1"/>
  <c r="H33" i="3" s="1"/>
  <c r="H34" i="3" s="1"/>
  <c r="H35" i="3" s="1"/>
  <c r="H36" i="3" s="1"/>
  <c r="H37" i="3" s="1"/>
  <c r="H38" i="3" s="1"/>
  <c r="H39" i="3" s="1"/>
  <c r="H40" i="3" s="1"/>
  <c r="H41" i="3" s="1"/>
  <c r="H42" i="3" s="1"/>
  <c r="J2" i="6" l="1"/>
  <c r="AP2" i="6" l="1"/>
  <c r="AL2" i="6" l="1"/>
  <c r="AJ2" i="6"/>
  <c r="AI2" i="6"/>
  <c r="AH2" i="6"/>
  <c r="AG2" i="6"/>
  <c r="AF2" i="6"/>
  <c r="AE2" i="6"/>
  <c r="AD2" i="6"/>
  <c r="AC2" i="6"/>
  <c r="AB2" i="6"/>
  <c r="AA2" i="6"/>
  <c r="Z2" i="6"/>
  <c r="Y2" i="6"/>
  <c r="X2" i="6"/>
  <c r="W2" i="6"/>
  <c r="V2" i="6"/>
  <c r="U2" i="6"/>
  <c r="T2" i="6"/>
  <c r="S2" i="6"/>
  <c r="R2" i="6"/>
  <c r="P2" i="6"/>
  <c r="O2" i="6"/>
  <c r="N2" i="6"/>
  <c r="M2" i="6"/>
  <c r="L2" i="6"/>
  <c r="I2" i="6"/>
  <c r="H2" i="6"/>
  <c r="F2" i="6"/>
  <c r="E2" i="6"/>
  <c r="D2" i="6"/>
  <c r="C2" i="6"/>
  <c r="B2" i="6"/>
  <c r="A2" i="6"/>
  <c r="AI1" i="6"/>
  <c r="AH1" i="6"/>
  <c r="AG1" i="6"/>
  <c r="AF1" i="6"/>
  <c r="AE1" i="6"/>
  <c r="AD1" i="6"/>
  <c r="AC1" i="6"/>
  <c r="AB1" i="6"/>
  <c r="AA1" i="6"/>
  <c r="Z1" i="6"/>
  <c r="Y1" i="6"/>
  <c r="W1" i="6"/>
  <c r="V1" i="6"/>
  <c r="U1" i="6"/>
  <c r="T1" i="6"/>
  <c r="S1" i="6"/>
  <c r="R1" i="6"/>
  <c r="Q1" i="6"/>
  <c r="P1" i="6"/>
  <c r="O1" i="6"/>
  <c r="N1" i="6"/>
  <c r="M1" i="6"/>
  <c r="L1" i="6"/>
  <c r="K1" i="6"/>
  <c r="I1" i="6"/>
  <c r="H1" i="6"/>
  <c r="G1" i="6"/>
  <c r="F1" i="6"/>
  <c r="E1" i="6"/>
  <c r="D1" i="6"/>
  <c r="C1" i="6"/>
  <c r="B1" i="6"/>
  <c r="A1" i="6"/>
  <c r="E15" i="3"/>
  <c r="E14" i="3"/>
  <c r="E13" i="3"/>
  <c r="E12" i="3"/>
  <c r="E11" i="3"/>
  <c r="E10" i="3"/>
  <c r="E9" i="3"/>
  <c r="I3" i="3" s="1"/>
  <c r="I4" i="3" l="1"/>
  <c r="I5" i="3" l="1"/>
  <c r="I6" i="3" l="1"/>
  <c r="I7" i="3" l="1"/>
  <c r="I8" i="3" l="1"/>
  <c r="E28" i="2"/>
  <c r="I9" i="3" l="1"/>
  <c r="E29" i="2"/>
  <c r="E30" i="2" s="1"/>
  <c r="E31" i="2" s="1"/>
  <c r="E32" i="2" s="1"/>
  <c r="E33" i="2" s="1"/>
  <c r="E34" i="2" s="1"/>
  <c r="E35" i="2" s="1"/>
  <c r="E36" i="2" s="1"/>
  <c r="E37" i="2" s="1"/>
  <c r="E38" i="2" s="1"/>
  <c r="E39" i="2" s="1"/>
  <c r="E40" i="2" s="1"/>
  <c r="E41" i="2" s="1"/>
  <c r="E42" i="2" s="1"/>
  <c r="E43" i="2" s="1"/>
  <c r="E44" i="2" s="1"/>
  <c r="E45" i="2" s="1"/>
  <c r="E46" i="2" s="1"/>
  <c r="E47" i="2" s="1"/>
  <c r="E48" i="2" s="1"/>
  <c r="E49" i="2" s="1"/>
  <c r="E50" i="2" s="1"/>
  <c r="E51" i="2" s="1"/>
  <c r="E52" i="2" s="1"/>
  <c r="E53" i="2" s="1"/>
  <c r="E54" i="2" s="1"/>
  <c r="E55" i="2" s="1"/>
  <c r="E56" i="2" s="1"/>
  <c r="I10" i="3" l="1"/>
  <c r="Q2" i="6"/>
  <c r="I11" i="3" l="1"/>
  <c r="I12" i="3" l="1"/>
  <c r="I13" i="3" l="1"/>
  <c r="I14" i="3" l="1"/>
  <c r="K2" i="6" l="1"/>
  <c r="I15" i="3"/>
  <c r="I16" i="3" l="1"/>
  <c r="I17" i="3" l="1"/>
  <c r="I18" i="3" l="1"/>
  <c r="I19" i="3" l="1"/>
  <c r="I20" i="3" l="1"/>
  <c r="I21" i="3" l="1"/>
  <c r="I22" i="3" l="1"/>
  <c r="I23" i="3" l="1"/>
  <c r="I24" i="3" l="1"/>
  <c r="I25" i="3" l="1"/>
  <c r="I26" i="3" l="1"/>
  <c r="I27" i="3" l="1"/>
  <c r="I28" i="3" l="1"/>
  <c r="I29" i="3" l="1"/>
  <c r="I30" i="3" l="1"/>
  <c r="I31" i="3" l="1"/>
  <c r="I32" i="3" l="1"/>
  <c r="I33" i="3" l="1"/>
  <c r="I34" i="3" l="1"/>
  <c r="I35" i="3" l="1"/>
  <c r="I36" i="3" l="1"/>
  <c r="I37" i="3" l="1"/>
  <c r="I38" i="3" l="1"/>
  <c r="I39" i="3" l="1"/>
  <c r="I40" i="3" l="1"/>
  <c r="I41" i="3" l="1"/>
  <c r="I42" i="3" l="1"/>
</calcChain>
</file>

<file path=xl/sharedStrings.xml><?xml version="1.0" encoding="utf-8"?>
<sst xmlns="http://schemas.openxmlformats.org/spreadsheetml/2006/main" count="34312" uniqueCount="552">
  <si>
    <t>総件数</t>
    <rPh sb="0" eb="3">
      <t>ソウケンスウ</t>
    </rPh>
    <phoneticPr fontId="1"/>
  </si>
  <si>
    <t>現件数</t>
    <rPh sb="0" eb="1">
      <t>ゲン</t>
    </rPh>
    <rPh sb="1" eb="3">
      <t>ケンスウ</t>
    </rPh>
    <phoneticPr fontId="1"/>
  </si>
  <si>
    <t>西暦変換</t>
    <rPh sb="0" eb="2">
      <t>セイレキ</t>
    </rPh>
    <rPh sb="2" eb="4">
      <t>ヘンカン</t>
    </rPh>
    <phoneticPr fontId="1"/>
  </si>
  <si>
    <t>変換</t>
    <rPh sb="0" eb="2">
      <t>ヘンカン</t>
    </rPh>
    <phoneticPr fontId="1"/>
  </si>
  <si>
    <t>月変換</t>
    <rPh sb="0" eb="1">
      <t>ツキ</t>
    </rPh>
    <rPh sb="1" eb="3">
      <t>ヘンカン</t>
    </rPh>
    <phoneticPr fontId="1"/>
  </si>
  <si>
    <t>日変換</t>
    <rPh sb="0" eb="1">
      <t>ヒ</t>
    </rPh>
    <rPh sb="1" eb="3">
      <t>ヘンカン</t>
    </rPh>
    <phoneticPr fontId="1"/>
  </si>
  <si>
    <t>01</t>
    <phoneticPr fontId="1"/>
  </si>
  <si>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</si>
  <si>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</si>
  <si>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</si>
  <si>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</si>
  <si>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</si>
  <si>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</si>
  <si>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</si>
  <si>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</si>
  <si>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</si>
  <si>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</si>
  <si>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</si>
  <si>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</si>
  <si>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</si>
  <si>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</si>
  <si>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</si>
  <si>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</si>
  <si>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</si>
  <si>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</si>
  <si>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</si>
  <si>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</si>
  <si>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</si>
  <si>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</si>
  <si>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</si>
  <si>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</si>
  <si>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</si>
  <si>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27</t>
  </si>
  <si>
    <t>28</t>
  </si>
  <si>
    <t>29</t>
  </si>
  <si>
    <t>30</t>
  </si>
  <si>
    <t>31</t>
  </si>
  <si>
    <t>等級</t>
    <rPh sb="0" eb="2">
      <t>トウキュウ</t>
    </rPh>
    <phoneticPr fontId="1"/>
  </si>
  <si>
    <t>6S</t>
    <phoneticPr fontId="1"/>
  </si>
  <si>
    <t>7S</t>
    <phoneticPr fontId="1"/>
  </si>
  <si>
    <t>なし</t>
    <phoneticPr fontId="1"/>
  </si>
  <si>
    <t>走行距離</t>
    <rPh sb="0" eb="2">
      <t>ソウコウ</t>
    </rPh>
    <rPh sb="2" eb="4">
      <t>キョリ</t>
    </rPh>
    <phoneticPr fontId="1"/>
  </si>
  <si>
    <t>バリュー</t>
    <phoneticPr fontId="1"/>
  </si>
  <si>
    <t>地域</t>
    <rPh sb="0" eb="2">
      <t>チイキ</t>
    </rPh>
    <phoneticPr fontId="1"/>
  </si>
  <si>
    <t>北海道</t>
    <rPh sb="0" eb="3">
      <t>ホッカイドウ</t>
    </rPh>
    <phoneticPr fontId="1"/>
  </si>
  <si>
    <t>東北</t>
    <rPh sb="0" eb="2">
      <t>トウホク</t>
    </rPh>
    <phoneticPr fontId="1"/>
  </si>
  <si>
    <t>九州</t>
    <rPh sb="0" eb="2">
      <t>キュウシュウ</t>
    </rPh>
    <phoneticPr fontId="1"/>
  </si>
  <si>
    <t>四国</t>
    <rPh sb="0" eb="2">
      <t>シコク</t>
    </rPh>
    <phoneticPr fontId="1"/>
  </si>
  <si>
    <t>関東</t>
    <rPh sb="0" eb="2">
      <t>カントウ</t>
    </rPh>
    <phoneticPr fontId="1"/>
  </si>
  <si>
    <t>近畿</t>
    <rPh sb="0" eb="2">
      <t>キンキ</t>
    </rPh>
    <phoneticPr fontId="1"/>
  </si>
  <si>
    <t>中部</t>
    <rPh sb="0" eb="2">
      <t>チュウブ</t>
    </rPh>
    <phoneticPr fontId="1"/>
  </si>
  <si>
    <t>本人</t>
    <rPh sb="0" eb="2">
      <t>ホンニン</t>
    </rPh>
    <phoneticPr fontId="1"/>
  </si>
  <si>
    <t>本配</t>
    <rPh sb="0" eb="2">
      <t>ホンハイ</t>
    </rPh>
    <phoneticPr fontId="1"/>
  </si>
  <si>
    <t>家族</t>
    <rPh sb="0" eb="2">
      <t>カゾク</t>
    </rPh>
    <phoneticPr fontId="1"/>
  </si>
  <si>
    <t>限定なし</t>
    <rPh sb="0" eb="2">
      <t>ゲンテイ</t>
    </rPh>
    <phoneticPr fontId="1"/>
  </si>
  <si>
    <t>年齢</t>
    <rPh sb="0" eb="2">
      <t>ネンレイ</t>
    </rPh>
    <phoneticPr fontId="1"/>
  </si>
  <si>
    <t>バリュー</t>
    <phoneticPr fontId="1"/>
  </si>
  <si>
    <t>30歳以上</t>
    <rPh sb="2" eb="5">
      <t>サイイジョウ</t>
    </rPh>
    <phoneticPr fontId="1"/>
  </si>
  <si>
    <t>26歳以上</t>
    <rPh sb="2" eb="5">
      <t>サイイジョウ</t>
    </rPh>
    <phoneticPr fontId="1"/>
  </si>
  <si>
    <t>21歳以上</t>
    <rPh sb="2" eb="5">
      <t>サイイジョウ</t>
    </rPh>
    <phoneticPr fontId="1"/>
  </si>
  <si>
    <t>全年齢</t>
    <rPh sb="0" eb="3">
      <t>ゼンネンレイ</t>
    </rPh>
    <phoneticPr fontId="1"/>
  </si>
  <si>
    <t>連結3</t>
    <rPh sb="0" eb="2">
      <t>レンケツ</t>
    </rPh>
    <phoneticPr fontId="1"/>
  </si>
  <si>
    <t>運限変換</t>
    <rPh sb="0" eb="2">
      <t>ウンゲン</t>
    </rPh>
    <rPh sb="2" eb="4">
      <t>ヘンカン</t>
    </rPh>
    <phoneticPr fontId="1"/>
  </si>
  <si>
    <t>年限変換</t>
    <rPh sb="0" eb="2">
      <t>ネンゲン</t>
    </rPh>
    <rPh sb="2" eb="4">
      <t>ヘンカン</t>
    </rPh>
    <phoneticPr fontId="1"/>
  </si>
  <si>
    <t>車両免責</t>
    <rPh sb="0" eb="2">
      <t>シャリョウ</t>
    </rPh>
    <rPh sb="2" eb="4">
      <t>メンセキ</t>
    </rPh>
    <phoneticPr fontId="1"/>
  </si>
  <si>
    <t>あり</t>
    <phoneticPr fontId="1"/>
  </si>
  <si>
    <t>車両保険種類</t>
    <rPh sb="0" eb="2">
      <t>シャリョウ</t>
    </rPh>
    <rPh sb="2" eb="4">
      <t>ホケン</t>
    </rPh>
    <rPh sb="4" eb="6">
      <t>シュルイ</t>
    </rPh>
    <phoneticPr fontId="1"/>
  </si>
  <si>
    <t>あり</t>
  </si>
  <si>
    <t>対物AMT</t>
    <rPh sb="0" eb="2">
      <t>タイブツ</t>
    </rPh>
    <phoneticPr fontId="1"/>
  </si>
  <si>
    <t>無制限</t>
    <rPh sb="0" eb="3">
      <t>ムセイゲン</t>
    </rPh>
    <phoneticPr fontId="1"/>
  </si>
  <si>
    <t>対物変換</t>
    <rPh sb="0" eb="2">
      <t>タイブツ</t>
    </rPh>
    <rPh sb="2" eb="4">
      <t>ヘンカン</t>
    </rPh>
    <phoneticPr fontId="1"/>
  </si>
  <si>
    <t>搭傷AMT</t>
    <rPh sb="0" eb="2">
      <t>トウショウ</t>
    </rPh>
    <phoneticPr fontId="1"/>
  </si>
  <si>
    <t>搭傷変換</t>
    <rPh sb="0" eb="2">
      <t>トウショウ</t>
    </rPh>
    <rPh sb="2" eb="4">
      <t>ヘンカン</t>
    </rPh>
    <phoneticPr fontId="1"/>
  </si>
  <si>
    <t>人傷AMT</t>
    <rPh sb="0" eb="2">
      <t>ジンショウ</t>
    </rPh>
    <phoneticPr fontId="1"/>
  </si>
  <si>
    <t>人傷変換</t>
    <rPh sb="0" eb="2">
      <t>ジンショウ</t>
    </rPh>
    <rPh sb="2" eb="4">
      <t>ヘンカン</t>
    </rPh>
    <phoneticPr fontId="1"/>
  </si>
  <si>
    <t>純新規フラグ3</t>
    <rPh sb="0" eb="1">
      <t>ジュン</t>
    </rPh>
    <rPh sb="1" eb="3">
      <t>シンキ</t>
    </rPh>
    <phoneticPr fontId="1"/>
  </si>
  <si>
    <t>2018(平成30)</t>
    <rPh sb="5" eb="7">
      <t>ヘイセイ</t>
    </rPh>
    <phoneticPr fontId="1"/>
  </si>
  <si>
    <t>西暦</t>
    <rPh sb="0" eb="2">
      <t>セイレキ</t>
    </rPh>
    <phoneticPr fontId="1"/>
  </si>
  <si>
    <t>月</t>
    <rPh sb="0" eb="1">
      <t>ツキ</t>
    </rPh>
    <phoneticPr fontId="1"/>
  </si>
  <si>
    <t>日</t>
    <rPh sb="0" eb="1">
      <t>ヒ</t>
    </rPh>
    <phoneticPr fontId="1"/>
  </si>
  <si>
    <t>NF</t>
    <phoneticPr fontId="1"/>
  </si>
  <si>
    <t>20 等級</t>
  </si>
  <si>
    <t>18 等級</t>
  </si>
  <si>
    <t>17 等級</t>
  </si>
  <si>
    <t>16 等級</t>
  </si>
  <si>
    <t>15 等級</t>
  </si>
  <si>
    <t>14 等級</t>
  </si>
  <si>
    <t>13 等級</t>
  </si>
  <si>
    <t>12 等級</t>
  </si>
  <si>
    <t>11 等級</t>
  </si>
  <si>
    <t>10 等級</t>
  </si>
  <si>
    <t>9 等級</t>
  </si>
  <si>
    <t>8 等級</t>
  </si>
  <si>
    <t>7F 等級</t>
  </si>
  <si>
    <t>6F 等級</t>
  </si>
  <si>
    <t>5 等級</t>
  </si>
  <si>
    <t>4 等級</t>
  </si>
  <si>
    <t>3 等級</t>
  </si>
  <si>
    <t>2 等級</t>
  </si>
  <si>
    <t>1 等級</t>
  </si>
  <si>
    <t>背番号</t>
    <rPh sb="0" eb="3">
      <t>セバンゴウ</t>
    </rPh>
    <phoneticPr fontId="1"/>
  </si>
  <si>
    <t>21歳以上補償</t>
    <rPh sb="2" eb="3">
      <t>サイ</t>
    </rPh>
    <rPh sb="3" eb="5">
      <t>イジョウ</t>
    </rPh>
    <rPh sb="5" eb="7">
      <t>ホショウ</t>
    </rPh>
    <phoneticPr fontId="1"/>
  </si>
  <si>
    <t>26歳以上補償</t>
    <rPh sb="2" eb="3">
      <t>サイ</t>
    </rPh>
    <rPh sb="3" eb="5">
      <t>イジョウ</t>
    </rPh>
    <rPh sb="5" eb="7">
      <t>ホショウ</t>
    </rPh>
    <phoneticPr fontId="1"/>
  </si>
  <si>
    <t>35歳以上補償</t>
    <rPh sb="2" eb="3">
      <t>サイ</t>
    </rPh>
    <rPh sb="3" eb="5">
      <t>イジョウ</t>
    </rPh>
    <rPh sb="5" eb="7">
      <t>ホショウ</t>
    </rPh>
    <phoneticPr fontId="1"/>
  </si>
  <si>
    <t>年齢限定</t>
    <rPh sb="0" eb="2">
      <t>ネンレイ</t>
    </rPh>
    <rPh sb="2" eb="4">
      <t>ゲンテイ</t>
    </rPh>
    <phoneticPr fontId="1"/>
  </si>
  <si>
    <t>初度年</t>
    <rPh sb="0" eb="2">
      <t>ショド</t>
    </rPh>
    <rPh sb="2" eb="3">
      <t>ネン</t>
    </rPh>
    <phoneticPr fontId="1"/>
  </si>
  <si>
    <t>初度月</t>
    <rPh sb="0" eb="2">
      <t>ショド</t>
    </rPh>
    <rPh sb="2" eb="3">
      <t>ツキ</t>
    </rPh>
    <phoneticPr fontId="1"/>
  </si>
  <si>
    <t>2018(平成30)</t>
  </si>
  <si>
    <t>2017(平成29)</t>
  </si>
  <si>
    <t>2016(平成28)</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</si>
  <si>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</si>
  <si>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</si>
  <si>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</si>
  <si>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</si>
  <si>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</si>
  <si>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</si>
  <si>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</si>
  <si>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</si>
  <si>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</si>
  <si>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</si>
  <si>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</si>
  <si>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</si>
  <si>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</si>
  <si>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</si>
  <si>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</si>
  <si>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</si>
  <si>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</si>
  <si>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</si>
  <si>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</si>
  <si>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</si>
  <si>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</si>
  <si>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</si>
  <si>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1993(平成05)</t>
  </si>
  <si>
    <t>1992(平成04)</t>
  </si>
  <si>
    <t>1991(平成03)</t>
  </si>
  <si>
    <t>1990(平成02)</t>
  </si>
  <si>
    <t>1987(昭和62)</t>
  </si>
  <si>
    <t>1986(昭和61)</t>
  </si>
  <si>
    <t>1985(昭和60)</t>
  </si>
  <si>
    <t>1984(昭和59)</t>
  </si>
  <si>
    <t>1983(昭和58)</t>
  </si>
  <si>
    <t>1982(昭和57)</t>
  </si>
  <si>
    <t>1981(昭和56)</t>
  </si>
  <si>
    <t>1980(昭和55)</t>
  </si>
  <si>
    <t>1979(昭和54)</t>
  </si>
  <si>
    <t>1978(昭和53)</t>
  </si>
  <si>
    <t>1977(昭和52)</t>
  </si>
  <si>
    <t>1976(昭和51)</t>
  </si>
  <si>
    <t>1975(昭和50)</t>
  </si>
  <si>
    <t>1974(昭和49)</t>
  </si>
  <si>
    <t>1973(昭和48)</t>
  </si>
  <si>
    <t>1972(昭和47)</t>
  </si>
  <si>
    <t>1971(昭和46)</t>
  </si>
  <si>
    <t>1970(昭和45)</t>
  </si>
  <si>
    <t>1969(昭和44)</t>
  </si>
  <si>
    <t>1968(昭和43)</t>
  </si>
  <si>
    <t>1967(昭和42)</t>
  </si>
  <si>
    <t>1966(昭和41)</t>
  </si>
  <si>
    <t>1965(昭和40)</t>
  </si>
  <si>
    <t>1964(昭和39)</t>
  </si>
  <si>
    <t>1963(昭和38)</t>
  </si>
  <si>
    <t>1962(昭和37)</t>
  </si>
  <si>
    <t>1961(昭和36)</t>
  </si>
  <si>
    <t>1960(昭和35)</t>
  </si>
  <si>
    <t>1959(昭和34)</t>
  </si>
  <si>
    <t>1958(昭和33)</t>
  </si>
  <si>
    <t>1957(昭和32)</t>
  </si>
  <si>
    <t>1956(昭和31)</t>
  </si>
  <si>
    <t>1955(昭和30)</t>
  </si>
  <si>
    <t>1954(昭和29)</t>
  </si>
  <si>
    <t>1953(昭和28)</t>
  </si>
  <si>
    <t>1952(昭和27)</t>
  </si>
  <si>
    <t>1951(昭和26)</t>
  </si>
  <si>
    <t>1950(昭和25)</t>
  </si>
  <si>
    <t>1949(昭和24)</t>
  </si>
  <si>
    <t>型式</t>
    <rPh sb="0" eb="2">
      <t>カタシキ</t>
    </rPh>
    <phoneticPr fontId="1"/>
  </si>
  <si>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</si>
  <si>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</si>
  <si>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</si>
  <si>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</si>
  <si>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</si>
  <si>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</si>
  <si>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</si>
  <si>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</si>
  <si>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</si>
  <si>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</si>
  <si>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</si>
  <si>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</si>
  <si>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</si>
  <si>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</si>
  <si>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</si>
  <si>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</si>
  <si>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</si>
  <si>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</si>
  <si>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</si>
  <si>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</si>
  <si>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</si>
  <si>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</si>
  <si>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</si>
  <si>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</si>
  <si>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</si>
  <si>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</si>
  <si>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</si>
  <si>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</si>
  <si>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</si>
  <si>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</si>
  <si>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生年</t>
    <rPh sb="0" eb="2">
      <t>セイネン</t>
    </rPh>
    <phoneticPr fontId="1"/>
  </si>
  <si>
    <t>生まれ月</t>
    <rPh sb="0" eb="1">
      <t>ウ</t>
    </rPh>
    <rPh sb="3" eb="4">
      <t>ヅキ</t>
    </rPh>
    <phoneticPr fontId="1"/>
  </si>
  <si>
    <t>生まれ日</t>
    <rPh sb="0" eb="1">
      <t>ウ</t>
    </rPh>
    <rPh sb="3" eb="4">
      <t>ビ</t>
    </rPh>
    <phoneticPr fontId="1"/>
  </si>
  <si>
    <t>宮城</t>
    <rPh sb="0" eb="2">
      <t>ミヤギ</t>
    </rPh>
    <phoneticPr fontId="1"/>
  </si>
  <si>
    <t>東京</t>
    <rPh sb="0" eb="2">
      <t>トウキョウ</t>
    </rPh>
    <phoneticPr fontId="1"/>
  </si>
  <si>
    <t>愛知</t>
    <rPh sb="0" eb="2">
      <t>アイチ</t>
    </rPh>
    <phoneticPr fontId="1"/>
  </si>
  <si>
    <t>大阪</t>
    <rPh sb="0" eb="2">
      <t>オオサカ</t>
    </rPh>
    <phoneticPr fontId="1"/>
  </si>
  <si>
    <t>愛媛</t>
    <rPh sb="0" eb="2">
      <t>エヒメ</t>
    </rPh>
    <phoneticPr fontId="1"/>
  </si>
  <si>
    <t>福岡</t>
    <rPh sb="0" eb="2">
      <t>フクオカ</t>
    </rPh>
    <phoneticPr fontId="1"/>
  </si>
  <si>
    <t>免許</t>
    <rPh sb="0" eb="2">
      <t>メンキョ</t>
    </rPh>
    <phoneticPr fontId="1"/>
  </si>
  <si>
    <t>使用目的</t>
    <rPh sb="0" eb="2">
      <t>シヨウ</t>
    </rPh>
    <rPh sb="2" eb="4">
      <t>モクテキ</t>
    </rPh>
    <phoneticPr fontId="1"/>
  </si>
  <si>
    <t>日常</t>
  </si>
  <si>
    <t>日常</t>
    <rPh sb="0" eb="2">
      <t>ニチジョウ</t>
    </rPh>
    <phoneticPr fontId="1"/>
  </si>
  <si>
    <t>年齢限定修正</t>
    <rPh sb="0" eb="2">
      <t>ネンレイ</t>
    </rPh>
    <rPh sb="2" eb="4">
      <t>ゲンテイ</t>
    </rPh>
    <rPh sb="4" eb="6">
      <t>シュウセイ</t>
    </rPh>
    <phoneticPr fontId="1"/>
  </si>
  <si>
    <t>運限修正</t>
    <rPh sb="0" eb="2">
      <t>ウンゲン</t>
    </rPh>
    <rPh sb="2" eb="4">
      <t>シュウセイ</t>
    </rPh>
    <phoneticPr fontId="1"/>
  </si>
  <si>
    <t>500万円</t>
    <rPh sb="3" eb="5">
      <t>マンエン</t>
    </rPh>
    <phoneticPr fontId="1"/>
  </si>
  <si>
    <t>1,000万円</t>
    <rPh sb="5" eb="7">
      <t>マンエン</t>
    </rPh>
    <phoneticPr fontId="1"/>
  </si>
  <si>
    <t>2,000万円</t>
    <rPh sb="5" eb="7">
      <t>マンエン</t>
    </rPh>
    <phoneticPr fontId="1"/>
  </si>
  <si>
    <t>3,000万円</t>
    <rPh sb="5" eb="7">
      <t>マンエン</t>
    </rPh>
    <phoneticPr fontId="1"/>
  </si>
  <si>
    <t>5,000万円</t>
    <rPh sb="5" eb="7">
      <t>マンエン</t>
    </rPh>
    <phoneticPr fontId="1"/>
  </si>
  <si>
    <t>対物LL種類</t>
    <rPh sb="0" eb="2">
      <t>タイブツ</t>
    </rPh>
    <rPh sb="4" eb="6">
      <t>シュルイ</t>
    </rPh>
    <phoneticPr fontId="1"/>
  </si>
  <si>
    <t>LL変換</t>
    <rPh sb="2" eb="4">
      <t>ヘンカン</t>
    </rPh>
    <phoneticPr fontId="1"/>
  </si>
  <si>
    <t>なし</t>
  </si>
  <si>
    <t>50万円</t>
    <rPh sb="2" eb="4">
      <t>マンエン</t>
    </rPh>
    <phoneticPr fontId="1"/>
  </si>
  <si>
    <t>対物LL</t>
    <rPh sb="0" eb="2">
      <t>タイブツ</t>
    </rPh>
    <phoneticPr fontId="1"/>
  </si>
  <si>
    <t>搭乗者</t>
    <rPh sb="0" eb="3">
      <t>トウジョウシャ</t>
    </rPh>
    <phoneticPr fontId="1"/>
  </si>
  <si>
    <t>人傷種類</t>
    <rPh sb="0" eb="2">
      <t>ジンショウ</t>
    </rPh>
    <rPh sb="2" eb="4">
      <t>シュルイ</t>
    </rPh>
    <phoneticPr fontId="1"/>
  </si>
  <si>
    <t>車内外</t>
    <rPh sb="0" eb="2">
      <t>シャナイ</t>
    </rPh>
    <rPh sb="2" eb="3">
      <t>ガイ</t>
    </rPh>
    <phoneticPr fontId="1"/>
  </si>
  <si>
    <t>1億円</t>
    <rPh sb="1" eb="2">
      <t>オク</t>
    </rPh>
    <phoneticPr fontId="1"/>
  </si>
  <si>
    <t>4,000万円</t>
    <rPh sb="5" eb="7">
      <t>マンエン</t>
    </rPh>
    <phoneticPr fontId="1"/>
  </si>
  <si>
    <t>6,000万円</t>
    <rPh sb="5" eb="7">
      <t>マンエン</t>
    </rPh>
    <phoneticPr fontId="1"/>
  </si>
  <si>
    <t>7,000万円</t>
    <rPh sb="5" eb="7">
      <t>マンエン</t>
    </rPh>
    <phoneticPr fontId="1"/>
  </si>
  <si>
    <t>8,000万円</t>
    <rPh sb="5" eb="7">
      <t>マンエン</t>
    </rPh>
    <phoneticPr fontId="1"/>
  </si>
  <si>
    <t>9,000万円</t>
    <rPh sb="5" eb="7">
      <t>マンエン</t>
    </rPh>
    <phoneticPr fontId="1"/>
  </si>
  <si>
    <t>車両AMT</t>
    <rPh sb="0" eb="2">
      <t>シャリョウ</t>
    </rPh>
    <phoneticPr fontId="1"/>
  </si>
  <si>
    <t>車両身の回り品</t>
    <rPh sb="0" eb="2">
      <t>シャリョウ</t>
    </rPh>
    <rPh sb="2" eb="3">
      <t>ミ</t>
    </rPh>
    <rPh sb="4" eb="5">
      <t>マワ</t>
    </rPh>
    <rPh sb="6" eb="7">
      <t>シナ</t>
    </rPh>
    <phoneticPr fontId="1"/>
  </si>
  <si>
    <t>5万円</t>
    <rPh sb="1" eb="3">
      <t>マンエン</t>
    </rPh>
    <phoneticPr fontId="1"/>
  </si>
  <si>
    <t>10万円</t>
    <rPh sb="2" eb="4">
      <t>マンエン</t>
    </rPh>
    <phoneticPr fontId="1"/>
  </si>
  <si>
    <t>15万円</t>
    <rPh sb="2" eb="4">
      <t>マンエン</t>
    </rPh>
    <phoneticPr fontId="1"/>
  </si>
  <si>
    <t>20万円</t>
    <rPh sb="2" eb="4">
      <t>マンエン</t>
    </rPh>
    <phoneticPr fontId="1"/>
  </si>
  <si>
    <t>25万円</t>
    <rPh sb="2" eb="4">
      <t>マンエン</t>
    </rPh>
    <phoneticPr fontId="1"/>
  </si>
  <si>
    <t>30万円</t>
    <rPh sb="2" eb="4">
      <t>マンエン</t>
    </rPh>
    <phoneticPr fontId="1"/>
  </si>
  <si>
    <t>積載動産</t>
    <rPh sb="0" eb="2">
      <t>セキサイ</t>
    </rPh>
    <rPh sb="2" eb="4">
      <t>ドウサン</t>
    </rPh>
    <phoneticPr fontId="1"/>
  </si>
  <si>
    <t>代車費用</t>
    <rPh sb="0" eb="2">
      <t>ダイシャ</t>
    </rPh>
    <rPh sb="2" eb="4">
      <t>ヒヨウ</t>
    </rPh>
    <phoneticPr fontId="1"/>
  </si>
  <si>
    <t>地噴津</t>
    <rPh sb="0" eb="1">
      <t>チ</t>
    </rPh>
    <rPh sb="1" eb="2">
      <t>フン</t>
    </rPh>
    <rPh sb="2" eb="3">
      <t>ツ</t>
    </rPh>
    <phoneticPr fontId="1"/>
  </si>
  <si>
    <t>弁特</t>
    <rPh sb="0" eb="1">
      <t>ベン</t>
    </rPh>
    <rPh sb="1" eb="2">
      <t>トク</t>
    </rPh>
    <phoneticPr fontId="1"/>
  </si>
  <si>
    <t>原付</t>
    <rPh sb="0" eb="2">
      <t>ゲンツキ</t>
    </rPh>
    <phoneticPr fontId="1"/>
  </si>
  <si>
    <t>個賠</t>
    <rPh sb="0" eb="2">
      <t>コバイ</t>
    </rPh>
    <phoneticPr fontId="1"/>
  </si>
  <si>
    <t>傷害</t>
    <rPh sb="0" eb="2">
      <t>ショウガイ</t>
    </rPh>
    <phoneticPr fontId="1"/>
  </si>
  <si>
    <t>地噴津死亡傷害</t>
    <rPh sb="0" eb="1">
      <t>チ</t>
    </rPh>
    <rPh sb="1" eb="2">
      <t>フン</t>
    </rPh>
    <rPh sb="2" eb="3">
      <t>ツ</t>
    </rPh>
    <rPh sb="3" eb="5">
      <t>シボウ</t>
    </rPh>
    <rPh sb="5" eb="7">
      <t>ショウガイ</t>
    </rPh>
    <phoneticPr fontId="1"/>
  </si>
  <si>
    <t>本人と配偶者</t>
    <rPh sb="0" eb="2">
      <t>ホンニン</t>
    </rPh>
    <rPh sb="3" eb="6">
      <t>ハイグウシャ</t>
    </rPh>
    <phoneticPr fontId="1"/>
  </si>
  <si>
    <t>限定しない</t>
    <rPh sb="0" eb="2">
      <t>ゲンテイ</t>
    </rPh>
    <phoneticPr fontId="1"/>
  </si>
  <si>
    <t>年限変換２</t>
    <rPh sb="0" eb="2">
      <t>ネンゲン</t>
    </rPh>
    <rPh sb="2" eb="4">
      <t>ヘンカン</t>
    </rPh>
    <phoneticPr fontId="1"/>
  </si>
  <si>
    <t>30歳以上補償</t>
    <rPh sb="2" eb="3">
      <t>サイ</t>
    </rPh>
    <rPh sb="3" eb="5">
      <t>イジョウ</t>
    </rPh>
    <rPh sb="5" eb="7">
      <t>ホショウ</t>
    </rPh>
    <phoneticPr fontId="1"/>
  </si>
  <si>
    <t>個賠</t>
    <rPh sb="0" eb="2">
      <t>コバイ</t>
    </rPh>
    <phoneticPr fontId="1"/>
  </si>
  <si>
    <t>個賠変換</t>
    <rPh sb="0" eb="2">
      <t>コバイ</t>
    </rPh>
    <rPh sb="2" eb="4">
      <t>ヘンカン</t>
    </rPh>
    <phoneticPr fontId="1"/>
  </si>
  <si>
    <t>1億円</t>
    <rPh sb="1" eb="2">
      <t>オク</t>
    </rPh>
    <rPh sb="2" eb="3">
      <t>エン</t>
    </rPh>
    <phoneticPr fontId="1"/>
  </si>
  <si>
    <t>夫婦</t>
    <rPh sb="0" eb="2">
      <t>フウフ</t>
    </rPh>
    <phoneticPr fontId="1"/>
  </si>
  <si>
    <t>本人のみ補償型</t>
    <rPh sb="0" eb="2">
      <t>ホンニン</t>
    </rPh>
    <rPh sb="4" eb="6">
      <t>ホショウ</t>
    </rPh>
    <rPh sb="6" eb="7">
      <t>ガタ</t>
    </rPh>
    <phoneticPr fontId="1"/>
  </si>
  <si>
    <t>夫婦のみ補償型</t>
    <rPh sb="0" eb="2">
      <t>フウフ</t>
    </rPh>
    <rPh sb="4" eb="6">
      <t>ホショウ</t>
    </rPh>
    <rPh sb="6" eb="7">
      <t>ガタ</t>
    </rPh>
    <phoneticPr fontId="1"/>
  </si>
  <si>
    <t>家族補償型</t>
    <rPh sb="0" eb="2">
      <t>カゾク</t>
    </rPh>
    <rPh sb="2" eb="4">
      <t>ホショウ</t>
    </rPh>
    <rPh sb="4" eb="5">
      <t>ガタ</t>
    </rPh>
    <phoneticPr fontId="1"/>
  </si>
  <si>
    <t>傷害特約・地震死亡</t>
    <rPh sb="0" eb="2">
      <t>ショウガイ</t>
    </rPh>
    <rPh sb="2" eb="4">
      <t>トクヤク</t>
    </rPh>
    <rPh sb="5" eb="7">
      <t>ジシン</t>
    </rPh>
    <rPh sb="7" eb="9">
      <t>シボウ</t>
    </rPh>
    <phoneticPr fontId="1"/>
  </si>
  <si>
    <t>一般</t>
    <rPh sb="0" eb="2">
      <t>イッパン</t>
    </rPh>
    <phoneticPr fontId="1"/>
  </si>
  <si>
    <t>一般</t>
    <rPh sb="0" eb="2">
      <t>イッパン</t>
    </rPh>
    <phoneticPr fontId="1"/>
  </si>
  <si>
    <t>エコノミー</t>
    <phoneticPr fontId="1"/>
  </si>
  <si>
    <t>全損のみ</t>
    <rPh sb="0" eb="2">
      <t>ゼンソン</t>
    </rPh>
    <phoneticPr fontId="1"/>
  </si>
  <si>
    <t>車両変換</t>
    <rPh sb="0" eb="2">
      <t>シャリョウ</t>
    </rPh>
    <rPh sb="2" eb="4">
      <t>ヘンカン</t>
    </rPh>
    <phoneticPr fontId="1"/>
  </si>
  <si>
    <t>ワイドカバー型（一般条件）</t>
    <phoneticPr fontId="1"/>
  </si>
  <si>
    <t>限定カバー型</t>
    <phoneticPr fontId="1"/>
  </si>
  <si>
    <t>全損のみカバー型</t>
    <phoneticPr fontId="1"/>
  </si>
  <si>
    <t>車対車事故のみ</t>
    <rPh sb="0" eb="3">
      <t>シャタイシャ</t>
    </rPh>
    <rPh sb="3" eb="5">
      <t>ジコ</t>
    </rPh>
    <phoneticPr fontId="1"/>
  </si>
  <si>
    <t>免責金額なし</t>
    <rPh sb="0" eb="2">
      <t>メンセキ</t>
    </rPh>
    <rPh sb="2" eb="4">
      <t>キンガク</t>
    </rPh>
    <phoneticPr fontId="1"/>
  </si>
  <si>
    <t>免責金額あり</t>
    <rPh sb="0" eb="2">
      <t>メンセキ</t>
    </rPh>
    <rPh sb="2" eb="4">
      <t>キンガク</t>
    </rPh>
    <phoneticPr fontId="1"/>
  </si>
  <si>
    <t>人傷AMT3</t>
    <rPh sb="0" eb="2">
      <t>ジンショウ</t>
    </rPh>
    <phoneticPr fontId="1"/>
  </si>
  <si>
    <t>通勤</t>
  </si>
  <si>
    <t>通勤</t>
    <rPh sb="0" eb="2">
      <t>ツウキン</t>
    </rPh>
    <phoneticPr fontId="1"/>
  </si>
  <si>
    <t>6S</t>
  </si>
  <si>
    <t>ブルー</t>
  </si>
  <si>
    <t>1989(平成01)</t>
    <phoneticPr fontId="1"/>
  </si>
  <si>
    <t>データクリアマクロ</t>
    <phoneticPr fontId="1"/>
  </si>
  <si>
    <t>以下、このファイルの使用方法について記載する。</t>
    <rPh sb="0" eb="2">
      <t>イカ</t>
    </rPh>
    <rPh sb="10" eb="12">
      <t>シヨウ</t>
    </rPh>
    <rPh sb="12" eb="14">
      <t>ホウホウ</t>
    </rPh>
    <rPh sb="18" eb="20">
      <t>キサイ</t>
    </rPh>
    <phoneticPr fontId="1"/>
  </si>
  <si>
    <t>①</t>
    <phoneticPr fontId="1"/>
  </si>
  <si>
    <t>打鍵条件の設定</t>
    <rPh sb="0" eb="2">
      <t>ダケン</t>
    </rPh>
    <rPh sb="2" eb="4">
      <t>ジョウケン</t>
    </rPh>
    <rPh sb="5" eb="7">
      <t>セッテイ</t>
    </rPh>
    <phoneticPr fontId="1"/>
  </si>
  <si>
    <t>なお、その際のお約束・コツは以下のとおり。</t>
    <rPh sb="5" eb="6">
      <t>サイ</t>
    </rPh>
    <rPh sb="8" eb="10">
      <t>ヤクソク</t>
    </rPh>
    <rPh sb="14" eb="16">
      <t>イカ</t>
    </rPh>
    <phoneticPr fontId="1"/>
  </si>
  <si>
    <t>・</t>
    <phoneticPr fontId="1"/>
  </si>
  <si>
    <t>条件設定は、一番上のカラムが「黄色」「緑」の列まで行う。</t>
    <rPh sb="0" eb="2">
      <t>ジョウケン</t>
    </rPh>
    <rPh sb="2" eb="4">
      <t>セッテイ</t>
    </rPh>
    <rPh sb="6" eb="8">
      <t>イチバン</t>
    </rPh>
    <rPh sb="8" eb="9">
      <t>ウエ</t>
    </rPh>
    <rPh sb="15" eb="17">
      <t>キイロ</t>
    </rPh>
    <rPh sb="19" eb="20">
      <t>ミドリ</t>
    </rPh>
    <rPh sb="22" eb="23">
      <t>レツ</t>
    </rPh>
    <rPh sb="25" eb="26">
      <t>オコナ</t>
    </rPh>
    <phoneticPr fontId="1"/>
  </si>
  <si>
    <r>
      <t>※</t>
    </r>
    <r>
      <rPr>
        <b/>
        <sz val="11"/>
        <color rgb="FF00B0F0"/>
        <rFont val="ＭＳ Ｐゴシック"/>
        <family val="3"/>
        <charset val="128"/>
        <scheme val="minor"/>
      </rPr>
      <t>「青」</t>
    </r>
    <r>
      <rPr>
        <sz val="11"/>
        <rFont val="ＭＳ Ｐゴシック"/>
        <family val="3"/>
        <charset val="128"/>
        <scheme val="minor"/>
      </rPr>
      <t>のカラム</t>
    </r>
    <r>
      <rPr>
        <sz val="11"/>
        <color theme="1"/>
        <rFont val="ＭＳ Ｐゴシック"/>
        <family val="2"/>
        <charset val="128"/>
        <scheme val="minor"/>
      </rPr>
      <t>については、関数を走らせるので設定不要！</t>
    </r>
    <rPh sb="2" eb="3">
      <t>アオ</t>
    </rPh>
    <rPh sb="14" eb="16">
      <t>カンスウ</t>
    </rPh>
    <rPh sb="17" eb="18">
      <t>ハシ</t>
    </rPh>
    <rPh sb="23" eb="25">
      <t>セッテイ</t>
    </rPh>
    <rPh sb="25" eb="27">
      <t>フヨウ</t>
    </rPh>
    <phoneticPr fontId="1"/>
  </si>
  <si>
    <t>P打鍵用ランダマイザー</t>
    <rPh sb="1" eb="3">
      <t>ダケン</t>
    </rPh>
    <rPh sb="3" eb="4">
      <t>ヨウ</t>
    </rPh>
    <phoneticPr fontId="1"/>
  </si>
  <si>
    <t>設定の際は、「黄色」のカラムを変えずに「緑」のカラムのみを変えるように設定すると</t>
    <rPh sb="0" eb="2">
      <t>セッテイ</t>
    </rPh>
    <rPh sb="3" eb="4">
      <t>サイ</t>
    </rPh>
    <rPh sb="7" eb="9">
      <t>キイロ</t>
    </rPh>
    <rPh sb="15" eb="16">
      <t>カ</t>
    </rPh>
    <rPh sb="20" eb="21">
      <t>ミドリ</t>
    </rPh>
    <rPh sb="29" eb="30">
      <t>カ</t>
    </rPh>
    <rPh sb="35" eb="37">
      <t>セッテイ</t>
    </rPh>
    <phoneticPr fontId="1"/>
  </si>
  <si>
    <t>効率的に打鍵可能。（つまり、年齢は出来る限り変えないように打鍵条件を設定し、人傷AMTなどから先に替えるように設定する。）</t>
    <rPh sb="0" eb="3">
      <t>コウリツテキ</t>
    </rPh>
    <rPh sb="4" eb="6">
      <t>ダケン</t>
    </rPh>
    <rPh sb="6" eb="8">
      <t>カノウ</t>
    </rPh>
    <rPh sb="14" eb="16">
      <t>ネンレイ</t>
    </rPh>
    <rPh sb="17" eb="19">
      <t>デキ</t>
    </rPh>
    <rPh sb="20" eb="21">
      <t>カギ</t>
    </rPh>
    <rPh sb="22" eb="23">
      <t>カ</t>
    </rPh>
    <rPh sb="29" eb="31">
      <t>ダケン</t>
    </rPh>
    <rPh sb="31" eb="33">
      <t>ジョウケン</t>
    </rPh>
    <rPh sb="34" eb="36">
      <t>セッテイ</t>
    </rPh>
    <rPh sb="38" eb="40">
      <t>ジンショウ</t>
    </rPh>
    <rPh sb="47" eb="48">
      <t>サキ</t>
    </rPh>
    <rPh sb="49" eb="50">
      <t>カ</t>
    </rPh>
    <rPh sb="55" eb="57">
      <t>セッテイ</t>
    </rPh>
    <phoneticPr fontId="1"/>
  </si>
  <si>
    <t>⇒数学的にいうと、辞書式配列を行うイメージ。</t>
    <rPh sb="1" eb="4">
      <t>スウガクテキ</t>
    </rPh>
    <rPh sb="9" eb="11">
      <t>ジショ</t>
    </rPh>
    <rPh sb="11" eb="12">
      <t>シキ</t>
    </rPh>
    <rPh sb="12" eb="14">
      <t>ハイレツ</t>
    </rPh>
    <rPh sb="15" eb="16">
      <t>オコナ</t>
    </rPh>
    <phoneticPr fontId="1"/>
  </si>
  <si>
    <t>毎月の保険料チェックに使用するデータを作成するマクロ。</t>
    <rPh sb="0" eb="2">
      <t>マイツキ</t>
    </rPh>
    <rPh sb="3" eb="6">
      <t>ホケンリョウ</t>
    </rPh>
    <rPh sb="11" eb="13">
      <t>シヨウ</t>
    </rPh>
    <rPh sb="19" eb="21">
      <t>サクセイ</t>
    </rPh>
    <phoneticPr fontId="1"/>
  </si>
  <si>
    <t>下記年月を入力してマクロを回す。</t>
    <rPh sb="0" eb="2">
      <t>カキ</t>
    </rPh>
    <rPh sb="2" eb="4">
      <t>ネンゲツ</t>
    </rPh>
    <rPh sb="5" eb="7">
      <t>ニュウリョク</t>
    </rPh>
    <rPh sb="13" eb="14">
      <t>マワ</t>
    </rPh>
    <phoneticPr fontId="1"/>
  </si>
  <si>
    <t>「型式」「初度年月」「車両AMT」には注意すること。打鍵出来ない条件になっている可能性がある。</t>
    <rPh sb="1" eb="3">
      <t>カタシキ</t>
    </rPh>
    <rPh sb="5" eb="7">
      <t>ショド</t>
    </rPh>
    <rPh sb="7" eb="8">
      <t>ネン</t>
    </rPh>
    <rPh sb="8" eb="9">
      <t>ツキ</t>
    </rPh>
    <rPh sb="11" eb="13">
      <t>シャリョウ</t>
    </rPh>
    <rPh sb="19" eb="21">
      <t>チュウイ</t>
    </rPh>
    <rPh sb="26" eb="28">
      <t>ダケン</t>
    </rPh>
    <rPh sb="28" eb="30">
      <t>デキ</t>
    </rPh>
    <rPh sb="32" eb="34">
      <t>ジョウケン</t>
    </rPh>
    <rPh sb="40" eb="43">
      <t>カノウセイ</t>
    </rPh>
    <phoneticPr fontId="1"/>
  </si>
  <si>
    <t>＜和暦変換演算子＞</t>
    <rPh sb="1" eb="3">
      <t>ワレキ</t>
    </rPh>
    <rPh sb="3" eb="5">
      <t>ヘンカン</t>
    </rPh>
    <rPh sb="5" eb="8">
      <t>エンザンシ</t>
    </rPh>
    <phoneticPr fontId="1"/>
  </si>
  <si>
    <t>※打鍵出来ない場合でもRPAは止まらないように出来ているが、打鍵効率が落ちる。</t>
    <rPh sb="1" eb="3">
      <t>ダケン</t>
    </rPh>
    <rPh sb="3" eb="5">
      <t>デキ</t>
    </rPh>
    <rPh sb="7" eb="9">
      <t>バアイ</t>
    </rPh>
    <rPh sb="15" eb="16">
      <t>ト</t>
    </rPh>
    <rPh sb="23" eb="25">
      <t>デキ</t>
    </rPh>
    <rPh sb="30" eb="32">
      <t>ダケン</t>
    </rPh>
    <rPh sb="32" eb="34">
      <t>コウリツ</t>
    </rPh>
    <rPh sb="35" eb="36">
      <t>オ</t>
    </rPh>
    <phoneticPr fontId="1"/>
  </si>
  <si>
    <t>打鍵年</t>
    <rPh sb="0" eb="2">
      <t>ダケン</t>
    </rPh>
    <rPh sb="2" eb="3">
      <t>ネン</t>
    </rPh>
    <phoneticPr fontId="1"/>
  </si>
  <si>
    <t>打鍵月</t>
    <rPh sb="0" eb="2">
      <t>ダケン</t>
    </rPh>
    <rPh sb="2" eb="3">
      <t>ツキ</t>
    </rPh>
    <phoneticPr fontId="1"/>
  </si>
  <si>
    <t>②</t>
    <phoneticPr fontId="1"/>
  </si>
  <si>
    <t>関数のセット</t>
    <rPh sb="0" eb="2">
      <t>カンスウ</t>
    </rPh>
    <phoneticPr fontId="1"/>
  </si>
  <si>
    <t>打鍵日</t>
    <rPh sb="0" eb="2">
      <t>ダケン</t>
    </rPh>
    <rPh sb="2" eb="3">
      <t>ビ</t>
    </rPh>
    <phoneticPr fontId="1"/>
  </si>
  <si>
    <t>※要するに、青色カラムを埋める作業である。</t>
    <rPh sb="1" eb="2">
      <t>ヨウ</t>
    </rPh>
    <rPh sb="6" eb="8">
      <t>アオイロ</t>
    </rPh>
    <rPh sb="12" eb="13">
      <t>ウ</t>
    </rPh>
    <rPh sb="15" eb="17">
      <t>サギョウ</t>
    </rPh>
    <phoneticPr fontId="1"/>
  </si>
  <si>
    <t>自乗</t>
    <rPh sb="0" eb="2">
      <t>ジジョウ</t>
    </rPh>
    <phoneticPr fontId="1"/>
  </si>
  <si>
    <t>軽四</t>
    <rPh sb="0" eb="2">
      <t>ケイヨン</t>
    </rPh>
    <phoneticPr fontId="1"/>
  </si>
  <si>
    <t>強みゾーン</t>
    <rPh sb="0" eb="1">
      <t>ツヨ</t>
    </rPh>
    <phoneticPr fontId="1"/>
  </si>
  <si>
    <t>新車</t>
    <rPh sb="0" eb="2">
      <t>シンシャ</t>
    </rPh>
    <phoneticPr fontId="1"/>
  </si>
  <si>
    <t>初度年変換1</t>
    <rPh sb="0" eb="2">
      <t>ショド</t>
    </rPh>
    <rPh sb="2" eb="3">
      <t>ネン</t>
    </rPh>
    <rPh sb="3" eb="5">
      <t>ヘンカン</t>
    </rPh>
    <phoneticPr fontId="1"/>
  </si>
  <si>
    <t>③</t>
    <phoneticPr fontId="1"/>
  </si>
  <si>
    <t>RPAを使用する</t>
    <rPh sb="4" eb="6">
      <t>シヨウ</t>
    </rPh>
    <phoneticPr fontId="1"/>
  </si>
  <si>
    <t>初度年変換2</t>
    <rPh sb="0" eb="2">
      <t>ショド</t>
    </rPh>
    <rPh sb="2" eb="3">
      <t>ネン</t>
    </rPh>
    <rPh sb="3" eb="5">
      <t>ヘンカン</t>
    </rPh>
    <phoneticPr fontId="1"/>
  </si>
  <si>
    <t>設定ファイルは既に出来ているので、RPAを回して打鍵を行う。</t>
    <rPh sb="0" eb="2">
      <t>セッテイ</t>
    </rPh>
    <rPh sb="7" eb="8">
      <t>スデ</t>
    </rPh>
    <rPh sb="9" eb="11">
      <t>デキ</t>
    </rPh>
    <rPh sb="21" eb="22">
      <t>マワ</t>
    </rPh>
    <rPh sb="24" eb="26">
      <t>ダケン</t>
    </rPh>
    <rPh sb="27" eb="28">
      <t>オコナ</t>
    </rPh>
    <phoneticPr fontId="1"/>
  </si>
  <si>
    <t>④</t>
    <phoneticPr fontId="1"/>
  </si>
  <si>
    <t>留意点</t>
    <rPh sb="0" eb="3">
      <t>リュウイテン</t>
    </rPh>
    <phoneticPr fontId="1"/>
  </si>
  <si>
    <t>このRPAは他社ＷＥＢページの改定の影響を100%受けるものであるため、</t>
    <rPh sb="6" eb="8">
      <t>タシャ</t>
    </rPh>
    <rPh sb="15" eb="17">
      <t>カイテイ</t>
    </rPh>
    <rPh sb="18" eb="20">
      <t>エイキョウ</t>
    </rPh>
    <rPh sb="25" eb="26">
      <t>ウ</t>
    </rPh>
    <phoneticPr fontId="1"/>
  </si>
  <si>
    <t>打鍵の前に念のためWEBが改定されていないか確認を行うべきである。</t>
    <rPh sb="0" eb="2">
      <t>ダケン</t>
    </rPh>
    <rPh sb="3" eb="4">
      <t>マエ</t>
    </rPh>
    <rPh sb="5" eb="6">
      <t>ネン</t>
    </rPh>
    <rPh sb="13" eb="15">
      <t>カイテイ</t>
    </rPh>
    <rPh sb="22" eb="24">
      <t>カクニン</t>
    </rPh>
    <rPh sb="25" eb="26">
      <t>オコナ</t>
    </rPh>
    <phoneticPr fontId="1"/>
  </si>
  <si>
    <t>また、RPAの改築が必要な場合は、このファイルおよびマクロも改築が必要になることに留意されたい。</t>
    <rPh sb="7" eb="9">
      <t>カイチク</t>
    </rPh>
    <rPh sb="10" eb="12">
      <t>ヒツヨウ</t>
    </rPh>
    <rPh sb="13" eb="15">
      <t>バアイ</t>
    </rPh>
    <rPh sb="30" eb="32">
      <t>カイチク</t>
    </rPh>
    <rPh sb="33" eb="35">
      <t>ヒツヨウ</t>
    </rPh>
    <rPh sb="41" eb="43">
      <t>リュウイ</t>
    </rPh>
    <phoneticPr fontId="1"/>
  </si>
  <si>
    <t>P打鍵用フル打鍵</t>
    <rPh sb="1" eb="3">
      <t>ダケン</t>
    </rPh>
    <rPh sb="3" eb="4">
      <t>ヨウ</t>
    </rPh>
    <rPh sb="6" eb="8">
      <t>ダケン</t>
    </rPh>
    <phoneticPr fontId="1"/>
  </si>
  <si>
    <t>保険料改定があった場合に、定期Ｐ打鍵全量を入力するマクロ。</t>
    <rPh sb="0" eb="3">
      <t>ホケンリョウ</t>
    </rPh>
    <rPh sb="3" eb="5">
      <t>カイテイ</t>
    </rPh>
    <rPh sb="9" eb="11">
      <t>バアイ</t>
    </rPh>
    <rPh sb="13" eb="15">
      <t>テイキ</t>
    </rPh>
    <rPh sb="16" eb="18">
      <t>ダケン</t>
    </rPh>
    <rPh sb="18" eb="20">
      <t>ゼンリョウ</t>
    </rPh>
    <rPh sb="21" eb="23">
      <t>ニュウリョク</t>
    </rPh>
    <phoneticPr fontId="1"/>
  </si>
  <si>
    <t>Z打鍵ファイル</t>
    <rPh sb="1" eb="3">
      <t>ダケン</t>
    </rPh>
    <phoneticPr fontId="1"/>
  </si>
  <si>
    <t>このファイルは、RPAを用いてZ社の保険料を調査することを目的とするファイルである。</t>
    <rPh sb="12" eb="13">
      <t>モチ</t>
    </rPh>
    <rPh sb="16" eb="17">
      <t>シャ</t>
    </rPh>
    <rPh sb="18" eb="21">
      <t>ホケンリョウ</t>
    </rPh>
    <rPh sb="22" eb="24">
      <t>チョウサ</t>
    </rPh>
    <rPh sb="29" eb="31">
      <t>モクテキ</t>
    </rPh>
    <phoneticPr fontId="1"/>
  </si>
  <si>
    <t>「Z打鍵」シートのデータを全て消すマクロ。</t>
    <rPh sb="2" eb="4">
      <t>ダケン</t>
    </rPh>
    <rPh sb="13" eb="14">
      <t>スベ</t>
    </rPh>
    <rPh sb="15" eb="16">
      <t>ケ</t>
    </rPh>
    <phoneticPr fontId="1"/>
  </si>
  <si>
    <t>赤色の「Z打鍵」シートに条件を設定する。設定はコツコツ手動でやる以外に、右のマクロを使う方法もある。</t>
    <rPh sb="0" eb="2">
      <t>アカイロ</t>
    </rPh>
    <rPh sb="5" eb="7">
      <t>ダケン</t>
    </rPh>
    <rPh sb="12" eb="14">
      <t>ジョウケン</t>
    </rPh>
    <rPh sb="15" eb="17">
      <t>セッテイ</t>
    </rPh>
    <rPh sb="20" eb="22">
      <t>セッテイ</t>
    </rPh>
    <rPh sb="27" eb="29">
      <t>シュドウ</t>
    </rPh>
    <rPh sb="32" eb="34">
      <t>イガイ</t>
    </rPh>
    <rPh sb="36" eb="37">
      <t>ミギ</t>
    </rPh>
    <rPh sb="42" eb="43">
      <t>ツカ</t>
    </rPh>
    <rPh sb="44" eb="46">
      <t>ホウホウ</t>
    </rPh>
    <phoneticPr fontId="1"/>
  </si>
  <si>
    <t>車内</t>
    <rPh sb="0" eb="2">
      <t>シャナイ</t>
    </rPh>
    <phoneticPr fontId="1"/>
  </si>
  <si>
    <t>生年初度変換</t>
    <rPh sb="0" eb="2">
      <t>セイネン</t>
    </rPh>
    <rPh sb="2" eb="4">
      <t>ショド</t>
    </rPh>
    <rPh sb="4" eb="6">
      <t>ヘンカン</t>
    </rPh>
    <phoneticPr fontId="1"/>
  </si>
  <si>
    <t>1988(昭和63)</t>
    <phoneticPr fontId="1"/>
  </si>
  <si>
    <t>現数字件数</t>
    <rPh sb="0" eb="1">
      <t>ゲン</t>
    </rPh>
    <rPh sb="1" eb="3">
      <t>スウジ</t>
    </rPh>
    <rPh sb="3" eb="5">
      <t>ケンスウ</t>
    </rPh>
    <phoneticPr fontId="1"/>
  </si>
  <si>
    <t>保存数字件数</t>
    <rPh sb="0" eb="2">
      <t>ホゾン</t>
    </rPh>
    <rPh sb="2" eb="4">
      <t>スウジ</t>
    </rPh>
    <rPh sb="4" eb="6">
      <t>ケンスウ</t>
    </rPh>
    <phoneticPr fontId="1"/>
  </si>
  <si>
    <t>打鍵数</t>
    <rPh sb="0" eb="2">
      <t>ダケン</t>
    </rPh>
    <rPh sb="2" eb="3">
      <t>スウ</t>
    </rPh>
    <phoneticPr fontId="1"/>
  </si>
  <si>
    <t>⑤</t>
    <phoneticPr fontId="1"/>
  </si>
  <si>
    <t>お役立ちアイテム</t>
    <rPh sb="1" eb="3">
      <t>ヤクダ</t>
    </rPh>
    <phoneticPr fontId="1"/>
  </si>
  <si>
    <t>データファイルを連番付けて作成するマクロ。</t>
    <rPh sb="8" eb="10">
      <t>レンバン</t>
    </rPh>
    <rPh sb="10" eb="11">
      <t>ツ</t>
    </rPh>
    <rPh sb="13" eb="15">
      <t>サクセイ</t>
    </rPh>
    <phoneticPr fontId="1"/>
  </si>
  <si>
    <t>作成数</t>
    <rPh sb="0" eb="2">
      <t>サクセイ</t>
    </rPh>
    <rPh sb="2" eb="3">
      <t>カズ</t>
    </rPh>
    <phoneticPr fontId="1"/>
  </si>
  <si>
    <t>ASV3</t>
    <phoneticPr fontId="1"/>
  </si>
  <si>
    <t>ASV</t>
    <phoneticPr fontId="1"/>
  </si>
  <si>
    <t>RATE BOOK（全量版）</t>
    <rPh sb="10" eb="12">
      <t>ゼンリョウ</t>
    </rPh>
    <rPh sb="12" eb="13">
      <t>バン</t>
    </rPh>
    <phoneticPr fontId="1"/>
  </si>
  <si>
    <t>RATEBOOK用の打鍵を行うためのデータを入力するマクロ。</t>
    <rPh sb="8" eb="9">
      <t>ヨウ</t>
    </rPh>
    <rPh sb="10" eb="12">
      <t>ダケン</t>
    </rPh>
    <rPh sb="13" eb="14">
      <t>オコナ</t>
    </rPh>
    <rPh sb="22" eb="24">
      <t>ニュウリョク</t>
    </rPh>
    <phoneticPr fontId="1"/>
  </si>
  <si>
    <t>なお、Zは年齢・使用目的・走行距離全て細分化しているのでショートカットはない。</t>
    <rPh sb="5" eb="7">
      <t>ネンレイ</t>
    </rPh>
    <rPh sb="8" eb="10">
      <t>シヨウ</t>
    </rPh>
    <rPh sb="10" eb="12">
      <t>モクテキ</t>
    </rPh>
    <rPh sb="13" eb="15">
      <t>ソウコウ</t>
    </rPh>
    <rPh sb="15" eb="17">
      <t>キョリ</t>
    </rPh>
    <rPh sb="17" eb="18">
      <t>スベ</t>
    </rPh>
    <rPh sb="19" eb="22">
      <t>サイブンカ</t>
    </rPh>
    <phoneticPr fontId="1"/>
  </si>
  <si>
    <t>以下のマクロを回して関数をセッティングする。左は完全スタート時、打鍵途中から設定修正の場合は右を押す。</t>
    <rPh sb="0" eb="2">
      <t>イカ</t>
    </rPh>
    <rPh sb="7" eb="8">
      <t>マワ</t>
    </rPh>
    <rPh sb="10" eb="12">
      <t>カンスウ</t>
    </rPh>
    <rPh sb="22" eb="23">
      <t>ヒダリ</t>
    </rPh>
    <rPh sb="24" eb="26">
      <t>カンゼン</t>
    </rPh>
    <rPh sb="30" eb="31">
      <t>ジ</t>
    </rPh>
    <rPh sb="32" eb="34">
      <t>ダケン</t>
    </rPh>
    <rPh sb="34" eb="36">
      <t>トチュウ</t>
    </rPh>
    <rPh sb="38" eb="40">
      <t>セッテイ</t>
    </rPh>
    <rPh sb="40" eb="42">
      <t>シュウセイ</t>
    </rPh>
    <rPh sb="43" eb="45">
      <t>バアイ</t>
    </rPh>
    <rPh sb="46" eb="47">
      <t>ミギ</t>
    </rPh>
    <rPh sb="48" eb="49">
      <t>オ</t>
    </rPh>
    <phoneticPr fontId="1"/>
  </si>
  <si>
    <t>件数が多いため、２分割（実行機２台あるので）を許容する。（こっそり三分割も作成）</t>
    <rPh sb="0" eb="2">
      <t>ケンスウ</t>
    </rPh>
    <rPh sb="3" eb="4">
      <t>オオ</t>
    </rPh>
    <rPh sb="9" eb="11">
      <t>ブンカツ</t>
    </rPh>
    <rPh sb="12" eb="14">
      <t>ジッコウ</t>
    </rPh>
    <rPh sb="14" eb="15">
      <t>キ</t>
    </rPh>
    <rPh sb="16" eb="17">
      <t>ダイ</t>
    </rPh>
    <rPh sb="23" eb="25">
      <t>キョヨウ</t>
    </rPh>
    <rPh sb="33" eb="34">
      <t>サン</t>
    </rPh>
    <rPh sb="34" eb="36">
      <t>ブンカツ</t>
    </rPh>
    <rPh sb="37" eb="39">
      <t>サクセイ</t>
    </rPh>
    <phoneticPr fontId="1"/>
  </si>
  <si>
    <t>2019(令和01)</t>
    <rPh sb="5" eb="6">
      <t>レイ</t>
    </rPh>
    <rPh sb="6" eb="7">
      <t>ワ</t>
    </rPh>
    <phoneticPr fontId="1"/>
  </si>
  <si>
    <t>2020(令和02)</t>
    <rPh sb="5" eb="6">
      <t>レイ</t>
    </rPh>
    <rPh sb="6" eb="7">
      <t>ワ</t>
    </rPh>
    <phoneticPr fontId="1"/>
  </si>
  <si>
    <t>2021(令和03)</t>
    <rPh sb="5" eb="6">
      <t>レイ</t>
    </rPh>
    <rPh sb="6" eb="7">
      <t>ワ</t>
    </rPh>
    <phoneticPr fontId="1"/>
  </si>
  <si>
    <t>2022(令和04)</t>
    <rPh sb="5" eb="6">
      <t>レイ</t>
    </rPh>
    <rPh sb="6" eb="7">
      <t>ワ</t>
    </rPh>
    <phoneticPr fontId="1"/>
  </si>
  <si>
    <t>2023(令和05)</t>
    <rPh sb="5" eb="6">
      <t>レイ</t>
    </rPh>
    <rPh sb="6" eb="7">
      <t>ワ</t>
    </rPh>
    <phoneticPr fontId="1"/>
  </si>
  <si>
    <t>2024(令和06)</t>
    <rPh sb="5" eb="6">
      <t>レイ</t>
    </rPh>
    <rPh sb="6" eb="7">
      <t>ワ</t>
    </rPh>
    <phoneticPr fontId="1"/>
  </si>
  <si>
    <t>作成番号</t>
    <rPh sb="0" eb="2">
      <t>サクセイ</t>
    </rPh>
    <rPh sb="2" eb="4">
      <t>バンゴウ</t>
    </rPh>
    <phoneticPr fontId="1"/>
  </si>
  <si>
    <t>※上から詰めて記入</t>
    <rPh sb="1" eb="2">
      <t>ウエ</t>
    </rPh>
    <rPh sb="4" eb="5">
      <t>ツ</t>
    </rPh>
    <rPh sb="7" eb="9">
      <t>キニュウ</t>
    </rPh>
    <phoneticPr fontId="1"/>
  </si>
  <si>
    <t>2019(令和01)</t>
    <rPh sb="5" eb="7">
      <t>レイワ</t>
    </rPh>
    <phoneticPr fontId="1"/>
  </si>
  <si>
    <t>2020(令和02)</t>
    <rPh sb="5" eb="7">
      <t>レイワ</t>
    </rPh>
    <phoneticPr fontId="1"/>
  </si>
  <si>
    <t>計算シート作成</t>
    <rPh sb="0" eb="2">
      <t>ケイサン</t>
    </rPh>
    <rPh sb="5" eb="7">
      <t>サクセイ</t>
    </rPh>
    <phoneticPr fontId="1"/>
  </si>
  <si>
    <t>計算シート作成用のマクロ。研究中。</t>
    <rPh sb="0" eb="2">
      <t>ケイサン</t>
    </rPh>
    <rPh sb="5" eb="8">
      <t>サクセイヨウ</t>
    </rPh>
    <rPh sb="13" eb="16">
      <t>ケンキュウチュウ</t>
    </rPh>
    <phoneticPr fontId="1"/>
  </si>
  <si>
    <t>計算シート作成用(新車ASV用_ノーマル)</t>
    <rPh sb="0" eb="2">
      <t>ケイサン</t>
    </rPh>
    <rPh sb="5" eb="7">
      <t>サクセイ</t>
    </rPh>
    <rPh sb="7" eb="8">
      <t>ヨウ</t>
    </rPh>
    <rPh sb="9" eb="11">
      <t>シンシャ</t>
    </rPh>
    <rPh sb="14" eb="15">
      <t>ヨウ</t>
    </rPh>
    <phoneticPr fontId="1"/>
  </si>
  <si>
    <t>用途</t>
    <rPh sb="0" eb="2">
      <t>ヨウト</t>
    </rPh>
    <phoneticPr fontId="1"/>
  </si>
  <si>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</si>
  <si>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</si>
  <si>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</si>
  <si>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</si>
  <si>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</si>
  <si>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</si>
  <si>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</si>
  <si>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</si>
  <si>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</si>
  <si>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</si>
  <si>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</si>
  <si>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</si>
  <si>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</si>
  <si>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</si>
  <si>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</si>
  <si>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</si>
  <si>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rPh sb="0" eb="2">
      <t>タイジン</t>
    </rPh>
    <phoneticPr fontId="1"/>
  </si>
  <si>
    <t>対物</t>
    <rPh sb="0" eb="2">
      <t>タイブツ</t>
    </rPh>
    <phoneticPr fontId="1"/>
  </si>
  <si>
    <t>搭傷</t>
    <rPh sb="0" eb="2">
      <t>トウショウ</t>
    </rPh>
    <phoneticPr fontId="1"/>
  </si>
  <si>
    <t>車両</t>
    <rPh sb="0" eb="2">
      <t>シャリョウ</t>
    </rPh>
    <phoneticPr fontId="1"/>
  </si>
  <si>
    <t>Z12</t>
    <phoneticPr fontId="1"/>
  </si>
  <si>
    <t>S321G</t>
    <phoneticPr fontId="1"/>
  </si>
  <si>
    <t>設定AMT</t>
    <rPh sb="0" eb="2">
      <t>セッテイ</t>
    </rPh>
    <phoneticPr fontId="1"/>
  </si>
  <si>
    <t>新車AMT</t>
    <rPh sb="0" eb="2">
      <t>シンシャ</t>
    </rPh>
    <phoneticPr fontId="1"/>
  </si>
  <si>
    <t>車名</t>
    <rPh sb="0" eb="2">
      <t>シャメイ</t>
    </rPh>
    <phoneticPr fontId="1"/>
  </si>
  <si>
    <t>対象始期</t>
    <rPh sb="0" eb="2">
      <t>タイショウ</t>
    </rPh>
    <rPh sb="2" eb="4">
      <t>シキ</t>
    </rPh>
    <phoneticPr fontId="1"/>
  </si>
  <si>
    <t>年</t>
    <rPh sb="0" eb="1">
      <t>ネン</t>
    </rPh>
    <phoneticPr fontId="1"/>
  </si>
  <si>
    <t>設定シート</t>
    <rPh sb="0" eb="2">
      <t>セッテイ</t>
    </rPh>
    <phoneticPr fontId="1"/>
  </si>
  <si>
    <t>【計算シート用】</t>
    <rPh sb="1" eb="3">
      <t>ケイサン</t>
    </rPh>
    <rPh sb="6" eb="7">
      <t>ヨウ</t>
    </rPh>
    <phoneticPr fontId="1"/>
  </si>
  <si>
    <t>【打鍵用】</t>
    <rPh sb="1" eb="3">
      <t>ダケン</t>
    </rPh>
    <rPh sb="3" eb="4">
      <t>ヨウ</t>
    </rPh>
    <phoneticPr fontId="1"/>
  </si>
  <si>
    <t>車種</t>
    <rPh sb="0" eb="2">
      <t>シャシュ</t>
    </rPh>
    <phoneticPr fontId="1"/>
  </si>
  <si>
    <t>自軽四乗</t>
    <rPh sb="0" eb="1">
      <t>ジ</t>
    </rPh>
    <rPh sb="1" eb="2">
      <t>ケイ</t>
    </rPh>
    <rPh sb="2" eb="3">
      <t>ヨン</t>
    </rPh>
    <rPh sb="3" eb="4">
      <t>ジョウ</t>
    </rPh>
    <phoneticPr fontId="1"/>
  </si>
  <si>
    <t>7S</t>
  </si>
  <si>
    <t>年齢を問わず補償</t>
    <rPh sb="0" eb="2">
      <t>ネンレイ</t>
    </rPh>
    <rPh sb="3" eb="4">
      <t>ト</t>
    </rPh>
    <rPh sb="6" eb="8">
      <t>ホショウ</t>
    </rPh>
    <phoneticPr fontId="1"/>
  </si>
  <si>
    <t>全年齢補償</t>
    <rPh sb="0" eb="3">
      <t>ゼンネンレイ</t>
    </rPh>
    <rPh sb="3" eb="5">
      <t>ホショウ</t>
    </rPh>
    <phoneticPr fontId="1"/>
  </si>
  <si>
    <t>エコノミー</t>
  </si>
  <si>
    <t>無制限</t>
  </si>
  <si>
    <t>ワイドカバー型（一般条件）</t>
  </si>
  <si>
    <t>自乗</t>
    <rPh sb="0" eb="2">
      <t>ジジョウ</t>
    </rPh>
    <phoneticPr fontId="1"/>
  </si>
  <si>
    <t>HY51</t>
    <phoneticPr fontId="1"/>
  </si>
  <si>
    <t>型式</t>
    <rPh sb="0" eb="2">
      <t>カタシキ</t>
    </rPh>
    <phoneticPr fontId="1"/>
  </si>
  <si>
    <t>初度年</t>
    <rPh sb="0" eb="2">
      <t>ショド</t>
    </rPh>
    <rPh sb="2" eb="3">
      <t>ネン</t>
    </rPh>
    <phoneticPr fontId="1"/>
  </si>
  <si>
    <t>初度月</t>
    <rPh sb="0" eb="2">
      <t>ショド</t>
    </rPh>
    <rPh sb="2" eb="3">
      <t>ツキ</t>
    </rPh>
    <phoneticPr fontId="1"/>
  </si>
  <si>
    <t>軽四</t>
    <rPh sb="0" eb="2">
      <t>ケイヨン</t>
    </rPh>
    <phoneticPr fontId="1"/>
  </si>
  <si>
    <t>JW5</t>
    <phoneticPr fontId="1"/>
  </si>
  <si>
    <t>L285S</t>
    <phoneticPr fontId="1"/>
  </si>
  <si>
    <t>本人と配偶者</t>
  </si>
  <si>
    <t>東京</t>
  </si>
  <si>
    <t>3,000万円</t>
  </si>
  <si>
    <t>30歳以上補償</t>
  </si>
  <si>
    <t>純新規以外</t>
  </si>
  <si>
    <t>ZVW40W</t>
    <phoneticPr fontId="1"/>
  </si>
  <si>
    <t>KG2P</t>
    <phoneticPr fontId="1"/>
  </si>
  <si>
    <t>DJ5FS</t>
    <phoneticPr fontId="1"/>
  </si>
  <si>
    <t>2021(令和03)</t>
    <rPh sb="5" eb="7">
      <t>レイワ</t>
    </rPh>
    <phoneticPr fontId="1"/>
  </si>
  <si>
    <t>2022(令和04)</t>
    <rPh sb="5" eb="7">
      <t>レイワ</t>
    </rPh>
    <phoneticPr fontId="1"/>
  </si>
  <si>
    <t>2023(令和05)</t>
    <rPh sb="5" eb="7">
      <t>レイワ</t>
    </rPh>
    <phoneticPr fontId="1"/>
  </si>
  <si>
    <t>2024(令和06)</t>
    <rPh sb="5" eb="7">
      <t>レイワ</t>
    </rPh>
    <phoneticPr fontId="1"/>
  </si>
  <si>
    <t>2025(令和07)</t>
    <rPh sb="5" eb="7">
      <t>レイワ</t>
    </rPh>
    <phoneticPr fontId="1"/>
  </si>
  <si>
    <t>2026(令和08)</t>
    <rPh sb="5" eb="7">
      <t>レイワ</t>
    </rPh>
    <phoneticPr fontId="1"/>
  </si>
  <si>
    <t>自損型</t>
  </si>
  <si>
    <t>人傷型</t>
  </si>
  <si>
    <t>LA700S</t>
    <phoneticPr fontId="1"/>
  </si>
  <si>
    <t>DS17W</t>
    <phoneticPr fontId="1"/>
  </si>
  <si>
    <t>新車割引率の推定打鍵</t>
    <rPh sb="0" eb="4">
      <t>シンシャワリビキ</t>
    </rPh>
    <rPh sb="4" eb="5">
      <t>リツ</t>
    </rPh>
    <rPh sb="6" eb="8">
      <t>スイテイ</t>
    </rPh>
    <rPh sb="8" eb="10">
      <t>ダケン</t>
    </rPh>
    <phoneticPr fontId="1"/>
  </si>
  <si>
    <t>NRE161G</t>
    <phoneticPr fontId="1"/>
  </si>
  <si>
    <t>GB6</t>
    <phoneticPr fontId="1"/>
  </si>
  <si>
    <t>M700A</t>
    <phoneticPr fontId="1"/>
  </si>
  <si>
    <t>SGC27</t>
    <phoneticPr fontId="1"/>
  </si>
  <si>
    <t>GP8</t>
    <phoneticPr fontId="1"/>
  </si>
  <si>
    <t>LA360S</t>
    <phoneticPr fontId="1"/>
  </si>
  <si>
    <t>DA17W</t>
    <phoneticPr fontId="1"/>
  </si>
  <si>
    <t>保険金額範囲</t>
    <rPh sb="0" eb="2">
      <t>ホケン</t>
    </rPh>
    <rPh sb="2" eb="4">
      <t>キンガク</t>
    </rPh>
    <rPh sb="4" eb="6">
      <t>ハンイ</t>
    </rPh>
    <phoneticPr fontId="1"/>
  </si>
  <si>
    <t>120-180</t>
    <phoneticPr fontId="1"/>
  </si>
  <si>
    <t>195-255</t>
    <phoneticPr fontId="1"/>
  </si>
  <si>
    <t>120-160</t>
    <phoneticPr fontId="1"/>
  </si>
  <si>
    <t>215-280</t>
    <phoneticPr fontId="1"/>
  </si>
  <si>
    <t>90-120</t>
    <phoneticPr fontId="1"/>
  </si>
  <si>
    <t>135-180</t>
    <phoneticPr fontId="1"/>
  </si>
  <si>
    <t>110-175</t>
    <phoneticPr fontId="1"/>
  </si>
  <si>
    <t>185-245</t>
    <phoneticPr fontId="1"/>
  </si>
  <si>
    <t>110-145</t>
    <phoneticPr fontId="1"/>
  </si>
  <si>
    <t>180-235</t>
    <phoneticPr fontId="1"/>
  </si>
  <si>
    <t>115-150</t>
    <phoneticPr fontId="1"/>
  </si>
  <si>
    <t>85-115</t>
    <phoneticPr fontId="1"/>
  </si>
  <si>
    <t>130-170</t>
    <phoneticPr fontId="1"/>
  </si>
  <si>
    <t>110-145</t>
  </si>
  <si>
    <t>100-130</t>
    <phoneticPr fontId="1"/>
  </si>
  <si>
    <t>160-210</t>
    <phoneticPr fontId="1"/>
  </si>
  <si>
    <t>105-140</t>
    <phoneticPr fontId="1"/>
  </si>
  <si>
    <t>80-105</t>
    <phoneticPr fontId="1"/>
  </si>
  <si>
    <t>100-130</t>
  </si>
  <si>
    <t>150-195</t>
    <phoneticPr fontId="1"/>
  </si>
  <si>
    <t>170-225</t>
    <phoneticPr fontId="1"/>
  </si>
  <si>
    <t>140-185</t>
    <phoneticPr fontId="1"/>
  </si>
  <si>
    <t>75-100</t>
    <phoneticPr fontId="1"/>
  </si>
  <si>
    <t>85-115</t>
  </si>
  <si>
    <t>155-205</t>
    <phoneticPr fontId="1"/>
  </si>
  <si>
    <t>95-125</t>
    <phoneticPr fontId="1"/>
  </si>
  <si>
    <t>70-95</t>
    <phoneticPr fontId="1"/>
  </si>
  <si>
    <t>保険金額設定</t>
    <rPh sb="0" eb="2">
      <t>ホケン</t>
    </rPh>
    <rPh sb="2" eb="4">
      <t>キンガク</t>
    </rPh>
    <rPh sb="4" eb="6">
      <t>セッテイ</t>
    </rPh>
    <phoneticPr fontId="1"/>
  </si>
  <si>
    <t>用途車種</t>
    <rPh sb="0" eb="2">
      <t>ヨウト</t>
    </rPh>
    <rPh sb="2" eb="4">
      <t>シャシュ</t>
    </rPh>
    <phoneticPr fontId="1"/>
  </si>
  <si>
    <t>自小乗</t>
    <rPh sb="0" eb="1">
      <t>ジ</t>
    </rPh>
    <rPh sb="1" eb="2">
      <t>ショウ</t>
    </rPh>
    <rPh sb="2" eb="3">
      <t>ジョウ</t>
    </rPh>
    <phoneticPr fontId="1"/>
  </si>
  <si>
    <t>Z特殊</t>
    <rPh sb="1" eb="3">
      <t>トクシュ</t>
    </rPh>
    <phoneticPr fontId="1"/>
  </si>
  <si>
    <t>自乗基準対物</t>
    <phoneticPr fontId="1"/>
  </si>
  <si>
    <t>車両AMTチェック用(新車割引が車両保険に適用されないなら初度年を気にする必要は無し）</t>
    <rPh sb="0" eb="2">
      <t>シャリョウ</t>
    </rPh>
    <rPh sb="9" eb="10">
      <t>ヨウ</t>
    </rPh>
    <rPh sb="11" eb="15">
      <t>シンシャワリビキ</t>
    </rPh>
    <rPh sb="16" eb="20">
      <t>シャリョウホケン</t>
    </rPh>
    <rPh sb="21" eb="23">
      <t>テキヨウ</t>
    </rPh>
    <rPh sb="29" eb="32">
      <t>ショドネン</t>
    </rPh>
    <rPh sb="33" eb="34">
      <t>キ</t>
    </rPh>
    <rPh sb="37" eb="39">
      <t>ヒツヨウ</t>
    </rPh>
    <rPh sb="40" eb="41">
      <t>ナ</t>
    </rPh>
    <phoneticPr fontId="1"/>
  </si>
  <si>
    <t>純新規</t>
  </si>
  <si>
    <t>MX81S</t>
  </si>
  <si>
    <t>HE33S</t>
    <phoneticPr fontId="1"/>
  </si>
  <si>
    <t>2023(令和05)</t>
  </si>
  <si>
    <t>ASV2</t>
    <phoneticPr fontId="1"/>
  </si>
  <si>
    <t>人傷AMT2</t>
    <rPh sb="0" eb="2">
      <t>ジンショウ</t>
    </rPh>
    <phoneticPr fontId="1"/>
  </si>
  <si>
    <t>純新規フラグ2</t>
    <rPh sb="0" eb="1">
      <t>ジュン</t>
    </rPh>
    <rPh sb="1" eb="3">
      <t>シンキ</t>
    </rPh>
    <phoneticPr fontId="1"/>
  </si>
  <si>
    <t>連結2</t>
    <rPh sb="0" eb="2">
      <t>レンケツ</t>
    </rPh>
    <phoneticPr fontId="1"/>
  </si>
  <si>
    <t>車有P</t>
    <rPh sb="0" eb="1">
      <t>シャ</t>
    </rPh>
    <rPh sb="1" eb="2">
      <t>アリ</t>
    </rPh>
    <phoneticPr fontId="1"/>
  </si>
  <si>
    <t>車無P</t>
    <rPh sb="0" eb="1">
      <t>シャ</t>
    </rPh>
    <rPh sb="1" eb="2">
      <t>ナ</t>
    </rPh>
    <phoneticPr fontId="1"/>
  </si>
  <si>
    <t>イ割車有</t>
    <rPh sb="1" eb="2">
      <t>ワ</t>
    </rPh>
    <rPh sb="2" eb="3">
      <t>シャ</t>
    </rPh>
    <rPh sb="3" eb="4">
      <t>アリ</t>
    </rPh>
    <phoneticPr fontId="1"/>
  </si>
  <si>
    <t>イ割車無</t>
    <rPh sb="1" eb="2">
      <t>ワ</t>
    </rPh>
    <rPh sb="2" eb="3">
      <t>シャ</t>
    </rPh>
    <rPh sb="3" eb="4">
      <t>ナシ</t>
    </rPh>
    <phoneticPr fontId="1"/>
  </si>
  <si>
    <t>早割</t>
    <rPh sb="0" eb="2">
      <t>ハヤワリ</t>
    </rPh>
    <phoneticPr fontId="1"/>
  </si>
  <si>
    <t>ZC32S</t>
    <phoneticPr fontId="1"/>
  </si>
  <si>
    <t>J50</t>
  </si>
  <si>
    <t>AVV50N</t>
  </si>
  <si>
    <t>TSS10H</t>
  </si>
  <si>
    <t>GF7W</t>
  </si>
  <si>
    <t>B21A</t>
  </si>
  <si>
    <t>JF1</t>
  </si>
  <si>
    <t>B11W</t>
  </si>
  <si>
    <t>S331N</t>
  </si>
  <si>
    <t>LA600S</t>
  </si>
  <si>
    <t>自小乗</t>
  </si>
  <si>
    <t>自普乗</t>
  </si>
  <si>
    <t>自軽四乗</t>
  </si>
  <si>
    <t>ｽｲﾌﾄ</t>
  </si>
  <si>
    <t>ｽｶｲﾗｲﾝ</t>
  </si>
  <si>
    <t>ｱﾙﾃｨｽ</t>
  </si>
  <si>
    <t>ｸﾗｳﾝ</t>
  </si>
  <si>
    <t>ｱｳﾄﾗﾝﾀﾞ-</t>
  </si>
  <si>
    <t>ﾃﾞｲｽﾞﾙ-ｸｽ</t>
  </si>
  <si>
    <t>NBOX</t>
  </si>
  <si>
    <t xml:space="preserve">eKｶｽﾀﾑ </t>
  </si>
  <si>
    <t>ﾃﾞｨｱｽﾜｺﾞﾝ</t>
  </si>
  <si>
    <t>ﾀﾝﾄ</t>
  </si>
  <si>
    <t>計算シート作成用(新車ASV用_新車)</t>
  </si>
  <si>
    <t>A202S</t>
  </si>
  <si>
    <t>AAZA20</t>
  </si>
  <si>
    <t>KS6E26</t>
  </si>
  <si>
    <t>MXPK10</t>
  </si>
  <si>
    <t>FL4</t>
  </si>
  <si>
    <t>RV3</t>
  </si>
  <si>
    <t>JG4</t>
  </si>
  <si>
    <t>JG3</t>
  </si>
  <si>
    <t>LA860S</t>
  </si>
  <si>
    <t>自小乗</t>
    <phoneticPr fontId="1"/>
  </si>
  <si>
    <t>ﾛｯｷ-</t>
  </si>
  <si>
    <t>NX</t>
  </si>
  <si>
    <t>ｷｬﾗﾊﾞﾝ</t>
  </si>
  <si>
    <t>ｱｸｱ</t>
  </si>
  <si>
    <t>ｼﾋﾞﾂｸﾊｲﾌﾞﾘﾂﾄﾞ</t>
  </si>
  <si>
    <t>VEZEL</t>
  </si>
  <si>
    <t>N-ONE</t>
  </si>
  <si>
    <t>ﾑ-ｳﾞ</t>
  </si>
  <si>
    <t>ﾜｺﾞﾝRｽﾏｲﾙ</t>
  </si>
  <si>
    <t>ZC32S</t>
  </si>
  <si>
    <t>500万円</t>
  </si>
  <si>
    <t>車内</t>
  </si>
  <si>
    <t>85万円</t>
  </si>
  <si>
    <t>100万円</t>
  </si>
  <si>
    <t>35歳以上補償</t>
  </si>
  <si>
    <t>計算シート特約</t>
  </si>
  <si>
    <t>HY51</t>
  </si>
  <si>
    <t>Z12</t>
  </si>
  <si>
    <t>JW5</t>
  </si>
  <si>
    <t>L285S</t>
  </si>
  <si>
    <t>北海道</t>
  </si>
  <si>
    <t>21歳以上補償</t>
  </si>
  <si>
    <t>50万円</t>
  </si>
  <si>
    <t>宮城</t>
  </si>
  <si>
    <t>愛知</t>
  </si>
  <si>
    <t>大阪</t>
  </si>
  <si>
    <t>愛媛</t>
  </si>
  <si>
    <t>福岡</t>
  </si>
  <si>
    <t>車内外</t>
  </si>
  <si>
    <t>限定しない</t>
  </si>
  <si>
    <t>家族</t>
  </si>
  <si>
    <t>30万円</t>
  </si>
  <si>
    <t>全損のみカバー型</t>
  </si>
  <si>
    <t>2019(令和01)</t>
  </si>
  <si>
    <t>480万円</t>
  </si>
  <si>
    <t>270万円</t>
  </si>
  <si>
    <t>105万円</t>
  </si>
  <si>
    <t>70万円</t>
  </si>
  <si>
    <t>2021(令和03)</t>
  </si>
  <si>
    <t>限定カバー型</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</si>
</sst>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2" x14ac:knownFonts="1">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sz val="16"/>
      <color rgb="FF000000"/>
      <name val="ＭＳ Ｐゴシック"/>
      <family val="3"/>
      <charset val="128"/>
    </font>
    <font>
      <sz val="11"/>
      <color rgb="FF000000"/>
      <name val="ＭＳ Ｐゴシック"/>
      <family val="3"/>
      <charset val="128"/>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b/>
      <sz val="11"/>
      <color rgb="FF00B0F0"/>
      <name val="ＭＳ Ｐゴシック"/>
      <family val="3"/>
      <charset val="128"/>
      <scheme val="minor"/>
    </font>
    <font>
      <sz val="11"/>
      <name val="ＭＳ Ｐゴシック"/>
      <family val="3"/>
      <charset val="128"/>
      <scheme val="minor"/>
    </font>
    <font>
      <sz val="20"/>
      <color rgb="FF000000"/>
      <name val="ＭＳ Ｐゴシック"/>
      <family val="3"/>
      <charset val="128"/>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2">
    <xf numFmtId="0" fontId="0" fillId="0" borderId="0">
      <alignment vertical="center"/>
    </xf>
    <xf numFmtId="38" fontId="2" fillId="0" borderId="0" applyFont="0" applyFill="0" applyBorder="0" applyAlignment="0" applyProtection="0">
      <alignment vertical="center"/>
    </xf>
  </cellStyleXfs>
  <cellXfs count="68">
    <xf numFmtId="0" fontId="0" fillId="0" borderId="0" xfId="0">
      <alignment vertical="center"/>
    </xf>
    <xf numFmtId="0" fontId="0" fillId="0" borderId="1" xfId="0" applyBorder="1">
      <alignment vertical="center"/>
    </xf>
    <xf numFmtId="0" fontId="0" fillId="0" borderId="1" xfId="0" applyFill="1" applyBorder="1">
      <alignment vertical="center"/>
    </xf>
    <xf numFmtId="0" fontId="3" fillId="6" borderId="0" xfId="0" applyFont="1" applyFill="1" applyAlignment="1">
      <alignment horizontal="center" vertical="center"/>
    </xf>
    <xf numFmtId="38" fontId="0" fillId="0" borderId="0" xfId="0" applyNumberFormat="1">
      <alignment vertical="center"/>
    </xf>
    <xf numFmtId="0" fontId="0" fillId="2" borderId="1" xfId="0" applyFill="1" applyBorder="1" applyAlignment="1">
      <alignment horizontal="center" vertical="center"/>
    </xf>
    <xf numFmtId="0" fontId="0" fillId="0" borderId="0" xfId="0" applyAlignment="1">
      <alignment horizontal="center" vertical="center"/>
    </xf>
    <xf numFmtId="0" fontId="3" fillId="5" borderId="1" xfId="0" applyFont="1" applyFill="1" applyBorder="1" applyAlignment="1">
      <alignment horizontal="center" vertical="center"/>
    </xf>
    <xf numFmtId="0" fontId="0" fillId="0" borderId="0" xfId="0" applyAlignment="1">
      <alignment horizontal="right" vertical="center"/>
    </xf>
    <xf numFmtId="0" fontId="3" fillId="4" borderId="0" xfId="0" applyFont="1" applyFill="1" applyBorder="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applyBorder="1" applyAlignment="1">
      <alignment horizontal="right" vertical="center"/>
    </xf>
    <xf numFmtId="0" fontId="0" fillId="0" borderId="1" xfId="0" quotePrefix="1" applyBorder="1" applyAlignment="1">
      <alignment horizontal="right" vertical="center"/>
    </xf>
    <xf numFmtId="0" fontId="0" fillId="7" borderId="1" xfId="0" applyFill="1" applyBorder="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lignment vertical="center"/>
    </xf>
    <xf numFmtId="0" fontId="0" fillId="2" borderId="2" xfId="0" applyFill="1" applyBorder="1" applyAlignment="1">
      <alignment horizontal="center" vertical="center"/>
    </xf>
    <xf numFmtId="0" fontId="0" fillId="0" borderId="0" xfId="0" applyAlignment="1">
      <alignment horizontal="left" vertical="center"/>
    </xf>
    <xf numFmtId="0" fontId="0" fillId="11" borderId="0" xfId="0" applyFill="1">
      <alignment vertical="center"/>
    </xf>
    <xf numFmtId="0" fontId="8" fillId="0" borderId="0" xfId="0" applyFont="1" applyAlignment="1">
      <alignment horizontal="center" vertical="center"/>
    </xf>
    <xf numFmtId="0" fontId="8" fillId="0" borderId="0" xfId="0" applyFont="1" applyAlignment="1">
      <alignment horizontal="left" vertical="center"/>
    </xf>
    <xf numFmtId="0" fontId="8" fillId="0" borderId="0" xfId="0" applyFo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1" xfId="0" applyBorder="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2"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lignment vertical="center"/>
    </xf>
    <xf numFmtId="0" fontId="0" fillId="12" borderId="1" xfId="0" applyFill="1" applyBorder="1" applyAlignment="1">
      <alignment horizontal="center" vertical="center"/>
    </xf>
    <xf numFmtId="0" fontId="0" fillId="0" borderId="1" xfId="0"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3" xfId="0" applyFill="1" applyBorder="1">
      <alignment vertical="center"/>
    </xf>
    <xf numFmtId="0" fontId="0" fillId="0" borderId="1" xfId="0" applyFill="1" applyBorder="1" applyAlignment="1">
      <alignment horizontal="center" vertical="center"/>
    </xf>
    <xf numFmtId="0" fontId="0" fillId="0" borderId="0" xfId="0" applyFill="1">
      <alignmen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10" fillId="0" borderId="1" xfId="0" applyFont="1" applyBorder="1">
      <alignment vertical="center"/>
    </xf>
    <xf numFmtId="0" fontId="7" fillId="10" borderId="3" xfId="0" applyFont="1" applyFill="1" applyBorder="1" applyAlignment="1">
      <alignment horizontal="center" vertical="center"/>
    </xf>
    <xf numFmtId="0" fontId="7" fillId="10" borderId="4" xfId="0" applyFont="1" applyFill="1" applyBorder="1" applyAlignment="1">
      <alignment horizontal="center" vertical="center"/>
    </xf>
    <xf numFmtId="0" fontId="7" fillId="10" borderId="5" xfId="0" applyFont="1" applyFill="1" applyBorder="1" applyAlignment="1">
      <alignment horizontal="center" vertical="center"/>
    </xf>
    <xf numFmtId="0" fontId="7" fillId="10" borderId="6" xfId="0" applyFont="1" applyFill="1" applyBorder="1" applyAlignment="1">
      <alignment horizontal="center" vertical="center"/>
    </xf>
    <xf numFmtId="0" fontId="7" fillId="10" borderId="0" xfId="0" applyFont="1" applyFill="1" applyAlignment="1">
      <alignment horizontal="center" vertical="center"/>
    </xf>
    <xf numFmtId="0" fontId="7" fillId="10" borderId="7" xfId="0" applyFont="1" applyFill="1" applyBorder="1" applyAlignment="1">
      <alignment horizontal="center" vertical="center"/>
    </xf>
    <xf numFmtId="0" fontId="7" fillId="10" borderId="8" xfId="0" applyFont="1" applyFill="1" applyBorder="1" applyAlignment="1">
      <alignment horizontal="center" vertical="center"/>
    </xf>
    <xf numFmtId="0" fontId="7" fillId="10" borderId="9" xfId="0" applyFont="1" applyFill="1" applyBorder="1" applyAlignment="1">
      <alignment horizontal="center" vertical="center"/>
    </xf>
    <xf numFmtId="0" fontId="7" fillId="10" borderId="10" xfId="0" applyFont="1" applyFill="1" applyBorder="1" applyAlignment="1">
      <alignment horizontal="center" vertical="center"/>
    </xf>
    <xf numFmtId="0" fontId="0" fillId="14" borderId="1" xfId="0" applyFill="1" applyBorder="1" applyAlignment="1">
      <alignment horizontal="center" vertical="center"/>
    </xf>
    <xf numFmtId="0" fontId="6" fillId="12" borderId="3" xfId="0" applyFont="1" applyFill="1" applyBorder="1" applyAlignment="1">
      <alignment horizontal="center" vertical="center"/>
    </xf>
    <xf numFmtId="0" fontId="6" fillId="12" borderId="4" xfId="0" applyFont="1" applyFill="1" applyBorder="1" applyAlignment="1">
      <alignment horizontal="center" vertical="center"/>
    </xf>
    <xf numFmtId="0" fontId="6" fillId="12" borderId="5" xfId="0" applyFont="1" applyFill="1" applyBorder="1" applyAlignment="1">
      <alignment horizontal="center" vertical="center"/>
    </xf>
    <xf numFmtId="0" fontId="6" fillId="12" borderId="6" xfId="0" applyFont="1" applyFill="1" applyBorder="1" applyAlignment="1">
      <alignment horizontal="center" vertical="center"/>
    </xf>
    <xf numFmtId="0" fontId="6" fillId="12" borderId="0" xfId="0" applyFont="1" applyFill="1" applyBorder="1" applyAlignment="1">
      <alignment horizontal="center" vertical="center"/>
    </xf>
    <xf numFmtId="0" fontId="6" fillId="12" borderId="7" xfId="0" applyFont="1" applyFill="1" applyBorder="1" applyAlignment="1">
      <alignment horizontal="center" vertical="center"/>
    </xf>
    <xf numFmtId="0" fontId="6" fillId="12" borderId="8" xfId="0" applyFont="1" applyFill="1" applyBorder="1" applyAlignment="1">
      <alignment horizontal="center" vertical="center"/>
    </xf>
    <xf numFmtId="0" fontId="6" fillId="12" borderId="9" xfId="0" applyFont="1" applyFill="1" applyBorder="1" applyAlignment="1">
      <alignment horizontal="center" vertical="center"/>
    </xf>
    <xf numFmtId="0" fontId="6" fillId="12" borderId="10" xfId="0" applyFont="1" applyFill="1" applyBorder="1" applyAlignment="1">
      <alignment horizontal="center" vertical="center"/>
    </xf>
    <xf numFmtId="0" fontId="7" fillId="10" borderId="0" xfId="0" applyFont="1" applyFill="1" applyBorder="1" applyAlignment="1">
      <alignment horizontal="center" vertical="center"/>
    </xf>
    <xf numFmtId="0" fontId="0" fillId="13" borderId="1" xfId="0" applyFill="1" applyBorder="1" applyAlignment="1">
      <alignment horizontal="center" vertical="center"/>
    </xf>
  </cellXfs>
  <cellStyles count="2">
    <cellStyle name="桁区切り" xfId="1" builtinId="6"/>
    <cellStyle name="標準" xfId="0" builtinId="0"/>
  </cellStyles>
  <dxfs count="0"/>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19050</xdr:colOff>
          <xdr:row>8</xdr:row>
          <xdr:rowOff>0</xdr:rowOff>
        </xdr:from>
        <xdr:to>
          <xdr:col>22</xdr:col>
          <xdr:colOff>19050</xdr:colOff>
          <xdr:row>11</xdr:row>
          <xdr:rowOff>9525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600" b="0" i="0" u="none" strike="noStrike" baseline="0">
                  <a:solidFill>
                    <a:srgbClr val="000000"/>
                  </a:solidFill>
                  <a:latin typeface="ＭＳ Ｐゴシック"/>
                  <a:ea typeface="ＭＳ Ｐゴシック"/>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44</xdr:row>
          <xdr:rowOff>9525</xdr:rowOff>
        </xdr:from>
        <xdr:to>
          <xdr:col>22</xdr:col>
          <xdr:colOff>0</xdr:colOff>
          <xdr:row>47</xdr:row>
          <xdr:rowOff>9525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27</xdr:row>
          <xdr:rowOff>9525</xdr:rowOff>
        </xdr:from>
        <xdr:to>
          <xdr:col>7</xdr:col>
          <xdr:colOff>9525</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関数ローディング</a:t>
              </a:r>
            </a:p>
            <a:p>
              <a:pPr algn="ctr" rtl="0">
                <a:defRPr sz="1000"/>
              </a:pPr>
              <a:r>
                <a:rPr lang="ja-JP" altLang="en-US" sz="1100" b="0" i="0" u="none" strike="noStrike" baseline="0">
                  <a:solidFill>
                    <a:srgbClr val="000000"/>
                  </a:solidFill>
                  <a:latin typeface="ＭＳ Ｐゴシック"/>
                  <a:ea typeface="ＭＳ Ｐゴシック"/>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52</xdr:row>
          <xdr:rowOff>142875</xdr:rowOff>
        </xdr:from>
        <xdr:to>
          <xdr:col>7</xdr:col>
          <xdr:colOff>9525</xdr:colOff>
          <xdr:row>55</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ファイル作成</a:t>
              </a:r>
            </a:p>
          </xdr:txBody>
        </xdr:sp>
        <xdr:clientData fPrintsWithSheet="0"/>
      </xdr:twoCellAnchor>
    </mc:Choice>
    <mc:Fallback/>
  </mc:AlternateContent>
  <xdr:twoCellAnchor>
    <xdr:from>
      <xdr:col>23</xdr:col>
      <xdr:colOff>0</xdr:colOff>
      <xdr:row>2</xdr:row>
      <xdr:rowOff>0</xdr:rowOff>
    </xdr:from>
    <xdr:to>
      <xdr:col>26</xdr:col>
      <xdr:colOff>217714</xdr:colOff>
      <xdr:row>7</xdr:row>
      <xdr:rowOff>122465</xdr:rowOff>
    </xdr:to>
    <xdr:sp macro="" textlink="">
      <xdr:nvSpPr>
        <xdr:cNvPr id="7" name="テキスト ボックス 6">
          <a:extLst>
            <a:ext uri="{FF2B5EF4-FFF2-40B4-BE49-F238E27FC236}">
              <a16:creationId xmlns:a16="http://schemas.microsoft.com/office/drawing/2014/main" id="{00000000-0008-0000-0000-000007000000}"/>
            </a:ext>
          </a:extLst>
        </xdr:cNvPr>
        <xdr:cNvSpPr txBox="1"/>
      </xdr:nvSpPr>
      <xdr:spPr>
        <a:xfrm>
          <a:off x="14219464" y="353786"/>
          <a:ext cx="3986893" cy="1006929"/>
        </a:xfrm>
        <a:prstGeom prst="rect">
          <a:avLst/>
        </a:prstGeom>
        <a:solidFill>
          <a:srgbClr val="FFFFCC"/>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1" lang="ja-JP" altLang="en-US" sz="1400">
              <a:solidFill>
                <a:sysClr val="windowText" lastClr="000000"/>
              </a:solidFill>
            </a:rPr>
            <a:t>定型打鍵データ作成マクロ。</a:t>
          </a:r>
          <a:endParaRPr kumimoji="1" lang="en-US" altLang="ja-JP" sz="1400">
            <a:solidFill>
              <a:sysClr val="windowText" lastClr="000000"/>
            </a:solidFill>
          </a:endParaRPr>
        </a:p>
        <a:p>
          <a:r>
            <a:rPr kumimoji="1" lang="ja-JP" altLang="en-US" sz="1400">
              <a:solidFill>
                <a:sysClr val="windowText" lastClr="000000"/>
              </a:solidFill>
            </a:rPr>
            <a:t>毎度作り直すと日が暮れるので</a:t>
          </a:r>
          <a:endParaRPr kumimoji="1" lang="en-US" altLang="ja-JP" sz="1400">
            <a:solidFill>
              <a:sysClr val="windowText" lastClr="000000"/>
            </a:solidFill>
          </a:endParaRPr>
        </a:p>
        <a:p>
          <a:r>
            <a:rPr kumimoji="1" lang="ja-JP" altLang="en-US" sz="1400">
              <a:solidFill>
                <a:sysClr val="windowText" lastClr="000000"/>
              </a:solidFill>
            </a:rPr>
            <a:t>ある程度型を準備しておく。</a:t>
          </a:r>
        </a:p>
      </xdr:txBody>
    </xdr:sp>
    <xdr:clientData/>
  </xdr:twoCellAnchor>
  <mc:AlternateContent xmlns:mc="http://schemas.openxmlformats.org/markup-compatibility/2006">
    <mc:Choice xmlns:a14="http://schemas.microsoft.com/office/drawing/2010/main" Requires="a14">
      <xdr:twoCellAnchor>
        <xdr:from>
          <xdr:col>8</xdr:col>
          <xdr:colOff>9525</xdr:colOff>
          <xdr:row>27</xdr:row>
          <xdr:rowOff>9525</xdr:rowOff>
        </xdr:from>
        <xdr:to>
          <xdr:col>11</xdr:col>
          <xdr:colOff>247650</xdr:colOff>
          <xdr:row>29</xdr:row>
          <xdr:rowOff>171450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314325</xdr:colOff>
          <xdr:row>104</xdr:row>
          <xdr:rowOff>9525</xdr:rowOff>
        </xdr:from>
        <xdr:to>
          <xdr:col>23</xdr:col>
          <xdr:colOff>847725</xdr:colOff>
          <xdr:row>108</xdr:row>
          <xdr:rowOff>152400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2000" b="0" i="0" u="none" strike="noStrike" baseline="0">
                  <a:solidFill>
                    <a:srgbClr val="000000"/>
                  </a:solidFill>
                  <a:latin typeface="ＭＳ Ｐゴシック"/>
                  <a:ea typeface="ＭＳ Ｐゴシック"/>
                </a:rPr>
                <a:t>計算シート設定</a:t>
              </a:r>
            </a:p>
          </xdr:txBody>
        </xdr:sp>
        <xdr:clientData fPrintsWithSheet="0"/>
      </xdr:twoCellAnchor>
    </mc:Choice>
    <mc:Fallback/>
  </mc:AlternateContent>
  <xdr:twoCellAnchor>
    <xdr:from>
      <xdr:col>25</xdr:col>
      <xdr:colOff>0</xdr:colOff>
      <xdr:row>104</xdr:row>
      <xdr:rowOff>1</xdr:rowOff>
    </xdr:from>
    <xdr:to>
      <xdr:col>47</xdr:col>
      <xdr:colOff>0</xdr:colOff>
      <xdr:row>311</xdr:row>
      <xdr:rowOff>28577</xdr:rowOff>
    </xdr:to>
    <xdr:sp macro="" textlink="">
      <xdr:nvSpPr>
        <xdr:cNvPr id="10" name="正方形/長方形 9"/>
        <xdr:cNvSpPr/>
      </xdr:nvSpPr>
      <xdr:spPr>
        <a:xfrm>
          <a:off x="14420850" y="17926051"/>
          <a:ext cx="20745450" cy="35518726"/>
        </a:xfrm>
        <a:prstGeom prst="rect">
          <a:avLst/>
        </a:prstGeom>
        <a:solidFill>
          <a:srgbClr val="FFFFFF">
            <a:alpha val="80000"/>
          </a:srgb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8000">
              <a:solidFill>
                <a:sysClr val="windowText" lastClr="000000"/>
              </a:solidFill>
            </a:rPr>
            <a:t>未更新</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7030A0"/>
  </sheetPr>
  <dimension ref="A1:AU199"/>
  <sheetViews>
    <sheetView topLeftCell="A19" zoomScaleNormal="100" workbookViewId="0">
      <selection activeCell="F45" sqref="F45"/>
    </sheetView>
  </sheetViews>
  <sheetFormatPr defaultRowHeight="13.5" x14ac:dyDescent="0.15"/>
  <cols>
    <col min="1" max="3" width="3.125" style="6" customWidth="1"/>
    <col min="4" max="4" width="3.125" style="21" customWidth="1"/>
    <col min="16" max="16" width="2.75" customWidth="1"/>
    <col min="17" max="17" width="2.75" style="22" customWidth="1"/>
    <col min="18" max="19" width="3.25" customWidth="1"/>
    <col min="20" max="20" width="12.625" customWidth="1"/>
    <col min="21" max="36" width="10.625" customWidth="1"/>
    <col min="37" max="47" width="14.125" customWidth="1"/>
  </cols>
  <sheetData>
    <row r="1" spans="2:22" ht="14.25" thickBot="1" x14ac:dyDescent="0.2"/>
    <row r="2" spans="2:22" ht="13.5" customHeight="1" thickBot="1" x14ac:dyDescent="0.2">
      <c r="B2" s="57" t="s">
        <v>324</v>
      </c>
      <c r="C2" s="58"/>
      <c r="D2" s="58"/>
      <c r="E2" s="58"/>
      <c r="F2" s="58"/>
      <c r="G2" s="58"/>
      <c r="H2" s="59"/>
    </row>
    <row r="3" spans="2:22" ht="13.5" customHeight="1" x14ac:dyDescent="0.15">
      <c r="B3" s="60"/>
      <c r="C3" s="61"/>
      <c r="D3" s="61"/>
      <c r="E3" s="61"/>
      <c r="F3" s="61"/>
      <c r="G3" s="61"/>
      <c r="H3" s="62"/>
      <c r="S3" s="47" t="s">
        <v>285</v>
      </c>
      <c r="T3" s="48"/>
      <c r="U3" s="48"/>
      <c r="V3" s="49"/>
    </row>
    <row r="4" spans="2:22" ht="13.5" customHeight="1" x14ac:dyDescent="0.15">
      <c r="B4" s="60"/>
      <c r="C4" s="61"/>
      <c r="D4" s="61"/>
      <c r="E4" s="61"/>
      <c r="F4" s="61"/>
      <c r="G4" s="61"/>
      <c r="H4" s="62"/>
      <c r="S4" s="50"/>
      <c r="T4" s="66"/>
      <c r="U4" s="66"/>
      <c r="V4" s="52"/>
    </row>
    <row r="5" spans="2:22" ht="14.25" customHeight="1" thickBot="1" x14ac:dyDescent="0.2">
      <c r="B5" s="63"/>
      <c r="C5" s="64"/>
      <c r="D5" s="64"/>
      <c r="E5" s="64"/>
      <c r="F5" s="64"/>
      <c r="G5" s="64"/>
      <c r="H5" s="65"/>
      <c r="S5" s="53"/>
      <c r="T5" s="54"/>
      <c r="U5" s="54"/>
      <c r="V5" s="55"/>
    </row>
    <row r="7" spans="2:22" x14ac:dyDescent="0.15">
      <c r="C7" s="21" t="s">
        <v>325</v>
      </c>
      <c r="E7" s="21"/>
      <c r="F7" s="21"/>
      <c r="G7" s="21"/>
      <c r="T7" t="s">
        <v>326</v>
      </c>
    </row>
    <row r="8" spans="2:22" x14ac:dyDescent="0.15">
      <c r="C8" s="21" t="s">
        <v>286</v>
      </c>
      <c r="E8" s="21"/>
      <c r="F8" s="21"/>
      <c r="G8" s="21"/>
    </row>
    <row r="10" spans="2:22" x14ac:dyDescent="0.15">
      <c r="C10" s="23" t="s">
        <v>287</v>
      </c>
      <c r="D10" s="24" t="s">
        <v>288</v>
      </c>
    </row>
    <row r="11" spans="2:22" x14ac:dyDescent="0.15">
      <c r="D11" s="21" t="s">
        <v>327</v>
      </c>
    </row>
    <row r="12" spans="2:22" x14ac:dyDescent="0.15">
      <c r="D12" s="21" t="s">
        <v>289</v>
      </c>
    </row>
    <row r="14" spans="2:22" ht="14.25" thickBot="1" x14ac:dyDescent="0.2">
      <c r="D14" s="6" t="s">
        <v>290</v>
      </c>
      <c r="E14" t="s">
        <v>291</v>
      </c>
    </row>
    <row r="15" spans="2:22" x14ac:dyDescent="0.15">
      <c r="D15" s="6"/>
      <c r="E15" t="s">
        <v>292</v>
      </c>
      <c r="S15" s="47" t="s">
        <v>293</v>
      </c>
      <c r="T15" s="48"/>
      <c r="U15" s="48"/>
      <c r="V15" s="49"/>
    </row>
    <row r="16" spans="2:22" x14ac:dyDescent="0.15">
      <c r="D16" s="6"/>
      <c r="S16" s="50"/>
      <c r="T16" s="66"/>
      <c r="U16" s="66"/>
      <c r="V16" s="52"/>
    </row>
    <row r="17" spans="3:24" ht="14.25" thickBot="1" x14ac:dyDescent="0.2">
      <c r="D17" s="6" t="s">
        <v>290</v>
      </c>
      <c r="E17" t="s">
        <v>294</v>
      </c>
      <c r="S17" s="53"/>
      <c r="T17" s="54"/>
      <c r="U17" s="54"/>
      <c r="V17" s="55"/>
    </row>
    <row r="18" spans="3:24" x14ac:dyDescent="0.15">
      <c r="D18" s="6"/>
      <c r="E18" t="s">
        <v>295</v>
      </c>
    </row>
    <row r="19" spans="3:24" x14ac:dyDescent="0.15">
      <c r="E19" t="s">
        <v>296</v>
      </c>
      <c r="T19" t="s">
        <v>297</v>
      </c>
    </row>
    <row r="20" spans="3:24" x14ac:dyDescent="0.15">
      <c r="T20" t="s">
        <v>298</v>
      </c>
    </row>
    <row r="21" spans="3:24" x14ac:dyDescent="0.15">
      <c r="D21" s="6" t="s">
        <v>290</v>
      </c>
      <c r="E21" t="s">
        <v>299</v>
      </c>
      <c r="W21" s="25" t="s">
        <v>300</v>
      </c>
    </row>
    <row r="22" spans="3:24" x14ac:dyDescent="0.15">
      <c r="E22" t="s">
        <v>301</v>
      </c>
      <c r="T22" s="26" t="s">
        <v>302</v>
      </c>
      <c r="U22" s="1">
        <v>2023</v>
      </c>
      <c r="W22" s="27" t="str">
        <f>IF($U$22*10000+$U$23*100+$U$24&gt;=19890108,IF($U$22*10000+$U$23*100+$U$24&gt;=20190501,"令和","平成"),"昭和")</f>
        <v>令和</v>
      </c>
      <c r="X22" s="28">
        <f>IF($W$22="令和",$U$22-2018,IF($W$22="平成",$U22-1988,$U22-1989+64))</f>
        <v>5</v>
      </c>
    </row>
    <row r="23" spans="3:24" x14ac:dyDescent="0.15">
      <c r="T23" s="26" t="s">
        <v>303</v>
      </c>
      <c r="U23" s="1">
        <v>1</v>
      </c>
    </row>
    <row r="24" spans="3:24" x14ac:dyDescent="0.15">
      <c r="C24" s="23" t="s">
        <v>304</v>
      </c>
      <c r="D24" s="24" t="s">
        <v>305</v>
      </c>
      <c r="T24" s="26" t="s">
        <v>306</v>
      </c>
      <c r="U24" s="1">
        <v>1</v>
      </c>
    </row>
    <row r="25" spans="3:24" x14ac:dyDescent="0.15">
      <c r="D25" s="21" t="s">
        <v>343</v>
      </c>
    </row>
    <row r="26" spans="3:24" x14ac:dyDescent="0.15">
      <c r="D26" s="21" t="s">
        <v>307</v>
      </c>
      <c r="U26" s="29" t="s">
        <v>308</v>
      </c>
      <c r="V26" s="29" t="s">
        <v>309</v>
      </c>
      <c r="W26" s="29" t="s">
        <v>310</v>
      </c>
      <c r="X26" s="29" t="s">
        <v>311</v>
      </c>
    </row>
    <row r="27" spans="3:24" x14ac:dyDescent="0.15">
      <c r="T27" s="26" t="s">
        <v>175</v>
      </c>
      <c r="U27" s="12" t="s">
        <v>412</v>
      </c>
      <c r="V27" s="12" t="s">
        <v>467</v>
      </c>
      <c r="W27" s="12" t="s">
        <v>410</v>
      </c>
      <c r="X27" s="12" t="s">
        <v>411</v>
      </c>
    </row>
    <row r="28" spans="3:24" x14ac:dyDescent="0.15">
      <c r="T28" s="26" t="s">
        <v>105</v>
      </c>
      <c r="U28" s="12">
        <v>2018</v>
      </c>
      <c r="V28" s="12">
        <v>2018</v>
      </c>
      <c r="W28" s="12">
        <v>2018</v>
      </c>
      <c r="X28" s="12">
        <f>IF($U$23=1,$U$22-1,$U$22)</f>
        <v>2022</v>
      </c>
    </row>
    <row r="29" spans="3:24" x14ac:dyDescent="0.15">
      <c r="T29" s="26" t="s">
        <v>106</v>
      </c>
      <c r="U29" s="12">
        <v>11</v>
      </c>
      <c r="V29" s="12">
        <v>11</v>
      </c>
      <c r="W29" s="12">
        <v>11</v>
      </c>
      <c r="X29" s="12">
        <v>11</v>
      </c>
    </row>
    <row r="30" spans="3:24" x14ac:dyDescent="0.15">
      <c r="T30" s="26" t="s">
        <v>240</v>
      </c>
      <c r="U30" s="12">
        <v>110</v>
      </c>
      <c r="V30" s="12">
        <v>110</v>
      </c>
      <c r="W30" s="12">
        <v>180</v>
      </c>
      <c r="X30" s="12">
        <v>480</v>
      </c>
    </row>
    <row r="31" spans="3:24" x14ac:dyDescent="0.15">
      <c r="T31" s="26" t="s">
        <v>312</v>
      </c>
      <c r="U31" s="27" t="str">
        <f>IF(U$28*100+U$29&gt;=198901,IF(U$28*100+U$29&gt;=201905,"令和","平成"),"昭和")</f>
        <v>平成</v>
      </c>
      <c r="V31" s="27" t="str">
        <f t="shared" ref="V31:X31" si="0">IF(V$28*100+V$29&gt;=198901,IF(V$28*100+V$29&gt;=201905,"令和","平成"),"昭和")</f>
        <v>平成</v>
      </c>
      <c r="W31" s="27" t="str">
        <f t="shared" si="0"/>
        <v>平成</v>
      </c>
      <c r="X31" s="27" t="str">
        <f t="shared" si="0"/>
        <v>令和</v>
      </c>
    </row>
    <row r="32" spans="3:24" x14ac:dyDescent="0.15">
      <c r="C32" s="23" t="s">
        <v>313</v>
      </c>
      <c r="D32" s="24" t="s">
        <v>314</v>
      </c>
      <c r="E32" s="25"/>
      <c r="T32" s="26" t="s">
        <v>315</v>
      </c>
      <c r="U32" s="28">
        <f>IF(U$31="令和",U$28-2018,IF(U$31="平成",U$28-1988,U28-1989+64))</f>
        <v>30</v>
      </c>
      <c r="V32" s="28">
        <f t="shared" ref="V32:X32" si="1">IF(V$31="令和",V$28-2018,IF(V$31="平成",V$28-1988,V28-1989+64))</f>
        <v>30</v>
      </c>
      <c r="W32" s="28">
        <f t="shared" si="1"/>
        <v>30</v>
      </c>
      <c r="X32" s="28">
        <f t="shared" si="1"/>
        <v>4</v>
      </c>
    </row>
    <row r="33" spans="3:22" x14ac:dyDescent="0.15">
      <c r="D33" s="21" t="s">
        <v>316</v>
      </c>
    </row>
    <row r="35" spans="3:22" x14ac:dyDescent="0.15">
      <c r="C35" s="23" t="s">
        <v>317</v>
      </c>
      <c r="D35" s="24" t="s">
        <v>318</v>
      </c>
    </row>
    <row r="36" spans="3:22" x14ac:dyDescent="0.15">
      <c r="D36" s="21" t="s">
        <v>319</v>
      </c>
    </row>
    <row r="37" spans="3:22" ht="14.25" thickBot="1" x14ac:dyDescent="0.2">
      <c r="D37" s="21" t="s">
        <v>320</v>
      </c>
    </row>
    <row r="38" spans="3:22" x14ac:dyDescent="0.15">
      <c r="D38" s="21" t="s">
        <v>321</v>
      </c>
      <c r="S38" s="47" t="s">
        <v>322</v>
      </c>
      <c r="T38" s="48"/>
      <c r="U38" s="48"/>
      <c r="V38" s="49"/>
    </row>
    <row r="39" spans="3:22" x14ac:dyDescent="0.15">
      <c r="S39" s="50"/>
      <c r="T39" s="66"/>
      <c r="U39" s="66"/>
      <c r="V39" s="52"/>
    </row>
    <row r="40" spans="3:22" ht="14.25" thickBot="1" x14ac:dyDescent="0.2">
      <c r="C40" s="23" t="s">
        <v>334</v>
      </c>
      <c r="D40" s="24" t="s">
        <v>335</v>
      </c>
      <c r="S40" s="53"/>
      <c r="T40" s="54"/>
      <c r="U40" s="54"/>
      <c r="V40" s="55"/>
    </row>
    <row r="41" spans="3:22" x14ac:dyDescent="0.15">
      <c r="D41" s="21" t="s">
        <v>336</v>
      </c>
    </row>
    <row r="42" spans="3:22" x14ac:dyDescent="0.15">
      <c r="T42" t="s">
        <v>323</v>
      </c>
    </row>
    <row r="43" spans="3:22" x14ac:dyDescent="0.15">
      <c r="E43" s="26" t="s">
        <v>337</v>
      </c>
      <c r="F43" s="32">
        <v>1</v>
      </c>
    </row>
    <row r="44" spans="3:22" x14ac:dyDescent="0.15">
      <c r="E44" s="67" t="s">
        <v>351</v>
      </c>
      <c r="F44" s="31">
        <v>6</v>
      </c>
      <c r="G44" t="s">
        <v>352</v>
      </c>
    </row>
    <row r="45" spans="3:22" x14ac:dyDescent="0.15">
      <c r="E45" s="67"/>
      <c r="F45" s="31"/>
    </row>
    <row r="46" spans="3:22" x14ac:dyDescent="0.15">
      <c r="E46" s="67"/>
      <c r="F46" s="31"/>
    </row>
    <row r="47" spans="3:22" x14ac:dyDescent="0.15">
      <c r="E47" s="67"/>
      <c r="F47" s="31"/>
    </row>
    <row r="48" spans="3:22" ht="14.25" thickBot="1" x14ac:dyDescent="0.2">
      <c r="E48" s="67"/>
      <c r="F48" s="31"/>
    </row>
    <row r="49" spans="5:22" x14ac:dyDescent="0.15">
      <c r="E49" s="67"/>
      <c r="F49" s="31"/>
      <c r="S49" s="47" t="s">
        <v>340</v>
      </c>
      <c r="T49" s="48"/>
      <c r="U49" s="48"/>
      <c r="V49" s="49"/>
    </row>
    <row r="50" spans="5:22" x14ac:dyDescent="0.15">
      <c r="E50" s="67"/>
      <c r="F50" s="31"/>
      <c r="S50" s="50"/>
      <c r="T50" s="66"/>
      <c r="U50" s="66"/>
      <c r="V50" s="52"/>
    </row>
    <row r="51" spans="5:22" ht="14.25" thickBot="1" x14ac:dyDescent="0.2">
      <c r="E51" s="67"/>
      <c r="F51" s="1"/>
      <c r="S51" s="53"/>
      <c r="T51" s="54"/>
      <c r="U51" s="54"/>
      <c r="V51" s="55"/>
    </row>
    <row r="52" spans="5:22" x14ac:dyDescent="0.15">
      <c r="E52" s="67"/>
      <c r="F52" s="1"/>
    </row>
    <row r="53" spans="5:22" x14ac:dyDescent="0.15">
      <c r="T53" t="s">
        <v>341</v>
      </c>
    </row>
    <row r="54" spans="5:22" x14ac:dyDescent="0.15">
      <c r="T54" t="s">
        <v>344</v>
      </c>
    </row>
    <row r="55" spans="5:22" x14ac:dyDescent="0.15">
      <c r="T55" t="s">
        <v>342</v>
      </c>
    </row>
    <row r="64" spans="5:22" ht="14.25" thickBot="1" x14ac:dyDescent="0.2"/>
    <row r="65" spans="19:36" x14ac:dyDescent="0.15">
      <c r="S65" s="47" t="s">
        <v>355</v>
      </c>
      <c r="T65" s="48"/>
      <c r="U65" s="48"/>
      <c r="V65" s="49"/>
    </row>
    <row r="66" spans="19:36" x14ac:dyDescent="0.15">
      <c r="S66" s="50"/>
      <c r="T66" s="51"/>
      <c r="U66" s="51"/>
      <c r="V66" s="52"/>
    </row>
    <row r="67" spans="19:36" ht="14.25" thickBot="1" x14ac:dyDescent="0.2">
      <c r="S67" s="53"/>
      <c r="T67" s="54"/>
      <c r="U67" s="54"/>
      <c r="V67" s="55"/>
    </row>
    <row r="69" spans="19:36" x14ac:dyDescent="0.15">
      <c r="T69" t="s">
        <v>356</v>
      </c>
    </row>
    <row r="71" spans="19:36" x14ac:dyDescent="0.15">
      <c r="U71" s="56" t="s">
        <v>357</v>
      </c>
      <c r="V71" s="56"/>
      <c r="W71" s="56"/>
      <c r="X71" s="56"/>
      <c r="Y71" s="56"/>
      <c r="Z71" s="56"/>
      <c r="AA71" s="56"/>
      <c r="AB71" s="56"/>
      <c r="AC71" s="56"/>
      <c r="AD71" s="56"/>
      <c r="AE71" s="56"/>
      <c r="AF71" s="56"/>
      <c r="AG71" s="56"/>
      <c r="AH71" s="56"/>
      <c r="AI71" s="56"/>
      <c r="AJ71" s="56"/>
    </row>
    <row r="72" spans="19:36" x14ac:dyDescent="0.15">
      <c r="T72" s="33" t="s">
        <v>358</v>
      </c>
      <c r="U72" s="34" t="s">
        <v>359</v>
      </c>
      <c r="V72" s="34" t="s">
        <v>360</v>
      </c>
      <c r="W72" s="34" t="s">
        <v>361</v>
      </c>
      <c r="X72" s="34" t="s">
        <v>362</v>
      </c>
      <c r="Y72" s="34" t="s">
        <v>363</v>
      </c>
      <c r="Z72" s="34" t="s">
        <v>364</v>
      </c>
      <c r="AA72" s="34" t="s">
        <v>365</v>
      </c>
      <c r="AB72" s="34" t="s">
        <v>366</v>
      </c>
      <c r="AC72" s="34" t="s">
        <v>367</v>
      </c>
      <c r="AD72" s="34" t="s">
        <v>368</v>
      </c>
      <c r="AE72" s="34" t="s">
        <v>369</v>
      </c>
      <c r="AF72" s="34" t="s">
        <v>370</v>
      </c>
      <c r="AG72" s="34" t="s">
        <v>371</v>
      </c>
      <c r="AH72" s="34" t="s">
        <v>372</v>
      </c>
      <c r="AI72" s="34" t="s">
        <v>373</v>
      </c>
      <c r="AJ72" s="34" t="s">
        <v>374</v>
      </c>
    </row>
    <row r="73" spans="19:36" x14ac:dyDescent="0.15">
      <c r="T73" s="33" t="s">
        <v>375</v>
      </c>
      <c r="U73" s="34">
        <v>7</v>
      </c>
      <c r="V73" s="34">
        <v>7</v>
      </c>
      <c r="W73" s="34">
        <v>7</v>
      </c>
      <c r="X73" s="34">
        <v>7</v>
      </c>
      <c r="Y73" s="34">
        <v>8</v>
      </c>
      <c r="Z73" s="34">
        <v>7</v>
      </c>
      <c r="AA73" s="34">
        <v>7</v>
      </c>
      <c r="AB73" s="34">
        <v>7</v>
      </c>
      <c r="AC73" s="34">
        <v>1</v>
      </c>
      <c r="AD73" s="34">
        <v>1</v>
      </c>
      <c r="AE73" s="34">
        <v>1</v>
      </c>
      <c r="AF73" s="34">
        <v>1</v>
      </c>
      <c r="AG73" s="34">
        <v>2</v>
      </c>
      <c r="AH73" s="34">
        <v>1</v>
      </c>
      <c r="AI73" s="34">
        <v>1</v>
      </c>
      <c r="AJ73" s="34">
        <v>1</v>
      </c>
    </row>
    <row r="74" spans="19:36" x14ac:dyDescent="0.15">
      <c r="T74" s="33" t="s">
        <v>376</v>
      </c>
      <c r="U74" s="34">
        <v>7</v>
      </c>
      <c r="V74" s="34">
        <v>7</v>
      </c>
      <c r="W74" s="34">
        <v>7</v>
      </c>
      <c r="X74" s="34">
        <v>7</v>
      </c>
      <c r="Y74" s="34">
        <v>7</v>
      </c>
      <c r="Z74" s="34">
        <v>8</v>
      </c>
      <c r="AA74" s="34">
        <v>7</v>
      </c>
      <c r="AB74" s="34">
        <v>7</v>
      </c>
      <c r="AC74" s="34">
        <v>1</v>
      </c>
      <c r="AD74" s="34">
        <v>1</v>
      </c>
      <c r="AE74" s="34">
        <v>1</v>
      </c>
      <c r="AF74" s="34">
        <v>1</v>
      </c>
      <c r="AG74" s="34">
        <v>1</v>
      </c>
      <c r="AH74" s="34">
        <v>2</v>
      </c>
      <c r="AI74" s="34">
        <v>1</v>
      </c>
      <c r="AJ74" s="34">
        <v>1</v>
      </c>
    </row>
    <row r="75" spans="19:36" x14ac:dyDescent="0.15">
      <c r="T75" s="33" t="s">
        <v>377</v>
      </c>
      <c r="U75" s="34">
        <v>7</v>
      </c>
      <c r="V75" s="34">
        <v>7</v>
      </c>
      <c r="W75" s="34">
        <v>7</v>
      </c>
      <c r="X75" s="34">
        <v>7</v>
      </c>
      <c r="Y75" s="34">
        <v>7</v>
      </c>
      <c r="Z75" s="34">
        <v>7</v>
      </c>
      <c r="AA75" s="34">
        <v>8</v>
      </c>
      <c r="AB75" s="34">
        <v>7</v>
      </c>
      <c r="AC75" s="34">
        <v>1</v>
      </c>
      <c r="AD75" s="34">
        <v>1</v>
      </c>
      <c r="AE75" s="34">
        <v>1</v>
      </c>
      <c r="AF75" s="34">
        <v>1</v>
      </c>
      <c r="AG75" s="34">
        <v>1</v>
      </c>
      <c r="AH75" s="34">
        <v>1</v>
      </c>
      <c r="AI75" s="34">
        <v>3</v>
      </c>
      <c r="AJ75" s="34">
        <v>1</v>
      </c>
    </row>
    <row r="76" spans="19:36" x14ac:dyDescent="0.15">
      <c r="T76" s="33" t="s">
        <v>378</v>
      </c>
      <c r="U76" s="34">
        <v>7</v>
      </c>
      <c r="V76" s="34">
        <v>7</v>
      </c>
      <c r="W76" s="34">
        <v>7</v>
      </c>
      <c r="X76" s="34">
        <v>7</v>
      </c>
      <c r="Y76" s="34">
        <v>7</v>
      </c>
      <c r="Z76" s="34">
        <v>9</v>
      </c>
      <c r="AA76" s="34">
        <v>9</v>
      </c>
      <c r="AB76" s="34">
        <v>8</v>
      </c>
      <c r="AC76" s="34">
        <v>3</v>
      </c>
      <c r="AD76" s="34">
        <v>3</v>
      </c>
      <c r="AE76" s="34">
        <v>3</v>
      </c>
      <c r="AF76" s="34">
        <v>3</v>
      </c>
      <c r="AG76" s="34">
        <v>1</v>
      </c>
      <c r="AH76" s="34">
        <v>3</v>
      </c>
      <c r="AI76" s="34">
        <v>2</v>
      </c>
      <c r="AJ76" s="34">
        <v>2</v>
      </c>
    </row>
    <row r="77" spans="19:36" x14ac:dyDescent="0.15">
      <c r="T77" s="33" t="s">
        <v>175</v>
      </c>
      <c r="U77" s="12" t="s">
        <v>478</v>
      </c>
      <c r="V77" s="12" t="s">
        <v>478</v>
      </c>
      <c r="W77" s="12" t="s">
        <v>478</v>
      </c>
      <c r="X77" s="12" t="s">
        <v>478</v>
      </c>
      <c r="Y77" s="12" t="s">
        <v>479</v>
      </c>
      <c r="Z77" s="12" t="s">
        <v>480</v>
      </c>
      <c r="AA77" s="12" t="s">
        <v>481</v>
      </c>
      <c r="AB77" s="12" t="s">
        <v>482</v>
      </c>
      <c r="AC77" s="12" t="s">
        <v>483</v>
      </c>
      <c r="AD77" s="12" t="s">
        <v>483</v>
      </c>
      <c r="AE77" s="12" t="s">
        <v>483</v>
      </c>
      <c r="AF77" s="12" t="s">
        <v>483</v>
      </c>
      <c r="AG77" s="12" t="s">
        <v>484</v>
      </c>
      <c r="AH77" s="12" t="s">
        <v>485</v>
      </c>
      <c r="AI77" s="12" t="s">
        <v>486</v>
      </c>
      <c r="AJ77" s="12" t="s">
        <v>487</v>
      </c>
    </row>
    <row r="78" spans="19:36" x14ac:dyDescent="0.15">
      <c r="T78" s="33" t="s">
        <v>105</v>
      </c>
      <c r="U78" s="12">
        <v>2016</v>
      </c>
      <c r="V78" s="12">
        <v>2016</v>
      </c>
      <c r="W78" s="12">
        <v>2016</v>
      </c>
      <c r="X78" s="12">
        <v>2016</v>
      </c>
      <c r="Y78" s="12">
        <v>2016</v>
      </c>
      <c r="Z78" s="12">
        <v>2016</v>
      </c>
      <c r="AA78" s="1">
        <v>2014</v>
      </c>
      <c r="AB78" s="1">
        <v>2013</v>
      </c>
      <c r="AC78" s="1">
        <v>2017</v>
      </c>
      <c r="AD78" s="1">
        <v>2017</v>
      </c>
      <c r="AE78" s="1">
        <v>2017</v>
      </c>
      <c r="AF78" s="1">
        <v>2017</v>
      </c>
      <c r="AG78" s="1">
        <v>2017</v>
      </c>
      <c r="AH78" s="1">
        <v>2017</v>
      </c>
      <c r="AI78" s="1">
        <v>2017</v>
      </c>
      <c r="AJ78" s="1">
        <v>2017</v>
      </c>
    </row>
    <row r="79" spans="19:36" x14ac:dyDescent="0.15">
      <c r="T79" s="33" t="s">
        <v>106</v>
      </c>
      <c r="U79" s="12">
        <v>12</v>
      </c>
      <c r="V79" s="12">
        <v>12</v>
      </c>
      <c r="W79" s="12">
        <v>12</v>
      </c>
      <c r="X79" s="12">
        <v>12</v>
      </c>
      <c r="Y79" s="12">
        <v>12</v>
      </c>
      <c r="Z79" s="12">
        <v>12</v>
      </c>
      <c r="AA79" s="12">
        <v>12</v>
      </c>
      <c r="AB79" s="12">
        <v>12</v>
      </c>
      <c r="AC79" s="12">
        <v>12</v>
      </c>
      <c r="AD79" s="12">
        <v>12</v>
      </c>
      <c r="AE79" s="12">
        <v>12</v>
      </c>
      <c r="AF79" s="12">
        <v>12</v>
      </c>
      <c r="AG79" s="12">
        <v>12</v>
      </c>
      <c r="AH79" s="12">
        <v>12</v>
      </c>
      <c r="AI79" s="12">
        <v>12</v>
      </c>
      <c r="AJ79" s="12">
        <v>12</v>
      </c>
    </row>
    <row r="80" spans="19:36" x14ac:dyDescent="0.15">
      <c r="T80" s="33" t="s">
        <v>381</v>
      </c>
      <c r="U80" s="12">
        <v>85</v>
      </c>
      <c r="V80" s="12">
        <v>85</v>
      </c>
      <c r="W80" s="12">
        <v>85</v>
      </c>
      <c r="X80" s="12">
        <v>85</v>
      </c>
      <c r="Y80" s="12">
        <v>160</v>
      </c>
      <c r="Z80" s="12">
        <v>160</v>
      </c>
      <c r="AA80" s="1">
        <v>110</v>
      </c>
      <c r="AB80" s="1">
        <v>85</v>
      </c>
      <c r="AC80" s="1">
        <v>100</v>
      </c>
      <c r="AD80" s="1">
        <v>100</v>
      </c>
      <c r="AE80" s="1">
        <v>100</v>
      </c>
      <c r="AF80" s="1">
        <v>100</v>
      </c>
      <c r="AG80" s="1">
        <v>90</v>
      </c>
      <c r="AH80" s="1">
        <v>90</v>
      </c>
      <c r="AI80" s="1">
        <v>95</v>
      </c>
      <c r="AJ80" s="1">
        <v>100</v>
      </c>
    </row>
    <row r="81" spans="20:36" x14ac:dyDescent="0.15">
      <c r="T81" s="33" t="s">
        <v>382</v>
      </c>
      <c r="U81" s="35">
        <f>U80</f>
        <v>85</v>
      </c>
      <c r="V81" s="35">
        <f t="shared" ref="V81:AJ81" si="2">V80</f>
        <v>85</v>
      </c>
      <c r="W81" s="35">
        <f t="shared" si="2"/>
        <v>85</v>
      </c>
      <c r="X81" s="35">
        <f t="shared" si="2"/>
        <v>85</v>
      </c>
      <c r="Y81" s="35">
        <f t="shared" si="2"/>
        <v>160</v>
      </c>
      <c r="Z81" s="35">
        <f t="shared" si="2"/>
        <v>160</v>
      </c>
      <c r="AA81" s="36">
        <f t="shared" si="2"/>
        <v>110</v>
      </c>
      <c r="AB81" s="36">
        <f t="shared" si="2"/>
        <v>85</v>
      </c>
      <c r="AC81" s="36">
        <f t="shared" si="2"/>
        <v>100</v>
      </c>
      <c r="AD81" s="36">
        <f t="shared" si="2"/>
        <v>100</v>
      </c>
      <c r="AE81" s="36">
        <f t="shared" si="2"/>
        <v>100</v>
      </c>
      <c r="AF81" s="36">
        <f t="shared" si="2"/>
        <v>100</v>
      </c>
      <c r="AG81" s="36">
        <f t="shared" si="2"/>
        <v>90</v>
      </c>
      <c r="AH81" s="36">
        <f t="shared" si="2"/>
        <v>90</v>
      </c>
      <c r="AI81" s="36">
        <f t="shared" si="2"/>
        <v>95</v>
      </c>
      <c r="AJ81" s="36">
        <f t="shared" si="2"/>
        <v>100</v>
      </c>
    </row>
    <row r="82" spans="20:36" x14ac:dyDescent="0.15">
      <c r="T82" s="33" t="s">
        <v>389</v>
      </c>
      <c r="U82" s="39" t="s">
        <v>488</v>
      </c>
      <c r="V82" s="39" t="s">
        <v>488</v>
      </c>
      <c r="W82" s="39" t="s">
        <v>488</v>
      </c>
      <c r="X82" s="39" t="s">
        <v>488</v>
      </c>
      <c r="Y82" s="39" t="s">
        <v>489</v>
      </c>
      <c r="Z82" s="39" t="s">
        <v>489</v>
      </c>
      <c r="AA82" s="39" t="s">
        <v>489</v>
      </c>
      <c r="AB82" s="39" t="s">
        <v>489</v>
      </c>
      <c r="AC82" s="39" t="s">
        <v>490</v>
      </c>
      <c r="AD82" s="39" t="s">
        <v>490</v>
      </c>
      <c r="AE82" s="39" t="s">
        <v>490</v>
      </c>
      <c r="AF82" s="39" t="s">
        <v>490</v>
      </c>
      <c r="AG82" s="39" t="s">
        <v>490</v>
      </c>
      <c r="AH82" s="39" t="s">
        <v>490</v>
      </c>
      <c r="AI82" s="39" t="s">
        <v>490</v>
      </c>
      <c r="AJ82" s="39" t="s">
        <v>490</v>
      </c>
    </row>
    <row r="83" spans="20:36" x14ac:dyDescent="0.15">
      <c r="T83" s="33" t="s">
        <v>383</v>
      </c>
      <c r="U83" s="12" t="s">
        <v>491</v>
      </c>
      <c r="V83" s="12" t="s">
        <v>491</v>
      </c>
      <c r="W83" s="12" t="s">
        <v>491</v>
      </c>
      <c r="X83" s="12" t="s">
        <v>491</v>
      </c>
      <c r="Y83" s="12" t="s">
        <v>492</v>
      </c>
      <c r="Z83" s="12" t="s">
        <v>493</v>
      </c>
      <c r="AA83" s="12" t="s">
        <v>494</v>
      </c>
      <c r="AB83" s="12" t="s">
        <v>495</v>
      </c>
      <c r="AC83" s="12" t="s">
        <v>496</v>
      </c>
      <c r="AD83" s="12" t="s">
        <v>496</v>
      </c>
      <c r="AE83" s="12" t="s">
        <v>496</v>
      </c>
      <c r="AF83" s="12" t="s">
        <v>496</v>
      </c>
      <c r="AG83" s="12" t="s">
        <v>497</v>
      </c>
      <c r="AH83" s="12" t="s">
        <v>498</v>
      </c>
      <c r="AI83" s="12" t="s">
        <v>499</v>
      </c>
      <c r="AJ83" s="12" t="s">
        <v>500</v>
      </c>
    </row>
    <row r="84" spans="20:36" x14ac:dyDescent="0.15">
      <c r="U84" s="27" t="str">
        <f>IF(U$78*100+U$79&gt;=201905,"令和",IF(U$78*100+U$79&gt;=198901,"平成","昭和"))</f>
        <v>平成</v>
      </c>
      <c r="V84" s="27" t="str">
        <f t="shared" ref="V84:AJ84" si="3">IF(V$78*100+V$79&gt;=201905,"令和",IF(V$78*100+V$79&gt;=198901,"平成","昭和"))</f>
        <v>平成</v>
      </c>
      <c r="W84" s="27" t="str">
        <f t="shared" si="3"/>
        <v>平成</v>
      </c>
      <c r="X84" s="27" t="str">
        <f t="shared" si="3"/>
        <v>平成</v>
      </c>
      <c r="Y84" s="27" t="str">
        <f t="shared" si="3"/>
        <v>平成</v>
      </c>
      <c r="Z84" s="27" t="str">
        <f t="shared" si="3"/>
        <v>平成</v>
      </c>
      <c r="AA84" s="27" t="str">
        <f t="shared" si="3"/>
        <v>平成</v>
      </c>
      <c r="AB84" s="27" t="str">
        <f t="shared" si="3"/>
        <v>平成</v>
      </c>
      <c r="AC84" s="27" t="str">
        <f t="shared" si="3"/>
        <v>平成</v>
      </c>
      <c r="AD84" s="27" t="str">
        <f t="shared" si="3"/>
        <v>平成</v>
      </c>
      <c r="AE84" s="27" t="str">
        <f t="shared" si="3"/>
        <v>平成</v>
      </c>
      <c r="AF84" s="27" t="str">
        <f t="shared" si="3"/>
        <v>平成</v>
      </c>
      <c r="AG84" s="27" t="str">
        <f t="shared" si="3"/>
        <v>平成</v>
      </c>
      <c r="AH84" s="27" t="str">
        <f t="shared" si="3"/>
        <v>平成</v>
      </c>
      <c r="AI84" s="27" t="str">
        <f t="shared" si="3"/>
        <v>平成</v>
      </c>
      <c r="AJ84" s="27" t="str">
        <f t="shared" si="3"/>
        <v>平成</v>
      </c>
    </row>
    <row r="85" spans="20:36" x14ac:dyDescent="0.15">
      <c r="U85" s="28">
        <f>IF(U$84="令和",U$78-2018,IF(U$84="平成",U$78-1988,U$78-1989+64))</f>
        <v>28</v>
      </c>
      <c r="V85" s="28">
        <f t="shared" ref="V85:AJ85" si="4">IF(V$84="令和",V$78-2018,IF(V$84="平成",V$78-1988,V$78-1989+64))</f>
        <v>28</v>
      </c>
      <c r="W85" s="28">
        <f t="shared" si="4"/>
        <v>28</v>
      </c>
      <c r="X85" s="28">
        <f t="shared" si="4"/>
        <v>28</v>
      </c>
      <c r="Y85" s="28">
        <f t="shared" si="4"/>
        <v>28</v>
      </c>
      <c r="Z85" s="28">
        <f t="shared" si="4"/>
        <v>28</v>
      </c>
      <c r="AA85" s="28">
        <f t="shared" si="4"/>
        <v>26</v>
      </c>
      <c r="AB85" s="28">
        <f t="shared" si="4"/>
        <v>25</v>
      </c>
      <c r="AC85" s="28">
        <f t="shared" si="4"/>
        <v>29</v>
      </c>
      <c r="AD85" s="28">
        <f t="shared" si="4"/>
        <v>29</v>
      </c>
      <c r="AE85" s="28">
        <f t="shared" si="4"/>
        <v>29</v>
      </c>
      <c r="AF85" s="28">
        <f t="shared" si="4"/>
        <v>29</v>
      </c>
      <c r="AG85" s="28">
        <f t="shared" si="4"/>
        <v>29</v>
      </c>
      <c r="AH85" s="28">
        <f t="shared" si="4"/>
        <v>29</v>
      </c>
      <c r="AI85" s="28">
        <f t="shared" si="4"/>
        <v>29</v>
      </c>
      <c r="AJ85" s="28">
        <f t="shared" si="4"/>
        <v>29</v>
      </c>
    </row>
    <row r="87" spans="20:36" x14ac:dyDescent="0.15">
      <c r="U87" s="56" t="s">
        <v>501</v>
      </c>
      <c r="V87" s="56"/>
      <c r="W87" s="56"/>
      <c r="X87" s="56"/>
      <c r="Y87" s="56"/>
      <c r="Z87" s="56"/>
      <c r="AA87" s="56"/>
      <c r="AB87" s="56"/>
      <c r="AC87" s="56"/>
      <c r="AD87" s="56"/>
      <c r="AE87" s="56"/>
      <c r="AF87" s="56"/>
      <c r="AG87" s="56"/>
      <c r="AH87" s="56"/>
      <c r="AI87" s="56"/>
      <c r="AJ87" s="56"/>
    </row>
    <row r="88" spans="20:36" x14ac:dyDescent="0.15">
      <c r="T88" s="33" t="s">
        <v>358</v>
      </c>
      <c r="U88" s="34" t="s">
        <v>359</v>
      </c>
      <c r="V88" s="34" t="s">
        <v>360</v>
      </c>
      <c r="W88" s="34" t="s">
        <v>361</v>
      </c>
      <c r="X88" s="34" t="s">
        <v>362</v>
      </c>
      <c r="Y88" s="34" t="s">
        <v>363</v>
      </c>
      <c r="Z88" s="34" t="s">
        <v>364</v>
      </c>
      <c r="AA88" s="34" t="s">
        <v>365</v>
      </c>
      <c r="AB88" s="34" t="s">
        <v>366</v>
      </c>
      <c r="AC88" s="34" t="s">
        <v>367</v>
      </c>
      <c r="AD88" s="34" t="s">
        <v>368</v>
      </c>
      <c r="AE88" s="34" t="s">
        <v>369</v>
      </c>
      <c r="AF88" s="34" t="s">
        <v>370</v>
      </c>
      <c r="AG88" s="34" t="s">
        <v>371</v>
      </c>
      <c r="AH88" s="34" t="s">
        <v>372</v>
      </c>
      <c r="AI88" s="34" t="s">
        <v>373</v>
      </c>
      <c r="AJ88" s="34" t="s">
        <v>374</v>
      </c>
    </row>
    <row r="89" spans="20:36" x14ac:dyDescent="0.15">
      <c r="T89" s="33" t="s">
        <v>375</v>
      </c>
      <c r="U89" s="34">
        <v>6</v>
      </c>
      <c r="V89" s="34">
        <v>6</v>
      </c>
      <c r="W89" s="34">
        <v>7</v>
      </c>
      <c r="X89" s="34">
        <v>6</v>
      </c>
      <c r="Y89" s="34">
        <v>7</v>
      </c>
      <c r="Z89" s="34">
        <v>6</v>
      </c>
      <c r="AA89" s="34">
        <v>7</v>
      </c>
      <c r="AB89" s="34">
        <v>6</v>
      </c>
      <c r="AC89" s="34">
        <v>2</v>
      </c>
      <c r="AD89" s="34">
        <v>2</v>
      </c>
      <c r="AE89" s="34"/>
      <c r="AF89" s="34">
        <v>2</v>
      </c>
      <c r="AG89" s="34">
        <v>1</v>
      </c>
      <c r="AH89" s="34">
        <v>2</v>
      </c>
      <c r="AI89" s="34"/>
      <c r="AJ89" s="34">
        <v>2</v>
      </c>
    </row>
    <row r="90" spans="20:36" x14ac:dyDescent="0.15">
      <c r="T90" s="33" t="s">
        <v>376</v>
      </c>
      <c r="U90" s="34">
        <v>7</v>
      </c>
      <c r="V90" s="34">
        <v>7</v>
      </c>
      <c r="W90" s="34">
        <v>7</v>
      </c>
      <c r="X90" s="34">
        <v>7</v>
      </c>
      <c r="Y90" s="34">
        <v>7</v>
      </c>
      <c r="Z90" s="34">
        <v>8</v>
      </c>
      <c r="AA90" s="34">
        <v>7</v>
      </c>
      <c r="AB90" s="34">
        <v>7</v>
      </c>
      <c r="AC90" s="34">
        <v>1</v>
      </c>
      <c r="AD90" s="34">
        <v>1</v>
      </c>
      <c r="AE90" s="34"/>
      <c r="AF90" s="34">
        <v>1</v>
      </c>
      <c r="AG90" s="34">
        <v>1</v>
      </c>
      <c r="AH90" s="34">
        <v>2</v>
      </c>
      <c r="AI90" s="34"/>
      <c r="AJ90" s="34">
        <v>1</v>
      </c>
    </row>
    <row r="91" spans="20:36" x14ac:dyDescent="0.15">
      <c r="T91" s="33" t="s">
        <v>377</v>
      </c>
      <c r="U91" s="34">
        <v>7</v>
      </c>
      <c r="V91" s="34">
        <v>7</v>
      </c>
      <c r="W91" s="34">
        <v>7</v>
      </c>
      <c r="X91" s="34">
        <v>7</v>
      </c>
      <c r="Y91" s="34">
        <v>7</v>
      </c>
      <c r="Z91" s="34">
        <v>7</v>
      </c>
      <c r="AA91" s="34">
        <v>9</v>
      </c>
      <c r="AB91" s="34">
        <v>7</v>
      </c>
      <c r="AC91" s="34">
        <v>2</v>
      </c>
      <c r="AD91" s="34">
        <v>2</v>
      </c>
      <c r="AE91" s="34"/>
      <c r="AF91" s="34">
        <v>2</v>
      </c>
      <c r="AG91" s="34">
        <v>2</v>
      </c>
      <c r="AH91" s="34">
        <v>2</v>
      </c>
      <c r="AI91" s="34"/>
      <c r="AJ91" s="34">
        <v>2</v>
      </c>
    </row>
    <row r="92" spans="20:36" x14ac:dyDescent="0.15">
      <c r="T92" s="33" t="s">
        <v>378</v>
      </c>
      <c r="U92" s="34">
        <v>7</v>
      </c>
      <c r="V92" s="34">
        <v>7</v>
      </c>
      <c r="W92" s="34">
        <v>10</v>
      </c>
      <c r="X92" s="34">
        <v>7</v>
      </c>
      <c r="Y92" s="34">
        <v>10</v>
      </c>
      <c r="Z92" s="34">
        <v>6</v>
      </c>
      <c r="AA92" s="34">
        <v>11</v>
      </c>
      <c r="AB92" s="34">
        <v>7</v>
      </c>
      <c r="AC92" s="34">
        <v>2</v>
      </c>
      <c r="AD92" s="34">
        <v>2</v>
      </c>
      <c r="AE92" s="34"/>
      <c r="AF92" s="34">
        <v>2</v>
      </c>
      <c r="AG92" s="34">
        <v>1</v>
      </c>
      <c r="AH92" s="34">
        <v>2</v>
      </c>
      <c r="AI92" s="34"/>
      <c r="AJ92" s="34">
        <v>1</v>
      </c>
    </row>
    <row r="93" spans="20:36" x14ac:dyDescent="0.15">
      <c r="T93" s="33" t="s">
        <v>175</v>
      </c>
      <c r="U93" s="12" t="s">
        <v>502</v>
      </c>
      <c r="V93" s="12" t="s">
        <v>502</v>
      </c>
      <c r="W93" s="12" t="s">
        <v>503</v>
      </c>
      <c r="X93" s="12" t="s">
        <v>502</v>
      </c>
      <c r="Y93" s="12" t="s">
        <v>504</v>
      </c>
      <c r="Z93" s="12" t="s">
        <v>505</v>
      </c>
      <c r="AA93" s="12" t="s">
        <v>506</v>
      </c>
      <c r="AB93" s="12" t="s">
        <v>507</v>
      </c>
      <c r="AC93" s="12" t="s">
        <v>508</v>
      </c>
      <c r="AD93" s="12" t="s">
        <v>508</v>
      </c>
      <c r="AE93" s="12" t="str">
        <f>""</f>
        <v/>
      </c>
      <c r="AF93" s="12" t="s">
        <v>508</v>
      </c>
      <c r="AG93" s="12" t="s">
        <v>509</v>
      </c>
      <c r="AH93" s="12" t="s">
        <v>510</v>
      </c>
      <c r="AI93" s="12" t="str">
        <f>""</f>
        <v/>
      </c>
      <c r="AJ93" s="12" t="s">
        <v>466</v>
      </c>
    </row>
    <row r="94" spans="20:36" x14ac:dyDescent="0.15">
      <c r="T94" s="33" t="s">
        <v>105</v>
      </c>
      <c r="U94" s="12">
        <v>2022</v>
      </c>
      <c r="V94" s="12">
        <v>2022</v>
      </c>
      <c r="W94" s="12">
        <v>2021</v>
      </c>
      <c r="X94" s="12">
        <v>2022</v>
      </c>
      <c r="Y94" s="12">
        <v>2021</v>
      </c>
      <c r="Z94" s="12">
        <v>2022</v>
      </c>
      <c r="AA94" s="12">
        <v>2022</v>
      </c>
      <c r="AB94" s="12">
        <v>2022</v>
      </c>
      <c r="AC94" s="12">
        <v>2021</v>
      </c>
      <c r="AD94" s="12">
        <v>2021</v>
      </c>
      <c r="AE94" s="12"/>
      <c r="AF94" s="12">
        <v>2021</v>
      </c>
      <c r="AG94" s="12">
        <v>2021</v>
      </c>
      <c r="AH94" s="12">
        <v>2022</v>
      </c>
      <c r="AI94" s="12"/>
      <c r="AJ94" s="12">
        <v>2022</v>
      </c>
    </row>
    <row r="95" spans="20:36" x14ac:dyDescent="0.15">
      <c r="T95" s="33" t="s">
        <v>106</v>
      </c>
      <c r="U95" s="12">
        <v>10</v>
      </c>
      <c r="V95" s="12">
        <v>10</v>
      </c>
      <c r="W95" s="12">
        <v>10</v>
      </c>
      <c r="X95" s="12">
        <v>10</v>
      </c>
      <c r="Y95" s="12">
        <v>10</v>
      </c>
      <c r="Z95" s="12">
        <v>10</v>
      </c>
      <c r="AA95" s="12">
        <v>10</v>
      </c>
      <c r="AB95" s="12">
        <v>10</v>
      </c>
      <c r="AC95" s="12">
        <v>10</v>
      </c>
      <c r="AD95" s="12">
        <v>10</v>
      </c>
      <c r="AE95" s="12"/>
      <c r="AF95" s="12">
        <v>10</v>
      </c>
      <c r="AG95" s="12">
        <v>10</v>
      </c>
      <c r="AH95" s="12">
        <v>10</v>
      </c>
      <c r="AI95" s="12"/>
      <c r="AJ95" s="12">
        <v>10</v>
      </c>
    </row>
    <row r="96" spans="20:36" x14ac:dyDescent="0.15">
      <c r="T96" s="33" t="s">
        <v>381</v>
      </c>
      <c r="U96" s="12">
        <v>235</v>
      </c>
      <c r="V96" s="12">
        <f>U96</f>
        <v>235</v>
      </c>
      <c r="W96" s="12">
        <v>500</v>
      </c>
      <c r="X96" s="12">
        <f>V96</f>
        <v>235</v>
      </c>
      <c r="Y96" s="12">
        <v>270</v>
      </c>
      <c r="Z96" s="12">
        <v>240</v>
      </c>
      <c r="AA96" s="1">
        <v>460</v>
      </c>
      <c r="AB96" s="1">
        <v>260</v>
      </c>
      <c r="AC96" s="46">
        <v>180</v>
      </c>
      <c r="AD96" s="46">
        <f>AC96</f>
        <v>180</v>
      </c>
      <c r="AE96" s="1"/>
      <c r="AF96" s="1">
        <f>AC96</f>
        <v>180</v>
      </c>
      <c r="AG96" s="1">
        <v>170</v>
      </c>
      <c r="AH96" s="1">
        <v>180</v>
      </c>
      <c r="AI96" s="1"/>
      <c r="AJ96" s="1">
        <v>145</v>
      </c>
    </row>
    <row r="97" spans="20:36" x14ac:dyDescent="0.15">
      <c r="T97" s="33" t="s">
        <v>382</v>
      </c>
      <c r="U97" s="12">
        <f>U96</f>
        <v>235</v>
      </c>
      <c r="V97" s="12">
        <f t="shared" ref="V97:AJ97" si="5">V96</f>
        <v>235</v>
      </c>
      <c r="W97" s="12">
        <f t="shared" si="5"/>
        <v>500</v>
      </c>
      <c r="X97" s="12">
        <f t="shared" si="5"/>
        <v>235</v>
      </c>
      <c r="Y97" s="12">
        <f t="shared" si="5"/>
        <v>270</v>
      </c>
      <c r="Z97" s="1">
        <f t="shared" si="5"/>
        <v>240</v>
      </c>
      <c r="AA97" s="1">
        <f t="shared" si="5"/>
        <v>460</v>
      </c>
      <c r="AB97" s="1">
        <f t="shared" si="5"/>
        <v>260</v>
      </c>
      <c r="AC97" s="1">
        <f t="shared" si="5"/>
        <v>180</v>
      </c>
      <c r="AD97" s="1">
        <f t="shared" si="5"/>
        <v>180</v>
      </c>
      <c r="AE97" s="1"/>
      <c r="AF97" s="1">
        <f t="shared" si="5"/>
        <v>180</v>
      </c>
      <c r="AG97" s="1">
        <f t="shared" si="5"/>
        <v>170</v>
      </c>
      <c r="AH97" s="1">
        <f t="shared" si="5"/>
        <v>180</v>
      </c>
      <c r="AI97" s="1"/>
      <c r="AJ97" s="1">
        <f t="shared" si="5"/>
        <v>145</v>
      </c>
    </row>
    <row r="98" spans="20:36" x14ac:dyDescent="0.15">
      <c r="T98" s="33" t="s">
        <v>389</v>
      </c>
      <c r="U98" s="39" t="s">
        <v>488</v>
      </c>
      <c r="V98" s="39" t="s">
        <v>488</v>
      </c>
      <c r="W98" s="39" t="s">
        <v>489</v>
      </c>
      <c r="X98" s="39" t="s">
        <v>511</v>
      </c>
      <c r="Y98" s="39" t="s">
        <v>489</v>
      </c>
      <c r="Z98" s="39" t="s">
        <v>488</v>
      </c>
      <c r="AA98" s="39" t="s">
        <v>489</v>
      </c>
      <c r="AB98" s="39" t="s">
        <v>489</v>
      </c>
      <c r="AC98" s="39" t="s">
        <v>490</v>
      </c>
      <c r="AD98" s="39" t="s">
        <v>490</v>
      </c>
      <c r="AE98" s="39"/>
      <c r="AF98" s="39" t="s">
        <v>490</v>
      </c>
      <c r="AG98" s="39" t="s">
        <v>490</v>
      </c>
      <c r="AH98" s="39" t="s">
        <v>490</v>
      </c>
      <c r="AI98" s="39"/>
      <c r="AJ98" s="39" t="s">
        <v>490</v>
      </c>
    </row>
    <row r="99" spans="20:36" x14ac:dyDescent="0.15">
      <c r="T99" s="33" t="s">
        <v>383</v>
      </c>
      <c r="U99" s="12" t="s">
        <v>512</v>
      </c>
      <c r="V99" s="12" t="s">
        <v>512</v>
      </c>
      <c r="W99" s="12" t="s">
        <v>513</v>
      </c>
      <c r="X99" s="12" t="s">
        <v>512</v>
      </c>
      <c r="Y99" s="12" t="s">
        <v>514</v>
      </c>
      <c r="Z99" s="12" t="s">
        <v>515</v>
      </c>
      <c r="AA99" s="12" t="s">
        <v>516</v>
      </c>
      <c r="AB99" s="12" t="s">
        <v>517</v>
      </c>
      <c r="AC99" s="12" t="s">
        <v>518</v>
      </c>
      <c r="AD99" s="12" t="s">
        <v>518</v>
      </c>
      <c r="AE99" s="12"/>
      <c r="AF99" s="12" t="s">
        <v>518</v>
      </c>
      <c r="AG99" s="12" t="s">
        <v>518</v>
      </c>
      <c r="AH99" s="12" t="s">
        <v>519</v>
      </c>
      <c r="AI99" s="12"/>
      <c r="AJ99" s="12" t="s">
        <v>520</v>
      </c>
    </row>
    <row r="100" spans="20:36" x14ac:dyDescent="0.15">
      <c r="U100" s="27" t="str">
        <f>IF(U$94*100+U$95&gt;=201905,"令和",IF(U$94*100+U$95&gt;=198901,"平成","昭和"))</f>
        <v>令和</v>
      </c>
      <c r="V100" s="27" t="str">
        <f t="shared" ref="V100:AJ100" si="6">IF(V$94*100+V$95&gt;=201905,"令和",IF(V$94*100+V$95&gt;=198901,"平成","昭和"))</f>
        <v>令和</v>
      </c>
      <c r="W100" s="27" t="str">
        <f t="shared" si="6"/>
        <v>令和</v>
      </c>
      <c r="X100" s="27" t="str">
        <f t="shared" si="6"/>
        <v>令和</v>
      </c>
      <c r="Y100" s="27" t="str">
        <f t="shared" si="6"/>
        <v>令和</v>
      </c>
      <c r="Z100" s="27" t="str">
        <f t="shared" si="6"/>
        <v>令和</v>
      </c>
      <c r="AA100" s="27" t="str">
        <f t="shared" si="6"/>
        <v>令和</v>
      </c>
      <c r="AB100" s="27" t="str">
        <f t="shared" si="6"/>
        <v>令和</v>
      </c>
      <c r="AC100" s="27" t="str">
        <f t="shared" si="6"/>
        <v>令和</v>
      </c>
      <c r="AD100" s="27" t="str">
        <f t="shared" si="6"/>
        <v>令和</v>
      </c>
      <c r="AE100" s="27"/>
      <c r="AF100" s="27" t="str">
        <f t="shared" si="6"/>
        <v>令和</v>
      </c>
      <c r="AG100" s="27" t="str">
        <f t="shared" si="6"/>
        <v>令和</v>
      </c>
      <c r="AH100" s="27" t="str">
        <f t="shared" si="6"/>
        <v>令和</v>
      </c>
      <c r="AI100" s="27"/>
      <c r="AJ100" s="27" t="str">
        <f t="shared" si="6"/>
        <v>令和</v>
      </c>
    </row>
    <row r="101" spans="20:36" x14ac:dyDescent="0.15">
      <c r="U101" s="28">
        <f>IF(U$100="令和",U$94-2018,IF(U$84="平成",U$94-1988,U$94-1989+64))</f>
        <v>4</v>
      </c>
      <c r="V101" s="28">
        <f t="shared" ref="V101:AJ101" si="7">IF(V$100="令和",V$94-2018,IF(V$84="平成",V$94-1988,V$94-1989+64))</f>
        <v>4</v>
      </c>
      <c r="W101" s="28">
        <f t="shared" si="7"/>
        <v>3</v>
      </c>
      <c r="X101" s="28">
        <f t="shared" si="7"/>
        <v>4</v>
      </c>
      <c r="Y101" s="28">
        <f t="shared" si="7"/>
        <v>3</v>
      </c>
      <c r="Z101" s="28">
        <f t="shared" si="7"/>
        <v>4</v>
      </c>
      <c r="AA101" s="28">
        <f t="shared" si="7"/>
        <v>4</v>
      </c>
      <c r="AB101" s="28">
        <f t="shared" si="7"/>
        <v>4</v>
      </c>
      <c r="AC101" s="28">
        <f t="shared" si="7"/>
        <v>3</v>
      </c>
      <c r="AD101" s="28">
        <f t="shared" si="7"/>
        <v>3</v>
      </c>
      <c r="AE101" s="28"/>
      <c r="AF101" s="28">
        <f t="shared" si="7"/>
        <v>3</v>
      </c>
      <c r="AG101" s="28">
        <f t="shared" si="7"/>
        <v>3</v>
      </c>
      <c r="AH101" s="28">
        <f t="shared" si="7"/>
        <v>4</v>
      </c>
      <c r="AI101" s="28"/>
      <c r="AJ101" s="28">
        <f t="shared" si="7"/>
        <v>4</v>
      </c>
    </row>
    <row r="103" spans="20:36" x14ac:dyDescent="0.15">
      <c r="T103" s="37" t="s">
        <v>384</v>
      </c>
    </row>
    <row r="104" spans="20:36" x14ac:dyDescent="0.15">
      <c r="T104" s="33" t="s">
        <v>385</v>
      </c>
      <c r="U104" s="1">
        <v>2023</v>
      </c>
    </row>
    <row r="105" spans="20:36" x14ac:dyDescent="0.15">
      <c r="T105" s="33" t="s">
        <v>78</v>
      </c>
      <c r="U105" s="1">
        <v>1</v>
      </c>
      <c r="Z105" t="s">
        <v>464</v>
      </c>
    </row>
    <row r="106" spans="20:36" x14ac:dyDescent="0.15">
      <c r="T106" s="33" t="s">
        <v>79</v>
      </c>
      <c r="U106" s="1">
        <v>1</v>
      </c>
      <c r="Z106" s="40" t="s">
        <v>397</v>
      </c>
      <c r="AA106" s="5" t="s">
        <v>399</v>
      </c>
      <c r="AB106" s="5" t="s">
        <v>400</v>
      </c>
      <c r="AC106" s="5" t="s">
        <v>401</v>
      </c>
      <c r="AE106" s="40" t="s">
        <v>402</v>
      </c>
      <c r="AF106" s="5" t="s">
        <v>399</v>
      </c>
      <c r="AG106" s="5" t="s">
        <v>400</v>
      </c>
      <c r="AH106" s="5" t="s">
        <v>401</v>
      </c>
    </row>
    <row r="107" spans="20:36" x14ac:dyDescent="0.15">
      <c r="Z107" s="14">
        <v>480</v>
      </c>
      <c r="AA107" s="38" t="s">
        <v>398</v>
      </c>
      <c r="AB107" s="1">
        <v>2019</v>
      </c>
      <c r="AC107" s="1">
        <v>1</v>
      </c>
      <c r="AE107" s="14">
        <v>270</v>
      </c>
      <c r="AF107" s="38" t="s">
        <v>403</v>
      </c>
      <c r="AG107" s="1">
        <v>2021</v>
      </c>
      <c r="AH107" s="1">
        <v>11</v>
      </c>
    </row>
    <row r="108" spans="20:36" x14ac:dyDescent="0.15">
      <c r="Z108" s="14">
        <f t="shared" ref="Z108" si="8">Z107-5</f>
        <v>475</v>
      </c>
      <c r="AA108" s="38"/>
      <c r="AB108" s="1">
        <v>2019</v>
      </c>
      <c r="AC108" s="1">
        <v>1</v>
      </c>
      <c r="AE108" s="14">
        <f t="shared" ref="AE108:AE118" si="9">AE107-5</f>
        <v>265</v>
      </c>
      <c r="AF108" s="38"/>
      <c r="AG108" s="1">
        <v>2021</v>
      </c>
      <c r="AH108" s="1">
        <v>11</v>
      </c>
    </row>
    <row r="109" spans="20:36" x14ac:dyDescent="0.15">
      <c r="T109" s="10" t="s">
        <v>386</v>
      </c>
      <c r="U109" s="38" t="s">
        <v>527</v>
      </c>
      <c r="Z109" s="14">
        <f t="shared" ref="Z109:Z172" si="10">Z108-5</f>
        <v>470</v>
      </c>
      <c r="AA109" s="38"/>
      <c r="AB109" s="1">
        <v>2019</v>
      </c>
      <c r="AC109" s="1">
        <v>1</v>
      </c>
      <c r="AE109" s="14">
        <f t="shared" si="9"/>
        <v>260</v>
      </c>
      <c r="AF109" s="38"/>
      <c r="AG109" s="1">
        <v>2021</v>
      </c>
      <c r="AH109" s="1">
        <v>11</v>
      </c>
    </row>
    <row r="110" spans="20:36" x14ac:dyDescent="0.15">
      <c r="Z110" s="14">
        <f t="shared" si="10"/>
        <v>465</v>
      </c>
      <c r="AA110" s="38"/>
      <c r="AB110" s="1">
        <v>2019</v>
      </c>
      <c r="AC110" s="1">
        <v>1</v>
      </c>
      <c r="AE110" s="14">
        <f t="shared" si="9"/>
        <v>255</v>
      </c>
      <c r="AF110" s="38"/>
      <c r="AG110" s="1">
        <v>2021</v>
      </c>
      <c r="AH110" s="1">
        <v>11</v>
      </c>
    </row>
    <row r="111" spans="20:36" x14ac:dyDescent="0.15">
      <c r="Z111" s="14">
        <f t="shared" si="10"/>
        <v>460</v>
      </c>
      <c r="AA111" s="38"/>
      <c r="AB111" s="1">
        <v>2019</v>
      </c>
      <c r="AC111" s="1">
        <v>1</v>
      </c>
      <c r="AE111" s="14">
        <f t="shared" si="9"/>
        <v>250</v>
      </c>
      <c r="AF111" s="38"/>
      <c r="AG111" s="1">
        <v>2021</v>
      </c>
      <c r="AH111" s="1">
        <v>11</v>
      </c>
    </row>
    <row r="112" spans="20:36" x14ac:dyDescent="0.15">
      <c r="Z112" s="14">
        <f t="shared" si="10"/>
        <v>455</v>
      </c>
      <c r="AA112" s="38"/>
      <c r="AB112" s="1">
        <v>2019</v>
      </c>
      <c r="AC112" s="1">
        <v>1</v>
      </c>
      <c r="AE112" s="14">
        <f t="shared" si="9"/>
        <v>245</v>
      </c>
      <c r="AF112" s="38"/>
      <c r="AG112" s="1">
        <v>2021</v>
      </c>
      <c r="AH112" s="1">
        <v>11</v>
      </c>
    </row>
    <row r="113" spans="26:34" x14ac:dyDescent="0.15">
      <c r="Z113" s="14">
        <f t="shared" si="10"/>
        <v>450</v>
      </c>
      <c r="AA113" s="38"/>
      <c r="AB113" s="1">
        <v>2019</v>
      </c>
      <c r="AC113" s="1">
        <v>1</v>
      </c>
      <c r="AE113" s="14">
        <f t="shared" si="9"/>
        <v>240</v>
      </c>
      <c r="AF113" s="38"/>
      <c r="AG113" s="1">
        <v>2021</v>
      </c>
      <c r="AH113" s="1">
        <v>11</v>
      </c>
    </row>
    <row r="114" spans="26:34" x14ac:dyDescent="0.15">
      <c r="Z114" s="14">
        <f t="shared" si="10"/>
        <v>445</v>
      </c>
      <c r="AA114" s="38"/>
      <c r="AB114" s="1">
        <v>2019</v>
      </c>
      <c r="AC114" s="1">
        <v>1</v>
      </c>
      <c r="AE114" s="14">
        <f t="shared" si="9"/>
        <v>235</v>
      </c>
      <c r="AF114" s="38"/>
      <c r="AG114" s="1">
        <v>2021</v>
      </c>
      <c r="AH114" s="1">
        <v>11</v>
      </c>
    </row>
    <row r="115" spans="26:34" x14ac:dyDescent="0.15">
      <c r="Z115" s="14">
        <f t="shared" si="10"/>
        <v>440</v>
      </c>
      <c r="AA115" s="38"/>
      <c r="AB115" s="1">
        <v>2019</v>
      </c>
      <c r="AC115" s="1">
        <v>1</v>
      </c>
      <c r="AE115" s="14">
        <f t="shared" si="9"/>
        <v>230</v>
      </c>
      <c r="AF115" s="38"/>
      <c r="AG115" s="1">
        <v>2021</v>
      </c>
      <c r="AH115" s="1">
        <v>11</v>
      </c>
    </row>
    <row r="116" spans="26:34" x14ac:dyDescent="0.15">
      <c r="Z116" s="14">
        <f t="shared" si="10"/>
        <v>435</v>
      </c>
      <c r="AA116" s="38"/>
      <c r="AB116" s="1">
        <v>2019</v>
      </c>
      <c r="AC116" s="1">
        <v>1</v>
      </c>
      <c r="AE116" s="14">
        <f t="shared" si="9"/>
        <v>225</v>
      </c>
      <c r="AF116" s="38"/>
      <c r="AG116" s="1">
        <v>2021</v>
      </c>
      <c r="AH116" s="1">
        <v>11</v>
      </c>
    </row>
    <row r="117" spans="26:34" x14ac:dyDescent="0.15">
      <c r="Z117" s="14">
        <f t="shared" si="10"/>
        <v>430</v>
      </c>
      <c r="AA117" s="38"/>
      <c r="AB117" s="1">
        <v>2019</v>
      </c>
      <c r="AC117" s="1">
        <v>1</v>
      </c>
      <c r="AE117" s="14">
        <f t="shared" si="9"/>
        <v>220</v>
      </c>
      <c r="AF117" s="38"/>
      <c r="AG117" s="1">
        <v>2021</v>
      </c>
      <c r="AH117" s="1">
        <v>11</v>
      </c>
    </row>
    <row r="118" spans="26:34" x14ac:dyDescent="0.15">
      <c r="Z118" s="14">
        <f t="shared" si="10"/>
        <v>425</v>
      </c>
      <c r="AA118" s="38"/>
      <c r="AB118" s="1">
        <v>2019</v>
      </c>
      <c r="AC118" s="1">
        <v>1</v>
      </c>
      <c r="AE118" s="14">
        <f t="shared" si="9"/>
        <v>215</v>
      </c>
      <c r="AF118" s="38"/>
      <c r="AG118" s="1">
        <v>2021</v>
      </c>
      <c r="AH118" s="1">
        <v>11</v>
      </c>
    </row>
    <row r="119" spans="26:34" x14ac:dyDescent="0.15">
      <c r="Z119" s="14">
        <f t="shared" si="10"/>
        <v>420</v>
      </c>
      <c r="AA119" s="38"/>
      <c r="AB119" s="1">
        <v>2019</v>
      </c>
      <c r="AC119" s="1">
        <v>1</v>
      </c>
      <c r="AE119" s="14">
        <f t="shared" ref="AE119:AE120" si="11">AE118-5</f>
        <v>210</v>
      </c>
      <c r="AF119" s="38"/>
      <c r="AG119" s="1">
        <v>2021</v>
      </c>
      <c r="AH119" s="1">
        <v>11</v>
      </c>
    </row>
    <row r="120" spans="26:34" x14ac:dyDescent="0.15">
      <c r="Z120" s="14">
        <f t="shared" si="10"/>
        <v>415</v>
      </c>
      <c r="AA120" s="38"/>
      <c r="AB120" s="1">
        <v>2019</v>
      </c>
      <c r="AC120" s="1">
        <v>1</v>
      </c>
      <c r="AE120" s="14">
        <f t="shared" si="11"/>
        <v>205</v>
      </c>
      <c r="AF120" s="38"/>
      <c r="AG120" s="1">
        <v>2021</v>
      </c>
      <c r="AH120" s="1">
        <v>11</v>
      </c>
    </row>
    <row r="121" spans="26:34" x14ac:dyDescent="0.15">
      <c r="Z121" s="14">
        <f t="shared" si="10"/>
        <v>410</v>
      </c>
      <c r="AA121" s="38"/>
      <c r="AB121" s="1">
        <v>2019</v>
      </c>
      <c r="AC121" s="1">
        <v>1</v>
      </c>
      <c r="AE121" s="14">
        <f t="shared" ref="AE121:AE159" si="12">AE120-5</f>
        <v>200</v>
      </c>
      <c r="AF121" s="38"/>
      <c r="AG121" s="1">
        <v>2021</v>
      </c>
      <c r="AH121" s="1">
        <v>1</v>
      </c>
    </row>
    <row r="122" spans="26:34" x14ac:dyDescent="0.15">
      <c r="Z122" s="14">
        <f t="shared" si="10"/>
        <v>405</v>
      </c>
      <c r="AA122" s="38"/>
      <c r="AB122" s="1">
        <v>2019</v>
      </c>
      <c r="AC122" s="1">
        <v>1</v>
      </c>
      <c r="AE122" s="14">
        <f t="shared" si="12"/>
        <v>195</v>
      </c>
      <c r="AF122" s="38"/>
      <c r="AG122" s="1">
        <v>2021</v>
      </c>
      <c r="AH122" s="1">
        <v>1</v>
      </c>
    </row>
    <row r="123" spans="26:34" x14ac:dyDescent="0.15">
      <c r="Z123" s="14">
        <f t="shared" si="10"/>
        <v>400</v>
      </c>
      <c r="AA123" s="38"/>
      <c r="AB123" s="1">
        <v>2019</v>
      </c>
      <c r="AC123" s="1">
        <v>1</v>
      </c>
      <c r="AE123" s="14">
        <f t="shared" si="12"/>
        <v>190</v>
      </c>
      <c r="AF123" s="38"/>
      <c r="AG123" s="1">
        <v>2021</v>
      </c>
      <c r="AH123" s="1">
        <v>1</v>
      </c>
    </row>
    <row r="124" spans="26:34" x14ac:dyDescent="0.15">
      <c r="Z124" s="14">
        <f t="shared" si="10"/>
        <v>395</v>
      </c>
      <c r="AA124" s="38"/>
      <c r="AB124" s="1">
        <v>2018</v>
      </c>
      <c r="AC124" s="1">
        <v>1</v>
      </c>
      <c r="AE124" s="14">
        <f t="shared" si="12"/>
        <v>185</v>
      </c>
      <c r="AF124" s="38"/>
      <c r="AG124" s="1">
        <v>2021</v>
      </c>
      <c r="AH124" s="1">
        <v>1</v>
      </c>
    </row>
    <row r="125" spans="26:34" x14ac:dyDescent="0.15">
      <c r="Z125" s="14">
        <f t="shared" si="10"/>
        <v>390</v>
      </c>
      <c r="AA125" s="38"/>
      <c r="AB125" s="1">
        <v>2018</v>
      </c>
      <c r="AC125" s="1">
        <v>1</v>
      </c>
      <c r="AE125" s="14">
        <f t="shared" si="12"/>
        <v>180</v>
      </c>
      <c r="AF125" s="38"/>
      <c r="AG125" s="1">
        <v>2021</v>
      </c>
      <c r="AH125" s="1">
        <v>1</v>
      </c>
    </row>
    <row r="126" spans="26:34" x14ac:dyDescent="0.15">
      <c r="Z126" s="14">
        <f t="shared" si="10"/>
        <v>385</v>
      </c>
      <c r="AA126" s="38"/>
      <c r="AB126" s="1">
        <v>2018</v>
      </c>
      <c r="AC126" s="1">
        <v>1</v>
      </c>
      <c r="AE126" s="14">
        <f t="shared" si="12"/>
        <v>175</v>
      </c>
      <c r="AF126" s="38"/>
      <c r="AG126" s="1">
        <v>2021</v>
      </c>
      <c r="AH126" s="1">
        <v>1</v>
      </c>
    </row>
    <row r="127" spans="26:34" x14ac:dyDescent="0.15">
      <c r="Z127" s="14">
        <f t="shared" si="10"/>
        <v>380</v>
      </c>
      <c r="AA127" s="38"/>
      <c r="AB127" s="1">
        <v>2018</v>
      </c>
      <c r="AC127" s="1">
        <v>1</v>
      </c>
      <c r="AE127" s="14">
        <f t="shared" si="12"/>
        <v>170</v>
      </c>
      <c r="AF127" s="38"/>
      <c r="AG127" s="1">
        <v>2021</v>
      </c>
      <c r="AH127" s="1">
        <v>1</v>
      </c>
    </row>
    <row r="128" spans="26:34" x14ac:dyDescent="0.15">
      <c r="Z128" s="14">
        <f t="shared" si="10"/>
        <v>375</v>
      </c>
      <c r="AA128" s="38"/>
      <c r="AB128" s="1">
        <v>2018</v>
      </c>
      <c r="AC128" s="1">
        <v>1</v>
      </c>
      <c r="AE128" s="14">
        <f t="shared" si="12"/>
        <v>165</v>
      </c>
      <c r="AF128" s="38"/>
      <c r="AG128" s="1">
        <v>2021</v>
      </c>
      <c r="AH128" s="1">
        <v>1</v>
      </c>
    </row>
    <row r="129" spans="26:34" x14ac:dyDescent="0.15">
      <c r="Z129" s="14">
        <f t="shared" si="10"/>
        <v>370</v>
      </c>
      <c r="AA129" s="38"/>
      <c r="AB129" s="1">
        <v>2018</v>
      </c>
      <c r="AC129" s="1">
        <v>1</v>
      </c>
      <c r="AE129" s="14">
        <f t="shared" si="12"/>
        <v>160</v>
      </c>
      <c r="AF129" s="38"/>
      <c r="AG129" s="1">
        <v>2021</v>
      </c>
      <c r="AH129" s="1">
        <v>1</v>
      </c>
    </row>
    <row r="130" spans="26:34" x14ac:dyDescent="0.15">
      <c r="Z130" s="14">
        <f t="shared" si="10"/>
        <v>365</v>
      </c>
      <c r="AA130" s="38"/>
      <c r="AB130" s="1">
        <v>2018</v>
      </c>
      <c r="AC130" s="1">
        <v>1</v>
      </c>
      <c r="AE130" s="14">
        <f t="shared" si="12"/>
        <v>155</v>
      </c>
      <c r="AF130" s="38"/>
      <c r="AG130" s="2">
        <v>2018</v>
      </c>
      <c r="AH130" s="2">
        <v>1</v>
      </c>
    </row>
    <row r="131" spans="26:34" x14ac:dyDescent="0.15">
      <c r="Z131" s="14">
        <f t="shared" si="10"/>
        <v>360</v>
      </c>
      <c r="AA131" s="38"/>
      <c r="AB131" s="1">
        <v>2018</v>
      </c>
      <c r="AC131" s="1">
        <v>1</v>
      </c>
      <c r="AE131" s="14">
        <f t="shared" si="12"/>
        <v>150</v>
      </c>
      <c r="AF131" s="38"/>
      <c r="AG131" s="2">
        <v>2018</v>
      </c>
      <c r="AH131" s="2">
        <v>1</v>
      </c>
    </row>
    <row r="132" spans="26:34" x14ac:dyDescent="0.15">
      <c r="Z132" s="14">
        <f t="shared" si="10"/>
        <v>355</v>
      </c>
      <c r="AA132" s="38"/>
      <c r="AB132" s="1">
        <v>2018</v>
      </c>
      <c r="AC132" s="1">
        <v>1</v>
      </c>
      <c r="AE132" s="14">
        <f t="shared" si="12"/>
        <v>145</v>
      </c>
      <c r="AF132" s="38"/>
      <c r="AG132" s="2">
        <v>2018</v>
      </c>
      <c r="AH132" s="2">
        <v>1</v>
      </c>
    </row>
    <row r="133" spans="26:34" x14ac:dyDescent="0.15">
      <c r="Z133" s="14">
        <f t="shared" si="10"/>
        <v>350</v>
      </c>
      <c r="AA133" s="38"/>
      <c r="AB133" s="1">
        <v>2017</v>
      </c>
      <c r="AC133" s="1">
        <v>1</v>
      </c>
      <c r="AE133" s="41">
        <f>AE132</f>
        <v>145</v>
      </c>
      <c r="AF133" s="42"/>
      <c r="AG133" s="2">
        <v>2019</v>
      </c>
      <c r="AH133" s="2">
        <v>1</v>
      </c>
    </row>
    <row r="134" spans="26:34" x14ac:dyDescent="0.15">
      <c r="Z134" s="14">
        <f t="shared" si="10"/>
        <v>345</v>
      </c>
      <c r="AA134" s="38"/>
      <c r="AB134" s="1">
        <v>2017</v>
      </c>
      <c r="AC134" s="1">
        <v>1</v>
      </c>
      <c r="AE134" s="14">
        <f t="shared" si="12"/>
        <v>140</v>
      </c>
      <c r="AF134" s="42"/>
      <c r="AG134" s="2">
        <v>2019</v>
      </c>
      <c r="AH134" s="2">
        <v>1</v>
      </c>
    </row>
    <row r="135" spans="26:34" x14ac:dyDescent="0.15">
      <c r="Z135" s="14">
        <f t="shared" si="10"/>
        <v>340</v>
      </c>
      <c r="AA135" s="38"/>
      <c r="AB135" s="1">
        <v>2017</v>
      </c>
      <c r="AC135" s="1">
        <v>1</v>
      </c>
      <c r="AE135" s="14">
        <f t="shared" si="12"/>
        <v>135</v>
      </c>
      <c r="AF135" s="42"/>
      <c r="AG135" s="2">
        <v>2019</v>
      </c>
      <c r="AH135" s="2">
        <v>1</v>
      </c>
    </row>
    <row r="136" spans="26:34" x14ac:dyDescent="0.15">
      <c r="Z136" s="14">
        <f t="shared" si="10"/>
        <v>335</v>
      </c>
      <c r="AA136" s="38"/>
      <c r="AB136" s="1">
        <v>2017</v>
      </c>
      <c r="AC136" s="1">
        <v>1</v>
      </c>
      <c r="AE136" s="14">
        <f t="shared" si="12"/>
        <v>130</v>
      </c>
      <c r="AF136" s="42"/>
      <c r="AG136" s="2">
        <v>2019</v>
      </c>
      <c r="AH136" s="2">
        <v>1</v>
      </c>
    </row>
    <row r="137" spans="26:34" x14ac:dyDescent="0.15">
      <c r="Z137" s="14">
        <f t="shared" si="10"/>
        <v>330</v>
      </c>
      <c r="AA137" s="38"/>
      <c r="AB137" s="1">
        <v>2017</v>
      </c>
      <c r="AC137" s="1">
        <v>1</v>
      </c>
      <c r="AE137" s="14">
        <f t="shared" si="12"/>
        <v>125</v>
      </c>
      <c r="AF137" s="42"/>
      <c r="AG137" s="2">
        <v>2019</v>
      </c>
      <c r="AH137" s="2">
        <v>1</v>
      </c>
    </row>
    <row r="138" spans="26:34" x14ac:dyDescent="0.15">
      <c r="Z138" s="14">
        <f t="shared" si="10"/>
        <v>325</v>
      </c>
      <c r="AA138" s="38"/>
      <c r="AB138" s="1">
        <v>2017</v>
      </c>
      <c r="AC138" s="1">
        <v>1</v>
      </c>
      <c r="AE138" s="14">
        <f t="shared" si="12"/>
        <v>120</v>
      </c>
      <c r="AF138" s="42"/>
      <c r="AG138" s="2">
        <v>2019</v>
      </c>
      <c r="AH138" s="2">
        <v>1</v>
      </c>
    </row>
    <row r="139" spans="26:34" x14ac:dyDescent="0.15">
      <c r="Z139" s="14">
        <f t="shared" si="10"/>
        <v>320</v>
      </c>
      <c r="AA139" s="38"/>
      <c r="AB139" s="1">
        <v>2017</v>
      </c>
      <c r="AC139" s="1">
        <v>1</v>
      </c>
      <c r="AE139" s="14">
        <f t="shared" si="12"/>
        <v>115</v>
      </c>
      <c r="AF139" s="42"/>
      <c r="AG139" s="2">
        <v>2015</v>
      </c>
      <c r="AH139" s="2">
        <v>1</v>
      </c>
    </row>
    <row r="140" spans="26:34" x14ac:dyDescent="0.15">
      <c r="Z140" s="14">
        <f t="shared" si="10"/>
        <v>315</v>
      </c>
      <c r="AA140" s="38"/>
      <c r="AB140" s="1">
        <v>2017</v>
      </c>
      <c r="AC140" s="1">
        <v>1</v>
      </c>
      <c r="AE140" s="14">
        <f t="shared" si="12"/>
        <v>110</v>
      </c>
      <c r="AF140" s="42"/>
      <c r="AG140" s="2">
        <v>2015</v>
      </c>
      <c r="AH140" s="2">
        <v>1</v>
      </c>
    </row>
    <row r="141" spans="26:34" x14ac:dyDescent="0.15">
      <c r="Z141" s="14">
        <f t="shared" si="10"/>
        <v>310</v>
      </c>
      <c r="AA141" s="38"/>
      <c r="AB141" s="1">
        <v>2017</v>
      </c>
      <c r="AC141" s="1">
        <v>1</v>
      </c>
      <c r="AE141" s="14">
        <f t="shared" si="12"/>
        <v>105</v>
      </c>
      <c r="AF141" s="42"/>
      <c r="AG141" s="2">
        <v>2015</v>
      </c>
      <c r="AH141" s="2">
        <v>1</v>
      </c>
    </row>
    <row r="142" spans="26:34" x14ac:dyDescent="0.15">
      <c r="Z142" s="14">
        <f t="shared" si="10"/>
        <v>305</v>
      </c>
      <c r="AA142" s="38"/>
      <c r="AB142" s="1">
        <v>2017</v>
      </c>
      <c r="AC142" s="1">
        <v>1</v>
      </c>
      <c r="AE142" s="14">
        <f t="shared" si="12"/>
        <v>100</v>
      </c>
      <c r="AF142" s="42"/>
      <c r="AG142" s="2">
        <v>2015</v>
      </c>
      <c r="AH142" s="2">
        <v>1</v>
      </c>
    </row>
    <row r="143" spans="26:34" x14ac:dyDescent="0.15">
      <c r="Z143" s="14">
        <f t="shared" si="10"/>
        <v>300</v>
      </c>
      <c r="AA143" s="38"/>
      <c r="AB143" s="1">
        <v>2017</v>
      </c>
      <c r="AC143" s="1">
        <v>1</v>
      </c>
      <c r="AE143" s="14">
        <f t="shared" si="12"/>
        <v>95</v>
      </c>
      <c r="AF143" s="42"/>
      <c r="AG143" s="2">
        <v>2015</v>
      </c>
      <c r="AH143" s="2">
        <v>1</v>
      </c>
    </row>
    <row r="144" spans="26:34" x14ac:dyDescent="0.15">
      <c r="Z144" s="14">
        <f t="shared" si="10"/>
        <v>295</v>
      </c>
      <c r="AA144" s="38"/>
      <c r="AB144" s="1">
        <v>2016</v>
      </c>
      <c r="AC144" s="1">
        <v>1</v>
      </c>
      <c r="AE144" s="14">
        <f t="shared" si="12"/>
        <v>90</v>
      </c>
      <c r="AF144" s="42"/>
      <c r="AG144" s="2">
        <v>2015</v>
      </c>
      <c r="AH144" s="2">
        <v>1</v>
      </c>
    </row>
    <row r="145" spans="26:34" x14ac:dyDescent="0.15">
      <c r="Z145" s="14">
        <f t="shared" si="10"/>
        <v>290</v>
      </c>
      <c r="AA145" s="38"/>
      <c r="AB145" s="1">
        <v>2016</v>
      </c>
      <c r="AC145" s="1">
        <v>1</v>
      </c>
      <c r="AE145" s="14">
        <f t="shared" si="12"/>
        <v>85</v>
      </c>
      <c r="AF145" s="42"/>
      <c r="AG145" s="2">
        <v>2013</v>
      </c>
      <c r="AH145" s="2">
        <v>1</v>
      </c>
    </row>
    <row r="146" spans="26:34" x14ac:dyDescent="0.15">
      <c r="Z146" s="14">
        <f t="shared" si="10"/>
        <v>285</v>
      </c>
      <c r="AA146" s="38"/>
      <c r="AB146" s="1">
        <v>2016</v>
      </c>
      <c r="AC146" s="1">
        <v>1</v>
      </c>
      <c r="AE146" s="14">
        <f t="shared" si="12"/>
        <v>80</v>
      </c>
      <c r="AF146" s="42"/>
      <c r="AG146" s="2">
        <v>2013</v>
      </c>
      <c r="AH146" s="2">
        <v>1</v>
      </c>
    </row>
    <row r="147" spans="26:34" x14ac:dyDescent="0.15">
      <c r="Z147" s="14">
        <f t="shared" si="10"/>
        <v>280</v>
      </c>
      <c r="AA147" s="38"/>
      <c r="AB147" s="1">
        <v>2016</v>
      </c>
      <c r="AC147" s="1">
        <v>1</v>
      </c>
      <c r="AE147" s="14">
        <f t="shared" si="12"/>
        <v>75</v>
      </c>
      <c r="AF147" s="42"/>
      <c r="AG147" s="2">
        <v>2013</v>
      </c>
      <c r="AH147" s="2">
        <v>1</v>
      </c>
    </row>
    <row r="148" spans="26:34" x14ac:dyDescent="0.15">
      <c r="Z148" s="14">
        <f t="shared" si="10"/>
        <v>275</v>
      </c>
      <c r="AA148" s="38"/>
      <c r="AB148" s="1">
        <v>2016</v>
      </c>
      <c r="AC148" s="1">
        <v>1</v>
      </c>
      <c r="AE148" s="14">
        <f t="shared" si="12"/>
        <v>70</v>
      </c>
      <c r="AF148" s="42"/>
      <c r="AG148" s="2">
        <v>2013</v>
      </c>
      <c r="AH148" s="2">
        <v>1</v>
      </c>
    </row>
    <row r="149" spans="26:34" x14ac:dyDescent="0.15">
      <c r="Z149" s="14">
        <f t="shared" si="10"/>
        <v>270</v>
      </c>
      <c r="AA149" s="38"/>
      <c r="AB149" s="1">
        <v>2016</v>
      </c>
      <c r="AC149" s="1">
        <v>1</v>
      </c>
      <c r="AE149" s="14">
        <v>70</v>
      </c>
      <c r="AF149" s="38" t="s">
        <v>404</v>
      </c>
      <c r="AG149" s="2">
        <v>2018</v>
      </c>
      <c r="AH149" s="2">
        <v>1</v>
      </c>
    </row>
    <row r="150" spans="26:34" x14ac:dyDescent="0.15">
      <c r="Z150" s="14">
        <f t="shared" si="10"/>
        <v>265</v>
      </c>
      <c r="AA150" s="38"/>
      <c r="AB150" s="1">
        <v>2016</v>
      </c>
      <c r="AC150" s="1">
        <v>1</v>
      </c>
      <c r="AE150" s="14">
        <f>AE148-5</f>
        <v>65</v>
      </c>
      <c r="AF150" s="38"/>
      <c r="AG150" s="2">
        <v>2018</v>
      </c>
      <c r="AH150" s="2">
        <v>1</v>
      </c>
    </row>
    <row r="151" spans="26:34" x14ac:dyDescent="0.15">
      <c r="Z151" s="14">
        <f t="shared" si="10"/>
        <v>260</v>
      </c>
      <c r="AA151" s="38"/>
      <c r="AB151" s="1">
        <v>2016</v>
      </c>
      <c r="AC151" s="1">
        <v>1</v>
      </c>
      <c r="AE151" s="14">
        <f t="shared" si="12"/>
        <v>60</v>
      </c>
      <c r="AF151" s="38"/>
      <c r="AG151" s="2">
        <v>2018</v>
      </c>
      <c r="AH151" s="2">
        <v>1</v>
      </c>
    </row>
    <row r="152" spans="26:34" x14ac:dyDescent="0.15">
      <c r="Z152" s="14">
        <f t="shared" si="10"/>
        <v>255</v>
      </c>
      <c r="AA152" s="38"/>
      <c r="AB152" s="1">
        <v>2016</v>
      </c>
      <c r="AC152" s="1">
        <v>1</v>
      </c>
      <c r="AE152" s="14">
        <f t="shared" si="12"/>
        <v>55</v>
      </c>
      <c r="AF152" s="38"/>
      <c r="AG152" s="2">
        <v>2018</v>
      </c>
      <c r="AH152" s="2">
        <v>1</v>
      </c>
    </row>
    <row r="153" spans="26:34" x14ac:dyDescent="0.15">
      <c r="Z153" s="14">
        <f t="shared" si="10"/>
        <v>250</v>
      </c>
      <c r="AA153" s="38"/>
      <c r="AB153" s="1">
        <v>2016</v>
      </c>
      <c r="AC153" s="1">
        <v>1</v>
      </c>
      <c r="AE153" s="14">
        <f t="shared" si="12"/>
        <v>50</v>
      </c>
      <c r="AF153" s="38"/>
      <c r="AG153" s="2">
        <v>2018</v>
      </c>
      <c r="AH153" s="2">
        <v>1</v>
      </c>
    </row>
    <row r="154" spans="26:34" x14ac:dyDescent="0.15">
      <c r="Z154" s="14">
        <f t="shared" si="10"/>
        <v>245</v>
      </c>
      <c r="AA154" s="38"/>
      <c r="AB154" s="1">
        <v>2015</v>
      </c>
      <c r="AC154" s="1">
        <v>1</v>
      </c>
      <c r="AE154" s="14">
        <f t="shared" si="12"/>
        <v>45</v>
      </c>
      <c r="AF154" s="38"/>
      <c r="AG154" s="2">
        <v>2016</v>
      </c>
      <c r="AH154" s="2">
        <v>1</v>
      </c>
    </row>
    <row r="155" spans="26:34" x14ac:dyDescent="0.15">
      <c r="Z155" s="14">
        <f t="shared" si="10"/>
        <v>240</v>
      </c>
      <c r="AA155" s="38"/>
      <c r="AB155" s="1">
        <v>2015</v>
      </c>
      <c r="AC155" s="1">
        <v>1</v>
      </c>
      <c r="AE155" s="14">
        <f t="shared" si="12"/>
        <v>40</v>
      </c>
      <c r="AF155" s="38"/>
      <c r="AG155" s="2">
        <v>2016</v>
      </c>
      <c r="AH155" s="2">
        <v>1</v>
      </c>
    </row>
    <row r="156" spans="26:34" x14ac:dyDescent="0.15">
      <c r="Z156" s="14">
        <f t="shared" si="10"/>
        <v>235</v>
      </c>
      <c r="AA156" s="38"/>
      <c r="AB156" s="1">
        <v>2015</v>
      </c>
      <c r="AC156" s="1">
        <v>1</v>
      </c>
      <c r="AE156" s="14">
        <f t="shared" si="12"/>
        <v>35</v>
      </c>
      <c r="AF156" s="38"/>
      <c r="AG156" s="2">
        <v>2012</v>
      </c>
      <c r="AH156" s="2">
        <v>1</v>
      </c>
    </row>
    <row r="157" spans="26:34" x14ac:dyDescent="0.15">
      <c r="Z157" s="14">
        <f t="shared" si="10"/>
        <v>230</v>
      </c>
      <c r="AA157" s="38"/>
      <c r="AB157" s="1">
        <v>2015</v>
      </c>
      <c r="AC157" s="1">
        <v>1</v>
      </c>
      <c r="AE157" s="14">
        <f t="shared" si="12"/>
        <v>30</v>
      </c>
      <c r="AF157" s="38"/>
      <c r="AG157" s="2">
        <v>2012</v>
      </c>
      <c r="AH157" s="2">
        <v>1</v>
      </c>
    </row>
    <row r="158" spans="26:34" x14ac:dyDescent="0.15">
      <c r="Z158" s="14">
        <f t="shared" si="10"/>
        <v>225</v>
      </c>
      <c r="AA158" s="38"/>
      <c r="AB158" s="1">
        <v>2015</v>
      </c>
      <c r="AC158" s="1">
        <v>1</v>
      </c>
      <c r="AE158" s="14">
        <f t="shared" si="12"/>
        <v>25</v>
      </c>
      <c r="AF158" s="38"/>
      <c r="AG158" s="2">
        <v>2012</v>
      </c>
      <c r="AH158" s="2">
        <v>1</v>
      </c>
    </row>
    <row r="159" spans="26:34" x14ac:dyDescent="0.15">
      <c r="Z159" s="14">
        <f t="shared" si="10"/>
        <v>220</v>
      </c>
      <c r="AA159" s="38"/>
      <c r="AB159" s="1">
        <v>2015</v>
      </c>
      <c r="AC159" s="1">
        <v>1</v>
      </c>
      <c r="AE159" s="14">
        <f t="shared" si="12"/>
        <v>20</v>
      </c>
      <c r="AF159" s="38"/>
      <c r="AG159" s="2">
        <v>2012</v>
      </c>
      <c r="AH159" s="2">
        <v>1</v>
      </c>
    </row>
    <row r="160" spans="26:34" x14ac:dyDescent="0.15">
      <c r="Z160" s="14">
        <f t="shared" si="10"/>
        <v>215</v>
      </c>
      <c r="AA160" s="38"/>
      <c r="AB160" s="1">
        <v>2015</v>
      </c>
      <c r="AC160" s="1">
        <v>1</v>
      </c>
    </row>
    <row r="161" spans="26:47" x14ac:dyDescent="0.15">
      <c r="Z161" s="14">
        <f t="shared" si="10"/>
        <v>210</v>
      </c>
      <c r="AA161" s="38"/>
      <c r="AB161" s="1">
        <v>2015</v>
      </c>
      <c r="AC161" s="1">
        <v>1</v>
      </c>
      <c r="AE161" s="10" t="s">
        <v>462</v>
      </c>
      <c r="AF161" t="s">
        <v>423</v>
      </c>
    </row>
    <row r="162" spans="26:47" x14ac:dyDescent="0.15">
      <c r="Z162" s="14">
        <f t="shared" si="10"/>
        <v>205</v>
      </c>
      <c r="AA162" s="38"/>
      <c r="AB162" s="1">
        <v>2015</v>
      </c>
      <c r="AC162" s="1">
        <v>1</v>
      </c>
    </row>
    <row r="163" spans="26:47" x14ac:dyDescent="0.15">
      <c r="Z163" s="14">
        <f t="shared" si="10"/>
        <v>200</v>
      </c>
      <c r="AA163" s="38"/>
      <c r="AB163" s="1">
        <v>2015</v>
      </c>
      <c r="AC163" s="1">
        <v>1</v>
      </c>
      <c r="AE163" s="44" t="s">
        <v>175</v>
      </c>
      <c r="AF163" s="45" t="s">
        <v>359</v>
      </c>
      <c r="AG163" s="45" t="s">
        <v>360</v>
      </c>
      <c r="AH163" s="45" t="s">
        <v>361</v>
      </c>
      <c r="AI163" s="45" t="s">
        <v>362</v>
      </c>
      <c r="AJ163" s="45" t="s">
        <v>363</v>
      </c>
      <c r="AK163" s="45" t="s">
        <v>364</v>
      </c>
      <c r="AL163" s="45" t="s">
        <v>365</v>
      </c>
      <c r="AM163" s="45" t="s">
        <v>366</v>
      </c>
      <c r="AN163" s="45" t="s">
        <v>367</v>
      </c>
      <c r="AO163" s="45" t="s">
        <v>368</v>
      </c>
      <c r="AP163" s="45" t="s">
        <v>369</v>
      </c>
      <c r="AQ163" s="45" t="s">
        <v>370</v>
      </c>
      <c r="AR163" s="45" t="s">
        <v>371</v>
      </c>
      <c r="AS163" s="45" t="s">
        <v>372</v>
      </c>
      <c r="AT163" s="45" t="s">
        <v>373</v>
      </c>
      <c r="AU163" s="45" t="s">
        <v>374</v>
      </c>
    </row>
    <row r="164" spans="26:47" x14ac:dyDescent="0.15">
      <c r="Z164" s="14">
        <f t="shared" si="10"/>
        <v>195</v>
      </c>
      <c r="AA164" s="38"/>
      <c r="AB164" s="1">
        <v>2014</v>
      </c>
      <c r="AC164" s="1">
        <v>1</v>
      </c>
      <c r="AE164" s="33">
        <f>U104-1</f>
        <v>2022</v>
      </c>
      <c r="AF164" s="38" t="s">
        <v>424</v>
      </c>
      <c r="AG164" s="38" t="s">
        <v>424</v>
      </c>
      <c r="AH164" s="38" t="s">
        <v>424</v>
      </c>
      <c r="AI164" s="38" t="s">
        <v>425</v>
      </c>
      <c r="AJ164" s="38" t="s">
        <v>425</v>
      </c>
      <c r="AK164" s="38" t="s">
        <v>426</v>
      </c>
      <c r="AL164" s="38" t="s">
        <v>427</v>
      </c>
      <c r="AM164" s="38" t="s">
        <v>428</v>
      </c>
      <c r="AN164" s="38" t="s">
        <v>380</v>
      </c>
      <c r="AO164" s="38" t="s">
        <v>380</v>
      </c>
      <c r="AP164" s="38" t="s">
        <v>421</v>
      </c>
      <c r="AQ164" s="38" t="s">
        <v>380</v>
      </c>
      <c r="AR164" s="38" t="s">
        <v>429</v>
      </c>
      <c r="AS164" s="38" t="s">
        <v>421</v>
      </c>
      <c r="AT164" s="38" t="s">
        <v>430</v>
      </c>
      <c r="AU164" s="38" t="s">
        <v>422</v>
      </c>
    </row>
    <row r="165" spans="26:47" x14ac:dyDescent="0.15">
      <c r="Z165" s="14">
        <f t="shared" si="10"/>
        <v>190</v>
      </c>
      <c r="AA165" s="38"/>
      <c r="AB165" s="1">
        <v>2014</v>
      </c>
      <c r="AC165" s="1">
        <v>1</v>
      </c>
      <c r="AE165" s="33">
        <f>AE164-1</f>
        <v>2021</v>
      </c>
      <c r="AF165" s="38" t="s">
        <v>424</v>
      </c>
      <c r="AG165" s="38" t="s">
        <v>424</v>
      </c>
      <c r="AH165" s="38" t="s">
        <v>424</v>
      </c>
      <c r="AI165" s="38" t="s">
        <v>425</v>
      </c>
      <c r="AJ165" s="38" t="s">
        <v>425</v>
      </c>
      <c r="AK165" s="38" t="s">
        <v>426</v>
      </c>
      <c r="AL165" s="38" t="s">
        <v>427</v>
      </c>
      <c r="AM165" s="38" t="s">
        <v>428</v>
      </c>
      <c r="AN165" s="38" t="s">
        <v>380</v>
      </c>
      <c r="AO165" s="38" t="s">
        <v>380</v>
      </c>
      <c r="AP165" s="38" t="s">
        <v>421</v>
      </c>
      <c r="AQ165" s="38" t="s">
        <v>380</v>
      </c>
      <c r="AR165" s="38" t="s">
        <v>429</v>
      </c>
      <c r="AS165" s="38" t="s">
        <v>421</v>
      </c>
      <c r="AT165" s="38" t="s">
        <v>430</v>
      </c>
      <c r="AU165" s="38" t="s">
        <v>422</v>
      </c>
    </row>
    <row r="166" spans="26:47" x14ac:dyDescent="0.15">
      <c r="Z166" s="14">
        <f t="shared" si="10"/>
        <v>185</v>
      </c>
      <c r="AA166" s="38"/>
      <c r="AB166" s="1">
        <v>2014</v>
      </c>
      <c r="AC166" s="1">
        <v>1</v>
      </c>
      <c r="AE166" s="33">
        <f t="shared" ref="AE166:AE168" si="13">AE165-1</f>
        <v>2020</v>
      </c>
      <c r="AF166" s="38" t="s">
        <v>424</v>
      </c>
      <c r="AG166" s="38" t="s">
        <v>424</v>
      </c>
      <c r="AH166" s="38" t="s">
        <v>424</v>
      </c>
      <c r="AI166" s="38" t="s">
        <v>425</v>
      </c>
      <c r="AJ166" s="38" t="s">
        <v>425</v>
      </c>
      <c r="AK166" s="38" t="s">
        <v>426</v>
      </c>
      <c r="AL166" s="38" t="s">
        <v>427</v>
      </c>
      <c r="AM166" s="38" t="s">
        <v>428</v>
      </c>
      <c r="AN166" s="38" t="s">
        <v>380</v>
      </c>
      <c r="AO166" s="38" t="s">
        <v>380</v>
      </c>
      <c r="AP166" s="38" t="s">
        <v>421</v>
      </c>
      <c r="AQ166" s="38" t="s">
        <v>380</v>
      </c>
      <c r="AR166" s="38" t="s">
        <v>429</v>
      </c>
      <c r="AS166" s="38" t="s">
        <v>421</v>
      </c>
      <c r="AT166" s="38" t="s">
        <v>430</v>
      </c>
      <c r="AU166" s="38" t="s">
        <v>422</v>
      </c>
    </row>
    <row r="167" spans="26:47" x14ac:dyDescent="0.15">
      <c r="Z167" s="14">
        <f t="shared" si="10"/>
        <v>180</v>
      </c>
      <c r="AA167" s="38"/>
      <c r="AB167" s="1">
        <v>2014</v>
      </c>
      <c r="AC167" s="1">
        <v>1</v>
      </c>
      <c r="AE167" s="33">
        <f t="shared" si="13"/>
        <v>2019</v>
      </c>
      <c r="AF167" s="38" t="s">
        <v>424</v>
      </c>
      <c r="AG167" s="38" t="s">
        <v>424</v>
      </c>
      <c r="AH167" s="38" t="s">
        <v>424</v>
      </c>
      <c r="AI167" s="38" t="s">
        <v>425</v>
      </c>
      <c r="AJ167" s="38" t="s">
        <v>425</v>
      </c>
      <c r="AK167" s="38" t="s">
        <v>426</v>
      </c>
      <c r="AL167" s="38" t="s">
        <v>427</v>
      </c>
      <c r="AM167" s="38" t="s">
        <v>428</v>
      </c>
      <c r="AN167" s="38" t="s">
        <v>380</v>
      </c>
      <c r="AO167" s="38" t="s">
        <v>380</v>
      </c>
      <c r="AP167" s="38" t="s">
        <v>421</v>
      </c>
      <c r="AQ167" s="38" t="s">
        <v>380</v>
      </c>
      <c r="AR167" s="38" t="s">
        <v>429</v>
      </c>
      <c r="AS167" s="38" t="s">
        <v>421</v>
      </c>
      <c r="AT167" s="38" t="s">
        <v>430</v>
      </c>
      <c r="AU167" s="38" t="s">
        <v>422</v>
      </c>
    </row>
    <row r="168" spans="26:47" x14ac:dyDescent="0.15">
      <c r="Z168" s="14">
        <f t="shared" si="10"/>
        <v>175</v>
      </c>
      <c r="AA168" s="38"/>
      <c r="AB168" s="1">
        <v>2014</v>
      </c>
      <c r="AC168" s="1">
        <v>1</v>
      </c>
      <c r="AE168" s="33">
        <f t="shared" si="13"/>
        <v>2018</v>
      </c>
      <c r="AF168" s="38" t="s">
        <v>424</v>
      </c>
      <c r="AG168" s="38" t="s">
        <v>424</v>
      </c>
      <c r="AH168" s="38" t="s">
        <v>424</v>
      </c>
      <c r="AI168" s="38" t="s">
        <v>425</v>
      </c>
      <c r="AJ168" s="38" t="s">
        <v>425</v>
      </c>
      <c r="AK168" s="38" t="s">
        <v>426</v>
      </c>
      <c r="AL168" s="38" t="s">
        <v>427</v>
      </c>
      <c r="AM168" s="38" t="s">
        <v>428</v>
      </c>
      <c r="AN168" s="38" t="s">
        <v>380</v>
      </c>
      <c r="AO168" s="38" t="s">
        <v>380</v>
      </c>
      <c r="AP168" s="38" t="s">
        <v>421</v>
      </c>
      <c r="AQ168" s="38" t="s">
        <v>380</v>
      </c>
      <c r="AR168" s="38" t="s">
        <v>429</v>
      </c>
      <c r="AS168" s="38" t="s">
        <v>421</v>
      </c>
      <c r="AT168" s="38" t="s">
        <v>430</v>
      </c>
      <c r="AU168" s="38" t="s">
        <v>422</v>
      </c>
    </row>
    <row r="169" spans="26:47" x14ac:dyDescent="0.15">
      <c r="Z169" s="14">
        <f t="shared" si="10"/>
        <v>170</v>
      </c>
      <c r="AA169" s="38"/>
      <c r="AB169" s="1">
        <v>2013</v>
      </c>
      <c r="AC169" s="1">
        <v>1</v>
      </c>
    </row>
    <row r="170" spans="26:47" x14ac:dyDescent="0.15">
      <c r="Z170" s="14">
        <f t="shared" si="10"/>
        <v>165</v>
      </c>
      <c r="AA170" s="38"/>
      <c r="AB170" s="1">
        <v>2013</v>
      </c>
      <c r="AC170" s="1">
        <v>1</v>
      </c>
      <c r="AE170" s="44" t="s">
        <v>431</v>
      </c>
      <c r="AF170" s="45" t="s">
        <v>359</v>
      </c>
      <c r="AG170" s="45" t="s">
        <v>360</v>
      </c>
      <c r="AH170" s="45" t="s">
        <v>361</v>
      </c>
      <c r="AI170" s="45" t="s">
        <v>362</v>
      </c>
      <c r="AJ170" s="45" t="s">
        <v>363</v>
      </c>
      <c r="AK170" s="45" t="s">
        <v>364</v>
      </c>
      <c r="AL170" s="45" t="s">
        <v>365</v>
      </c>
      <c r="AM170" s="45" t="s">
        <v>366</v>
      </c>
      <c r="AN170" s="45" t="s">
        <v>367</v>
      </c>
      <c r="AO170" s="45" t="s">
        <v>368</v>
      </c>
      <c r="AP170" s="45" t="s">
        <v>369</v>
      </c>
      <c r="AQ170" s="45" t="s">
        <v>370</v>
      </c>
      <c r="AR170" s="45" t="s">
        <v>371</v>
      </c>
      <c r="AS170" s="45" t="s">
        <v>372</v>
      </c>
      <c r="AT170" s="45" t="s">
        <v>373</v>
      </c>
      <c r="AU170" s="45" t="s">
        <v>374</v>
      </c>
    </row>
    <row r="171" spans="26:47" x14ac:dyDescent="0.15">
      <c r="Z171" s="14">
        <f t="shared" si="10"/>
        <v>160</v>
      </c>
      <c r="AA171" s="38"/>
      <c r="AB171" s="1">
        <v>2013</v>
      </c>
      <c r="AC171" s="1">
        <v>1</v>
      </c>
      <c r="AE171" s="33">
        <f>AE164</f>
        <v>2022</v>
      </c>
      <c r="AF171" s="38" t="s">
        <v>432</v>
      </c>
      <c r="AG171" s="38" t="s">
        <v>432</v>
      </c>
      <c r="AH171" s="38" t="s">
        <v>432</v>
      </c>
      <c r="AI171" s="38" t="s">
        <v>433</v>
      </c>
      <c r="AJ171" s="38" t="s">
        <v>433</v>
      </c>
      <c r="AK171" s="38" t="s">
        <v>434</v>
      </c>
      <c r="AL171" s="38" t="s">
        <v>435</v>
      </c>
      <c r="AM171" s="38" t="s">
        <v>433</v>
      </c>
      <c r="AN171" s="38" t="s">
        <v>434</v>
      </c>
      <c r="AO171" s="38" t="s">
        <v>434</v>
      </c>
      <c r="AP171" s="38" t="s">
        <v>434</v>
      </c>
      <c r="AQ171" s="38" t="s">
        <v>434</v>
      </c>
      <c r="AR171" s="38" t="s">
        <v>436</v>
      </c>
      <c r="AS171" s="38" t="s">
        <v>434</v>
      </c>
      <c r="AT171" s="38" t="s">
        <v>437</v>
      </c>
      <c r="AU171" s="38" t="s">
        <v>437</v>
      </c>
    </row>
    <row r="172" spans="26:47" x14ac:dyDescent="0.15">
      <c r="Z172" s="14">
        <f t="shared" si="10"/>
        <v>155</v>
      </c>
      <c r="AA172" s="38"/>
      <c r="AB172" s="1">
        <v>2013</v>
      </c>
      <c r="AC172" s="1">
        <v>1</v>
      </c>
      <c r="AE172" s="33">
        <f t="shared" ref="AE172:AE175" si="14">AE165</f>
        <v>2021</v>
      </c>
      <c r="AF172" s="38" t="s">
        <v>438</v>
      </c>
      <c r="AG172" s="38" t="s">
        <v>438</v>
      </c>
      <c r="AH172" s="38" t="s">
        <v>438</v>
      </c>
      <c r="AI172" s="38" t="s">
        <v>439</v>
      </c>
      <c r="AJ172" s="38" t="s">
        <v>439</v>
      </c>
      <c r="AK172" s="38" t="s">
        <v>440</v>
      </c>
      <c r="AL172" s="38" t="s">
        <v>433</v>
      </c>
      <c r="AM172" s="38" t="s">
        <v>441</v>
      </c>
      <c r="AN172" s="38" t="s">
        <v>440</v>
      </c>
      <c r="AO172" s="38" t="s">
        <v>440</v>
      </c>
      <c r="AP172" s="38" t="s">
        <v>442</v>
      </c>
      <c r="AQ172" s="38" t="s">
        <v>440</v>
      </c>
      <c r="AR172" s="38" t="s">
        <v>443</v>
      </c>
      <c r="AS172" s="38" t="s">
        <v>442</v>
      </c>
      <c r="AT172" s="38" t="s">
        <v>444</v>
      </c>
      <c r="AU172" s="38" t="s">
        <v>444</v>
      </c>
    </row>
    <row r="173" spans="26:47" x14ac:dyDescent="0.15">
      <c r="Z173" s="14">
        <f t="shared" ref="Z173:Z186" si="15">Z172-5</f>
        <v>150</v>
      </c>
      <c r="AA173" s="38"/>
      <c r="AB173" s="1">
        <v>2012</v>
      </c>
      <c r="AC173" s="1">
        <v>1</v>
      </c>
      <c r="AE173" s="33">
        <f t="shared" si="14"/>
        <v>2020</v>
      </c>
      <c r="AF173" s="38" t="s">
        <v>445</v>
      </c>
      <c r="AG173" s="38" t="s">
        <v>445</v>
      </c>
      <c r="AH173" s="38" t="s">
        <v>445</v>
      </c>
      <c r="AI173" s="38" t="s">
        <v>441</v>
      </c>
      <c r="AJ173" s="38" t="s">
        <v>441</v>
      </c>
      <c r="AK173" s="38" t="s">
        <v>446</v>
      </c>
      <c r="AL173" s="38" t="s">
        <v>439</v>
      </c>
      <c r="AM173" s="38" t="s">
        <v>447</v>
      </c>
      <c r="AN173" s="38" t="s">
        <v>448</v>
      </c>
      <c r="AO173" s="38" t="s">
        <v>448</v>
      </c>
      <c r="AP173" s="38" t="s">
        <v>440</v>
      </c>
      <c r="AQ173" s="38" t="s">
        <v>448</v>
      </c>
      <c r="AR173" s="38" t="s">
        <v>449</v>
      </c>
      <c r="AS173" s="38" t="s">
        <v>440</v>
      </c>
      <c r="AT173" s="38" t="s">
        <v>434</v>
      </c>
      <c r="AU173" s="38" t="s">
        <v>434</v>
      </c>
    </row>
    <row r="174" spans="26:47" x14ac:dyDescent="0.15">
      <c r="Z174" s="14">
        <f t="shared" si="15"/>
        <v>145</v>
      </c>
      <c r="AA174" s="38"/>
      <c r="AB174" s="1">
        <v>2012</v>
      </c>
      <c r="AC174" s="1">
        <v>1</v>
      </c>
      <c r="AE174" s="33">
        <f t="shared" si="14"/>
        <v>2019</v>
      </c>
      <c r="AF174" s="38" t="s">
        <v>450</v>
      </c>
      <c r="AG174" s="38" t="s">
        <v>450</v>
      </c>
      <c r="AH174" s="38" t="s">
        <v>450</v>
      </c>
      <c r="AI174" s="38" t="s">
        <v>451</v>
      </c>
      <c r="AJ174" s="38" t="s">
        <v>451</v>
      </c>
      <c r="AK174" s="38" t="s">
        <v>436</v>
      </c>
      <c r="AL174" s="38" t="s">
        <v>452</v>
      </c>
      <c r="AM174" s="38" t="s">
        <v>453</v>
      </c>
      <c r="AN174" s="38" t="s">
        <v>446</v>
      </c>
      <c r="AO174" s="38" t="s">
        <v>446</v>
      </c>
      <c r="AP174" s="38" t="s">
        <v>448</v>
      </c>
      <c r="AQ174" s="38" t="s">
        <v>446</v>
      </c>
      <c r="AR174" s="38" t="s">
        <v>454</v>
      </c>
      <c r="AS174" s="38" t="s">
        <v>448</v>
      </c>
      <c r="AT174" s="38" t="s">
        <v>442</v>
      </c>
      <c r="AU174" s="38" t="s">
        <v>442</v>
      </c>
    </row>
    <row r="175" spans="26:47" x14ac:dyDescent="0.15">
      <c r="Z175" s="14">
        <f t="shared" si="15"/>
        <v>140</v>
      </c>
      <c r="AA175" s="38"/>
      <c r="AB175" s="1">
        <v>2012</v>
      </c>
      <c r="AC175" s="1">
        <v>1</v>
      </c>
      <c r="AE175" s="33">
        <f t="shared" si="14"/>
        <v>2018</v>
      </c>
      <c r="AF175" s="38" t="s">
        <v>455</v>
      </c>
      <c r="AG175" s="38" t="s">
        <v>455</v>
      </c>
      <c r="AH175" s="38" t="s">
        <v>455</v>
      </c>
      <c r="AI175" s="38" t="s">
        <v>453</v>
      </c>
      <c r="AJ175" s="38" t="s">
        <v>453</v>
      </c>
      <c r="AK175" s="38" t="s">
        <v>449</v>
      </c>
      <c r="AL175" s="38" t="s">
        <v>456</v>
      </c>
      <c r="AM175" s="38" t="s">
        <v>444</v>
      </c>
      <c r="AN175" s="38" t="s">
        <v>457</v>
      </c>
      <c r="AO175" s="38" t="s">
        <v>457</v>
      </c>
      <c r="AP175" s="38" t="s">
        <v>457</v>
      </c>
      <c r="AQ175" s="38" t="s">
        <v>457</v>
      </c>
      <c r="AR175" s="38" t="s">
        <v>458</v>
      </c>
      <c r="AS175" s="38" t="s">
        <v>457</v>
      </c>
      <c r="AT175" s="38" t="s">
        <v>440</v>
      </c>
      <c r="AU175" s="38" t="s">
        <v>440</v>
      </c>
    </row>
    <row r="176" spans="26:47" x14ac:dyDescent="0.15">
      <c r="Z176" s="14">
        <f t="shared" si="15"/>
        <v>135</v>
      </c>
      <c r="AA176" s="38"/>
      <c r="AB176" s="1">
        <v>2012</v>
      </c>
      <c r="AC176" s="1">
        <v>1</v>
      </c>
    </row>
    <row r="177" spans="26:47" x14ac:dyDescent="0.15">
      <c r="Z177" s="14">
        <f t="shared" si="15"/>
        <v>130</v>
      </c>
      <c r="AA177" s="38"/>
      <c r="AB177" s="1">
        <v>2011</v>
      </c>
      <c r="AC177" s="1">
        <v>1</v>
      </c>
      <c r="AE177" s="44" t="s">
        <v>459</v>
      </c>
      <c r="AF177" s="45" t="s">
        <v>359</v>
      </c>
      <c r="AG177" s="45" t="s">
        <v>463</v>
      </c>
      <c r="AH177" s="45" t="s">
        <v>361</v>
      </c>
      <c r="AI177" s="45" t="s">
        <v>362</v>
      </c>
      <c r="AJ177" s="45" t="s">
        <v>363</v>
      </c>
      <c r="AK177" s="45" t="s">
        <v>364</v>
      </c>
      <c r="AL177" s="45" t="s">
        <v>365</v>
      </c>
      <c r="AM177" s="45" t="s">
        <v>366</v>
      </c>
      <c r="AN177" s="45" t="s">
        <v>367</v>
      </c>
      <c r="AO177" s="45" t="s">
        <v>368</v>
      </c>
      <c r="AP177" s="45" t="s">
        <v>369</v>
      </c>
      <c r="AQ177" s="45" t="s">
        <v>370</v>
      </c>
      <c r="AR177" s="45" t="s">
        <v>371</v>
      </c>
      <c r="AS177" s="45" t="s">
        <v>372</v>
      </c>
      <c r="AT177" s="45" t="s">
        <v>373</v>
      </c>
      <c r="AU177" s="45" t="s">
        <v>374</v>
      </c>
    </row>
    <row r="178" spans="26:47" x14ac:dyDescent="0.15">
      <c r="Z178" s="14">
        <f t="shared" si="15"/>
        <v>125</v>
      </c>
      <c r="AA178" s="38"/>
      <c r="AB178" s="1">
        <v>2011</v>
      </c>
      <c r="AC178" s="1">
        <v>1</v>
      </c>
      <c r="AE178" s="33">
        <f>AE171</f>
        <v>2022</v>
      </c>
      <c r="AF178" s="38">
        <v>150</v>
      </c>
      <c r="AG178" s="38">
        <v>150</v>
      </c>
      <c r="AH178" s="38">
        <v>150</v>
      </c>
      <c r="AI178" s="38">
        <v>220</v>
      </c>
      <c r="AJ178" s="38">
        <v>220</v>
      </c>
      <c r="AK178" s="38">
        <v>140</v>
      </c>
      <c r="AL178" s="38">
        <v>240</v>
      </c>
      <c r="AM178" s="38">
        <v>220</v>
      </c>
      <c r="AN178" s="38">
        <v>140</v>
      </c>
      <c r="AO178" s="38">
        <v>140</v>
      </c>
      <c r="AP178" s="38">
        <v>140</v>
      </c>
      <c r="AQ178" s="38">
        <v>140</v>
      </c>
      <c r="AR178" s="38">
        <v>110</v>
      </c>
      <c r="AS178" s="38">
        <v>140</v>
      </c>
      <c r="AT178" s="38">
        <v>160</v>
      </c>
      <c r="AU178" s="38">
        <v>140</v>
      </c>
    </row>
    <row r="179" spans="26:47" x14ac:dyDescent="0.15">
      <c r="Z179" s="14">
        <f t="shared" si="15"/>
        <v>120</v>
      </c>
      <c r="AA179" s="38"/>
      <c r="AB179" s="1">
        <v>2011</v>
      </c>
      <c r="AC179" s="1">
        <v>1</v>
      </c>
      <c r="AE179" s="33">
        <f t="shared" ref="AE179:AE182" si="16">AE172</f>
        <v>2021</v>
      </c>
      <c r="AF179" s="38">
        <v>150</v>
      </c>
      <c r="AG179" s="38">
        <v>150</v>
      </c>
      <c r="AH179" s="38">
        <v>150</v>
      </c>
      <c r="AI179" s="38">
        <v>210</v>
      </c>
      <c r="AJ179" s="38">
        <v>210</v>
      </c>
      <c r="AK179" s="38">
        <v>125</v>
      </c>
      <c r="AL179" s="38">
        <v>220</v>
      </c>
      <c r="AM179" s="38">
        <v>210</v>
      </c>
      <c r="AN179" s="38">
        <v>140</v>
      </c>
      <c r="AO179" s="38">
        <v>140</v>
      </c>
      <c r="AP179" s="38">
        <v>130</v>
      </c>
      <c r="AQ179" s="38">
        <v>140</v>
      </c>
      <c r="AR179" s="38">
        <v>100</v>
      </c>
      <c r="AS179" s="38">
        <v>130</v>
      </c>
      <c r="AT179" s="38">
        <v>150</v>
      </c>
      <c r="AU179" s="38">
        <v>140</v>
      </c>
    </row>
    <row r="180" spans="26:47" x14ac:dyDescent="0.15">
      <c r="Z180" s="14">
        <f t="shared" si="15"/>
        <v>115</v>
      </c>
      <c r="AA180" s="38"/>
      <c r="AB180" s="1">
        <v>2010</v>
      </c>
      <c r="AC180" s="1">
        <v>12</v>
      </c>
      <c r="AE180" s="33">
        <f t="shared" si="16"/>
        <v>2020</v>
      </c>
      <c r="AF180" s="38">
        <v>125</v>
      </c>
      <c r="AG180" s="38">
        <v>125</v>
      </c>
      <c r="AH180" s="38">
        <v>125</v>
      </c>
      <c r="AI180" s="38">
        <v>190</v>
      </c>
      <c r="AJ180" s="38">
        <v>190</v>
      </c>
      <c r="AK180" s="38">
        <v>115</v>
      </c>
      <c r="AL180" s="38">
        <v>200</v>
      </c>
      <c r="AM180" s="38">
        <v>190</v>
      </c>
      <c r="AN180" s="38">
        <v>130</v>
      </c>
      <c r="AO180" s="38">
        <v>130</v>
      </c>
      <c r="AP180" s="38">
        <v>120</v>
      </c>
      <c r="AQ180" s="38">
        <v>130</v>
      </c>
      <c r="AR180" s="38">
        <v>90</v>
      </c>
      <c r="AS180" s="38">
        <v>120</v>
      </c>
      <c r="AT180" s="38">
        <v>140</v>
      </c>
      <c r="AU180" s="38">
        <v>130</v>
      </c>
    </row>
    <row r="181" spans="26:47" x14ac:dyDescent="0.15">
      <c r="Z181" s="14">
        <f t="shared" si="15"/>
        <v>110</v>
      </c>
      <c r="AA181" s="38"/>
      <c r="AB181" s="1">
        <v>2010</v>
      </c>
      <c r="AC181" s="1">
        <v>12</v>
      </c>
      <c r="AE181" s="33">
        <f t="shared" si="16"/>
        <v>2019</v>
      </c>
      <c r="AF181" s="38">
        <v>115</v>
      </c>
      <c r="AG181" s="38">
        <v>115</v>
      </c>
      <c r="AH181" s="38">
        <v>115</v>
      </c>
      <c r="AI181" s="38">
        <v>160</v>
      </c>
      <c r="AJ181" s="38">
        <v>160</v>
      </c>
      <c r="AK181" s="38">
        <v>110</v>
      </c>
      <c r="AL181" s="38">
        <v>200</v>
      </c>
      <c r="AM181" s="38">
        <v>160</v>
      </c>
      <c r="AN181" s="38">
        <v>125</v>
      </c>
      <c r="AO181" s="38">
        <v>125</v>
      </c>
      <c r="AP181" s="38">
        <v>120</v>
      </c>
      <c r="AQ181" s="38">
        <v>125</v>
      </c>
      <c r="AR181" s="38">
        <v>85</v>
      </c>
      <c r="AS181" s="38">
        <v>120</v>
      </c>
      <c r="AT181" s="38">
        <v>130</v>
      </c>
      <c r="AU181" s="38">
        <v>125</v>
      </c>
    </row>
    <row r="182" spans="26:47" x14ac:dyDescent="0.15">
      <c r="Z182" s="14">
        <f t="shared" si="15"/>
        <v>105</v>
      </c>
      <c r="AA182" s="38"/>
      <c r="AB182" s="1">
        <v>2010</v>
      </c>
      <c r="AC182" s="1">
        <v>12</v>
      </c>
      <c r="AE182" s="33">
        <f t="shared" si="16"/>
        <v>2018</v>
      </c>
      <c r="AF182" s="38">
        <v>100</v>
      </c>
      <c r="AG182" s="38">
        <v>100</v>
      </c>
      <c r="AH182" s="38">
        <v>100</v>
      </c>
      <c r="AI182" s="38">
        <v>150</v>
      </c>
      <c r="AJ182" s="38">
        <v>150</v>
      </c>
      <c r="AK182" s="38">
        <v>95</v>
      </c>
      <c r="AL182" s="38">
        <v>180</v>
      </c>
      <c r="AM182" s="38">
        <v>150</v>
      </c>
      <c r="AN182" s="38">
        <v>115</v>
      </c>
      <c r="AO182" s="38">
        <v>115</v>
      </c>
      <c r="AP182" s="38">
        <v>110</v>
      </c>
      <c r="AQ182" s="38">
        <v>115</v>
      </c>
      <c r="AR182" s="38">
        <v>80</v>
      </c>
      <c r="AS182" s="38">
        <v>110</v>
      </c>
      <c r="AT182" s="38">
        <v>130</v>
      </c>
      <c r="AU182" s="38">
        <v>115</v>
      </c>
    </row>
    <row r="183" spans="26:47" x14ac:dyDescent="0.15">
      <c r="Z183" s="14">
        <v>105</v>
      </c>
      <c r="AA183" s="38" t="s">
        <v>379</v>
      </c>
      <c r="AB183" s="1">
        <v>2017</v>
      </c>
      <c r="AC183" s="1">
        <v>12</v>
      </c>
    </row>
    <row r="184" spans="26:47" x14ac:dyDescent="0.15">
      <c r="Z184" s="14">
        <f t="shared" si="15"/>
        <v>100</v>
      </c>
      <c r="AA184" s="38"/>
      <c r="AB184" s="1">
        <v>2017</v>
      </c>
      <c r="AC184" s="1">
        <v>12</v>
      </c>
      <c r="AE184" s="33" t="s">
        <v>375</v>
      </c>
      <c r="AF184" s="37">
        <v>7</v>
      </c>
      <c r="AG184" s="37">
        <v>7</v>
      </c>
      <c r="AH184" s="37">
        <v>7</v>
      </c>
      <c r="AI184" s="37">
        <v>5</v>
      </c>
      <c r="AJ184" s="37">
        <v>5</v>
      </c>
      <c r="AK184" s="37">
        <v>7</v>
      </c>
      <c r="AL184" s="37">
        <v>7</v>
      </c>
      <c r="AM184" s="37">
        <v>5</v>
      </c>
      <c r="AN184" s="37">
        <v>3</v>
      </c>
      <c r="AO184" s="37">
        <v>3</v>
      </c>
      <c r="AP184" s="37">
        <v>3</v>
      </c>
      <c r="AQ184" s="37">
        <v>3</v>
      </c>
      <c r="AR184" s="37">
        <v>2</v>
      </c>
      <c r="AS184" s="37">
        <v>3</v>
      </c>
      <c r="AT184" s="37">
        <v>3</v>
      </c>
      <c r="AU184" s="37">
        <v>3</v>
      </c>
    </row>
    <row r="185" spans="26:47" x14ac:dyDescent="0.15">
      <c r="Z185" s="14">
        <f t="shared" si="15"/>
        <v>95</v>
      </c>
      <c r="AA185" s="38"/>
      <c r="AB185" s="1">
        <v>2017</v>
      </c>
      <c r="AC185" s="1">
        <v>12</v>
      </c>
      <c r="AE185" s="33" t="s">
        <v>376</v>
      </c>
      <c r="AF185" s="37">
        <v>6</v>
      </c>
      <c r="AG185" s="37">
        <v>6</v>
      </c>
      <c r="AH185" s="37">
        <v>6</v>
      </c>
      <c r="AI185" s="37">
        <v>6</v>
      </c>
      <c r="AJ185" s="37">
        <v>6</v>
      </c>
      <c r="AK185" s="37">
        <v>7</v>
      </c>
      <c r="AL185" s="37">
        <v>6</v>
      </c>
      <c r="AM185" s="37">
        <v>6</v>
      </c>
      <c r="AN185" s="37">
        <v>3</v>
      </c>
      <c r="AO185" s="37">
        <v>3</v>
      </c>
      <c r="AP185" s="37">
        <v>1</v>
      </c>
      <c r="AQ185" s="37">
        <v>3</v>
      </c>
      <c r="AR185" s="37">
        <v>1</v>
      </c>
      <c r="AS185" s="37">
        <v>1</v>
      </c>
      <c r="AT185" s="37">
        <v>1</v>
      </c>
      <c r="AU185" s="37">
        <v>3</v>
      </c>
    </row>
    <row r="186" spans="26:47" x14ac:dyDescent="0.15">
      <c r="Z186" s="14">
        <f t="shared" si="15"/>
        <v>90</v>
      </c>
      <c r="AA186" s="38"/>
      <c r="AB186" s="1">
        <v>2017</v>
      </c>
      <c r="AC186" s="1">
        <v>12</v>
      </c>
      <c r="AE186" s="33" t="s">
        <v>377</v>
      </c>
      <c r="AF186" s="37">
        <v>6</v>
      </c>
      <c r="AG186" s="37">
        <v>6</v>
      </c>
      <c r="AH186" s="37">
        <v>6</v>
      </c>
      <c r="AI186" s="37">
        <v>6</v>
      </c>
      <c r="AJ186" s="37">
        <v>6</v>
      </c>
      <c r="AK186" s="37">
        <v>6</v>
      </c>
      <c r="AL186" s="37">
        <v>9</v>
      </c>
      <c r="AM186" s="37">
        <v>6</v>
      </c>
      <c r="AN186" s="37">
        <v>2</v>
      </c>
      <c r="AO186" s="37">
        <v>2</v>
      </c>
      <c r="AP186" s="37">
        <v>2</v>
      </c>
      <c r="AQ186" s="37">
        <v>2</v>
      </c>
      <c r="AR186" s="37">
        <v>2</v>
      </c>
      <c r="AS186" s="37">
        <v>2</v>
      </c>
      <c r="AT186" s="37">
        <v>3</v>
      </c>
      <c r="AU186" s="37">
        <v>2</v>
      </c>
    </row>
    <row r="187" spans="26:47" x14ac:dyDescent="0.15">
      <c r="Z187" s="14">
        <f t="shared" ref="Z187:Z199" si="17">Z186-5</f>
        <v>85</v>
      </c>
      <c r="AA187" s="38"/>
      <c r="AB187" s="1">
        <v>2017</v>
      </c>
      <c r="AC187" s="1">
        <v>12</v>
      </c>
      <c r="AE187" s="33" t="s">
        <v>378</v>
      </c>
      <c r="AF187" s="37">
        <v>5</v>
      </c>
      <c r="AG187" s="37">
        <v>5</v>
      </c>
      <c r="AH187" s="37">
        <v>5</v>
      </c>
      <c r="AI187" s="37">
        <v>6</v>
      </c>
      <c r="AJ187" s="37">
        <v>6</v>
      </c>
      <c r="AK187" s="37">
        <v>5</v>
      </c>
      <c r="AL187" s="37">
        <v>7</v>
      </c>
      <c r="AM187" s="37">
        <v>9</v>
      </c>
      <c r="AN187" s="37">
        <v>1</v>
      </c>
      <c r="AO187" s="37">
        <v>1</v>
      </c>
      <c r="AP187" s="37">
        <v>2</v>
      </c>
      <c r="AQ187" s="37">
        <v>1</v>
      </c>
      <c r="AR187" s="37">
        <v>2</v>
      </c>
      <c r="AS187" s="37">
        <v>2</v>
      </c>
      <c r="AT187" s="37">
        <v>3</v>
      </c>
      <c r="AU187" s="37">
        <v>3</v>
      </c>
    </row>
    <row r="188" spans="26:47" x14ac:dyDescent="0.15">
      <c r="Z188" s="14">
        <f t="shared" si="17"/>
        <v>80</v>
      </c>
      <c r="AA188" s="38"/>
      <c r="AB188" s="1">
        <v>2017</v>
      </c>
      <c r="AC188" s="1">
        <v>12</v>
      </c>
      <c r="AF188" s="38"/>
      <c r="AG188" s="38"/>
      <c r="AH188" s="38"/>
      <c r="AI188" s="38"/>
      <c r="AJ188" s="38"/>
      <c r="AK188" s="38"/>
      <c r="AL188" s="38"/>
      <c r="AM188" s="38"/>
      <c r="AN188" s="38"/>
      <c r="AO188" s="38"/>
      <c r="AP188" s="38"/>
      <c r="AQ188" s="38"/>
      <c r="AR188" s="38"/>
      <c r="AS188" s="38"/>
      <c r="AT188" s="38"/>
      <c r="AU188" s="38"/>
    </row>
    <row r="189" spans="26:47" x14ac:dyDescent="0.15">
      <c r="Z189" s="14">
        <f t="shared" si="17"/>
        <v>75</v>
      </c>
      <c r="AA189" s="38"/>
      <c r="AB189" s="2">
        <v>2016</v>
      </c>
      <c r="AC189" s="1">
        <v>12</v>
      </c>
    </row>
    <row r="190" spans="26:47" x14ac:dyDescent="0.15">
      <c r="Z190" s="14">
        <f t="shared" si="17"/>
        <v>70</v>
      </c>
      <c r="AA190" s="38"/>
      <c r="AB190" s="2">
        <v>2016</v>
      </c>
      <c r="AC190" s="1">
        <v>12</v>
      </c>
    </row>
    <row r="191" spans="26:47" x14ac:dyDescent="0.15">
      <c r="Z191" s="14">
        <f t="shared" si="17"/>
        <v>65</v>
      </c>
      <c r="AA191" s="38"/>
      <c r="AB191" s="2">
        <v>2016</v>
      </c>
      <c r="AC191" s="1">
        <v>12</v>
      </c>
      <c r="AE191" s="44" t="s">
        <v>460</v>
      </c>
      <c r="AF191" s="45" t="s">
        <v>359</v>
      </c>
      <c r="AG191" s="45" t="s">
        <v>360</v>
      </c>
      <c r="AH191" s="45" t="s">
        <v>361</v>
      </c>
      <c r="AI191" s="45" t="s">
        <v>362</v>
      </c>
      <c r="AJ191" s="45" t="s">
        <v>363</v>
      </c>
      <c r="AK191" s="45" t="s">
        <v>364</v>
      </c>
      <c r="AL191" s="45" t="s">
        <v>365</v>
      </c>
      <c r="AM191" s="45" t="s">
        <v>366</v>
      </c>
      <c r="AN191" s="45" t="s">
        <v>367</v>
      </c>
      <c r="AO191" s="45" t="s">
        <v>368</v>
      </c>
      <c r="AP191" s="45" t="s">
        <v>369</v>
      </c>
      <c r="AQ191" s="45" t="s">
        <v>370</v>
      </c>
      <c r="AR191" s="45" t="s">
        <v>371</v>
      </c>
      <c r="AS191" s="45" t="s">
        <v>372</v>
      </c>
      <c r="AT191" s="45" t="s">
        <v>373</v>
      </c>
      <c r="AU191" s="45" t="s">
        <v>374</v>
      </c>
    </row>
    <row r="192" spans="26:47" x14ac:dyDescent="0.15">
      <c r="Z192" s="14">
        <f t="shared" si="17"/>
        <v>60</v>
      </c>
      <c r="AA192" s="38"/>
      <c r="AB192" s="1">
        <v>2015</v>
      </c>
      <c r="AC192" s="1">
        <v>12</v>
      </c>
      <c r="AE192" s="33">
        <f>AE178</f>
        <v>2022</v>
      </c>
      <c r="AF192" s="38" t="s">
        <v>461</v>
      </c>
      <c r="AG192" s="38" t="s">
        <v>461</v>
      </c>
      <c r="AH192" s="38" t="s">
        <v>461</v>
      </c>
      <c r="AI192" s="38" t="s">
        <v>461</v>
      </c>
      <c r="AJ192" s="38" t="s">
        <v>461</v>
      </c>
      <c r="AK192" s="38" t="s">
        <v>461</v>
      </c>
      <c r="AL192" s="38" t="s">
        <v>461</v>
      </c>
      <c r="AM192" s="38" t="s">
        <v>461</v>
      </c>
      <c r="AN192" s="38" t="s">
        <v>390</v>
      </c>
      <c r="AO192" s="38" t="s">
        <v>390</v>
      </c>
      <c r="AP192" s="38" t="s">
        <v>390</v>
      </c>
      <c r="AQ192" s="38" t="s">
        <v>390</v>
      </c>
      <c r="AR192" s="38" t="s">
        <v>390</v>
      </c>
      <c r="AS192" s="38" t="s">
        <v>390</v>
      </c>
      <c r="AT192" s="38" t="s">
        <v>390</v>
      </c>
      <c r="AU192" s="38" t="s">
        <v>390</v>
      </c>
    </row>
    <row r="193" spans="26:47" x14ac:dyDescent="0.15">
      <c r="Z193" s="14">
        <f t="shared" si="17"/>
        <v>55</v>
      </c>
      <c r="AA193" s="38"/>
      <c r="AB193" s="1">
        <v>2015</v>
      </c>
      <c r="AC193" s="1">
        <v>12</v>
      </c>
      <c r="AE193" s="33">
        <f t="shared" ref="AE193:AE196" si="18">AE179</f>
        <v>2021</v>
      </c>
      <c r="AF193" s="38" t="s">
        <v>461</v>
      </c>
      <c r="AG193" s="38" t="s">
        <v>461</v>
      </c>
      <c r="AH193" s="38" t="s">
        <v>461</v>
      </c>
      <c r="AI193" s="38" t="s">
        <v>461</v>
      </c>
      <c r="AJ193" s="38" t="s">
        <v>461</v>
      </c>
      <c r="AK193" s="38" t="s">
        <v>461</v>
      </c>
      <c r="AL193" s="38" t="s">
        <v>461</v>
      </c>
      <c r="AM193" s="38" t="s">
        <v>461</v>
      </c>
      <c r="AN193" s="38" t="s">
        <v>390</v>
      </c>
      <c r="AO193" s="38" t="s">
        <v>390</v>
      </c>
      <c r="AP193" s="38" t="s">
        <v>390</v>
      </c>
      <c r="AQ193" s="38" t="s">
        <v>390</v>
      </c>
      <c r="AR193" s="38" t="s">
        <v>390</v>
      </c>
      <c r="AS193" s="38" t="s">
        <v>390</v>
      </c>
      <c r="AT193" s="38" t="s">
        <v>390</v>
      </c>
      <c r="AU193" s="38" t="s">
        <v>390</v>
      </c>
    </row>
    <row r="194" spans="26:47" x14ac:dyDescent="0.15">
      <c r="Z194" s="14">
        <f t="shared" si="17"/>
        <v>50</v>
      </c>
      <c r="AA194" s="38"/>
      <c r="AB194" s="1">
        <v>2015</v>
      </c>
      <c r="AC194" s="1">
        <v>12</v>
      </c>
      <c r="AE194" s="33">
        <f t="shared" si="18"/>
        <v>2020</v>
      </c>
      <c r="AF194" s="38" t="s">
        <v>461</v>
      </c>
      <c r="AG194" s="38" t="s">
        <v>461</v>
      </c>
      <c r="AH194" s="38" t="s">
        <v>461</v>
      </c>
      <c r="AI194" s="38" t="s">
        <v>461</v>
      </c>
      <c r="AJ194" s="38" t="s">
        <v>461</v>
      </c>
      <c r="AK194" s="38" t="s">
        <v>461</v>
      </c>
      <c r="AL194" s="38" t="s">
        <v>461</v>
      </c>
      <c r="AM194" s="38" t="s">
        <v>461</v>
      </c>
      <c r="AN194" s="38" t="s">
        <v>390</v>
      </c>
      <c r="AO194" s="38" t="s">
        <v>390</v>
      </c>
      <c r="AP194" s="38" t="s">
        <v>390</v>
      </c>
      <c r="AQ194" s="38" t="s">
        <v>390</v>
      </c>
      <c r="AR194" s="38" t="s">
        <v>390</v>
      </c>
      <c r="AS194" s="38" t="s">
        <v>390</v>
      </c>
      <c r="AT194" s="38" t="s">
        <v>390</v>
      </c>
      <c r="AU194" s="38" t="s">
        <v>390</v>
      </c>
    </row>
    <row r="195" spans="26:47" x14ac:dyDescent="0.15">
      <c r="Z195" s="14">
        <f t="shared" si="17"/>
        <v>45</v>
      </c>
      <c r="AA195" s="38"/>
      <c r="AB195" s="1">
        <v>2014</v>
      </c>
      <c r="AC195" s="1">
        <v>12</v>
      </c>
      <c r="AE195" s="33">
        <f t="shared" si="18"/>
        <v>2019</v>
      </c>
      <c r="AF195" s="38" t="s">
        <v>461</v>
      </c>
      <c r="AG195" s="38" t="s">
        <v>461</v>
      </c>
      <c r="AH195" s="38" t="s">
        <v>461</v>
      </c>
      <c r="AI195" s="38" t="s">
        <v>461</v>
      </c>
      <c r="AJ195" s="38" t="s">
        <v>461</v>
      </c>
      <c r="AK195" s="38" t="s">
        <v>461</v>
      </c>
      <c r="AL195" s="38" t="s">
        <v>461</v>
      </c>
      <c r="AM195" s="38" t="s">
        <v>461</v>
      </c>
      <c r="AN195" s="38" t="s">
        <v>390</v>
      </c>
      <c r="AO195" s="38" t="s">
        <v>390</v>
      </c>
      <c r="AP195" s="38" t="s">
        <v>390</v>
      </c>
      <c r="AQ195" s="38" t="s">
        <v>390</v>
      </c>
      <c r="AR195" s="38" t="s">
        <v>390</v>
      </c>
      <c r="AS195" s="38" t="s">
        <v>390</v>
      </c>
      <c r="AT195" s="38" t="s">
        <v>390</v>
      </c>
      <c r="AU195" s="38" t="s">
        <v>390</v>
      </c>
    </row>
    <row r="196" spans="26:47" x14ac:dyDescent="0.15">
      <c r="Z196" s="14">
        <f t="shared" si="17"/>
        <v>40</v>
      </c>
      <c r="AA196" s="38"/>
      <c r="AB196" s="1">
        <v>2013</v>
      </c>
      <c r="AC196" s="1">
        <v>12</v>
      </c>
      <c r="AE196" s="33">
        <f t="shared" si="18"/>
        <v>2018</v>
      </c>
      <c r="AF196" s="38" t="s">
        <v>461</v>
      </c>
      <c r="AG196" s="38" t="s">
        <v>461</v>
      </c>
      <c r="AH196" s="38" t="s">
        <v>461</v>
      </c>
      <c r="AI196" s="38" t="s">
        <v>461</v>
      </c>
      <c r="AJ196" s="38" t="s">
        <v>461</v>
      </c>
      <c r="AK196" s="38" t="s">
        <v>461</v>
      </c>
      <c r="AL196" s="38" t="s">
        <v>461</v>
      </c>
      <c r="AM196" s="38" t="s">
        <v>461</v>
      </c>
      <c r="AN196" s="38" t="s">
        <v>390</v>
      </c>
      <c r="AO196" s="38" t="s">
        <v>390</v>
      </c>
      <c r="AP196" s="38" t="s">
        <v>390</v>
      </c>
      <c r="AQ196" s="38" t="s">
        <v>390</v>
      </c>
      <c r="AR196" s="38" t="s">
        <v>390</v>
      </c>
      <c r="AS196" s="38" t="s">
        <v>390</v>
      </c>
      <c r="AT196" s="38" t="s">
        <v>390</v>
      </c>
      <c r="AU196" s="38" t="s">
        <v>390</v>
      </c>
    </row>
    <row r="197" spans="26:47" x14ac:dyDescent="0.15">
      <c r="Z197" s="14">
        <f t="shared" si="17"/>
        <v>35</v>
      </c>
      <c r="AA197" s="38"/>
      <c r="AB197" s="1">
        <v>2011</v>
      </c>
      <c r="AC197" s="1">
        <v>12</v>
      </c>
    </row>
    <row r="198" spans="26:47" x14ac:dyDescent="0.15">
      <c r="Z198" s="14">
        <f t="shared" si="17"/>
        <v>30</v>
      </c>
      <c r="AA198" s="38"/>
      <c r="AB198" s="1">
        <v>2011</v>
      </c>
      <c r="AC198" s="1">
        <v>12</v>
      </c>
    </row>
    <row r="199" spans="26:47" x14ac:dyDescent="0.15">
      <c r="Z199" s="14">
        <f t="shared" si="17"/>
        <v>25</v>
      </c>
      <c r="AA199" s="38"/>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データクリア">
                <anchor moveWithCells="1" sizeWithCells="1">
                  <from>
                    <xdr:col>19</xdr:col>
                    <xdr:colOff>19050</xdr:colOff>
                    <xdr:row>8</xdr:row>
                    <xdr:rowOff>0</xdr:rowOff>
                  </from>
                  <to>
                    <xdr:col>22</xdr:col>
                    <xdr:colOff>19050</xdr:colOff>
                    <xdr:row>11</xdr:row>
                    <xdr:rowOff>9525</xdr:rowOff>
                  </to>
                </anchor>
              </controlPr>
            </control>
          </mc:Choice>
        </mc:AlternateContent>
        <mc:AlternateContent xmlns:mc="http://schemas.openxmlformats.org/markup-compatibility/2006">
          <mc:Choice Requires="x14">
            <control shapeId="1026" r:id="rId5" name="Button 2">
              <controlPr defaultSize="0" print="0" autoFill="0" autoPict="0" macro="[0]!定期P打鍵ランダマイザー">
                <anchor moveWithCells="1" sizeWithCells="1">
                  <from>
                    <xdr:col>19</xdr:col>
                    <xdr:colOff>38100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6" name="Button 3">
              <controlPr defaultSize="0" print="0" autoFill="0" autoPict="0" macro="[0]!定期P打鍵フル設定">
                <anchor moveWithCells="1" sizeWithCells="1">
                  <from>
                    <xdr:col>19</xdr:col>
                    <xdr:colOff>38100</xdr:colOff>
                    <xdr:row>44</xdr:row>
                    <xdr:rowOff>9525</xdr:rowOff>
                  </from>
                  <to>
                    <xdr:col>22</xdr:col>
                    <xdr:colOff>0</xdr:colOff>
                    <xdr:row>47</xdr:row>
                    <xdr:rowOff>9525</xdr:rowOff>
                  </to>
                </anchor>
              </controlPr>
            </control>
          </mc:Choice>
        </mc:AlternateContent>
        <mc:AlternateContent xmlns:mc="http://schemas.openxmlformats.org/markup-compatibility/2006">
          <mc:Choice Requires="x14">
            <control shapeId="1028" r:id="rId7" name="Button 4">
              <controlPr defaultSize="0" print="0" autoFill="0" autoPict="0" macro="[0]!関数設定">
                <anchor moveWithCells="1" sizeWithCells="1">
                  <from>
                    <xdr:col>3</xdr:col>
                    <xdr:colOff>9525</xdr:colOff>
                    <xdr:row>27</xdr:row>
                    <xdr:rowOff>9525</xdr:rowOff>
                  </from>
                  <to>
                    <xdr:col>7</xdr:col>
                    <xdr:colOff>9525</xdr:colOff>
                    <xdr:row>30</xdr:row>
                    <xdr:rowOff>0</xdr:rowOff>
                  </to>
                </anchor>
              </controlPr>
            </control>
          </mc:Choice>
        </mc:AlternateContent>
        <mc:AlternateContent xmlns:mc="http://schemas.openxmlformats.org/markup-compatibility/2006">
          <mc:Choice Requires="x14">
            <control shapeId="1029" r:id="rId8" name="Button 5">
              <controlPr defaultSize="0" print="0" autoFill="0" autoPict="0" macro="[0]!分身の術Z">
                <anchor moveWithCells="1" sizeWithCells="1">
                  <from>
                    <xdr:col>3</xdr:col>
                    <xdr:colOff>19050</xdr:colOff>
                    <xdr:row>52</xdr:row>
                    <xdr:rowOff>142875</xdr:rowOff>
                  </from>
                  <to>
                    <xdr:col>7</xdr:col>
                    <xdr:colOff>9525</xdr:colOff>
                    <xdr:row>55</xdr:row>
                    <xdr:rowOff>133350</xdr:rowOff>
                  </to>
                </anchor>
              </controlPr>
            </control>
          </mc:Choice>
        </mc:AlternateContent>
        <mc:AlternateContent xmlns:mc="http://schemas.openxmlformats.org/markup-compatibility/2006">
          <mc:Choice Requires="x14">
            <control shapeId="1034" r:id="rId9" name="Button 10">
              <controlPr defaultSize="0" print="0" autoFill="0" autoPict="0" macro="[0]!関数設定2">
                <anchor moveWithCells="1" sizeWithCells="1">
                  <from>
                    <xdr:col>8</xdr:col>
                    <xdr:colOff>9525</xdr:colOff>
                    <xdr:row>27</xdr:row>
                    <xdr:rowOff>9525</xdr:rowOff>
                  </from>
                  <to>
                    <xdr:col>11</xdr:col>
                    <xdr:colOff>247650</xdr:colOff>
                    <xdr:row>29</xdr:row>
                    <xdr:rowOff>171450</xdr:rowOff>
                  </to>
                </anchor>
              </controlPr>
            </control>
          </mc:Choice>
        </mc:AlternateContent>
        <mc:AlternateContent xmlns:mc="http://schemas.openxmlformats.org/markup-compatibility/2006">
          <mc:Choice Requires="x14">
            <control shapeId="1035" r:id="rId10" name="Button 11">
              <controlPr defaultSize="0" print="0" autoFill="0" autoPict="0" macro="[0]!計算シート設定">
                <anchor moveWithCells="1" sizeWithCells="1">
                  <from>
                    <xdr:col>21</xdr:col>
                    <xdr:colOff>314325</xdr:colOff>
                    <xdr:row>104</xdr:row>
                    <xdr:rowOff>9525</xdr:rowOff>
                  </from>
                  <to>
                    <xdr:col>23</xdr:col>
                    <xdr:colOff>847725</xdr:colOff>
                    <xdr:row>108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BY642"/>
  <sheetViews>
    <sheetView tabSelected="1" zoomScale="70" zoomScaleNormal="70" workbookViewId="0">
      <pane ySplit="1" topLeftCell="A2" activePane="bottomLeft" state="frozen"/>
      <selection pane="bottomLeft"/>
    </sheetView>
  </sheetViews>
  <sheetFormatPr defaultRowHeight="13.5" x14ac:dyDescent="0.15"/>
  <cols>
    <col min="1" max="1" width="6.125" style="43" customWidth="1"/>
    <col min="2" max="11" width="9" style="8"/>
    <col min="12" max="12" width="9" style="17"/>
    <col min="13" max="26" width="9" style="8"/>
    <col min="27" max="27" width="14.25" style="8" customWidth="1"/>
    <col min="28" max="29" width="9" style="8"/>
    <col min="30" max="30" width="9" style="8" customWidth="1"/>
    <col min="31" max="35" width="9" style="8"/>
    <col min="76" max="76" width="9" customWidth="1"/>
  </cols>
  <sheetData>
    <row r="1" spans="1:77" s="6" customFormat="1" x14ac:dyDescent="0.15">
      <c r="A1" s="5" t="s">
        <v>77</v>
      </c>
      <c r="B1" s="5" t="s">
        <v>78</v>
      </c>
      <c r="C1" s="5" t="s">
        <v>79</v>
      </c>
      <c r="D1" s="5" t="s">
        <v>80</v>
      </c>
      <c r="E1" s="5" t="s">
        <v>100</v>
      </c>
      <c r="F1" s="5" t="s">
        <v>104</v>
      </c>
      <c r="G1" s="5" t="s">
        <v>105</v>
      </c>
      <c r="H1" s="5" t="s">
        <v>106</v>
      </c>
      <c r="I1" s="5" t="s">
        <v>175</v>
      </c>
      <c r="J1" s="5" t="s">
        <v>339</v>
      </c>
      <c r="K1" s="5" t="s">
        <v>206</v>
      </c>
      <c r="L1" s="15" t="s">
        <v>207</v>
      </c>
      <c r="M1" s="5" t="s">
        <v>208</v>
      </c>
      <c r="N1" s="5" t="s">
        <v>43</v>
      </c>
      <c r="O1" s="5" t="s">
        <v>215</v>
      </c>
      <c r="P1" s="5" t="s">
        <v>216</v>
      </c>
      <c r="Q1" s="5" t="s">
        <v>41</v>
      </c>
      <c r="R1" s="16" t="s">
        <v>219</v>
      </c>
      <c r="S1" s="16" t="s">
        <v>220</v>
      </c>
      <c r="T1" s="16" t="s">
        <v>68</v>
      </c>
      <c r="U1" s="16" t="s">
        <v>230</v>
      </c>
      <c r="V1" s="16" t="s">
        <v>231</v>
      </c>
      <c r="W1" s="16" t="s">
        <v>232</v>
      </c>
      <c r="X1" s="16" t="s">
        <v>73</v>
      </c>
      <c r="Y1" s="16" t="s">
        <v>66</v>
      </c>
      <c r="Z1" s="16" t="s">
        <v>240</v>
      </c>
      <c r="AA1" s="16" t="s">
        <v>64</v>
      </c>
      <c r="AB1" s="16" t="s">
        <v>248</v>
      </c>
      <c r="AC1" s="16" t="s">
        <v>249</v>
      </c>
      <c r="AD1" s="16" t="s">
        <v>250</v>
      </c>
      <c r="AE1" s="16" t="s">
        <v>251</v>
      </c>
      <c r="AF1" s="16" t="s">
        <v>252</v>
      </c>
      <c r="AG1" s="16" t="s">
        <v>253</v>
      </c>
      <c r="AH1" s="16" t="s">
        <v>254</v>
      </c>
      <c r="AI1" s="16" t="s">
        <v>255</v>
      </c>
      <c r="AJ1" s="7" t="str">
        <f t="shared" ref="AJ1:AR1" si="0">CONCATENATE(A1,"2")</f>
        <v>西暦2</v>
      </c>
      <c r="AK1" s="7" t="str">
        <f t="shared" si="0"/>
        <v>月2</v>
      </c>
      <c r="AL1" s="7" t="str">
        <f t="shared" si="0"/>
        <v>日2</v>
      </c>
      <c r="AM1" s="7" t="str">
        <f t="shared" si="0"/>
        <v>NF2</v>
      </c>
      <c r="AN1" s="7" t="str">
        <f t="shared" si="0"/>
        <v>背番号2</v>
      </c>
      <c r="AO1" s="7" t="str">
        <f t="shared" si="0"/>
        <v>年齢限定2</v>
      </c>
      <c r="AP1" s="7" t="str">
        <f t="shared" si="0"/>
        <v>初度年2</v>
      </c>
      <c r="AQ1" s="7" t="str">
        <f t="shared" si="0"/>
        <v>初度月2</v>
      </c>
      <c r="AR1" s="7" t="str">
        <f t="shared" si="0"/>
        <v>型式2</v>
      </c>
      <c r="AS1" s="7" t="s">
        <v>469</v>
      </c>
      <c r="AT1" s="7" t="str">
        <f t="shared" ref="AT1:BF1" si="1">CONCATENATE(K1,"2")</f>
        <v>生年2</v>
      </c>
      <c r="AU1" s="7" t="str">
        <f t="shared" si="1"/>
        <v>生まれ月2</v>
      </c>
      <c r="AV1" s="7" t="str">
        <f t="shared" si="1"/>
        <v>生まれ日2</v>
      </c>
      <c r="AW1" s="7" t="str">
        <f t="shared" si="1"/>
        <v>地域2</v>
      </c>
      <c r="AX1" s="7" t="str">
        <f t="shared" si="1"/>
        <v>免許2</v>
      </c>
      <c r="AY1" s="7" t="str">
        <f t="shared" si="1"/>
        <v>使用目的2</v>
      </c>
      <c r="AZ1" s="7" t="str">
        <f t="shared" si="1"/>
        <v>走行距離2</v>
      </c>
      <c r="BA1" s="7" t="str">
        <f t="shared" si="1"/>
        <v>年齢限定修正2</v>
      </c>
      <c r="BB1" s="7" t="str">
        <f t="shared" si="1"/>
        <v>運限修正2</v>
      </c>
      <c r="BC1" s="7" t="str">
        <f t="shared" si="1"/>
        <v>対物AMT2</v>
      </c>
      <c r="BD1" s="7" t="str">
        <f t="shared" si="1"/>
        <v>対物LL2</v>
      </c>
      <c r="BE1" s="7" t="str">
        <f t="shared" si="1"/>
        <v>搭乗者2</v>
      </c>
      <c r="BF1" s="7" t="str">
        <f t="shared" si="1"/>
        <v>人傷種類2</v>
      </c>
      <c r="BG1" s="7" t="s">
        <v>470</v>
      </c>
      <c r="BH1" s="7" t="str">
        <f t="shared" ref="BH1:BR1" si="2">CONCATENATE(Y1,"2")</f>
        <v>車両保険種類2</v>
      </c>
      <c r="BI1" s="7" t="str">
        <f t="shared" si="2"/>
        <v>車両AMT2</v>
      </c>
      <c r="BJ1" s="7" t="str">
        <f t="shared" si="2"/>
        <v>車両免責2</v>
      </c>
      <c r="BK1" s="7" t="str">
        <f t="shared" si="2"/>
        <v>積載動産2</v>
      </c>
      <c r="BL1" s="7" t="str">
        <f t="shared" si="2"/>
        <v>代車費用2</v>
      </c>
      <c r="BM1" s="7" t="str">
        <f t="shared" si="2"/>
        <v>地噴津2</v>
      </c>
      <c r="BN1" s="7" t="str">
        <f t="shared" si="2"/>
        <v>弁特2</v>
      </c>
      <c r="BO1" s="7" t="str">
        <f t="shared" si="2"/>
        <v>原付2</v>
      </c>
      <c r="BP1" s="7" t="str">
        <f t="shared" si="2"/>
        <v>個賠2</v>
      </c>
      <c r="BQ1" s="7" t="str">
        <f t="shared" si="2"/>
        <v>傷害2</v>
      </c>
      <c r="BR1" s="7" t="str">
        <f t="shared" si="2"/>
        <v>地噴津死亡傷害2</v>
      </c>
      <c r="BS1" s="7" t="s">
        <v>471</v>
      </c>
      <c r="BT1" s="7" t="s">
        <v>472</v>
      </c>
      <c r="BU1" s="9" t="s">
        <v>473</v>
      </c>
      <c r="BV1" s="9" t="s">
        <v>474</v>
      </c>
      <c r="BW1" s="9" t="s">
        <v>475</v>
      </c>
      <c r="BX1" s="9" t="s">
        <v>476</v>
      </c>
      <c r="BY1" s="9" t="s">
        <v>477</v>
      </c>
    </row>
    <row r="2" spans="1:77" x14ac:dyDescent="0.15">
      <c r="A2" s="43">
        <v>2023</v>
      </c>
      <c r="B2" s="43">
        <v>1</v>
      </c>
      <c r="C2" s="43">
        <v>1</v>
      </c>
      <c r="D2" s="43">
        <v>8</v>
      </c>
      <c r="E2" s="43" t="s">
        <v>228</v>
      </c>
      <c r="F2" s="43" t="s">
        <v>57</v>
      </c>
      <c r="G2" s="43">
        <v>2016</v>
      </c>
      <c r="H2" s="43">
        <v>12</v>
      </c>
      <c r="I2" s="43" t="s">
        <v>521</v>
      </c>
      <c r="J2" s="43" t="s">
        <v>228</v>
      </c>
      <c r="K2" s="43">
        <v>1983</v>
      </c>
      <c r="L2" s="43">
        <v>1</v>
      </c>
      <c r="M2" s="43">
        <v>1</v>
      </c>
      <c r="N2" s="43" t="s">
        <v>44</v>
      </c>
      <c r="O2" s="43" t="s">
        <v>283</v>
      </c>
      <c r="P2" s="43" t="s">
        <v>280</v>
      </c>
      <c r="Q2" s="43">
        <v>20000</v>
      </c>
      <c r="R2" s="43" t="s">
        <v>59</v>
      </c>
      <c r="S2" s="43" t="s">
        <v>52</v>
      </c>
      <c r="T2" s="43" t="s">
        <v>69</v>
      </c>
      <c r="U2" s="43" t="s">
        <v>228</v>
      </c>
      <c r="V2" s="43">
        <v>500</v>
      </c>
      <c r="W2" s="43" t="s">
        <v>328</v>
      </c>
      <c r="X2" s="43">
        <v>3000</v>
      </c>
      <c r="Y2" s="43" t="s">
        <v>268</v>
      </c>
      <c r="Z2" s="43">
        <v>85</v>
      </c>
      <c r="AA2" s="43" t="s">
        <v>278</v>
      </c>
      <c r="AB2" s="43" t="s">
        <v>228</v>
      </c>
      <c r="AC2" s="43" t="s">
        <v>228</v>
      </c>
      <c r="AD2" s="43" t="s">
        <v>228</v>
      </c>
      <c r="AE2" s="43" t="s">
        <v>228</v>
      </c>
      <c r="AF2" s="43" t="s">
        <v>228</v>
      </c>
      <c r="AG2" s="43" t="s">
        <v>228</v>
      </c>
      <c r="AH2" s="43" t="s">
        <v>228</v>
      </c>
      <c r="AI2" s="43" t="s">
        <v>228</v>
      </c>
      <c r="AJ2" t="s">
        <v>468</v>
      </c>
      <c r="AK2">
        <v>1</v>
      </c>
      <c r="AL2">
        <v>1</v>
      </c>
      <c r="AM2" t="s">
        <v>93</v>
      </c>
      <c r="AN2" t="s">
        <v>228</v>
      </c>
      <c r="AO2" t="s">
        <v>526</v>
      </c>
      <c r="AP2" t="s">
        <v>109</v>
      </c>
      <c r="AQ2">
        <v>12</v>
      </c>
      <c r="AR2" t="s">
        <v>521</v>
      </c>
      <c r="AS2" t="s">
        <v>228</v>
      </c>
      <c r="AT2" t="s">
        <v>140</v>
      </c>
      <c r="AU2" s="4">
        <v>1</v>
      </c>
      <c r="AV2">
        <v>1</v>
      </c>
      <c r="AW2" t="s">
        <v>532</v>
      </c>
      <c r="AX2" t="s">
        <v>283</v>
      </c>
      <c r="AY2" t="s">
        <v>280</v>
      </c>
      <c r="AZ2">
        <v>5</v>
      </c>
      <c r="BA2" t="s">
        <v>533</v>
      </c>
      <c r="BB2" t="s">
        <v>405</v>
      </c>
      <c r="BC2" t="s">
        <v>395</v>
      </c>
      <c r="BD2" t="s">
        <v>228</v>
      </c>
      <c r="BE2" t="s">
        <v>522</v>
      </c>
      <c r="BF2" t="s">
        <v>523</v>
      </c>
      <c r="BG2" t="s">
        <v>407</v>
      </c>
      <c r="BH2" t="s">
        <v>396</v>
      </c>
      <c r="BI2" t="s">
        <v>524</v>
      </c>
      <c r="BJ2" t="s">
        <v>228</v>
      </c>
      <c r="BK2" t="s">
        <v>228</v>
      </c>
      <c r="BL2" t="s">
        <v>228</v>
      </c>
      <c r="BM2" t="s">
        <v>228</v>
      </c>
      <c r="BN2" t="s">
        <v>228</v>
      </c>
      <c r="BO2" t="s">
        <v>228</v>
      </c>
      <c r="BP2" t="s">
        <v>228</v>
      </c>
      <c r="BQ2" t="s">
        <v>228</v>
      </c>
      <c r="BR2" t="s">
        <v>228</v>
      </c>
      <c r="BS2" t="s">
        <v>409</v>
      </c>
      <c r="BT2">
        <v>1</v>
      </c>
      <c r="BU2" s="19"/>
      <c r="BV2" s="19"/>
      <c r="BW2" s="19"/>
      <c r="BX2" s="19"/>
    </row>
    <row r="3" spans="1:77" x14ac:dyDescent="0.15">
      <c r="A3" s="43">
        <v>2023</v>
      </c>
      <c r="B3" s="43">
        <v>1</v>
      </c>
      <c r="C3" s="43">
        <v>1</v>
      </c>
      <c r="D3" s="43">
        <v>8</v>
      </c>
      <c r="E3" s="43" t="s">
        <v>228</v>
      </c>
      <c r="F3" s="43" t="s">
        <v>57</v>
      </c>
      <c r="G3" s="43">
        <v>2016</v>
      </c>
      <c r="H3" s="43">
        <v>12</v>
      </c>
      <c r="I3" s="43" t="s">
        <v>521</v>
      </c>
      <c r="J3" s="43" t="s">
        <v>228</v>
      </c>
      <c r="K3" s="43">
        <v>1983</v>
      </c>
      <c r="L3" s="43">
        <v>1</v>
      </c>
      <c r="M3" s="43">
        <v>1</v>
      </c>
      <c r="N3" s="43" t="s">
        <v>44</v>
      </c>
      <c r="O3" s="43" t="s">
        <v>283</v>
      </c>
      <c r="P3" s="43" t="s">
        <v>280</v>
      </c>
      <c r="Q3" s="43">
        <v>20000</v>
      </c>
      <c r="R3" s="43" t="s">
        <v>59</v>
      </c>
      <c r="S3" s="43" t="s">
        <v>52</v>
      </c>
      <c r="T3" s="43" t="s">
        <v>69</v>
      </c>
      <c r="U3" s="43" t="s">
        <v>67</v>
      </c>
      <c r="V3" s="43">
        <v>500</v>
      </c>
      <c r="W3" s="43" t="s">
        <v>328</v>
      </c>
      <c r="X3" s="43">
        <v>3000</v>
      </c>
      <c r="Y3" s="43" t="s">
        <v>268</v>
      </c>
      <c r="Z3" s="43">
        <v>85</v>
      </c>
      <c r="AA3" s="43" t="s">
        <v>278</v>
      </c>
      <c r="AB3" s="43" t="s">
        <v>228</v>
      </c>
      <c r="AC3" s="43" t="s">
        <v>228</v>
      </c>
      <c r="AD3" s="43" t="s">
        <v>228</v>
      </c>
      <c r="AE3" s="43" t="s">
        <v>228</v>
      </c>
      <c r="AF3" s="43" t="s">
        <v>228</v>
      </c>
      <c r="AG3" s="43" t="s">
        <v>228</v>
      </c>
      <c r="AH3" s="43" t="s">
        <v>228</v>
      </c>
      <c r="AI3" s="43" t="s">
        <v>228</v>
      </c>
      <c r="AJ3" t="s">
        <v>468</v>
      </c>
      <c r="AK3">
        <v>1</v>
      </c>
      <c r="AL3">
        <v>1</v>
      </c>
      <c r="AM3" t="s">
        <v>93</v>
      </c>
      <c r="AN3" t="s">
        <v>228</v>
      </c>
      <c r="AO3" t="s">
        <v>526</v>
      </c>
      <c r="AP3" t="s">
        <v>109</v>
      </c>
      <c r="AQ3">
        <v>12</v>
      </c>
      <c r="AR3" t="s">
        <v>521</v>
      </c>
      <c r="AS3" t="s">
        <v>228</v>
      </c>
      <c r="AT3" t="s">
        <v>140</v>
      </c>
      <c r="AU3" s="4">
        <v>1</v>
      </c>
      <c r="AV3">
        <v>1</v>
      </c>
      <c r="AW3" t="s">
        <v>532</v>
      </c>
      <c r="AX3" t="s">
        <v>283</v>
      </c>
      <c r="AY3" t="s">
        <v>280</v>
      </c>
      <c r="AZ3">
        <v>5</v>
      </c>
      <c r="BA3" t="s">
        <v>533</v>
      </c>
      <c r="BB3" t="s">
        <v>405</v>
      </c>
      <c r="BC3" t="s">
        <v>395</v>
      </c>
      <c r="BD3" t="s">
        <v>534</v>
      </c>
      <c r="BE3" t="s">
        <v>522</v>
      </c>
      <c r="BF3" t="s">
        <v>523</v>
      </c>
      <c r="BG3" t="s">
        <v>407</v>
      </c>
      <c r="BH3" t="s">
        <v>396</v>
      </c>
      <c r="BI3" t="s">
        <v>524</v>
      </c>
      <c r="BJ3" t="s">
        <v>228</v>
      </c>
      <c r="BK3" t="s">
        <v>228</v>
      </c>
      <c r="BL3" t="s">
        <v>228</v>
      </c>
      <c r="BM3" t="s">
        <v>228</v>
      </c>
      <c r="BN3" t="s">
        <v>228</v>
      </c>
      <c r="BO3" t="s">
        <v>228</v>
      </c>
      <c r="BP3" t="s">
        <v>228</v>
      </c>
      <c r="BQ3" t="s">
        <v>228</v>
      </c>
      <c r="BR3" t="s">
        <v>228</v>
      </c>
      <c r="BS3" t="s">
        <v>409</v>
      </c>
      <c r="BT3">
        <v>1</v>
      </c>
      <c r="BU3" s="19"/>
      <c r="BV3" s="19"/>
      <c r="BW3" s="19"/>
      <c r="BX3" s="19"/>
    </row>
    <row r="4" spans="1:77" x14ac:dyDescent="0.15">
      <c r="A4" s="43">
        <v>2023</v>
      </c>
      <c r="B4" s="43">
        <v>1</v>
      </c>
      <c r="C4" s="43">
        <v>1</v>
      </c>
      <c r="D4" s="43">
        <v>8</v>
      </c>
      <c r="E4" s="43" t="s">
        <v>228</v>
      </c>
      <c r="F4" s="43" t="s">
        <v>57</v>
      </c>
      <c r="G4" s="43">
        <v>2016</v>
      </c>
      <c r="H4" s="43">
        <v>12</v>
      </c>
      <c r="I4" s="43" t="s">
        <v>521</v>
      </c>
      <c r="J4" s="43" t="s">
        <v>228</v>
      </c>
      <c r="K4" s="43">
        <v>1983</v>
      </c>
      <c r="L4" s="43">
        <v>1</v>
      </c>
      <c r="M4" s="43">
        <v>1</v>
      </c>
      <c r="N4" s="43" t="s">
        <v>44</v>
      </c>
      <c r="O4" s="43" t="s">
        <v>283</v>
      </c>
      <c r="P4" s="43" t="s">
        <v>280</v>
      </c>
      <c r="Q4" s="43">
        <v>20000</v>
      </c>
      <c r="R4" s="43" t="s">
        <v>59</v>
      </c>
      <c r="S4" s="43" t="s">
        <v>52</v>
      </c>
      <c r="T4" s="43" t="s">
        <v>69</v>
      </c>
      <c r="U4" s="43" t="s">
        <v>69</v>
      </c>
      <c r="V4" s="43">
        <v>500</v>
      </c>
      <c r="W4" s="43" t="s">
        <v>328</v>
      </c>
      <c r="X4" s="43">
        <v>3000</v>
      </c>
      <c r="Y4" s="43" t="s">
        <v>268</v>
      </c>
      <c r="Z4" s="43">
        <v>85</v>
      </c>
      <c r="AA4" s="43" t="s">
        <v>278</v>
      </c>
      <c r="AB4" s="43" t="s">
        <v>228</v>
      </c>
      <c r="AC4" s="43" t="s">
        <v>228</v>
      </c>
      <c r="AD4" s="43" t="s">
        <v>228</v>
      </c>
      <c r="AE4" s="43" t="s">
        <v>228</v>
      </c>
      <c r="AF4" s="43" t="s">
        <v>228</v>
      </c>
      <c r="AG4" s="43" t="s">
        <v>228</v>
      </c>
      <c r="AH4" s="43" t="s">
        <v>228</v>
      </c>
      <c r="AI4" s="43" t="s">
        <v>228</v>
      </c>
      <c r="AJ4" t="s">
        <v>468</v>
      </c>
      <c r="AK4">
        <v>1</v>
      </c>
      <c r="AL4">
        <v>1</v>
      </c>
      <c r="AM4" t="s">
        <v>93</v>
      </c>
      <c r="AN4" t="s">
        <v>228</v>
      </c>
      <c r="AO4" t="s">
        <v>526</v>
      </c>
      <c r="AP4" t="s">
        <v>109</v>
      </c>
      <c r="AQ4">
        <v>12</v>
      </c>
      <c r="AR4" t="s">
        <v>521</v>
      </c>
      <c r="AS4" t="s">
        <v>228</v>
      </c>
      <c r="AT4" t="s">
        <v>140</v>
      </c>
      <c r="AU4" s="4">
        <v>1</v>
      </c>
      <c r="AV4">
        <v>1</v>
      </c>
      <c r="AW4" t="s">
        <v>532</v>
      </c>
      <c r="AX4" t="s">
        <v>283</v>
      </c>
      <c r="AY4" t="s">
        <v>280</v>
      </c>
      <c r="AZ4">
        <v>5</v>
      </c>
      <c r="BA4" t="s">
        <v>533</v>
      </c>
      <c r="BB4" t="s">
        <v>405</v>
      </c>
      <c r="BC4" t="s">
        <v>395</v>
      </c>
      <c r="BD4" t="s">
        <v>395</v>
      </c>
      <c r="BE4" t="s">
        <v>522</v>
      </c>
      <c r="BF4" t="s">
        <v>523</v>
      </c>
      <c r="BG4" t="s">
        <v>407</v>
      </c>
      <c r="BH4" t="s">
        <v>396</v>
      </c>
      <c r="BI4" t="s">
        <v>524</v>
      </c>
      <c r="BJ4" t="s">
        <v>228</v>
      </c>
      <c r="BK4" t="s">
        <v>228</v>
      </c>
      <c r="BL4" t="s">
        <v>228</v>
      </c>
      <c r="BM4" t="s">
        <v>228</v>
      </c>
      <c r="BN4" t="s">
        <v>228</v>
      </c>
      <c r="BO4" t="s">
        <v>228</v>
      </c>
      <c r="BP4" t="s">
        <v>228</v>
      </c>
      <c r="BQ4" t="s">
        <v>228</v>
      </c>
      <c r="BR4" t="s">
        <v>228</v>
      </c>
      <c r="BS4" t="s">
        <v>409</v>
      </c>
      <c r="BT4">
        <v>1</v>
      </c>
      <c r="BU4" s="19"/>
      <c r="BV4" s="19"/>
      <c r="BW4" s="19"/>
      <c r="BX4" s="19"/>
    </row>
    <row r="5" spans="1:77" x14ac:dyDescent="0.15">
      <c r="A5" s="43">
        <v>2023</v>
      </c>
      <c r="B5" s="43">
        <v>1</v>
      </c>
      <c r="C5" s="43">
        <v>1</v>
      </c>
      <c r="D5" s="43">
        <v>8</v>
      </c>
      <c r="E5" s="43" t="s">
        <v>228</v>
      </c>
      <c r="F5" s="43" t="s">
        <v>57</v>
      </c>
      <c r="G5" s="43">
        <v>2016</v>
      </c>
      <c r="H5" s="43">
        <v>12</v>
      </c>
      <c r="I5" s="43" t="s">
        <v>521</v>
      </c>
      <c r="J5" s="43" t="s">
        <v>228</v>
      </c>
      <c r="K5" s="43">
        <v>1983</v>
      </c>
      <c r="L5" s="43">
        <v>1</v>
      </c>
      <c r="M5" s="43">
        <v>1</v>
      </c>
      <c r="N5" s="43" t="s">
        <v>44</v>
      </c>
      <c r="O5" s="43" t="s">
        <v>283</v>
      </c>
      <c r="P5" s="43" t="s">
        <v>280</v>
      </c>
      <c r="Q5" s="43">
        <v>20000</v>
      </c>
      <c r="R5" s="43" t="s">
        <v>59</v>
      </c>
      <c r="S5" s="43" t="s">
        <v>52</v>
      </c>
      <c r="T5" s="43" t="s">
        <v>69</v>
      </c>
      <c r="U5" s="43" t="s">
        <v>228</v>
      </c>
      <c r="V5" s="43">
        <v>500</v>
      </c>
      <c r="W5" s="43" t="s">
        <v>328</v>
      </c>
      <c r="X5" s="43">
        <v>3000</v>
      </c>
      <c r="Y5" s="43" t="s">
        <v>268</v>
      </c>
      <c r="Z5" s="43">
        <v>85</v>
      </c>
      <c r="AA5" s="43" t="s">
        <v>278</v>
      </c>
      <c r="AB5" s="43" t="s">
        <v>228</v>
      </c>
      <c r="AC5" s="43" t="s">
        <v>228</v>
      </c>
      <c r="AD5" s="43" t="s">
        <v>228</v>
      </c>
      <c r="AE5" s="43" t="s">
        <v>228</v>
      </c>
      <c r="AF5" s="43" t="s">
        <v>419</v>
      </c>
      <c r="AG5" s="43" t="s">
        <v>228</v>
      </c>
      <c r="AH5" s="43" t="s">
        <v>228</v>
      </c>
      <c r="AI5" s="43" t="s">
        <v>228</v>
      </c>
      <c r="AJ5" t="s">
        <v>468</v>
      </c>
      <c r="AK5">
        <v>1</v>
      </c>
      <c r="AL5">
        <v>1</v>
      </c>
      <c r="AM5" t="s">
        <v>93</v>
      </c>
      <c r="AN5" t="s">
        <v>228</v>
      </c>
      <c r="AO5" t="s">
        <v>526</v>
      </c>
      <c r="AP5" t="s">
        <v>109</v>
      </c>
      <c r="AQ5">
        <v>12</v>
      </c>
      <c r="AR5" t="s">
        <v>521</v>
      </c>
      <c r="AS5" t="s">
        <v>228</v>
      </c>
      <c r="AT5" t="s">
        <v>140</v>
      </c>
      <c r="AU5" s="4">
        <v>1</v>
      </c>
      <c r="AV5">
        <v>1</v>
      </c>
      <c r="AW5" t="s">
        <v>532</v>
      </c>
      <c r="AX5" t="s">
        <v>283</v>
      </c>
      <c r="AY5" t="s">
        <v>280</v>
      </c>
      <c r="AZ5">
        <v>5</v>
      </c>
      <c r="BA5" t="s">
        <v>533</v>
      </c>
      <c r="BB5" t="s">
        <v>405</v>
      </c>
      <c r="BC5" t="s">
        <v>395</v>
      </c>
      <c r="BD5" t="s">
        <v>228</v>
      </c>
      <c r="BE5" t="s">
        <v>522</v>
      </c>
      <c r="BF5" t="s">
        <v>523</v>
      </c>
      <c r="BG5" t="s">
        <v>407</v>
      </c>
      <c r="BH5" t="s">
        <v>396</v>
      </c>
      <c r="BI5" t="s">
        <v>524</v>
      </c>
      <c r="BJ5" t="s">
        <v>228</v>
      </c>
      <c r="BK5" t="s">
        <v>228</v>
      </c>
      <c r="BL5" t="s">
        <v>228</v>
      </c>
      <c r="BM5" t="s">
        <v>228</v>
      </c>
      <c r="BN5" t="s">
        <v>228</v>
      </c>
      <c r="BO5" t="s">
        <v>419</v>
      </c>
      <c r="BP5" t="s">
        <v>228</v>
      </c>
      <c r="BQ5" t="s">
        <v>228</v>
      </c>
      <c r="BR5" t="s">
        <v>228</v>
      </c>
      <c r="BS5" t="s">
        <v>409</v>
      </c>
      <c r="BT5">
        <v>1</v>
      </c>
      <c r="BU5" s="19"/>
      <c r="BV5" s="19"/>
      <c r="BW5" s="19"/>
      <c r="BX5" s="19"/>
    </row>
    <row r="6" spans="1:77" x14ac:dyDescent="0.15">
      <c r="A6" s="43">
        <v>2023</v>
      </c>
      <c r="B6" s="43">
        <v>1</v>
      </c>
      <c r="C6" s="43">
        <v>1</v>
      </c>
      <c r="D6" s="43">
        <v>8</v>
      </c>
      <c r="E6" s="43" t="s">
        <v>228</v>
      </c>
      <c r="F6" s="43" t="s">
        <v>57</v>
      </c>
      <c r="G6" s="43">
        <v>2016</v>
      </c>
      <c r="H6" s="43">
        <v>12</v>
      </c>
      <c r="I6" s="43" t="s">
        <v>521</v>
      </c>
      <c r="J6" s="43" t="s">
        <v>228</v>
      </c>
      <c r="K6" s="43">
        <v>1983</v>
      </c>
      <c r="L6" s="43">
        <v>1</v>
      </c>
      <c r="M6" s="43">
        <v>1</v>
      </c>
      <c r="N6" s="43" t="s">
        <v>44</v>
      </c>
      <c r="O6" s="43" t="s">
        <v>283</v>
      </c>
      <c r="P6" s="43" t="s">
        <v>280</v>
      </c>
      <c r="Q6" s="43">
        <v>20000</v>
      </c>
      <c r="R6" s="43" t="s">
        <v>59</v>
      </c>
      <c r="S6" s="43" t="s">
        <v>52</v>
      </c>
      <c r="T6" s="43" t="s">
        <v>69</v>
      </c>
      <c r="U6" s="43" t="s">
        <v>67</v>
      </c>
      <c r="V6" s="43">
        <v>500</v>
      </c>
      <c r="W6" s="43" t="s">
        <v>328</v>
      </c>
      <c r="X6" s="43">
        <v>3000</v>
      </c>
      <c r="Y6" s="43" t="s">
        <v>268</v>
      </c>
      <c r="Z6" s="43">
        <v>85</v>
      </c>
      <c r="AA6" s="43" t="s">
        <v>278</v>
      </c>
      <c r="AB6" s="43" t="s">
        <v>228</v>
      </c>
      <c r="AC6" s="43" t="s">
        <v>228</v>
      </c>
      <c r="AD6" s="43" t="s">
        <v>228</v>
      </c>
      <c r="AE6" s="43" t="s">
        <v>228</v>
      </c>
      <c r="AF6" s="43" t="s">
        <v>419</v>
      </c>
      <c r="AG6" s="43" t="s">
        <v>228</v>
      </c>
      <c r="AH6" s="43" t="s">
        <v>228</v>
      </c>
      <c r="AI6" s="43" t="s">
        <v>228</v>
      </c>
      <c r="AJ6" t="s">
        <v>468</v>
      </c>
      <c r="AK6">
        <v>1</v>
      </c>
      <c r="AL6">
        <v>1</v>
      </c>
      <c r="AM6" t="s">
        <v>93</v>
      </c>
      <c r="AN6" t="s">
        <v>228</v>
      </c>
      <c r="AO6" t="s">
        <v>526</v>
      </c>
      <c r="AP6" t="s">
        <v>109</v>
      </c>
      <c r="AQ6">
        <v>12</v>
      </c>
      <c r="AR6" t="s">
        <v>521</v>
      </c>
      <c r="AS6" t="s">
        <v>228</v>
      </c>
      <c r="AT6" t="s">
        <v>140</v>
      </c>
      <c r="AU6" s="4">
        <v>1</v>
      </c>
      <c r="AV6">
        <v>1</v>
      </c>
      <c r="AW6" t="s">
        <v>532</v>
      </c>
      <c r="AX6" t="s">
        <v>283</v>
      </c>
      <c r="AY6" t="s">
        <v>280</v>
      </c>
      <c r="AZ6">
        <v>5</v>
      </c>
      <c r="BA6" t="s">
        <v>533</v>
      </c>
      <c r="BB6" t="s">
        <v>405</v>
      </c>
      <c r="BC6" t="s">
        <v>395</v>
      </c>
      <c r="BD6" t="s">
        <v>534</v>
      </c>
      <c r="BE6" t="s">
        <v>522</v>
      </c>
      <c r="BF6" t="s">
        <v>523</v>
      </c>
      <c r="BG6" t="s">
        <v>407</v>
      </c>
      <c r="BH6" t="s">
        <v>396</v>
      </c>
      <c r="BI6" t="s">
        <v>524</v>
      </c>
      <c r="BJ6" t="s">
        <v>228</v>
      </c>
      <c r="BK6" t="s">
        <v>228</v>
      </c>
      <c r="BL6" t="s">
        <v>228</v>
      </c>
      <c r="BM6" t="s">
        <v>228</v>
      </c>
      <c r="BN6" t="s">
        <v>228</v>
      </c>
      <c r="BO6" t="s">
        <v>419</v>
      </c>
      <c r="BP6" t="s">
        <v>228</v>
      </c>
      <c r="BQ6" t="s">
        <v>228</v>
      </c>
      <c r="BR6" t="s">
        <v>228</v>
      </c>
      <c r="BS6" t="s">
        <v>409</v>
      </c>
      <c r="BT6">
        <v>1</v>
      </c>
      <c r="BU6" s="19"/>
      <c r="BV6" s="19"/>
      <c r="BW6" s="19"/>
      <c r="BX6" s="19"/>
    </row>
    <row r="7" spans="1:77" x14ac:dyDescent="0.15">
      <c r="A7" s="43">
        <v>2023</v>
      </c>
      <c r="B7" s="43">
        <v>1</v>
      </c>
      <c r="C7" s="43">
        <v>1</v>
      </c>
      <c r="D7" s="43">
        <v>8</v>
      </c>
      <c r="E7" s="43" t="s">
        <v>228</v>
      </c>
      <c r="F7" s="43" t="s">
        <v>57</v>
      </c>
      <c r="G7" s="43">
        <v>2016</v>
      </c>
      <c r="H7" s="43">
        <v>12</v>
      </c>
      <c r="I7" s="43" t="s">
        <v>521</v>
      </c>
      <c r="J7" s="43" t="s">
        <v>228</v>
      </c>
      <c r="K7" s="43">
        <v>1983</v>
      </c>
      <c r="L7" s="43">
        <v>1</v>
      </c>
      <c r="M7" s="43">
        <v>1</v>
      </c>
      <c r="N7" s="43" t="s">
        <v>44</v>
      </c>
      <c r="O7" s="43" t="s">
        <v>283</v>
      </c>
      <c r="P7" s="43" t="s">
        <v>280</v>
      </c>
      <c r="Q7" s="43">
        <v>20000</v>
      </c>
      <c r="R7" s="43" t="s">
        <v>59</v>
      </c>
      <c r="S7" s="43" t="s">
        <v>52</v>
      </c>
      <c r="T7" s="43" t="s">
        <v>69</v>
      </c>
      <c r="U7" s="43" t="s">
        <v>69</v>
      </c>
      <c r="V7" s="43">
        <v>500</v>
      </c>
      <c r="W7" s="43" t="s">
        <v>328</v>
      </c>
      <c r="X7" s="43">
        <v>3000</v>
      </c>
      <c r="Y7" s="43" t="s">
        <v>268</v>
      </c>
      <c r="Z7" s="43">
        <v>85</v>
      </c>
      <c r="AA7" s="43" t="s">
        <v>278</v>
      </c>
      <c r="AB7" s="43" t="s">
        <v>228</v>
      </c>
      <c r="AC7" s="43" t="s">
        <v>228</v>
      </c>
      <c r="AD7" s="43" t="s">
        <v>228</v>
      </c>
      <c r="AE7" s="43" t="s">
        <v>228</v>
      </c>
      <c r="AF7" s="43" t="s">
        <v>419</v>
      </c>
      <c r="AG7" s="43" t="s">
        <v>228</v>
      </c>
      <c r="AH7" s="43" t="s">
        <v>228</v>
      </c>
      <c r="AI7" s="43" t="s">
        <v>228</v>
      </c>
      <c r="AJ7" t="s">
        <v>468</v>
      </c>
      <c r="AK7">
        <v>1</v>
      </c>
      <c r="AL7">
        <v>1</v>
      </c>
      <c r="AM7" t="s">
        <v>93</v>
      </c>
      <c r="AN7" t="s">
        <v>228</v>
      </c>
      <c r="AO7" t="s">
        <v>526</v>
      </c>
      <c r="AP7" t="s">
        <v>109</v>
      </c>
      <c r="AQ7">
        <v>12</v>
      </c>
      <c r="AR7" t="s">
        <v>521</v>
      </c>
      <c r="AS7" t="s">
        <v>228</v>
      </c>
      <c r="AT7" t="s">
        <v>140</v>
      </c>
      <c r="AU7" s="4">
        <v>1</v>
      </c>
      <c r="AV7">
        <v>1</v>
      </c>
      <c r="AW7" t="s">
        <v>532</v>
      </c>
      <c r="AX7" t="s">
        <v>283</v>
      </c>
      <c r="AY7" t="s">
        <v>280</v>
      </c>
      <c r="AZ7">
        <v>5</v>
      </c>
      <c r="BA7" t="s">
        <v>533</v>
      </c>
      <c r="BB7" t="s">
        <v>405</v>
      </c>
      <c r="BC7" t="s">
        <v>395</v>
      </c>
      <c r="BD7" t="s">
        <v>395</v>
      </c>
      <c r="BE7" t="s">
        <v>522</v>
      </c>
      <c r="BF7" t="s">
        <v>523</v>
      </c>
      <c r="BG7" t="s">
        <v>407</v>
      </c>
      <c r="BH7" t="s">
        <v>396</v>
      </c>
      <c r="BI7" t="s">
        <v>524</v>
      </c>
      <c r="BJ7" t="s">
        <v>228</v>
      </c>
      <c r="BK7" t="s">
        <v>228</v>
      </c>
      <c r="BL7" t="s">
        <v>228</v>
      </c>
      <c r="BM7" t="s">
        <v>228</v>
      </c>
      <c r="BN7" t="s">
        <v>228</v>
      </c>
      <c r="BO7" t="s">
        <v>419</v>
      </c>
      <c r="BP7" t="s">
        <v>228</v>
      </c>
      <c r="BQ7" t="s">
        <v>228</v>
      </c>
      <c r="BR7" t="s">
        <v>228</v>
      </c>
      <c r="BS7" t="s">
        <v>409</v>
      </c>
      <c r="BT7">
        <v>1</v>
      </c>
      <c r="BU7" s="19"/>
      <c r="BV7" s="19"/>
      <c r="BW7" s="19"/>
      <c r="BX7" s="19"/>
    </row>
    <row r="8" spans="1:77" x14ac:dyDescent="0.15">
      <c r="A8" s="43">
        <v>2023</v>
      </c>
      <c r="B8" s="43">
        <v>1</v>
      </c>
      <c r="C8" s="43">
        <v>1</v>
      </c>
      <c r="D8" s="43">
        <v>8</v>
      </c>
      <c r="E8" s="43" t="s">
        <v>228</v>
      </c>
      <c r="F8" s="43" t="s">
        <v>57</v>
      </c>
      <c r="G8" s="43">
        <v>2016</v>
      </c>
      <c r="H8" s="43">
        <v>12</v>
      </c>
      <c r="I8" s="43" t="s">
        <v>521</v>
      </c>
      <c r="J8" s="43" t="s">
        <v>228</v>
      </c>
      <c r="K8" s="43">
        <v>1983</v>
      </c>
      <c r="L8" s="43">
        <v>1</v>
      </c>
      <c r="M8" s="43">
        <v>1</v>
      </c>
      <c r="N8" s="43" t="s">
        <v>44</v>
      </c>
      <c r="O8" s="43" t="s">
        <v>283</v>
      </c>
      <c r="P8" s="43" t="s">
        <v>280</v>
      </c>
      <c r="Q8" s="43">
        <v>20000</v>
      </c>
      <c r="R8" s="43" t="s">
        <v>59</v>
      </c>
      <c r="S8" s="43" t="s">
        <v>52</v>
      </c>
      <c r="T8" s="43" t="s">
        <v>69</v>
      </c>
      <c r="U8" s="43" t="s">
        <v>228</v>
      </c>
      <c r="V8" s="43">
        <v>500</v>
      </c>
      <c r="W8" s="43" t="s">
        <v>328</v>
      </c>
      <c r="X8" s="43">
        <v>3000</v>
      </c>
      <c r="Y8" s="43" t="s">
        <v>268</v>
      </c>
      <c r="Z8" s="43">
        <v>85</v>
      </c>
      <c r="AA8" s="43" t="s">
        <v>278</v>
      </c>
      <c r="AB8" s="43" t="s">
        <v>228</v>
      </c>
      <c r="AC8" s="43" t="s">
        <v>228</v>
      </c>
      <c r="AD8" s="43" t="s">
        <v>228</v>
      </c>
      <c r="AE8" s="43" t="s">
        <v>228</v>
      </c>
      <c r="AF8" s="43" t="s">
        <v>420</v>
      </c>
      <c r="AG8" s="43" t="s">
        <v>228</v>
      </c>
      <c r="AH8" s="43" t="s">
        <v>228</v>
      </c>
      <c r="AI8" s="43" t="s">
        <v>228</v>
      </c>
      <c r="AJ8" t="s">
        <v>468</v>
      </c>
      <c r="AK8">
        <v>1</v>
      </c>
      <c r="AL8">
        <v>1</v>
      </c>
      <c r="AM8" t="s">
        <v>93</v>
      </c>
      <c r="AN8" t="s">
        <v>228</v>
      </c>
      <c r="AO8" t="s">
        <v>526</v>
      </c>
      <c r="AP8" t="s">
        <v>109</v>
      </c>
      <c r="AQ8">
        <v>12</v>
      </c>
      <c r="AR8" t="s">
        <v>521</v>
      </c>
      <c r="AS8" t="s">
        <v>228</v>
      </c>
      <c r="AT8" t="s">
        <v>140</v>
      </c>
      <c r="AU8" s="4">
        <v>1</v>
      </c>
      <c r="AV8">
        <v>1</v>
      </c>
      <c r="AW8" t="s">
        <v>532</v>
      </c>
      <c r="AX8" t="s">
        <v>283</v>
      </c>
      <c r="AY8" t="s">
        <v>280</v>
      </c>
      <c r="AZ8">
        <v>5</v>
      </c>
      <c r="BA8" t="s">
        <v>533</v>
      </c>
      <c r="BB8" t="s">
        <v>405</v>
      </c>
      <c r="BC8" t="s">
        <v>395</v>
      </c>
      <c r="BD8" t="s">
        <v>228</v>
      </c>
      <c r="BE8" t="s">
        <v>522</v>
      </c>
      <c r="BF8" t="s">
        <v>523</v>
      </c>
      <c r="BG8" t="s">
        <v>407</v>
      </c>
      <c r="BH8" t="s">
        <v>396</v>
      </c>
      <c r="BI8" t="s">
        <v>524</v>
      </c>
      <c r="BJ8" t="s">
        <v>228</v>
      </c>
      <c r="BK8" t="s">
        <v>228</v>
      </c>
      <c r="BL8" t="s">
        <v>228</v>
      </c>
      <c r="BM8" t="s">
        <v>228</v>
      </c>
      <c r="BN8" t="s">
        <v>228</v>
      </c>
      <c r="BO8" t="s">
        <v>420</v>
      </c>
      <c r="BP8" t="s">
        <v>228</v>
      </c>
      <c r="BQ8" t="s">
        <v>228</v>
      </c>
      <c r="BR8" t="s">
        <v>228</v>
      </c>
      <c r="BS8" t="s">
        <v>409</v>
      </c>
      <c r="BT8">
        <v>1</v>
      </c>
      <c r="BU8" s="19"/>
      <c r="BV8" s="19"/>
      <c r="BW8" s="19"/>
      <c r="BX8" s="19"/>
    </row>
    <row r="9" spans="1:77" x14ac:dyDescent="0.15">
      <c r="A9" s="43">
        <v>2023</v>
      </c>
      <c r="B9" s="43">
        <v>1</v>
      </c>
      <c r="C9" s="43">
        <v>1</v>
      </c>
      <c r="D9" s="43">
        <v>8</v>
      </c>
      <c r="E9" s="43" t="s">
        <v>228</v>
      </c>
      <c r="F9" s="43" t="s">
        <v>57</v>
      </c>
      <c r="G9" s="43">
        <v>2016</v>
      </c>
      <c r="H9" s="43">
        <v>12</v>
      </c>
      <c r="I9" s="43" t="s">
        <v>521</v>
      </c>
      <c r="J9" s="43" t="s">
        <v>228</v>
      </c>
      <c r="K9" s="43">
        <v>1983</v>
      </c>
      <c r="L9" s="43">
        <v>1</v>
      </c>
      <c r="M9" s="43">
        <v>1</v>
      </c>
      <c r="N9" s="43" t="s">
        <v>44</v>
      </c>
      <c r="O9" s="43" t="s">
        <v>283</v>
      </c>
      <c r="P9" s="43" t="s">
        <v>280</v>
      </c>
      <c r="Q9" s="43">
        <v>20000</v>
      </c>
      <c r="R9" s="43" t="s">
        <v>59</v>
      </c>
      <c r="S9" s="43" t="s">
        <v>52</v>
      </c>
      <c r="T9" s="43" t="s">
        <v>69</v>
      </c>
      <c r="U9" s="43" t="s">
        <v>67</v>
      </c>
      <c r="V9" s="43">
        <v>500</v>
      </c>
      <c r="W9" s="43" t="s">
        <v>328</v>
      </c>
      <c r="X9" s="43">
        <v>3000</v>
      </c>
      <c r="Y9" s="43" t="s">
        <v>268</v>
      </c>
      <c r="Z9" s="43">
        <v>85</v>
      </c>
      <c r="AA9" s="43" t="s">
        <v>278</v>
      </c>
      <c r="AB9" s="43" t="s">
        <v>228</v>
      </c>
      <c r="AC9" s="43" t="s">
        <v>228</v>
      </c>
      <c r="AD9" s="43" t="s">
        <v>228</v>
      </c>
      <c r="AE9" s="43" t="s">
        <v>228</v>
      </c>
      <c r="AF9" s="43" t="s">
        <v>420</v>
      </c>
      <c r="AG9" s="43" t="s">
        <v>228</v>
      </c>
      <c r="AH9" s="43" t="s">
        <v>228</v>
      </c>
      <c r="AI9" s="43" t="s">
        <v>228</v>
      </c>
      <c r="AJ9" t="s">
        <v>468</v>
      </c>
      <c r="AK9">
        <v>1</v>
      </c>
      <c r="AL9">
        <v>1</v>
      </c>
      <c r="AM9" t="s">
        <v>93</v>
      </c>
      <c r="AN9" t="s">
        <v>228</v>
      </c>
      <c r="AO9" t="s">
        <v>526</v>
      </c>
      <c r="AP9" t="s">
        <v>109</v>
      </c>
      <c r="AQ9">
        <v>12</v>
      </c>
      <c r="AR9" t="s">
        <v>521</v>
      </c>
      <c r="AS9" t="s">
        <v>228</v>
      </c>
      <c r="AT9" t="s">
        <v>140</v>
      </c>
      <c r="AU9">
        <v>1</v>
      </c>
      <c r="AV9">
        <v>1</v>
      </c>
      <c r="AW9" t="s">
        <v>532</v>
      </c>
      <c r="AX9" t="s">
        <v>283</v>
      </c>
      <c r="AY9" t="s">
        <v>280</v>
      </c>
      <c r="AZ9">
        <v>5</v>
      </c>
      <c r="BA9" t="s">
        <v>533</v>
      </c>
      <c r="BB9" t="s">
        <v>405</v>
      </c>
      <c r="BC9" t="s">
        <v>395</v>
      </c>
      <c r="BD9" t="s">
        <v>534</v>
      </c>
      <c r="BE9" t="s">
        <v>522</v>
      </c>
      <c r="BF9" t="s">
        <v>523</v>
      </c>
      <c r="BG9" t="s">
        <v>407</v>
      </c>
      <c r="BH9" t="s">
        <v>396</v>
      </c>
      <c r="BI9" t="s">
        <v>524</v>
      </c>
      <c r="BJ9" t="s">
        <v>228</v>
      </c>
      <c r="BK9" t="s">
        <v>228</v>
      </c>
      <c r="BL9" t="s">
        <v>228</v>
      </c>
      <c r="BM9" t="s">
        <v>228</v>
      </c>
      <c r="BN9" t="s">
        <v>228</v>
      </c>
      <c r="BO9" t="s">
        <v>420</v>
      </c>
      <c r="BP9" t="s">
        <v>228</v>
      </c>
      <c r="BQ9" t="s">
        <v>228</v>
      </c>
      <c r="BR9" t="s">
        <v>228</v>
      </c>
      <c r="BS9" t="s">
        <v>409</v>
      </c>
      <c r="BT9">
        <v>1</v>
      </c>
    </row>
    <row r="10" spans="1:77" x14ac:dyDescent="0.15">
      <c r="A10" s="43">
        <v>2023</v>
      </c>
      <c r="B10" s="43">
        <v>1</v>
      </c>
      <c r="C10" s="43">
        <v>1</v>
      </c>
      <c r="D10" s="43">
        <v>8</v>
      </c>
      <c r="E10" s="43" t="s">
        <v>228</v>
      </c>
      <c r="F10" s="43" t="s">
        <v>57</v>
      </c>
      <c r="G10" s="43">
        <v>2016</v>
      </c>
      <c r="H10" s="43">
        <v>12</v>
      </c>
      <c r="I10" s="43" t="s">
        <v>521</v>
      </c>
      <c r="J10" s="43" t="s">
        <v>228</v>
      </c>
      <c r="K10" s="43">
        <v>1983</v>
      </c>
      <c r="L10" s="43">
        <v>1</v>
      </c>
      <c r="M10" s="43">
        <v>1</v>
      </c>
      <c r="N10" s="43" t="s">
        <v>44</v>
      </c>
      <c r="O10" s="43" t="s">
        <v>283</v>
      </c>
      <c r="P10" s="43" t="s">
        <v>280</v>
      </c>
      <c r="Q10" s="43">
        <v>20000</v>
      </c>
      <c r="R10" s="43" t="s">
        <v>59</v>
      </c>
      <c r="S10" s="43" t="s">
        <v>52</v>
      </c>
      <c r="T10" s="43" t="s">
        <v>69</v>
      </c>
      <c r="U10" s="43" t="s">
        <v>69</v>
      </c>
      <c r="V10" s="43">
        <v>500</v>
      </c>
      <c r="W10" s="43" t="s">
        <v>328</v>
      </c>
      <c r="X10" s="43">
        <v>3000</v>
      </c>
      <c r="Y10" s="43" t="s">
        <v>268</v>
      </c>
      <c r="Z10" s="43">
        <v>85</v>
      </c>
      <c r="AA10" s="43" t="s">
        <v>278</v>
      </c>
      <c r="AB10" s="43" t="s">
        <v>228</v>
      </c>
      <c r="AC10" s="43" t="s">
        <v>228</v>
      </c>
      <c r="AD10" s="43" t="s">
        <v>228</v>
      </c>
      <c r="AE10" s="43" t="s">
        <v>228</v>
      </c>
      <c r="AF10" s="43" t="s">
        <v>420</v>
      </c>
      <c r="AG10" s="43" t="s">
        <v>228</v>
      </c>
      <c r="AH10" s="43" t="s">
        <v>228</v>
      </c>
      <c r="AI10" s="43" t="s">
        <v>228</v>
      </c>
      <c r="AJ10" t="s">
        <v>468</v>
      </c>
      <c r="AK10">
        <v>1</v>
      </c>
      <c r="AL10">
        <v>1</v>
      </c>
      <c r="AM10" t="s">
        <v>93</v>
      </c>
      <c r="AN10" t="s">
        <v>228</v>
      </c>
      <c r="AO10" t="s">
        <v>526</v>
      </c>
      <c r="AP10" t="s">
        <v>109</v>
      </c>
      <c r="AQ10">
        <v>12</v>
      </c>
      <c r="AR10" t="s">
        <v>521</v>
      </c>
      <c r="AS10" t="s">
        <v>228</v>
      </c>
      <c r="AT10" t="s">
        <v>140</v>
      </c>
      <c r="AU10">
        <v>1</v>
      </c>
      <c r="AV10">
        <v>1</v>
      </c>
      <c r="AW10" t="s">
        <v>532</v>
      </c>
      <c r="AX10" t="s">
        <v>283</v>
      </c>
      <c r="AY10" t="s">
        <v>280</v>
      </c>
      <c r="AZ10">
        <v>5</v>
      </c>
      <c r="BA10" t="s">
        <v>533</v>
      </c>
      <c r="BB10" t="s">
        <v>405</v>
      </c>
      <c r="BC10" t="s">
        <v>395</v>
      </c>
      <c r="BD10" t="s">
        <v>395</v>
      </c>
      <c r="BE10" t="s">
        <v>522</v>
      </c>
      <c r="BF10" t="s">
        <v>523</v>
      </c>
      <c r="BG10" t="s">
        <v>407</v>
      </c>
      <c r="BH10" t="s">
        <v>396</v>
      </c>
      <c r="BI10" t="s">
        <v>524</v>
      </c>
      <c r="BJ10" t="s">
        <v>228</v>
      </c>
      <c r="BK10" t="s">
        <v>228</v>
      </c>
      <c r="BL10" t="s">
        <v>228</v>
      </c>
      <c r="BM10" t="s">
        <v>228</v>
      </c>
      <c r="BN10" t="s">
        <v>228</v>
      </c>
      <c r="BO10" t="s">
        <v>420</v>
      </c>
      <c r="BP10" t="s">
        <v>228</v>
      </c>
      <c r="BQ10" t="s">
        <v>228</v>
      </c>
      <c r="BR10" t="s">
        <v>228</v>
      </c>
      <c r="BS10" t="s">
        <v>409</v>
      </c>
      <c r="BT10">
        <v>1</v>
      </c>
    </row>
    <row r="11" spans="1:77" x14ac:dyDescent="0.15">
      <c r="A11" s="43">
        <v>2023</v>
      </c>
      <c r="B11" s="43">
        <v>1</v>
      </c>
      <c r="C11" s="43">
        <v>1</v>
      </c>
      <c r="D11" s="43">
        <v>8</v>
      </c>
      <c r="E11" s="43" t="s">
        <v>228</v>
      </c>
      <c r="F11" s="43" t="s">
        <v>57</v>
      </c>
      <c r="G11" s="43">
        <v>2016</v>
      </c>
      <c r="H11" s="43">
        <v>12</v>
      </c>
      <c r="I11" s="43" t="s">
        <v>521</v>
      </c>
      <c r="J11" s="43" t="s">
        <v>228</v>
      </c>
      <c r="K11" s="43">
        <v>1983</v>
      </c>
      <c r="L11" s="43">
        <v>1</v>
      </c>
      <c r="M11" s="43">
        <v>1</v>
      </c>
      <c r="N11" s="43" t="s">
        <v>44</v>
      </c>
      <c r="O11" s="43" t="s">
        <v>283</v>
      </c>
      <c r="P11" s="43" t="s">
        <v>280</v>
      </c>
      <c r="Q11" s="43">
        <v>20000</v>
      </c>
      <c r="R11" s="43" t="s">
        <v>59</v>
      </c>
      <c r="S11" s="43" t="s">
        <v>52</v>
      </c>
      <c r="T11" s="43" t="s">
        <v>69</v>
      </c>
      <c r="U11" s="43" t="s">
        <v>228</v>
      </c>
      <c r="V11" s="43">
        <v>500</v>
      </c>
      <c r="W11" s="43" t="s">
        <v>328</v>
      </c>
      <c r="X11" s="43">
        <v>3000</v>
      </c>
      <c r="Y11" s="43" t="s">
        <v>268</v>
      </c>
      <c r="Z11" s="43">
        <v>85</v>
      </c>
      <c r="AA11" s="43" t="s">
        <v>278</v>
      </c>
      <c r="AB11" s="43" t="s">
        <v>228</v>
      </c>
      <c r="AC11" s="43" t="s">
        <v>228</v>
      </c>
      <c r="AD11" s="43" t="s">
        <v>228</v>
      </c>
      <c r="AE11" s="43" t="s">
        <v>67</v>
      </c>
      <c r="AF11" s="43" t="s">
        <v>228</v>
      </c>
      <c r="AG11" s="43" t="s">
        <v>228</v>
      </c>
      <c r="AH11" s="43" t="s">
        <v>228</v>
      </c>
      <c r="AI11" s="43" t="s">
        <v>228</v>
      </c>
      <c r="AJ11" t="s">
        <v>468</v>
      </c>
      <c r="AK11">
        <v>1</v>
      </c>
      <c r="AL11">
        <v>1</v>
      </c>
      <c r="AM11" t="s">
        <v>93</v>
      </c>
      <c r="AN11" t="s">
        <v>228</v>
      </c>
      <c r="AO11" t="s">
        <v>526</v>
      </c>
      <c r="AP11" t="s">
        <v>109</v>
      </c>
      <c r="AQ11">
        <v>12</v>
      </c>
      <c r="AR11" t="s">
        <v>521</v>
      </c>
      <c r="AS11" t="s">
        <v>228</v>
      </c>
      <c r="AT11" t="s">
        <v>140</v>
      </c>
      <c r="AU11">
        <v>1</v>
      </c>
      <c r="AV11">
        <v>1</v>
      </c>
      <c r="AW11" t="s">
        <v>532</v>
      </c>
      <c r="AX11" t="s">
        <v>283</v>
      </c>
      <c r="AY11" t="s">
        <v>280</v>
      </c>
      <c r="AZ11">
        <v>5</v>
      </c>
      <c r="BA11" t="s">
        <v>533</v>
      </c>
      <c r="BB11" t="s">
        <v>405</v>
      </c>
      <c r="BC11" t="s">
        <v>395</v>
      </c>
      <c r="BD11" t="s">
        <v>228</v>
      </c>
      <c r="BE11" t="s">
        <v>522</v>
      </c>
      <c r="BF11" t="s">
        <v>523</v>
      </c>
      <c r="BG11" t="s">
        <v>407</v>
      </c>
      <c r="BH11" t="s">
        <v>396</v>
      </c>
      <c r="BI11" t="s">
        <v>524</v>
      </c>
      <c r="BJ11" t="s">
        <v>228</v>
      </c>
      <c r="BK11" t="s">
        <v>228</v>
      </c>
      <c r="BL11" t="s">
        <v>228</v>
      </c>
      <c r="BM11" t="s">
        <v>228</v>
      </c>
      <c r="BN11" t="s">
        <v>67</v>
      </c>
      <c r="BO11" t="s">
        <v>228</v>
      </c>
      <c r="BP11" t="s">
        <v>228</v>
      </c>
      <c r="BQ11" t="s">
        <v>228</v>
      </c>
      <c r="BR11" t="s">
        <v>228</v>
      </c>
      <c r="BS11" t="s">
        <v>409</v>
      </c>
      <c r="BT11">
        <v>0</v>
      </c>
    </row>
    <row r="12" spans="1:77" x14ac:dyDescent="0.15">
      <c r="A12" s="43">
        <v>2023</v>
      </c>
      <c r="B12" s="43">
        <v>1</v>
      </c>
      <c r="C12" s="43">
        <v>1</v>
      </c>
      <c r="D12" s="43">
        <v>8</v>
      </c>
      <c r="E12" s="43" t="s">
        <v>228</v>
      </c>
      <c r="F12" s="43" t="s">
        <v>57</v>
      </c>
      <c r="G12" s="43">
        <v>2016</v>
      </c>
      <c r="H12" s="43">
        <v>12</v>
      </c>
      <c r="I12" s="43" t="s">
        <v>521</v>
      </c>
      <c r="J12" s="43" t="s">
        <v>228</v>
      </c>
      <c r="K12" s="43">
        <v>1983</v>
      </c>
      <c r="L12" s="43">
        <v>1</v>
      </c>
      <c r="M12" s="43">
        <v>1</v>
      </c>
      <c r="N12" s="43" t="s">
        <v>45</v>
      </c>
      <c r="O12" s="43" t="s">
        <v>283</v>
      </c>
      <c r="P12" s="43" t="s">
        <v>280</v>
      </c>
      <c r="Q12" s="43">
        <v>20000</v>
      </c>
      <c r="R12" s="43" t="s">
        <v>59</v>
      </c>
      <c r="S12" s="43" t="s">
        <v>52</v>
      </c>
      <c r="T12" s="43" t="s">
        <v>69</v>
      </c>
      <c r="U12" s="43" t="s">
        <v>228</v>
      </c>
      <c r="V12" s="43">
        <v>500</v>
      </c>
      <c r="W12" s="43" t="s">
        <v>328</v>
      </c>
      <c r="X12" s="43">
        <v>3000</v>
      </c>
      <c r="Y12" s="43" t="s">
        <v>268</v>
      </c>
      <c r="Z12" s="43">
        <v>85</v>
      </c>
      <c r="AA12" s="43" t="s">
        <v>278</v>
      </c>
      <c r="AB12" s="43" t="s">
        <v>228</v>
      </c>
      <c r="AC12" s="43" t="s">
        <v>228</v>
      </c>
      <c r="AD12" s="43" t="s">
        <v>228</v>
      </c>
      <c r="AE12" s="43" t="s">
        <v>228</v>
      </c>
      <c r="AF12" s="43" t="s">
        <v>228</v>
      </c>
      <c r="AG12" s="43" t="s">
        <v>228</v>
      </c>
      <c r="AH12" s="43" t="s">
        <v>228</v>
      </c>
      <c r="AI12" s="43" t="s">
        <v>228</v>
      </c>
      <c r="AJ12" t="s">
        <v>468</v>
      </c>
      <c r="AK12">
        <v>1</v>
      </c>
      <c r="AL12">
        <v>1</v>
      </c>
      <c r="AM12" t="s">
        <v>93</v>
      </c>
      <c r="AN12" t="s">
        <v>228</v>
      </c>
      <c r="AO12" t="s">
        <v>526</v>
      </c>
      <c r="AP12" t="s">
        <v>109</v>
      </c>
      <c r="AQ12">
        <v>12</v>
      </c>
      <c r="AR12" t="s">
        <v>521</v>
      </c>
      <c r="AS12" t="s">
        <v>228</v>
      </c>
      <c r="AT12" t="s">
        <v>140</v>
      </c>
      <c r="AU12">
        <v>1</v>
      </c>
      <c r="AV12">
        <v>1</v>
      </c>
      <c r="AW12" t="s">
        <v>535</v>
      </c>
      <c r="AX12" t="s">
        <v>283</v>
      </c>
      <c r="AY12" t="s">
        <v>280</v>
      </c>
      <c r="AZ12">
        <v>5</v>
      </c>
      <c r="BA12" t="s">
        <v>533</v>
      </c>
      <c r="BB12" t="s">
        <v>405</v>
      </c>
      <c r="BC12" t="s">
        <v>395</v>
      </c>
      <c r="BD12" t="s">
        <v>228</v>
      </c>
      <c r="BE12" t="s">
        <v>522</v>
      </c>
      <c r="BF12" t="s">
        <v>523</v>
      </c>
      <c r="BG12" t="s">
        <v>407</v>
      </c>
      <c r="BH12" t="s">
        <v>396</v>
      </c>
      <c r="BI12" t="s">
        <v>524</v>
      </c>
      <c r="BJ12" t="s">
        <v>228</v>
      </c>
      <c r="BK12" t="s">
        <v>228</v>
      </c>
      <c r="BL12" t="s">
        <v>228</v>
      </c>
      <c r="BM12" t="s">
        <v>228</v>
      </c>
      <c r="BN12" t="s">
        <v>228</v>
      </c>
      <c r="BO12" t="s">
        <v>228</v>
      </c>
      <c r="BP12" t="s">
        <v>228</v>
      </c>
      <c r="BQ12" t="s">
        <v>228</v>
      </c>
      <c r="BR12" t="s">
        <v>228</v>
      </c>
      <c r="BS12" t="s">
        <v>409</v>
      </c>
      <c r="BT12">
        <v>1</v>
      </c>
    </row>
    <row r="13" spans="1:77" x14ac:dyDescent="0.15">
      <c r="A13" s="43">
        <v>2023</v>
      </c>
      <c r="B13" s="43">
        <v>1</v>
      </c>
      <c r="C13" s="43">
        <v>1</v>
      </c>
      <c r="D13" s="43">
        <v>8</v>
      </c>
      <c r="E13" s="43" t="s">
        <v>228</v>
      </c>
      <c r="F13" s="43" t="s">
        <v>57</v>
      </c>
      <c r="G13" s="43">
        <v>2016</v>
      </c>
      <c r="H13" s="43">
        <v>12</v>
      </c>
      <c r="I13" s="43" t="s">
        <v>521</v>
      </c>
      <c r="J13" s="43" t="s">
        <v>228</v>
      </c>
      <c r="K13" s="43">
        <v>1983</v>
      </c>
      <c r="L13" s="43">
        <v>1</v>
      </c>
      <c r="M13" s="43">
        <v>1</v>
      </c>
      <c r="N13" s="43" t="s">
        <v>45</v>
      </c>
      <c r="O13" s="43" t="s">
        <v>283</v>
      </c>
      <c r="P13" s="43" t="s">
        <v>280</v>
      </c>
      <c r="Q13" s="43">
        <v>20000</v>
      </c>
      <c r="R13" s="43" t="s">
        <v>59</v>
      </c>
      <c r="S13" s="43" t="s">
        <v>52</v>
      </c>
      <c r="T13" s="43" t="s">
        <v>69</v>
      </c>
      <c r="U13" s="43" t="s">
        <v>67</v>
      </c>
      <c r="V13" s="43">
        <v>500</v>
      </c>
      <c r="W13" s="43" t="s">
        <v>328</v>
      </c>
      <c r="X13" s="43">
        <v>3000</v>
      </c>
      <c r="Y13" s="43" t="s">
        <v>268</v>
      </c>
      <c r="Z13" s="43">
        <v>85</v>
      </c>
      <c r="AA13" s="43" t="s">
        <v>278</v>
      </c>
      <c r="AB13" s="43" t="s">
        <v>228</v>
      </c>
      <c r="AC13" s="43" t="s">
        <v>228</v>
      </c>
      <c r="AD13" s="43" t="s">
        <v>228</v>
      </c>
      <c r="AE13" s="43" t="s">
        <v>228</v>
      </c>
      <c r="AF13" s="43" t="s">
        <v>228</v>
      </c>
      <c r="AG13" s="43" t="s">
        <v>228</v>
      </c>
      <c r="AH13" s="43" t="s">
        <v>228</v>
      </c>
      <c r="AI13" s="43" t="s">
        <v>228</v>
      </c>
      <c r="AJ13" t="s">
        <v>468</v>
      </c>
      <c r="AK13">
        <v>1</v>
      </c>
      <c r="AL13">
        <v>1</v>
      </c>
      <c r="AM13" t="s">
        <v>93</v>
      </c>
      <c r="AN13" t="s">
        <v>228</v>
      </c>
      <c r="AO13" t="s">
        <v>526</v>
      </c>
      <c r="AP13" t="s">
        <v>109</v>
      </c>
      <c r="AQ13">
        <v>12</v>
      </c>
      <c r="AR13" t="s">
        <v>521</v>
      </c>
      <c r="AS13" t="s">
        <v>228</v>
      </c>
      <c r="AT13" t="s">
        <v>140</v>
      </c>
      <c r="AU13">
        <v>1</v>
      </c>
      <c r="AV13">
        <v>1</v>
      </c>
      <c r="AW13" t="s">
        <v>535</v>
      </c>
      <c r="AX13" t="s">
        <v>283</v>
      </c>
      <c r="AY13" t="s">
        <v>280</v>
      </c>
      <c r="AZ13">
        <v>5</v>
      </c>
      <c r="BA13" t="s">
        <v>533</v>
      </c>
      <c r="BB13" t="s">
        <v>405</v>
      </c>
      <c r="BC13" t="s">
        <v>395</v>
      </c>
      <c r="BD13" t="s">
        <v>534</v>
      </c>
      <c r="BE13" t="s">
        <v>522</v>
      </c>
      <c r="BF13" t="s">
        <v>523</v>
      </c>
      <c r="BG13" t="s">
        <v>407</v>
      </c>
      <c r="BH13" t="s">
        <v>396</v>
      </c>
      <c r="BI13" t="s">
        <v>524</v>
      </c>
      <c r="BJ13" t="s">
        <v>228</v>
      </c>
      <c r="BK13" t="s">
        <v>228</v>
      </c>
      <c r="BL13" t="s">
        <v>228</v>
      </c>
      <c r="BM13" t="s">
        <v>228</v>
      </c>
      <c r="BN13" t="s">
        <v>228</v>
      </c>
      <c r="BO13" t="s">
        <v>228</v>
      </c>
      <c r="BP13" t="s">
        <v>228</v>
      </c>
      <c r="BQ13" t="s">
        <v>228</v>
      </c>
      <c r="BR13" t="s">
        <v>228</v>
      </c>
      <c r="BS13" t="s">
        <v>409</v>
      </c>
      <c r="BT13">
        <v>1</v>
      </c>
    </row>
    <row r="14" spans="1:77" x14ac:dyDescent="0.15">
      <c r="A14" s="43">
        <v>2023</v>
      </c>
      <c r="B14" s="43">
        <v>1</v>
      </c>
      <c r="C14" s="43">
        <v>1</v>
      </c>
      <c r="D14" s="43">
        <v>8</v>
      </c>
      <c r="E14" s="43" t="s">
        <v>228</v>
      </c>
      <c r="F14" s="43" t="s">
        <v>57</v>
      </c>
      <c r="G14" s="43">
        <v>2016</v>
      </c>
      <c r="H14" s="43">
        <v>12</v>
      </c>
      <c r="I14" s="43" t="s">
        <v>521</v>
      </c>
      <c r="J14" s="43" t="s">
        <v>228</v>
      </c>
      <c r="K14" s="43">
        <v>1983</v>
      </c>
      <c r="L14" s="43">
        <v>1</v>
      </c>
      <c r="M14" s="43">
        <v>1</v>
      </c>
      <c r="N14" s="43" t="s">
        <v>45</v>
      </c>
      <c r="O14" s="43" t="s">
        <v>283</v>
      </c>
      <c r="P14" s="43" t="s">
        <v>280</v>
      </c>
      <c r="Q14" s="43">
        <v>20000</v>
      </c>
      <c r="R14" s="43" t="s">
        <v>59</v>
      </c>
      <c r="S14" s="43" t="s">
        <v>52</v>
      </c>
      <c r="T14" s="43" t="s">
        <v>69</v>
      </c>
      <c r="U14" s="43" t="s">
        <v>69</v>
      </c>
      <c r="V14" s="43">
        <v>500</v>
      </c>
      <c r="W14" s="43" t="s">
        <v>328</v>
      </c>
      <c r="X14" s="43">
        <v>3000</v>
      </c>
      <c r="Y14" s="43" t="s">
        <v>268</v>
      </c>
      <c r="Z14" s="43">
        <v>85</v>
      </c>
      <c r="AA14" s="43" t="s">
        <v>278</v>
      </c>
      <c r="AB14" s="43" t="s">
        <v>228</v>
      </c>
      <c r="AC14" s="43" t="s">
        <v>228</v>
      </c>
      <c r="AD14" s="43" t="s">
        <v>228</v>
      </c>
      <c r="AE14" s="43" t="s">
        <v>228</v>
      </c>
      <c r="AF14" s="43" t="s">
        <v>228</v>
      </c>
      <c r="AG14" s="43" t="s">
        <v>228</v>
      </c>
      <c r="AH14" s="43" t="s">
        <v>228</v>
      </c>
      <c r="AI14" s="43" t="s">
        <v>228</v>
      </c>
      <c r="AJ14" t="s">
        <v>468</v>
      </c>
      <c r="AK14">
        <v>1</v>
      </c>
      <c r="AL14">
        <v>1</v>
      </c>
      <c r="AM14" t="s">
        <v>93</v>
      </c>
      <c r="AN14" t="s">
        <v>228</v>
      </c>
      <c r="AO14" t="s">
        <v>526</v>
      </c>
      <c r="AP14" t="s">
        <v>109</v>
      </c>
      <c r="AQ14">
        <v>12</v>
      </c>
      <c r="AR14" t="s">
        <v>521</v>
      </c>
      <c r="AS14" t="s">
        <v>228</v>
      </c>
      <c r="AT14" t="s">
        <v>140</v>
      </c>
      <c r="AU14">
        <v>1</v>
      </c>
      <c r="AV14">
        <v>1</v>
      </c>
      <c r="AW14" t="s">
        <v>535</v>
      </c>
      <c r="AX14" t="s">
        <v>283</v>
      </c>
      <c r="AY14" t="s">
        <v>280</v>
      </c>
      <c r="AZ14">
        <v>5</v>
      </c>
      <c r="BA14" t="s">
        <v>533</v>
      </c>
      <c r="BB14" t="s">
        <v>405</v>
      </c>
      <c r="BC14" t="s">
        <v>395</v>
      </c>
      <c r="BD14" t="s">
        <v>395</v>
      </c>
      <c r="BE14" t="s">
        <v>522</v>
      </c>
      <c r="BF14" t="s">
        <v>523</v>
      </c>
      <c r="BG14" t="s">
        <v>407</v>
      </c>
      <c r="BH14" t="s">
        <v>396</v>
      </c>
      <c r="BI14" t="s">
        <v>524</v>
      </c>
      <c r="BJ14" t="s">
        <v>228</v>
      </c>
      <c r="BK14" t="s">
        <v>228</v>
      </c>
      <c r="BL14" t="s">
        <v>228</v>
      </c>
      <c r="BM14" t="s">
        <v>228</v>
      </c>
      <c r="BN14" t="s">
        <v>228</v>
      </c>
      <c r="BO14" t="s">
        <v>228</v>
      </c>
      <c r="BP14" t="s">
        <v>228</v>
      </c>
      <c r="BQ14" t="s">
        <v>228</v>
      </c>
      <c r="BR14" t="s">
        <v>228</v>
      </c>
      <c r="BS14" t="s">
        <v>409</v>
      </c>
      <c r="BT14">
        <v>1</v>
      </c>
    </row>
    <row r="15" spans="1:77" x14ac:dyDescent="0.15">
      <c r="A15" s="43">
        <v>2023</v>
      </c>
      <c r="B15" s="43">
        <v>1</v>
      </c>
      <c r="C15" s="43">
        <v>1</v>
      </c>
      <c r="D15" s="43">
        <v>8</v>
      </c>
      <c r="E15" s="43" t="s">
        <v>228</v>
      </c>
      <c r="F15" s="43" t="s">
        <v>57</v>
      </c>
      <c r="G15" s="43">
        <v>2016</v>
      </c>
      <c r="H15" s="43">
        <v>12</v>
      </c>
      <c r="I15" s="43" t="s">
        <v>521</v>
      </c>
      <c r="J15" s="43" t="s">
        <v>228</v>
      </c>
      <c r="K15" s="43">
        <v>1983</v>
      </c>
      <c r="L15" s="43">
        <v>1</v>
      </c>
      <c r="M15" s="43">
        <v>1</v>
      </c>
      <c r="N15" s="43" t="s">
        <v>45</v>
      </c>
      <c r="O15" s="43" t="s">
        <v>283</v>
      </c>
      <c r="P15" s="43" t="s">
        <v>280</v>
      </c>
      <c r="Q15" s="43">
        <v>20000</v>
      </c>
      <c r="R15" s="43" t="s">
        <v>59</v>
      </c>
      <c r="S15" s="43" t="s">
        <v>52</v>
      </c>
      <c r="T15" s="43" t="s">
        <v>69</v>
      </c>
      <c r="U15" s="43" t="s">
        <v>228</v>
      </c>
      <c r="V15" s="43">
        <v>500</v>
      </c>
      <c r="W15" s="43" t="s">
        <v>328</v>
      </c>
      <c r="X15" s="43">
        <v>3000</v>
      </c>
      <c r="Y15" s="43" t="s">
        <v>268</v>
      </c>
      <c r="Z15" s="43">
        <v>85</v>
      </c>
      <c r="AA15" s="43" t="s">
        <v>278</v>
      </c>
      <c r="AB15" s="43" t="s">
        <v>228</v>
      </c>
      <c r="AC15" s="43" t="s">
        <v>228</v>
      </c>
      <c r="AD15" s="43" t="s">
        <v>228</v>
      </c>
      <c r="AE15" s="43" t="s">
        <v>228</v>
      </c>
      <c r="AF15" s="43" t="s">
        <v>419</v>
      </c>
      <c r="AG15" s="43" t="s">
        <v>228</v>
      </c>
      <c r="AH15" s="43" t="s">
        <v>228</v>
      </c>
      <c r="AI15" s="43" t="s">
        <v>228</v>
      </c>
      <c r="AJ15" t="s">
        <v>468</v>
      </c>
      <c r="AK15">
        <v>1</v>
      </c>
      <c r="AL15">
        <v>1</v>
      </c>
      <c r="AM15" t="s">
        <v>93</v>
      </c>
      <c r="AN15" t="s">
        <v>228</v>
      </c>
      <c r="AO15" t="s">
        <v>526</v>
      </c>
      <c r="AP15" t="s">
        <v>109</v>
      </c>
      <c r="AQ15">
        <v>12</v>
      </c>
      <c r="AR15" t="s">
        <v>521</v>
      </c>
      <c r="AS15" t="s">
        <v>228</v>
      </c>
      <c r="AT15" t="s">
        <v>140</v>
      </c>
      <c r="AU15">
        <v>1</v>
      </c>
      <c r="AV15">
        <v>1</v>
      </c>
      <c r="AW15" t="s">
        <v>535</v>
      </c>
      <c r="AX15" t="s">
        <v>283</v>
      </c>
      <c r="AY15" t="s">
        <v>280</v>
      </c>
      <c r="AZ15">
        <v>5</v>
      </c>
      <c r="BA15" t="s">
        <v>533</v>
      </c>
      <c r="BB15" t="s">
        <v>405</v>
      </c>
      <c r="BC15" t="s">
        <v>395</v>
      </c>
      <c r="BD15" t="s">
        <v>228</v>
      </c>
      <c r="BE15" t="s">
        <v>522</v>
      </c>
      <c r="BF15" t="s">
        <v>523</v>
      </c>
      <c r="BG15" t="s">
        <v>407</v>
      </c>
      <c r="BH15" t="s">
        <v>396</v>
      </c>
      <c r="BI15" t="s">
        <v>524</v>
      </c>
      <c r="BJ15" t="s">
        <v>228</v>
      </c>
      <c r="BK15" t="s">
        <v>228</v>
      </c>
      <c r="BL15" t="s">
        <v>228</v>
      </c>
      <c r="BM15" t="s">
        <v>228</v>
      </c>
      <c r="BN15" t="s">
        <v>228</v>
      </c>
      <c r="BO15" t="s">
        <v>419</v>
      </c>
      <c r="BP15" t="s">
        <v>228</v>
      </c>
      <c r="BQ15" t="s">
        <v>228</v>
      </c>
      <c r="BR15" t="s">
        <v>228</v>
      </c>
      <c r="BS15" t="s">
        <v>409</v>
      </c>
      <c r="BT15">
        <v>1</v>
      </c>
    </row>
    <row r="16" spans="1:77" x14ac:dyDescent="0.15">
      <c r="A16" s="43">
        <v>2023</v>
      </c>
      <c r="B16" s="43">
        <v>1</v>
      </c>
      <c r="C16" s="43">
        <v>1</v>
      </c>
      <c r="D16" s="43">
        <v>8</v>
      </c>
      <c r="E16" s="43" t="s">
        <v>228</v>
      </c>
      <c r="F16" s="43" t="s">
        <v>57</v>
      </c>
      <c r="G16" s="43">
        <v>2016</v>
      </c>
      <c r="H16" s="43">
        <v>12</v>
      </c>
      <c r="I16" s="43" t="s">
        <v>521</v>
      </c>
      <c r="J16" s="43" t="s">
        <v>228</v>
      </c>
      <c r="K16" s="43">
        <v>1983</v>
      </c>
      <c r="L16" s="43">
        <v>1</v>
      </c>
      <c r="M16" s="43">
        <v>1</v>
      </c>
      <c r="N16" s="43" t="s">
        <v>45</v>
      </c>
      <c r="O16" s="43" t="s">
        <v>283</v>
      </c>
      <c r="P16" s="43" t="s">
        <v>280</v>
      </c>
      <c r="Q16" s="43">
        <v>20000</v>
      </c>
      <c r="R16" s="43" t="s">
        <v>59</v>
      </c>
      <c r="S16" s="43" t="s">
        <v>52</v>
      </c>
      <c r="T16" s="43" t="s">
        <v>69</v>
      </c>
      <c r="U16" s="43" t="s">
        <v>67</v>
      </c>
      <c r="V16" s="43">
        <v>500</v>
      </c>
      <c r="W16" s="43" t="s">
        <v>328</v>
      </c>
      <c r="X16" s="43">
        <v>3000</v>
      </c>
      <c r="Y16" s="43" t="s">
        <v>268</v>
      </c>
      <c r="Z16" s="43">
        <v>85</v>
      </c>
      <c r="AA16" s="43" t="s">
        <v>278</v>
      </c>
      <c r="AB16" s="43" t="s">
        <v>228</v>
      </c>
      <c r="AC16" s="43" t="s">
        <v>228</v>
      </c>
      <c r="AD16" s="43" t="s">
        <v>228</v>
      </c>
      <c r="AE16" s="43" t="s">
        <v>228</v>
      </c>
      <c r="AF16" s="43" t="s">
        <v>419</v>
      </c>
      <c r="AG16" s="43" t="s">
        <v>228</v>
      </c>
      <c r="AH16" s="43" t="s">
        <v>228</v>
      </c>
      <c r="AI16" s="43" t="s">
        <v>228</v>
      </c>
      <c r="AJ16" t="s">
        <v>468</v>
      </c>
      <c r="AK16">
        <v>1</v>
      </c>
      <c r="AL16">
        <v>1</v>
      </c>
      <c r="AM16" t="s">
        <v>93</v>
      </c>
      <c r="AN16" t="s">
        <v>228</v>
      </c>
      <c r="AO16" t="s">
        <v>526</v>
      </c>
      <c r="AP16" t="s">
        <v>109</v>
      </c>
      <c r="AQ16">
        <v>12</v>
      </c>
      <c r="AR16" t="s">
        <v>521</v>
      </c>
      <c r="AS16" t="s">
        <v>228</v>
      </c>
      <c r="AT16" t="s">
        <v>140</v>
      </c>
      <c r="AU16">
        <v>1</v>
      </c>
      <c r="AV16">
        <v>1</v>
      </c>
      <c r="AW16" t="s">
        <v>535</v>
      </c>
      <c r="AX16" t="s">
        <v>283</v>
      </c>
      <c r="AY16" t="s">
        <v>280</v>
      </c>
      <c r="AZ16">
        <v>5</v>
      </c>
      <c r="BA16" t="s">
        <v>533</v>
      </c>
      <c r="BB16" t="s">
        <v>405</v>
      </c>
      <c r="BC16" t="s">
        <v>395</v>
      </c>
      <c r="BD16" t="s">
        <v>534</v>
      </c>
      <c r="BE16" t="s">
        <v>522</v>
      </c>
      <c r="BF16" t="s">
        <v>523</v>
      </c>
      <c r="BG16" t="s">
        <v>407</v>
      </c>
      <c r="BH16" t="s">
        <v>396</v>
      </c>
      <c r="BI16" t="s">
        <v>524</v>
      </c>
      <c r="BJ16" t="s">
        <v>228</v>
      </c>
      <c r="BK16" t="s">
        <v>228</v>
      </c>
      <c r="BL16" t="s">
        <v>228</v>
      </c>
      <c r="BM16" t="s">
        <v>228</v>
      </c>
      <c r="BN16" t="s">
        <v>228</v>
      </c>
      <c r="BO16" t="s">
        <v>419</v>
      </c>
      <c r="BP16" t="s">
        <v>228</v>
      </c>
      <c r="BQ16" t="s">
        <v>228</v>
      </c>
      <c r="BR16" t="s">
        <v>228</v>
      </c>
      <c r="BS16" t="s">
        <v>409</v>
      </c>
      <c r="BT16">
        <v>1</v>
      </c>
    </row>
    <row r="17" spans="1:72" x14ac:dyDescent="0.15">
      <c r="A17" s="43">
        <v>2023</v>
      </c>
      <c r="B17" s="43">
        <v>1</v>
      </c>
      <c r="C17" s="43">
        <v>1</v>
      </c>
      <c r="D17" s="43">
        <v>8</v>
      </c>
      <c r="E17" s="43" t="s">
        <v>228</v>
      </c>
      <c r="F17" s="43" t="s">
        <v>57</v>
      </c>
      <c r="G17" s="43">
        <v>2016</v>
      </c>
      <c r="H17" s="43">
        <v>12</v>
      </c>
      <c r="I17" s="43" t="s">
        <v>521</v>
      </c>
      <c r="J17" s="43" t="s">
        <v>228</v>
      </c>
      <c r="K17" s="43">
        <v>1983</v>
      </c>
      <c r="L17" s="43">
        <v>1</v>
      </c>
      <c r="M17" s="43">
        <v>1</v>
      </c>
      <c r="N17" s="43" t="s">
        <v>45</v>
      </c>
      <c r="O17" s="43" t="s">
        <v>283</v>
      </c>
      <c r="P17" s="43" t="s">
        <v>280</v>
      </c>
      <c r="Q17" s="43">
        <v>20000</v>
      </c>
      <c r="R17" s="43" t="s">
        <v>59</v>
      </c>
      <c r="S17" s="43" t="s">
        <v>52</v>
      </c>
      <c r="T17" s="43" t="s">
        <v>69</v>
      </c>
      <c r="U17" s="43" t="s">
        <v>69</v>
      </c>
      <c r="V17" s="43">
        <v>500</v>
      </c>
      <c r="W17" s="43" t="s">
        <v>328</v>
      </c>
      <c r="X17" s="43">
        <v>3000</v>
      </c>
      <c r="Y17" s="43" t="s">
        <v>268</v>
      </c>
      <c r="Z17" s="43">
        <v>85</v>
      </c>
      <c r="AA17" s="43" t="s">
        <v>278</v>
      </c>
      <c r="AB17" s="43" t="s">
        <v>228</v>
      </c>
      <c r="AC17" s="43" t="s">
        <v>228</v>
      </c>
      <c r="AD17" s="43" t="s">
        <v>228</v>
      </c>
      <c r="AE17" s="43" t="s">
        <v>228</v>
      </c>
      <c r="AF17" s="43" t="s">
        <v>419</v>
      </c>
      <c r="AG17" s="43" t="s">
        <v>228</v>
      </c>
      <c r="AH17" s="43" t="s">
        <v>228</v>
      </c>
      <c r="AI17" s="43" t="s">
        <v>228</v>
      </c>
      <c r="AJ17" t="s">
        <v>468</v>
      </c>
      <c r="AK17">
        <v>1</v>
      </c>
      <c r="AL17">
        <v>1</v>
      </c>
      <c r="AM17" t="s">
        <v>93</v>
      </c>
      <c r="AN17" t="s">
        <v>228</v>
      </c>
      <c r="AO17" t="s">
        <v>526</v>
      </c>
      <c r="AP17" t="s">
        <v>109</v>
      </c>
      <c r="AQ17">
        <v>12</v>
      </c>
      <c r="AR17" t="s">
        <v>521</v>
      </c>
      <c r="AS17" t="s">
        <v>228</v>
      </c>
      <c r="AT17" t="s">
        <v>140</v>
      </c>
      <c r="AU17">
        <v>1</v>
      </c>
      <c r="AV17">
        <v>1</v>
      </c>
      <c r="AW17" t="s">
        <v>535</v>
      </c>
      <c r="AX17" t="s">
        <v>283</v>
      </c>
      <c r="AY17" t="s">
        <v>280</v>
      </c>
      <c r="AZ17">
        <v>5</v>
      </c>
      <c r="BA17" t="s">
        <v>533</v>
      </c>
      <c r="BB17" t="s">
        <v>405</v>
      </c>
      <c r="BC17" t="s">
        <v>395</v>
      </c>
      <c r="BD17" t="s">
        <v>395</v>
      </c>
      <c r="BE17" t="s">
        <v>522</v>
      </c>
      <c r="BF17" t="s">
        <v>523</v>
      </c>
      <c r="BG17" t="s">
        <v>407</v>
      </c>
      <c r="BH17" t="s">
        <v>396</v>
      </c>
      <c r="BI17" t="s">
        <v>524</v>
      </c>
      <c r="BJ17" t="s">
        <v>228</v>
      </c>
      <c r="BK17" t="s">
        <v>228</v>
      </c>
      <c r="BL17" t="s">
        <v>228</v>
      </c>
      <c r="BM17" t="s">
        <v>228</v>
      </c>
      <c r="BN17" t="s">
        <v>228</v>
      </c>
      <c r="BO17" t="s">
        <v>419</v>
      </c>
      <c r="BP17" t="s">
        <v>228</v>
      </c>
      <c r="BQ17" t="s">
        <v>228</v>
      </c>
      <c r="BR17" t="s">
        <v>228</v>
      </c>
      <c r="BS17" t="s">
        <v>409</v>
      </c>
      <c r="BT17">
        <v>1</v>
      </c>
    </row>
    <row r="18" spans="1:72" x14ac:dyDescent="0.15">
      <c r="A18" s="43">
        <v>2023</v>
      </c>
      <c r="B18" s="43">
        <v>1</v>
      </c>
      <c r="C18" s="43">
        <v>1</v>
      </c>
      <c r="D18" s="43">
        <v>8</v>
      </c>
      <c r="E18" s="43" t="s">
        <v>228</v>
      </c>
      <c r="F18" s="43" t="s">
        <v>57</v>
      </c>
      <c r="G18" s="43">
        <v>2016</v>
      </c>
      <c r="H18" s="43">
        <v>12</v>
      </c>
      <c r="I18" s="43" t="s">
        <v>521</v>
      </c>
      <c r="J18" s="43" t="s">
        <v>228</v>
      </c>
      <c r="K18" s="43">
        <v>1983</v>
      </c>
      <c r="L18" s="43">
        <v>1</v>
      </c>
      <c r="M18" s="43">
        <v>1</v>
      </c>
      <c r="N18" s="43" t="s">
        <v>45</v>
      </c>
      <c r="O18" s="43" t="s">
        <v>283</v>
      </c>
      <c r="P18" s="43" t="s">
        <v>280</v>
      </c>
      <c r="Q18" s="43">
        <v>20000</v>
      </c>
      <c r="R18" s="43" t="s">
        <v>59</v>
      </c>
      <c r="S18" s="43" t="s">
        <v>52</v>
      </c>
      <c r="T18" s="43" t="s">
        <v>69</v>
      </c>
      <c r="U18" s="43" t="s">
        <v>228</v>
      </c>
      <c r="V18" s="43">
        <v>500</v>
      </c>
      <c r="W18" s="43" t="s">
        <v>328</v>
      </c>
      <c r="X18" s="43">
        <v>3000</v>
      </c>
      <c r="Y18" s="43" t="s">
        <v>268</v>
      </c>
      <c r="Z18" s="43">
        <v>85</v>
      </c>
      <c r="AA18" s="43" t="s">
        <v>278</v>
      </c>
      <c r="AB18" s="43" t="s">
        <v>228</v>
      </c>
      <c r="AC18" s="43" t="s">
        <v>228</v>
      </c>
      <c r="AD18" s="43" t="s">
        <v>228</v>
      </c>
      <c r="AE18" s="43" t="s">
        <v>228</v>
      </c>
      <c r="AF18" s="43" t="s">
        <v>420</v>
      </c>
      <c r="AG18" s="43" t="s">
        <v>228</v>
      </c>
      <c r="AH18" s="43" t="s">
        <v>228</v>
      </c>
      <c r="AI18" s="43" t="s">
        <v>228</v>
      </c>
      <c r="AJ18" t="s">
        <v>468</v>
      </c>
      <c r="AK18">
        <v>1</v>
      </c>
      <c r="AL18">
        <v>1</v>
      </c>
      <c r="AM18" t="s">
        <v>93</v>
      </c>
      <c r="AN18" t="s">
        <v>228</v>
      </c>
      <c r="AO18" t="s">
        <v>526</v>
      </c>
      <c r="AP18" t="s">
        <v>109</v>
      </c>
      <c r="AQ18">
        <v>12</v>
      </c>
      <c r="AR18" t="s">
        <v>521</v>
      </c>
      <c r="AS18" t="s">
        <v>228</v>
      </c>
      <c r="AT18" t="s">
        <v>140</v>
      </c>
      <c r="AU18">
        <v>1</v>
      </c>
      <c r="AV18">
        <v>1</v>
      </c>
      <c r="AW18" t="s">
        <v>535</v>
      </c>
      <c r="AX18" t="s">
        <v>283</v>
      </c>
      <c r="AY18" t="s">
        <v>280</v>
      </c>
      <c r="AZ18">
        <v>5</v>
      </c>
      <c r="BA18" t="s">
        <v>533</v>
      </c>
      <c r="BB18" t="s">
        <v>405</v>
      </c>
      <c r="BC18" t="s">
        <v>395</v>
      </c>
      <c r="BD18" t="s">
        <v>228</v>
      </c>
      <c r="BE18" t="s">
        <v>522</v>
      </c>
      <c r="BF18" t="s">
        <v>523</v>
      </c>
      <c r="BG18" t="s">
        <v>407</v>
      </c>
      <c r="BH18" t="s">
        <v>396</v>
      </c>
      <c r="BI18" t="s">
        <v>524</v>
      </c>
      <c r="BJ18" t="s">
        <v>228</v>
      </c>
      <c r="BK18" t="s">
        <v>228</v>
      </c>
      <c r="BL18" t="s">
        <v>228</v>
      </c>
      <c r="BM18" t="s">
        <v>228</v>
      </c>
      <c r="BN18" t="s">
        <v>228</v>
      </c>
      <c r="BO18" t="s">
        <v>420</v>
      </c>
      <c r="BP18" t="s">
        <v>228</v>
      </c>
      <c r="BQ18" t="s">
        <v>228</v>
      </c>
      <c r="BR18" t="s">
        <v>228</v>
      </c>
      <c r="BS18" t="s">
        <v>409</v>
      </c>
      <c r="BT18">
        <v>1</v>
      </c>
    </row>
    <row r="19" spans="1:72" x14ac:dyDescent="0.15">
      <c r="A19" s="43">
        <v>2023</v>
      </c>
      <c r="B19" s="43">
        <v>1</v>
      </c>
      <c r="C19" s="43">
        <v>1</v>
      </c>
      <c r="D19" s="43">
        <v>8</v>
      </c>
      <c r="E19" s="43" t="s">
        <v>228</v>
      </c>
      <c r="F19" s="43" t="s">
        <v>57</v>
      </c>
      <c r="G19" s="43">
        <v>2016</v>
      </c>
      <c r="H19" s="43">
        <v>12</v>
      </c>
      <c r="I19" s="43" t="s">
        <v>521</v>
      </c>
      <c r="J19" s="43" t="s">
        <v>228</v>
      </c>
      <c r="K19" s="43">
        <v>1983</v>
      </c>
      <c r="L19" s="43">
        <v>1</v>
      </c>
      <c r="M19" s="43">
        <v>1</v>
      </c>
      <c r="N19" s="43" t="s">
        <v>45</v>
      </c>
      <c r="O19" s="43" t="s">
        <v>283</v>
      </c>
      <c r="P19" s="43" t="s">
        <v>280</v>
      </c>
      <c r="Q19" s="43">
        <v>20000</v>
      </c>
      <c r="R19" s="43" t="s">
        <v>59</v>
      </c>
      <c r="S19" s="43" t="s">
        <v>52</v>
      </c>
      <c r="T19" s="43" t="s">
        <v>69</v>
      </c>
      <c r="U19" s="43" t="s">
        <v>67</v>
      </c>
      <c r="V19" s="43">
        <v>500</v>
      </c>
      <c r="W19" s="43" t="s">
        <v>328</v>
      </c>
      <c r="X19" s="43">
        <v>3000</v>
      </c>
      <c r="Y19" s="43" t="s">
        <v>268</v>
      </c>
      <c r="Z19" s="43">
        <v>85</v>
      </c>
      <c r="AA19" s="43" t="s">
        <v>278</v>
      </c>
      <c r="AB19" s="43" t="s">
        <v>228</v>
      </c>
      <c r="AC19" s="43" t="s">
        <v>228</v>
      </c>
      <c r="AD19" s="43" t="s">
        <v>228</v>
      </c>
      <c r="AE19" s="43" t="s">
        <v>228</v>
      </c>
      <c r="AF19" s="43" t="s">
        <v>420</v>
      </c>
      <c r="AG19" s="43" t="s">
        <v>228</v>
      </c>
      <c r="AH19" s="43" t="s">
        <v>228</v>
      </c>
      <c r="AI19" s="43" t="s">
        <v>228</v>
      </c>
      <c r="AJ19" t="s">
        <v>468</v>
      </c>
      <c r="AK19">
        <v>1</v>
      </c>
      <c r="AL19">
        <v>1</v>
      </c>
      <c r="AM19" t="s">
        <v>93</v>
      </c>
      <c r="AN19" t="s">
        <v>228</v>
      </c>
      <c r="AO19" t="s">
        <v>526</v>
      </c>
      <c r="AP19" t="s">
        <v>109</v>
      </c>
      <c r="AQ19">
        <v>12</v>
      </c>
      <c r="AR19" t="s">
        <v>521</v>
      </c>
      <c r="AS19" t="s">
        <v>228</v>
      </c>
      <c r="AT19" t="s">
        <v>140</v>
      </c>
      <c r="AU19">
        <v>1</v>
      </c>
      <c r="AV19">
        <v>1</v>
      </c>
      <c r="AW19" t="s">
        <v>535</v>
      </c>
      <c r="AX19" t="s">
        <v>283</v>
      </c>
      <c r="AY19" t="s">
        <v>280</v>
      </c>
      <c r="AZ19">
        <v>5</v>
      </c>
      <c r="BA19" t="s">
        <v>533</v>
      </c>
      <c r="BB19" t="s">
        <v>405</v>
      </c>
      <c r="BC19" t="s">
        <v>395</v>
      </c>
      <c r="BD19" t="s">
        <v>534</v>
      </c>
      <c r="BE19" t="s">
        <v>522</v>
      </c>
      <c r="BF19" t="s">
        <v>523</v>
      </c>
      <c r="BG19" t="s">
        <v>407</v>
      </c>
      <c r="BH19" t="s">
        <v>396</v>
      </c>
      <c r="BI19" t="s">
        <v>524</v>
      </c>
      <c r="BJ19" t="s">
        <v>228</v>
      </c>
      <c r="BK19" t="s">
        <v>228</v>
      </c>
      <c r="BL19" t="s">
        <v>228</v>
      </c>
      <c r="BM19" t="s">
        <v>228</v>
      </c>
      <c r="BN19" t="s">
        <v>228</v>
      </c>
      <c r="BO19" t="s">
        <v>420</v>
      </c>
      <c r="BP19" t="s">
        <v>228</v>
      </c>
      <c r="BQ19" t="s">
        <v>228</v>
      </c>
      <c r="BR19" t="s">
        <v>228</v>
      </c>
      <c r="BS19" t="s">
        <v>409</v>
      </c>
      <c r="BT19">
        <v>1</v>
      </c>
    </row>
    <row r="20" spans="1:72" x14ac:dyDescent="0.15">
      <c r="A20" s="43">
        <v>2023</v>
      </c>
      <c r="B20" s="43">
        <v>1</v>
      </c>
      <c r="C20" s="43">
        <v>1</v>
      </c>
      <c r="D20" s="43">
        <v>8</v>
      </c>
      <c r="E20" s="43" t="s">
        <v>228</v>
      </c>
      <c r="F20" s="43" t="s">
        <v>57</v>
      </c>
      <c r="G20" s="43">
        <v>2016</v>
      </c>
      <c r="H20" s="43">
        <v>12</v>
      </c>
      <c r="I20" s="43" t="s">
        <v>521</v>
      </c>
      <c r="J20" s="43" t="s">
        <v>228</v>
      </c>
      <c r="K20" s="43">
        <v>1983</v>
      </c>
      <c r="L20" s="43">
        <v>1</v>
      </c>
      <c r="M20" s="43">
        <v>1</v>
      </c>
      <c r="N20" s="43" t="s">
        <v>45</v>
      </c>
      <c r="O20" s="43" t="s">
        <v>283</v>
      </c>
      <c r="P20" s="43" t="s">
        <v>280</v>
      </c>
      <c r="Q20" s="43">
        <v>20000</v>
      </c>
      <c r="R20" s="43" t="s">
        <v>59</v>
      </c>
      <c r="S20" s="43" t="s">
        <v>52</v>
      </c>
      <c r="T20" s="43" t="s">
        <v>69</v>
      </c>
      <c r="U20" s="43" t="s">
        <v>69</v>
      </c>
      <c r="V20" s="43">
        <v>500</v>
      </c>
      <c r="W20" s="43" t="s">
        <v>328</v>
      </c>
      <c r="X20" s="43">
        <v>3000</v>
      </c>
      <c r="Y20" s="43" t="s">
        <v>268</v>
      </c>
      <c r="Z20" s="43">
        <v>85</v>
      </c>
      <c r="AA20" s="43" t="s">
        <v>278</v>
      </c>
      <c r="AB20" s="43" t="s">
        <v>228</v>
      </c>
      <c r="AC20" s="43" t="s">
        <v>228</v>
      </c>
      <c r="AD20" s="43" t="s">
        <v>228</v>
      </c>
      <c r="AE20" s="43" t="s">
        <v>228</v>
      </c>
      <c r="AF20" s="43" t="s">
        <v>420</v>
      </c>
      <c r="AG20" s="43" t="s">
        <v>228</v>
      </c>
      <c r="AH20" s="43" t="s">
        <v>228</v>
      </c>
      <c r="AI20" s="43" t="s">
        <v>228</v>
      </c>
      <c r="AJ20" t="s">
        <v>468</v>
      </c>
      <c r="AK20">
        <v>1</v>
      </c>
      <c r="AL20">
        <v>1</v>
      </c>
      <c r="AM20" t="s">
        <v>93</v>
      </c>
      <c r="AN20" t="s">
        <v>228</v>
      </c>
      <c r="AO20" t="s">
        <v>526</v>
      </c>
      <c r="AP20" t="s">
        <v>109</v>
      </c>
      <c r="AQ20">
        <v>12</v>
      </c>
      <c r="AR20" t="s">
        <v>521</v>
      </c>
      <c r="AS20" t="s">
        <v>228</v>
      </c>
      <c r="AT20" t="s">
        <v>140</v>
      </c>
      <c r="AU20">
        <v>1</v>
      </c>
      <c r="AV20">
        <v>1</v>
      </c>
      <c r="AW20" t="s">
        <v>535</v>
      </c>
      <c r="AX20" t="s">
        <v>283</v>
      </c>
      <c r="AY20" t="s">
        <v>280</v>
      </c>
      <c r="AZ20">
        <v>5</v>
      </c>
      <c r="BA20" t="s">
        <v>533</v>
      </c>
      <c r="BB20" t="s">
        <v>405</v>
      </c>
      <c r="BC20" t="s">
        <v>395</v>
      </c>
      <c r="BD20" t="s">
        <v>395</v>
      </c>
      <c r="BE20" t="s">
        <v>522</v>
      </c>
      <c r="BF20" t="s">
        <v>523</v>
      </c>
      <c r="BG20" t="s">
        <v>407</v>
      </c>
      <c r="BH20" t="s">
        <v>396</v>
      </c>
      <c r="BI20" t="s">
        <v>524</v>
      </c>
      <c r="BJ20" t="s">
        <v>228</v>
      </c>
      <c r="BK20" t="s">
        <v>228</v>
      </c>
      <c r="BL20" t="s">
        <v>228</v>
      </c>
      <c r="BM20" t="s">
        <v>228</v>
      </c>
      <c r="BN20" t="s">
        <v>228</v>
      </c>
      <c r="BO20" t="s">
        <v>420</v>
      </c>
      <c r="BP20" t="s">
        <v>228</v>
      </c>
      <c r="BQ20" t="s">
        <v>228</v>
      </c>
      <c r="BR20" t="s">
        <v>228</v>
      </c>
      <c r="BS20" t="s">
        <v>409</v>
      </c>
      <c r="BT20">
        <v>1</v>
      </c>
    </row>
    <row r="21" spans="1:72" x14ac:dyDescent="0.15">
      <c r="A21" s="43">
        <v>2023</v>
      </c>
      <c r="B21" s="43">
        <v>1</v>
      </c>
      <c r="C21" s="43">
        <v>1</v>
      </c>
      <c r="D21" s="43">
        <v>8</v>
      </c>
      <c r="E21" s="43" t="s">
        <v>228</v>
      </c>
      <c r="F21" s="43" t="s">
        <v>57</v>
      </c>
      <c r="G21" s="43">
        <v>2016</v>
      </c>
      <c r="H21" s="43">
        <v>12</v>
      </c>
      <c r="I21" s="43" t="s">
        <v>521</v>
      </c>
      <c r="J21" s="43" t="s">
        <v>228</v>
      </c>
      <c r="K21" s="43">
        <v>1983</v>
      </c>
      <c r="L21" s="43">
        <v>1</v>
      </c>
      <c r="M21" s="43">
        <v>1</v>
      </c>
      <c r="N21" s="43" t="s">
        <v>45</v>
      </c>
      <c r="O21" s="43" t="s">
        <v>283</v>
      </c>
      <c r="P21" s="43" t="s">
        <v>280</v>
      </c>
      <c r="Q21" s="43">
        <v>20000</v>
      </c>
      <c r="R21" s="43" t="s">
        <v>59</v>
      </c>
      <c r="S21" s="43" t="s">
        <v>52</v>
      </c>
      <c r="T21" s="43" t="s">
        <v>69</v>
      </c>
      <c r="U21" s="43" t="s">
        <v>228</v>
      </c>
      <c r="V21" s="43">
        <v>500</v>
      </c>
      <c r="W21" s="43" t="s">
        <v>328</v>
      </c>
      <c r="X21" s="43">
        <v>3000</v>
      </c>
      <c r="Y21" s="43" t="s">
        <v>268</v>
      </c>
      <c r="Z21" s="43">
        <v>85</v>
      </c>
      <c r="AA21" s="43" t="s">
        <v>278</v>
      </c>
      <c r="AB21" s="43" t="s">
        <v>228</v>
      </c>
      <c r="AC21" s="43" t="s">
        <v>228</v>
      </c>
      <c r="AD21" s="43" t="s">
        <v>228</v>
      </c>
      <c r="AE21" s="43" t="s">
        <v>67</v>
      </c>
      <c r="AF21" s="43" t="s">
        <v>228</v>
      </c>
      <c r="AG21" s="43" t="s">
        <v>228</v>
      </c>
      <c r="AH21" s="43" t="s">
        <v>228</v>
      </c>
      <c r="AI21" s="43" t="s">
        <v>228</v>
      </c>
      <c r="AJ21" t="s">
        <v>468</v>
      </c>
      <c r="AK21">
        <v>1</v>
      </c>
      <c r="AL21">
        <v>1</v>
      </c>
      <c r="AM21" t="s">
        <v>93</v>
      </c>
      <c r="AN21" t="s">
        <v>228</v>
      </c>
      <c r="AO21" t="s">
        <v>526</v>
      </c>
      <c r="AP21" t="s">
        <v>109</v>
      </c>
      <c r="AQ21">
        <v>12</v>
      </c>
      <c r="AR21" t="s">
        <v>521</v>
      </c>
      <c r="AS21" t="s">
        <v>228</v>
      </c>
      <c r="AT21" t="s">
        <v>140</v>
      </c>
      <c r="AU21">
        <v>1</v>
      </c>
      <c r="AV21">
        <v>1</v>
      </c>
      <c r="AW21" t="s">
        <v>535</v>
      </c>
      <c r="AX21" t="s">
        <v>283</v>
      </c>
      <c r="AY21" t="s">
        <v>280</v>
      </c>
      <c r="AZ21">
        <v>5</v>
      </c>
      <c r="BA21" t="s">
        <v>533</v>
      </c>
      <c r="BB21" t="s">
        <v>405</v>
      </c>
      <c r="BC21" t="s">
        <v>395</v>
      </c>
      <c r="BD21" t="s">
        <v>228</v>
      </c>
      <c r="BE21" t="s">
        <v>522</v>
      </c>
      <c r="BF21" t="s">
        <v>523</v>
      </c>
      <c r="BG21" t="s">
        <v>407</v>
      </c>
      <c r="BH21" t="s">
        <v>396</v>
      </c>
      <c r="BI21" t="s">
        <v>524</v>
      </c>
      <c r="BJ21" t="s">
        <v>228</v>
      </c>
      <c r="BK21" t="s">
        <v>228</v>
      </c>
      <c r="BL21" t="s">
        <v>228</v>
      </c>
      <c r="BM21" t="s">
        <v>228</v>
      </c>
      <c r="BN21" t="s">
        <v>67</v>
      </c>
      <c r="BO21" t="s">
        <v>228</v>
      </c>
      <c r="BP21" t="s">
        <v>228</v>
      </c>
      <c r="BQ21" t="s">
        <v>228</v>
      </c>
      <c r="BR21" t="s">
        <v>228</v>
      </c>
      <c r="BS21" t="s">
        <v>409</v>
      </c>
      <c r="BT21">
        <v>0</v>
      </c>
    </row>
    <row r="22" spans="1:72" x14ac:dyDescent="0.15">
      <c r="A22" s="43">
        <v>2023</v>
      </c>
      <c r="B22" s="43">
        <v>1</v>
      </c>
      <c r="C22" s="43">
        <v>1</v>
      </c>
      <c r="D22" s="43">
        <v>8</v>
      </c>
      <c r="E22" s="43" t="s">
        <v>228</v>
      </c>
      <c r="F22" s="43" t="s">
        <v>57</v>
      </c>
      <c r="G22" s="43">
        <v>2016</v>
      </c>
      <c r="H22" s="43">
        <v>12</v>
      </c>
      <c r="I22" s="43" t="s">
        <v>521</v>
      </c>
      <c r="J22" s="43" t="s">
        <v>228</v>
      </c>
      <c r="K22" s="43">
        <v>1983</v>
      </c>
      <c r="L22" s="43">
        <v>1</v>
      </c>
      <c r="M22" s="43">
        <v>1</v>
      </c>
      <c r="N22" s="43" t="s">
        <v>48</v>
      </c>
      <c r="O22" s="43" t="s">
        <v>283</v>
      </c>
      <c r="P22" s="43" t="s">
        <v>280</v>
      </c>
      <c r="Q22" s="43">
        <v>20000</v>
      </c>
      <c r="R22" s="43" t="s">
        <v>59</v>
      </c>
      <c r="S22" s="43" t="s">
        <v>52</v>
      </c>
      <c r="T22" s="43" t="s">
        <v>69</v>
      </c>
      <c r="U22" s="43" t="s">
        <v>228</v>
      </c>
      <c r="V22" s="43">
        <v>500</v>
      </c>
      <c r="W22" s="43" t="s">
        <v>328</v>
      </c>
      <c r="X22" s="43">
        <v>3000</v>
      </c>
      <c r="Y22" s="43" t="s">
        <v>268</v>
      </c>
      <c r="Z22" s="43">
        <v>85</v>
      </c>
      <c r="AA22" s="43" t="s">
        <v>278</v>
      </c>
      <c r="AB22" s="43" t="s">
        <v>228</v>
      </c>
      <c r="AC22" s="43" t="s">
        <v>228</v>
      </c>
      <c r="AD22" s="43" t="s">
        <v>228</v>
      </c>
      <c r="AE22" s="43" t="s">
        <v>228</v>
      </c>
      <c r="AF22" s="43" t="s">
        <v>228</v>
      </c>
      <c r="AG22" s="43" t="s">
        <v>228</v>
      </c>
      <c r="AH22" s="43" t="s">
        <v>228</v>
      </c>
      <c r="AI22" s="43" t="s">
        <v>228</v>
      </c>
      <c r="AJ22" t="s">
        <v>468</v>
      </c>
      <c r="AK22">
        <v>1</v>
      </c>
      <c r="AL22">
        <v>1</v>
      </c>
      <c r="AM22" t="s">
        <v>93</v>
      </c>
      <c r="AN22" t="s">
        <v>228</v>
      </c>
      <c r="AO22" t="s">
        <v>526</v>
      </c>
      <c r="AP22" t="s">
        <v>109</v>
      </c>
      <c r="AQ22">
        <v>12</v>
      </c>
      <c r="AR22" t="s">
        <v>521</v>
      </c>
      <c r="AS22" t="s">
        <v>228</v>
      </c>
      <c r="AT22" t="s">
        <v>140</v>
      </c>
      <c r="AU22">
        <v>1</v>
      </c>
      <c r="AV22">
        <v>1</v>
      </c>
      <c r="AW22" t="s">
        <v>406</v>
      </c>
      <c r="AX22" t="s">
        <v>283</v>
      </c>
      <c r="AY22" t="s">
        <v>280</v>
      </c>
      <c r="AZ22">
        <v>5</v>
      </c>
      <c r="BA22" t="s">
        <v>533</v>
      </c>
      <c r="BB22" t="s">
        <v>405</v>
      </c>
      <c r="BC22" t="s">
        <v>395</v>
      </c>
      <c r="BD22" t="s">
        <v>228</v>
      </c>
      <c r="BE22" t="s">
        <v>522</v>
      </c>
      <c r="BF22" t="s">
        <v>523</v>
      </c>
      <c r="BG22" t="s">
        <v>407</v>
      </c>
      <c r="BH22" t="s">
        <v>396</v>
      </c>
      <c r="BI22" t="s">
        <v>524</v>
      </c>
      <c r="BJ22" t="s">
        <v>228</v>
      </c>
      <c r="BK22" t="s">
        <v>228</v>
      </c>
      <c r="BL22" t="s">
        <v>228</v>
      </c>
      <c r="BM22" t="s">
        <v>228</v>
      </c>
      <c r="BN22" t="s">
        <v>228</v>
      </c>
      <c r="BO22" t="s">
        <v>228</v>
      </c>
      <c r="BP22" t="s">
        <v>228</v>
      </c>
      <c r="BQ22" t="s">
        <v>228</v>
      </c>
      <c r="BR22" t="s">
        <v>228</v>
      </c>
      <c r="BS22" t="s">
        <v>409</v>
      </c>
      <c r="BT22">
        <v>1</v>
      </c>
    </row>
    <row r="23" spans="1:72" x14ac:dyDescent="0.15">
      <c r="A23" s="43">
        <v>2023</v>
      </c>
      <c r="B23" s="43">
        <v>1</v>
      </c>
      <c r="C23" s="43">
        <v>1</v>
      </c>
      <c r="D23" s="43">
        <v>8</v>
      </c>
      <c r="E23" s="43" t="s">
        <v>228</v>
      </c>
      <c r="F23" s="43" t="s">
        <v>57</v>
      </c>
      <c r="G23" s="43">
        <v>2016</v>
      </c>
      <c r="H23" s="43">
        <v>12</v>
      </c>
      <c r="I23" s="43" t="s">
        <v>521</v>
      </c>
      <c r="J23" s="43" t="s">
        <v>228</v>
      </c>
      <c r="K23" s="43">
        <v>1983</v>
      </c>
      <c r="L23" s="43">
        <v>1</v>
      </c>
      <c r="M23" s="43">
        <v>1</v>
      </c>
      <c r="N23" s="43" t="s">
        <v>48</v>
      </c>
      <c r="O23" s="43" t="s">
        <v>283</v>
      </c>
      <c r="P23" s="43" t="s">
        <v>280</v>
      </c>
      <c r="Q23" s="43">
        <v>20000</v>
      </c>
      <c r="R23" s="43" t="s">
        <v>59</v>
      </c>
      <c r="S23" s="43" t="s">
        <v>52</v>
      </c>
      <c r="T23" s="43" t="s">
        <v>69</v>
      </c>
      <c r="U23" s="43" t="s">
        <v>67</v>
      </c>
      <c r="V23" s="43">
        <v>500</v>
      </c>
      <c r="W23" s="43" t="s">
        <v>328</v>
      </c>
      <c r="X23" s="43">
        <v>3000</v>
      </c>
      <c r="Y23" s="43" t="s">
        <v>268</v>
      </c>
      <c r="Z23" s="43">
        <v>85</v>
      </c>
      <c r="AA23" s="43" t="s">
        <v>278</v>
      </c>
      <c r="AB23" s="43" t="s">
        <v>228</v>
      </c>
      <c r="AC23" s="43" t="s">
        <v>228</v>
      </c>
      <c r="AD23" s="43" t="s">
        <v>228</v>
      </c>
      <c r="AE23" s="43" t="s">
        <v>228</v>
      </c>
      <c r="AF23" s="43" t="s">
        <v>228</v>
      </c>
      <c r="AG23" s="43" t="s">
        <v>228</v>
      </c>
      <c r="AH23" s="43" t="s">
        <v>228</v>
      </c>
      <c r="AI23" s="43" t="s">
        <v>228</v>
      </c>
      <c r="AJ23" t="s">
        <v>468</v>
      </c>
      <c r="AK23">
        <v>1</v>
      </c>
      <c r="AL23">
        <v>1</v>
      </c>
      <c r="AM23" t="s">
        <v>93</v>
      </c>
      <c r="AN23" t="s">
        <v>228</v>
      </c>
      <c r="AO23" t="s">
        <v>526</v>
      </c>
      <c r="AP23" t="s">
        <v>109</v>
      </c>
      <c r="AQ23">
        <v>12</v>
      </c>
      <c r="AR23" t="s">
        <v>521</v>
      </c>
      <c r="AS23" t="s">
        <v>228</v>
      </c>
      <c r="AT23" t="s">
        <v>140</v>
      </c>
      <c r="AU23">
        <v>1</v>
      </c>
      <c r="AV23">
        <v>1</v>
      </c>
      <c r="AW23" t="s">
        <v>406</v>
      </c>
      <c r="AX23" t="s">
        <v>283</v>
      </c>
      <c r="AY23" t="s">
        <v>280</v>
      </c>
      <c r="AZ23">
        <v>5</v>
      </c>
      <c r="BA23" t="s">
        <v>533</v>
      </c>
      <c r="BB23" t="s">
        <v>405</v>
      </c>
      <c r="BC23" t="s">
        <v>395</v>
      </c>
      <c r="BD23" t="s">
        <v>534</v>
      </c>
      <c r="BE23" t="s">
        <v>522</v>
      </c>
      <c r="BF23" t="s">
        <v>523</v>
      </c>
      <c r="BG23" t="s">
        <v>407</v>
      </c>
      <c r="BH23" t="s">
        <v>396</v>
      </c>
      <c r="BI23" t="s">
        <v>524</v>
      </c>
      <c r="BJ23" t="s">
        <v>228</v>
      </c>
      <c r="BK23" t="s">
        <v>228</v>
      </c>
      <c r="BL23" t="s">
        <v>228</v>
      </c>
      <c r="BM23" t="s">
        <v>228</v>
      </c>
      <c r="BN23" t="s">
        <v>228</v>
      </c>
      <c r="BO23" t="s">
        <v>228</v>
      </c>
      <c r="BP23" t="s">
        <v>228</v>
      </c>
      <c r="BQ23" t="s">
        <v>228</v>
      </c>
      <c r="BR23" t="s">
        <v>228</v>
      </c>
      <c r="BS23" t="s">
        <v>409</v>
      </c>
      <c r="BT23">
        <v>1</v>
      </c>
    </row>
    <row r="24" spans="1:72" x14ac:dyDescent="0.15">
      <c r="A24" s="43">
        <v>2023</v>
      </c>
      <c r="B24" s="43">
        <v>1</v>
      </c>
      <c r="C24" s="43">
        <v>1</v>
      </c>
      <c r="D24" s="43">
        <v>8</v>
      </c>
      <c r="E24" s="43" t="s">
        <v>228</v>
      </c>
      <c r="F24" s="43" t="s">
        <v>57</v>
      </c>
      <c r="G24" s="43">
        <v>2016</v>
      </c>
      <c r="H24" s="43">
        <v>12</v>
      </c>
      <c r="I24" s="43" t="s">
        <v>521</v>
      </c>
      <c r="J24" s="43" t="s">
        <v>228</v>
      </c>
      <c r="K24" s="43">
        <v>1983</v>
      </c>
      <c r="L24" s="43">
        <v>1</v>
      </c>
      <c r="M24" s="43">
        <v>1</v>
      </c>
      <c r="N24" s="43" t="s">
        <v>48</v>
      </c>
      <c r="O24" s="43" t="s">
        <v>283</v>
      </c>
      <c r="P24" s="43" t="s">
        <v>280</v>
      </c>
      <c r="Q24" s="43">
        <v>20000</v>
      </c>
      <c r="R24" s="43" t="s">
        <v>59</v>
      </c>
      <c r="S24" s="43" t="s">
        <v>52</v>
      </c>
      <c r="T24" s="43" t="s">
        <v>69</v>
      </c>
      <c r="U24" s="43" t="s">
        <v>69</v>
      </c>
      <c r="V24" s="43">
        <v>500</v>
      </c>
      <c r="W24" s="43" t="s">
        <v>328</v>
      </c>
      <c r="X24" s="43">
        <v>3000</v>
      </c>
      <c r="Y24" s="43" t="s">
        <v>268</v>
      </c>
      <c r="Z24" s="43">
        <v>85</v>
      </c>
      <c r="AA24" s="43" t="s">
        <v>278</v>
      </c>
      <c r="AB24" s="43" t="s">
        <v>228</v>
      </c>
      <c r="AC24" s="43" t="s">
        <v>228</v>
      </c>
      <c r="AD24" s="43" t="s">
        <v>228</v>
      </c>
      <c r="AE24" s="43" t="s">
        <v>228</v>
      </c>
      <c r="AF24" s="43" t="s">
        <v>228</v>
      </c>
      <c r="AG24" s="43" t="s">
        <v>228</v>
      </c>
      <c r="AH24" s="43" t="s">
        <v>228</v>
      </c>
      <c r="AI24" s="43" t="s">
        <v>228</v>
      </c>
      <c r="AJ24" t="s">
        <v>468</v>
      </c>
      <c r="AK24">
        <v>1</v>
      </c>
      <c r="AL24">
        <v>1</v>
      </c>
      <c r="AM24" t="s">
        <v>93</v>
      </c>
      <c r="AN24" t="s">
        <v>228</v>
      </c>
      <c r="AO24" t="s">
        <v>526</v>
      </c>
      <c r="AP24" t="s">
        <v>109</v>
      </c>
      <c r="AQ24">
        <v>12</v>
      </c>
      <c r="AR24" t="s">
        <v>521</v>
      </c>
      <c r="AS24" t="s">
        <v>228</v>
      </c>
      <c r="AT24" t="s">
        <v>140</v>
      </c>
      <c r="AU24">
        <v>1</v>
      </c>
      <c r="AV24">
        <v>1</v>
      </c>
      <c r="AW24" t="s">
        <v>406</v>
      </c>
      <c r="AX24" t="s">
        <v>283</v>
      </c>
      <c r="AY24" t="s">
        <v>280</v>
      </c>
      <c r="AZ24">
        <v>5</v>
      </c>
      <c r="BA24" t="s">
        <v>533</v>
      </c>
      <c r="BB24" t="s">
        <v>405</v>
      </c>
      <c r="BC24" t="s">
        <v>395</v>
      </c>
      <c r="BD24" t="s">
        <v>395</v>
      </c>
      <c r="BE24" t="s">
        <v>522</v>
      </c>
      <c r="BF24" t="s">
        <v>523</v>
      </c>
      <c r="BG24" t="s">
        <v>407</v>
      </c>
      <c r="BH24" t="s">
        <v>396</v>
      </c>
      <c r="BI24" t="s">
        <v>524</v>
      </c>
      <c r="BJ24" t="s">
        <v>228</v>
      </c>
      <c r="BK24" t="s">
        <v>228</v>
      </c>
      <c r="BL24" t="s">
        <v>228</v>
      </c>
      <c r="BM24" t="s">
        <v>228</v>
      </c>
      <c r="BN24" t="s">
        <v>228</v>
      </c>
      <c r="BO24" t="s">
        <v>228</v>
      </c>
      <c r="BP24" t="s">
        <v>228</v>
      </c>
      <c r="BQ24" t="s">
        <v>228</v>
      </c>
      <c r="BR24" t="s">
        <v>228</v>
      </c>
      <c r="BS24" t="s">
        <v>409</v>
      </c>
      <c r="BT24">
        <v>1</v>
      </c>
    </row>
    <row r="25" spans="1:72" x14ac:dyDescent="0.15">
      <c r="A25" s="43">
        <v>2023</v>
      </c>
      <c r="B25" s="43">
        <v>1</v>
      </c>
      <c r="C25" s="43">
        <v>1</v>
      </c>
      <c r="D25" s="43">
        <v>8</v>
      </c>
      <c r="E25" s="43" t="s">
        <v>228</v>
      </c>
      <c r="F25" s="43" t="s">
        <v>57</v>
      </c>
      <c r="G25" s="43">
        <v>2016</v>
      </c>
      <c r="H25" s="43">
        <v>12</v>
      </c>
      <c r="I25" s="43" t="s">
        <v>521</v>
      </c>
      <c r="J25" s="43" t="s">
        <v>228</v>
      </c>
      <c r="K25" s="43">
        <v>1983</v>
      </c>
      <c r="L25" s="43">
        <v>1</v>
      </c>
      <c r="M25" s="43">
        <v>1</v>
      </c>
      <c r="N25" s="43" t="s">
        <v>48</v>
      </c>
      <c r="O25" s="43" t="s">
        <v>283</v>
      </c>
      <c r="P25" s="43" t="s">
        <v>280</v>
      </c>
      <c r="Q25" s="43">
        <v>20000</v>
      </c>
      <c r="R25" s="43" t="s">
        <v>59</v>
      </c>
      <c r="S25" s="43" t="s">
        <v>52</v>
      </c>
      <c r="T25" s="43" t="s">
        <v>69</v>
      </c>
      <c r="U25" s="43" t="s">
        <v>228</v>
      </c>
      <c r="V25" s="43">
        <v>500</v>
      </c>
      <c r="W25" s="43" t="s">
        <v>328</v>
      </c>
      <c r="X25" s="43">
        <v>3000</v>
      </c>
      <c r="Y25" s="43" t="s">
        <v>268</v>
      </c>
      <c r="Z25" s="43">
        <v>85</v>
      </c>
      <c r="AA25" s="43" t="s">
        <v>278</v>
      </c>
      <c r="AB25" s="43" t="s">
        <v>228</v>
      </c>
      <c r="AC25" s="43" t="s">
        <v>228</v>
      </c>
      <c r="AD25" s="43" t="s">
        <v>228</v>
      </c>
      <c r="AE25" s="43" t="s">
        <v>228</v>
      </c>
      <c r="AF25" s="43" t="s">
        <v>419</v>
      </c>
      <c r="AG25" s="43" t="s">
        <v>228</v>
      </c>
      <c r="AH25" s="43" t="s">
        <v>228</v>
      </c>
      <c r="AI25" s="43" t="s">
        <v>228</v>
      </c>
      <c r="AJ25" t="s">
        <v>468</v>
      </c>
      <c r="AK25">
        <v>1</v>
      </c>
      <c r="AL25">
        <v>1</v>
      </c>
      <c r="AM25" t="s">
        <v>93</v>
      </c>
      <c r="AN25" t="s">
        <v>228</v>
      </c>
      <c r="AO25" t="s">
        <v>526</v>
      </c>
      <c r="AP25" t="s">
        <v>109</v>
      </c>
      <c r="AQ25">
        <v>12</v>
      </c>
      <c r="AR25" t="s">
        <v>521</v>
      </c>
      <c r="AS25" t="s">
        <v>228</v>
      </c>
      <c r="AT25" t="s">
        <v>140</v>
      </c>
      <c r="AU25">
        <v>1</v>
      </c>
      <c r="AV25">
        <v>1</v>
      </c>
      <c r="AW25" t="s">
        <v>406</v>
      </c>
      <c r="AX25" t="s">
        <v>283</v>
      </c>
      <c r="AY25" t="s">
        <v>280</v>
      </c>
      <c r="AZ25">
        <v>5</v>
      </c>
      <c r="BA25" t="s">
        <v>533</v>
      </c>
      <c r="BB25" t="s">
        <v>405</v>
      </c>
      <c r="BC25" t="s">
        <v>395</v>
      </c>
      <c r="BD25" t="s">
        <v>228</v>
      </c>
      <c r="BE25" t="s">
        <v>522</v>
      </c>
      <c r="BF25" t="s">
        <v>523</v>
      </c>
      <c r="BG25" t="s">
        <v>407</v>
      </c>
      <c r="BH25" t="s">
        <v>396</v>
      </c>
      <c r="BI25" t="s">
        <v>524</v>
      </c>
      <c r="BJ25" t="s">
        <v>228</v>
      </c>
      <c r="BK25" t="s">
        <v>228</v>
      </c>
      <c r="BL25" t="s">
        <v>228</v>
      </c>
      <c r="BM25" t="s">
        <v>228</v>
      </c>
      <c r="BN25" t="s">
        <v>228</v>
      </c>
      <c r="BO25" t="s">
        <v>419</v>
      </c>
      <c r="BP25" t="s">
        <v>228</v>
      </c>
      <c r="BQ25" t="s">
        <v>228</v>
      </c>
      <c r="BR25" t="s">
        <v>228</v>
      </c>
      <c r="BS25" t="s">
        <v>409</v>
      </c>
      <c r="BT25">
        <v>1</v>
      </c>
    </row>
    <row r="26" spans="1:72" x14ac:dyDescent="0.15">
      <c r="A26" s="43">
        <v>2023</v>
      </c>
      <c r="B26" s="43">
        <v>1</v>
      </c>
      <c r="C26" s="43">
        <v>1</v>
      </c>
      <c r="D26" s="43">
        <v>8</v>
      </c>
      <c r="E26" s="43" t="s">
        <v>228</v>
      </c>
      <c r="F26" s="43" t="s">
        <v>57</v>
      </c>
      <c r="G26" s="43">
        <v>2016</v>
      </c>
      <c r="H26" s="43">
        <v>12</v>
      </c>
      <c r="I26" s="43" t="s">
        <v>521</v>
      </c>
      <c r="J26" s="43" t="s">
        <v>228</v>
      </c>
      <c r="K26" s="43">
        <v>1983</v>
      </c>
      <c r="L26" s="43">
        <v>1</v>
      </c>
      <c r="M26" s="43">
        <v>1</v>
      </c>
      <c r="N26" s="43" t="s">
        <v>48</v>
      </c>
      <c r="O26" s="43" t="s">
        <v>283</v>
      </c>
      <c r="P26" s="43" t="s">
        <v>280</v>
      </c>
      <c r="Q26" s="43">
        <v>20000</v>
      </c>
      <c r="R26" s="43" t="s">
        <v>59</v>
      </c>
      <c r="S26" s="43" t="s">
        <v>52</v>
      </c>
      <c r="T26" s="43" t="s">
        <v>69</v>
      </c>
      <c r="U26" s="43" t="s">
        <v>67</v>
      </c>
      <c r="V26" s="43">
        <v>500</v>
      </c>
      <c r="W26" s="43" t="s">
        <v>328</v>
      </c>
      <c r="X26" s="43">
        <v>3000</v>
      </c>
      <c r="Y26" s="43" t="s">
        <v>268</v>
      </c>
      <c r="Z26" s="43">
        <v>85</v>
      </c>
      <c r="AA26" s="43" t="s">
        <v>278</v>
      </c>
      <c r="AB26" s="43" t="s">
        <v>228</v>
      </c>
      <c r="AC26" s="43" t="s">
        <v>228</v>
      </c>
      <c r="AD26" s="43" t="s">
        <v>228</v>
      </c>
      <c r="AE26" s="43" t="s">
        <v>228</v>
      </c>
      <c r="AF26" s="43" t="s">
        <v>419</v>
      </c>
      <c r="AG26" s="43" t="s">
        <v>228</v>
      </c>
      <c r="AH26" s="43" t="s">
        <v>228</v>
      </c>
      <c r="AI26" s="43" t="s">
        <v>228</v>
      </c>
      <c r="AJ26" t="s">
        <v>468</v>
      </c>
      <c r="AK26">
        <v>1</v>
      </c>
      <c r="AL26">
        <v>1</v>
      </c>
      <c r="AM26" t="s">
        <v>93</v>
      </c>
      <c r="AN26" t="s">
        <v>228</v>
      </c>
      <c r="AO26" t="s">
        <v>526</v>
      </c>
      <c r="AP26" t="s">
        <v>109</v>
      </c>
      <c r="AQ26">
        <v>12</v>
      </c>
      <c r="AR26" t="s">
        <v>521</v>
      </c>
      <c r="AS26" t="s">
        <v>228</v>
      </c>
      <c r="AT26" t="s">
        <v>140</v>
      </c>
      <c r="AU26">
        <v>1</v>
      </c>
      <c r="AV26">
        <v>1</v>
      </c>
      <c r="AW26" t="s">
        <v>406</v>
      </c>
      <c r="AX26" t="s">
        <v>283</v>
      </c>
      <c r="AY26" t="s">
        <v>280</v>
      </c>
      <c r="AZ26">
        <v>5</v>
      </c>
      <c r="BA26" t="s">
        <v>533</v>
      </c>
      <c r="BB26" t="s">
        <v>405</v>
      </c>
      <c r="BC26" t="s">
        <v>395</v>
      </c>
      <c r="BD26" t="s">
        <v>534</v>
      </c>
      <c r="BE26" t="s">
        <v>522</v>
      </c>
      <c r="BF26" t="s">
        <v>523</v>
      </c>
      <c r="BG26" t="s">
        <v>407</v>
      </c>
      <c r="BH26" t="s">
        <v>396</v>
      </c>
      <c r="BI26" t="s">
        <v>524</v>
      </c>
      <c r="BJ26" t="s">
        <v>228</v>
      </c>
      <c r="BK26" t="s">
        <v>228</v>
      </c>
      <c r="BL26" t="s">
        <v>228</v>
      </c>
      <c r="BM26" t="s">
        <v>228</v>
      </c>
      <c r="BN26" t="s">
        <v>228</v>
      </c>
      <c r="BO26" t="s">
        <v>419</v>
      </c>
      <c r="BP26" t="s">
        <v>228</v>
      </c>
      <c r="BQ26" t="s">
        <v>228</v>
      </c>
      <c r="BR26" t="s">
        <v>228</v>
      </c>
      <c r="BS26" t="s">
        <v>409</v>
      </c>
      <c r="BT26">
        <v>1</v>
      </c>
    </row>
    <row r="27" spans="1:72" x14ac:dyDescent="0.15">
      <c r="A27" s="43">
        <v>2023</v>
      </c>
      <c r="B27" s="43">
        <v>1</v>
      </c>
      <c r="C27" s="43">
        <v>1</v>
      </c>
      <c r="D27" s="43">
        <v>8</v>
      </c>
      <c r="E27" s="43" t="s">
        <v>228</v>
      </c>
      <c r="F27" s="43" t="s">
        <v>57</v>
      </c>
      <c r="G27" s="43">
        <v>2016</v>
      </c>
      <c r="H27" s="43">
        <v>12</v>
      </c>
      <c r="I27" s="43" t="s">
        <v>521</v>
      </c>
      <c r="J27" s="43" t="s">
        <v>228</v>
      </c>
      <c r="K27" s="43">
        <v>1983</v>
      </c>
      <c r="L27" s="43">
        <v>1</v>
      </c>
      <c r="M27" s="43">
        <v>1</v>
      </c>
      <c r="N27" s="43" t="s">
        <v>48</v>
      </c>
      <c r="O27" s="43" t="s">
        <v>283</v>
      </c>
      <c r="P27" s="43" t="s">
        <v>280</v>
      </c>
      <c r="Q27" s="43">
        <v>20000</v>
      </c>
      <c r="R27" s="43" t="s">
        <v>59</v>
      </c>
      <c r="S27" s="43" t="s">
        <v>52</v>
      </c>
      <c r="T27" s="43" t="s">
        <v>69</v>
      </c>
      <c r="U27" s="43" t="s">
        <v>69</v>
      </c>
      <c r="V27" s="43">
        <v>500</v>
      </c>
      <c r="W27" s="43" t="s">
        <v>328</v>
      </c>
      <c r="X27" s="43">
        <v>3000</v>
      </c>
      <c r="Y27" s="43" t="s">
        <v>268</v>
      </c>
      <c r="Z27" s="43">
        <v>85</v>
      </c>
      <c r="AA27" s="43" t="s">
        <v>278</v>
      </c>
      <c r="AB27" s="43" t="s">
        <v>228</v>
      </c>
      <c r="AC27" s="43" t="s">
        <v>228</v>
      </c>
      <c r="AD27" s="43" t="s">
        <v>228</v>
      </c>
      <c r="AE27" s="43" t="s">
        <v>228</v>
      </c>
      <c r="AF27" s="43" t="s">
        <v>419</v>
      </c>
      <c r="AG27" s="43" t="s">
        <v>228</v>
      </c>
      <c r="AH27" s="43" t="s">
        <v>228</v>
      </c>
      <c r="AI27" s="43" t="s">
        <v>228</v>
      </c>
      <c r="AJ27" t="s">
        <v>468</v>
      </c>
      <c r="AK27">
        <v>1</v>
      </c>
      <c r="AL27">
        <v>1</v>
      </c>
      <c r="AM27" t="s">
        <v>93</v>
      </c>
      <c r="AN27" t="s">
        <v>228</v>
      </c>
      <c r="AO27" t="s">
        <v>526</v>
      </c>
      <c r="AP27" t="s">
        <v>109</v>
      </c>
      <c r="AQ27">
        <v>12</v>
      </c>
      <c r="AR27" t="s">
        <v>521</v>
      </c>
      <c r="AS27" t="s">
        <v>228</v>
      </c>
      <c r="AT27" t="s">
        <v>140</v>
      </c>
      <c r="AU27">
        <v>1</v>
      </c>
      <c r="AV27">
        <v>1</v>
      </c>
      <c r="AW27" t="s">
        <v>406</v>
      </c>
      <c r="AX27" t="s">
        <v>283</v>
      </c>
      <c r="AY27" t="s">
        <v>280</v>
      </c>
      <c r="AZ27">
        <v>5</v>
      </c>
      <c r="BA27" t="s">
        <v>533</v>
      </c>
      <c r="BB27" t="s">
        <v>405</v>
      </c>
      <c r="BC27" t="s">
        <v>395</v>
      </c>
      <c r="BD27" t="s">
        <v>395</v>
      </c>
      <c r="BE27" t="s">
        <v>522</v>
      </c>
      <c r="BF27" t="s">
        <v>523</v>
      </c>
      <c r="BG27" t="s">
        <v>407</v>
      </c>
      <c r="BH27" t="s">
        <v>396</v>
      </c>
      <c r="BI27" t="s">
        <v>524</v>
      </c>
      <c r="BJ27" t="s">
        <v>228</v>
      </c>
      <c r="BK27" t="s">
        <v>228</v>
      </c>
      <c r="BL27" t="s">
        <v>228</v>
      </c>
      <c r="BM27" t="s">
        <v>228</v>
      </c>
      <c r="BN27" t="s">
        <v>228</v>
      </c>
      <c r="BO27" t="s">
        <v>419</v>
      </c>
      <c r="BP27" t="s">
        <v>228</v>
      </c>
      <c r="BQ27" t="s">
        <v>228</v>
      </c>
      <c r="BR27" t="s">
        <v>228</v>
      </c>
      <c r="BS27" t="s">
        <v>409</v>
      </c>
      <c r="BT27">
        <v>1</v>
      </c>
    </row>
    <row r="28" spans="1:72" x14ac:dyDescent="0.15">
      <c r="A28" s="43">
        <v>2023</v>
      </c>
      <c r="B28" s="43">
        <v>1</v>
      </c>
      <c r="C28" s="43">
        <v>1</v>
      </c>
      <c r="D28" s="43">
        <v>8</v>
      </c>
      <c r="E28" s="43" t="s">
        <v>228</v>
      </c>
      <c r="F28" s="43" t="s">
        <v>57</v>
      </c>
      <c r="G28" s="43">
        <v>2016</v>
      </c>
      <c r="H28" s="43">
        <v>12</v>
      </c>
      <c r="I28" s="43" t="s">
        <v>521</v>
      </c>
      <c r="J28" s="43" t="s">
        <v>228</v>
      </c>
      <c r="K28" s="43">
        <v>1983</v>
      </c>
      <c r="L28" s="43">
        <v>1</v>
      </c>
      <c r="M28" s="43">
        <v>1</v>
      </c>
      <c r="N28" s="43" t="s">
        <v>48</v>
      </c>
      <c r="O28" s="43" t="s">
        <v>283</v>
      </c>
      <c r="P28" s="43" t="s">
        <v>280</v>
      </c>
      <c r="Q28" s="43">
        <v>20000</v>
      </c>
      <c r="R28" s="43" t="s">
        <v>59</v>
      </c>
      <c r="S28" s="43" t="s">
        <v>52</v>
      </c>
      <c r="T28" s="43" t="s">
        <v>69</v>
      </c>
      <c r="U28" s="43" t="s">
        <v>228</v>
      </c>
      <c r="V28" s="43">
        <v>500</v>
      </c>
      <c r="W28" s="43" t="s">
        <v>328</v>
      </c>
      <c r="X28" s="43">
        <v>3000</v>
      </c>
      <c r="Y28" s="43" t="s">
        <v>268</v>
      </c>
      <c r="Z28" s="43">
        <v>85</v>
      </c>
      <c r="AA28" s="43" t="s">
        <v>278</v>
      </c>
      <c r="AB28" s="43" t="s">
        <v>228</v>
      </c>
      <c r="AC28" s="43" t="s">
        <v>228</v>
      </c>
      <c r="AD28" s="43" t="s">
        <v>228</v>
      </c>
      <c r="AE28" s="43" t="s">
        <v>228</v>
      </c>
      <c r="AF28" s="43" t="s">
        <v>420</v>
      </c>
      <c r="AG28" s="43" t="s">
        <v>228</v>
      </c>
      <c r="AH28" s="43" t="s">
        <v>228</v>
      </c>
      <c r="AI28" s="43" t="s">
        <v>228</v>
      </c>
      <c r="AJ28" t="s">
        <v>468</v>
      </c>
      <c r="AK28">
        <v>1</v>
      </c>
      <c r="AL28">
        <v>1</v>
      </c>
      <c r="AM28" t="s">
        <v>93</v>
      </c>
      <c r="AN28" t="s">
        <v>228</v>
      </c>
      <c r="AO28" t="s">
        <v>526</v>
      </c>
      <c r="AP28" t="s">
        <v>109</v>
      </c>
      <c r="AQ28">
        <v>12</v>
      </c>
      <c r="AR28" t="s">
        <v>521</v>
      </c>
      <c r="AS28" t="s">
        <v>228</v>
      </c>
      <c r="AT28" t="s">
        <v>140</v>
      </c>
      <c r="AU28">
        <v>1</v>
      </c>
      <c r="AV28">
        <v>1</v>
      </c>
      <c r="AW28" t="s">
        <v>406</v>
      </c>
      <c r="AX28" t="s">
        <v>283</v>
      </c>
      <c r="AY28" t="s">
        <v>280</v>
      </c>
      <c r="AZ28">
        <v>5</v>
      </c>
      <c r="BA28" t="s">
        <v>533</v>
      </c>
      <c r="BB28" t="s">
        <v>405</v>
      </c>
      <c r="BC28" t="s">
        <v>395</v>
      </c>
      <c r="BD28" t="s">
        <v>228</v>
      </c>
      <c r="BE28" t="s">
        <v>522</v>
      </c>
      <c r="BF28" t="s">
        <v>523</v>
      </c>
      <c r="BG28" t="s">
        <v>407</v>
      </c>
      <c r="BH28" t="s">
        <v>396</v>
      </c>
      <c r="BI28" t="s">
        <v>524</v>
      </c>
      <c r="BJ28" t="s">
        <v>228</v>
      </c>
      <c r="BK28" t="s">
        <v>228</v>
      </c>
      <c r="BL28" t="s">
        <v>228</v>
      </c>
      <c r="BM28" t="s">
        <v>228</v>
      </c>
      <c r="BN28" t="s">
        <v>228</v>
      </c>
      <c r="BO28" t="s">
        <v>420</v>
      </c>
      <c r="BP28" t="s">
        <v>228</v>
      </c>
      <c r="BQ28" t="s">
        <v>228</v>
      </c>
      <c r="BR28" t="s">
        <v>228</v>
      </c>
      <c r="BS28" t="s">
        <v>409</v>
      </c>
      <c r="BT28">
        <v>1</v>
      </c>
    </row>
    <row r="29" spans="1:72" x14ac:dyDescent="0.15">
      <c r="A29" s="43">
        <v>2023</v>
      </c>
      <c r="B29" s="43">
        <v>1</v>
      </c>
      <c r="C29" s="43">
        <v>1</v>
      </c>
      <c r="D29" s="43">
        <v>8</v>
      </c>
      <c r="E29" s="43" t="s">
        <v>228</v>
      </c>
      <c r="F29" s="43" t="s">
        <v>57</v>
      </c>
      <c r="G29" s="43">
        <v>2016</v>
      </c>
      <c r="H29" s="43">
        <v>12</v>
      </c>
      <c r="I29" s="43" t="s">
        <v>521</v>
      </c>
      <c r="J29" s="43" t="s">
        <v>228</v>
      </c>
      <c r="K29" s="43">
        <v>1983</v>
      </c>
      <c r="L29" s="43">
        <v>1</v>
      </c>
      <c r="M29" s="43">
        <v>1</v>
      </c>
      <c r="N29" s="43" t="s">
        <v>48</v>
      </c>
      <c r="O29" s="43" t="s">
        <v>283</v>
      </c>
      <c r="P29" s="43" t="s">
        <v>280</v>
      </c>
      <c r="Q29" s="43">
        <v>20000</v>
      </c>
      <c r="R29" s="43" t="s">
        <v>59</v>
      </c>
      <c r="S29" s="43" t="s">
        <v>52</v>
      </c>
      <c r="T29" s="43" t="s">
        <v>69</v>
      </c>
      <c r="U29" s="43" t="s">
        <v>67</v>
      </c>
      <c r="V29" s="43">
        <v>500</v>
      </c>
      <c r="W29" s="43" t="s">
        <v>328</v>
      </c>
      <c r="X29" s="43">
        <v>3000</v>
      </c>
      <c r="Y29" s="43" t="s">
        <v>268</v>
      </c>
      <c r="Z29" s="43">
        <v>85</v>
      </c>
      <c r="AA29" s="43" t="s">
        <v>278</v>
      </c>
      <c r="AB29" s="43" t="s">
        <v>228</v>
      </c>
      <c r="AC29" s="43" t="s">
        <v>228</v>
      </c>
      <c r="AD29" s="43" t="s">
        <v>228</v>
      </c>
      <c r="AE29" s="43" t="s">
        <v>228</v>
      </c>
      <c r="AF29" s="43" t="s">
        <v>420</v>
      </c>
      <c r="AG29" s="43" t="s">
        <v>228</v>
      </c>
      <c r="AH29" s="43" t="s">
        <v>228</v>
      </c>
      <c r="AI29" s="43" t="s">
        <v>228</v>
      </c>
      <c r="AJ29" t="s">
        <v>468</v>
      </c>
      <c r="AK29">
        <v>1</v>
      </c>
      <c r="AL29">
        <v>1</v>
      </c>
      <c r="AM29" t="s">
        <v>93</v>
      </c>
      <c r="AN29" t="s">
        <v>228</v>
      </c>
      <c r="AO29" t="s">
        <v>526</v>
      </c>
      <c r="AP29" t="s">
        <v>109</v>
      </c>
      <c r="AQ29">
        <v>12</v>
      </c>
      <c r="AR29" t="s">
        <v>521</v>
      </c>
      <c r="AS29" t="s">
        <v>228</v>
      </c>
      <c r="AT29" t="s">
        <v>140</v>
      </c>
      <c r="AU29">
        <v>1</v>
      </c>
      <c r="AV29">
        <v>1</v>
      </c>
      <c r="AW29" t="s">
        <v>406</v>
      </c>
      <c r="AX29" t="s">
        <v>283</v>
      </c>
      <c r="AY29" t="s">
        <v>280</v>
      </c>
      <c r="AZ29">
        <v>5</v>
      </c>
      <c r="BA29" t="s">
        <v>533</v>
      </c>
      <c r="BB29" t="s">
        <v>405</v>
      </c>
      <c r="BC29" t="s">
        <v>395</v>
      </c>
      <c r="BD29" t="s">
        <v>534</v>
      </c>
      <c r="BE29" t="s">
        <v>522</v>
      </c>
      <c r="BF29" t="s">
        <v>523</v>
      </c>
      <c r="BG29" t="s">
        <v>407</v>
      </c>
      <c r="BH29" t="s">
        <v>396</v>
      </c>
      <c r="BI29" t="s">
        <v>524</v>
      </c>
      <c r="BJ29" t="s">
        <v>228</v>
      </c>
      <c r="BK29" t="s">
        <v>228</v>
      </c>
      <c r="BL29" t="s">
        <v>228</v>
      </c>
      <c r="BM29" t="s">
        <v>228</v>
      </c>
      <c r="BN29" t="s">
        <v>228</v>
      </c>
      <c r="BO29" t="s">
        <v>420</v>
      </c>
      <c r="BP29" t="s">
        <v>228</v>
      </c>
      <c r="BQ29" t="s">
        <v>228</v>
      </c>
      <c r="BR29" t="s">
        <v>228</v>
      </c>
      <c r="BS29" t="s">
        <v>409</v>
      </c>
      <c r="BT29">
        <v>1</v>
      </c>
    </row>
    <row r="30" spans="1:72" x14ac:dyDescent="0.15">
      <c r="A30" s="43">
        <v>2023</v>
      </c>
      <c r="B30" s="43">
        <v>1</v>
      </c>
      <c r="C30" s="43">
        <v>1</v>
      </c>
      <c r="D30" s="43">
        <v>8</v>
      </c>
      <c r="E30" s="43" t="s">
        <v>228</v>
      </c>
      <c r="F30" s="43" t="s">
        <v>57</v>
      </c>
      <c r="G30" s="43">
        <v>2016</v>
      </c>
      <c r="H30" s="43">
        <v>12</v>
      </c>
      <c r="I30" s="43" t="s">
        <v>521</v>
      </c>
      <c r="J30" s="43" t="s">
        <v>228</v>
      </c>
      <c r="K30" s="43">
        <v>1983</v>
      </c>
      <c r="L30" s="43">
        <v>1</v>
      </c>
      <c r="M30" s="43">
        <v>1</v>
      </c>
      <c r="N30" s="43" t="s">
        <v>48</v>
      </c>
      <c r="O30" s="43" t="s">
        <v>283</v>
      </c>
      <c r="P30" s="43" t="s">
        <v>280</v>
      </c>
      <c r="Q30" s="43">
        <v>20000</v>
      </c>
      <c r="R30" s="43" t="s">
        <v>59</v>
      </c>
      <c r="S30" s="43" t="s">
        <v>52</v>
      </c>
      <c r="T30" s="43" t="s">
        <v>69</v>
      </c>
      <c r="U30" s="43" t="s">
        <v>69</v>
      </c>
      <c r="V30" s="43">
        <v>500</v>
      </c>
      <c r="W30" s="43" t="s">
        <v>328</v>
      </c>
      <c r="X30" s="43">
        <v>3000</v>
      </c>
      <c r="Y30" s="43" t="s">
        <v>268</v>
      </c>
      <c r="Z30" s="43">
        <v>85</v>
      </c>
      <c r="AA30" s="43" t="s">
        <v>278</v>
      </c>
      <c r="AB30" s="43" t="s">
        <v>228</v>
      </c>
      <c r="AC30" s="43" t="s">
        <v>228</v>
      </c>
      <c r="AD30" s="43" t="s">
        <v>228</v>
      </c>
      <c r="AE30" s="43" t="s">
        <v>228</v>
      </c>
      <c r="AF30" s="43" t="s">
        <v>420</v>
      </c>
      <c r="AG30" s="43" t="s">
        <v>228</v>
      </c>
      <c r="AH30" s="43" t="s">
        <v>228</v>
      </c>
      <c r="AI30" s="43" t="s">
        <v>228</v>
      </c>
      <c r="AJ30" t="s">
        <v>468</v>
      </c>
      <c r="AK30">
        <v>1</v>
      </c>
      <c r="AL30">
        <v>1</v>
      </c>
      <c r="AM30" t="s">
        <v>93</v>
      </c>
      <c r="AN30" t="s">
        <v>228</v>
      </c>
      <c r="AO30" t="s">
        <v>526</v>
      </c>
      <c r="AP30" t="s">
        <v>109</v>
      </c>
      <c r="AQ30">
        <v>12</v>
      </c>
      <c r="AR30" t="s">
        <v>521</v>
      </c>
      <c r="AS30" t="s">
        <v>228</v>
      </c>
      <c r="AT30" t="s">
        <v>140</v>
      </c>
      <c r="AU30">
        <v>1</v>
      </c>
      <c r="AV30">
        <v>1</v>
      </c>
      <c r="AW30" t="s">
        <v>406</v>
      </c>
      <c r="AX30" t="s">
        <v>283</v>
      </c>
      <c r="AY30" t="s">
        <v>280</v>
      </c>
      <c r="AZ30">
        <v>5</v>
      </c>
      <c r="BA30" t="s">
        <v>533</v>
      </c>
      <c r="BB30" t="s">
        <v>405</v>
      </c>
      <c r="BC30" t="s">
        <v>395</v>
      </c>
      <c r="BD30" t="s">
        <v>395</v>
      </c>
      <c r="BE30" t="s">
        <v>522</v>
      </c>
      <c r="BF30" t="s">
        <v>523</v>
      </c>
      <c r="BG30" t="s">
        <v>407</v>
      </c>
      <c r="BH30" t="s">
        <v>396</v>
      </c>
      <c r="BI30" t="s">
        <v>524</v>
      </c>
      <c r="BJ30" t="s">
        <v>228</v>
      </c>
      <c r="BK30" t="s">
        <v>228</v>
      </c>
      <c r="BL30" t="s">
        <v>228</v>
      </c>
      <c r="BM30" t="s">
        <v>228</v>
      </c>
      <c r="BN30" t="s">
        <v>228</v>
      </c>
      <c r="BO30" t="s">
        <v>420</v>
      </c>
      <c r="BP30" t="s">
        <v>228</v>
      </c>
      <c r="BQ30" t="s">
        <v>228</v>
      </c>
      <c r="BR30" t="s">
        <v>228</v>
      </c>
      <c r="BS30" t="s">
        <v>409</v>
      </c>
      <c r="BT30">
        <v>1</v>
      </c>
    </row>
    <row r="31" spans="1:72" x14ac:dyDescent="0.15">
      <c r="A31" s="43">
        <v>2023</v>
      </c>
      <c r="B31" s="43">
        <v>1</v>
      </c>
      <c r="C31" s="43">
        <v>1</v>
      </c>
      <c r="D31" s="43">
        <v>8</v>
      </c>
      <c r="E31" s="43" t="s">
        <v>228</v>
      </c>
      <c r="F31" s="43" t="s">
        <v>57</v>
      </c>
      <c r="G31" s="43">
        <v>2016</v>
      </c>
      <c r="H31" s="43">
        <v>12</v>
      </c>
      <c r="I31" s="43" t="s">
        <v>521</v>
      </c>
      <c r="J31" s="43" t="s">
        <v>228</v>
      </c>
      <c r="K31" s="43">
        <v>1983</v>
      </c>
      <c r="L31" s="43">
        <v>1</v>
      </c>
      <c r="M31" s="43">
        <v>1</v>
      </c>
      <c r="N31" s="43" t="s">
        <v>48</v>
      </c>
      <c r="O31" s="43" t="s">
        <v>283</v>
      </c>
      <c r="P31" s="43" t="s">
        <v>280</v>
      </c>
      <c r="Q31" s="43">
        <v>20000</v>
      </c>
      <c r="R31" s="43" t="s">
        <v>59</v>
      </c>
      <c r="S31" s="43" t="s">
        <v>52</v>
      </c>
      <c r="T31" s="43" t="s">
        <v>69</v>
      </c>
      <c r="U31" s="43" t="s">
        <v>228</v>
      </c>
      <c r="V31" s="43">
        <v>500</v>
      </c>
      <c r="W31" s="43" t="s">
        <v>328</v>
      </c>
      <c r="X31" s="43">
        <v>3000</v>
      </c>
      <c r="Y31" s="43" t="s">
        <v>268</v>
      </c>
      <c r="Z31" s="43">
        <v>85</v>
      </c>
      <c r="AA31" s="43" t="s">
        <v>278</v>
      </c>
      <c r="AB31" s="43" t="s">
        <v>228</v>
      </c>
      <c r="AC31" s="43" t="s">
        <v>228</v>
      </c>
      <c r="AD31" s="43" t="s">
        <v>228</v>
      </c>
      <c r="AE31" s="43" t="s">
        <v>67</v>
      </c>
      <c r="AF31" s="43" t="s">
        <v>228</v>
      </c>
      <c r="AG31" s="43" t="s">
        <v>228</v>
      </c>
      <c r="AH31" s="43" t="s">
        <v>228</v>
      </c>
      <c r="AI31" s="43" t="s">
        <v>228</v>
      </c>
      <c r="AJ31" t="s">
        <v>468</v>
      </c>
      <c r="AK31">
        <v>1</v>
      </c>
      <c r="AL31">
        <v>1</v>
      </c>
      <c r="AM31" t="s">
        <v>93</v>
      </c>
      <c r="AN31" t="s">
        <v>228</v>
      </c>
      <c r="AO31" t="s">
        <v>526</v>
      </c>
      <c r="AP31" t="s">
        <v>109</v>
      </c>
      <c r="AQ31">
        <v>12</v>
      </c>
      <c r="AR31" t="s">
        <v>521</v>
      </c>
      <c r="AS31" t="s">
        <v>228</v>
      </c>
      <c r="AT31" t="s">
        <v>140</v>
      </c>
      <c r="AU31">
        <v>1</v>
      </c>
      <c r="AV31">
        <v>1</v>
      </c>
      <c r="AW31" t="s">
        <v>406</v>
      </c>
      <c r="AX31" t="s">
        <v>283</v>
      </c>
      <c r="AY31" t="s">
        <v>280</v>
      </c>
      <c r="AZ31">
        <v>5</v>
      </c>
      <c r="BA31" t="s">
        <v>533</v>
      </c>
      <c r="BB31" t="s">
        <v>405</v>
      </c>
      <c r="BC31" t="s">
        <v>395</v>
      </c>
      <c r="BD31" t="s">
        <v>228</v>
      </c>
      <c r="BE31" t="s">
        <v>522</v>
      </c>
      <c r="BF31" t="s">
        <v>523</v>
      </c>
      <c r="BG31" t="s">
        <v>407</v>
      </c>
      <c r="BH31" t="s">
        <v>396</v>
      </c>
      <c r="BI31" t="s">
        <v>524</v>
      </c>
      <c r="BJ31" t="s">
        <v>228</v>
      </c>
      <c r="BK31" t="s">
        <v>228</v>
      </c>
      <c r="BL31" t="s">
        <v>228</v>
      </c>
      <c r="BM31" t="s">
        <v>228</v>
      </c>
      <c r="BN31" t="s">
        <v>67</v>
      </c>
      <c r="BO31" t="s">
        <v>228</v>
      </c>
      <c r="BP31" t="s">
        <v>228</v>
      </c>
      <c r="BQ31" t="s">
        <v>228</v>
      </c>
      <c r="BR31" t="s">
        <v>228</v>
      </c>
      <c r="BS31" t="s">
        <v>409</v>
      </c>
      <c r="BT31">
        <v>0</v>
      </c>
    </row>
    <row r="32" spans="1:72" x14ac:dyDescent="0.15">
      <c r="A32" s="43">
        <v>2023</v>
      </c>
      <c r="B32" s="43">
        <v>1</v>
      </c>
      <c r="C32" s="43">
        <v>1</v>
      </c>
      <c r="D32" s="43">
        <v>8</v>
      </c>
      <c r="E32" s="43" t="s">
        <v>228</v>
      </c>
      <c r="F32" s="43" t="s">
        <v>57</v>
      </c>
      <c r="G32" s="43">
        <v>2016</v>
      </c>
      <c r="H32" s="43">
        <v>12</v>
      </c>
      <c r="I32" s="43" t="s">
        <v>521</v>
      </c>
      <c r="J32" s="43" t="s">
        <v>228</v>
      </c>
      <c r="K32" s="43">
        <v>1983</v>
      </c>
      <c r="L32" s="43">
        <v>1</v>
      </c>
      <c r="M32" s="43">
        <v>1</v>
      </c>
      <c r="N32" s="43" t="s">
        <v>50</v>
      </c>
      <c r="O32" s="43" t="s">
        <v>283</v>
      </c>
      <c r="P32" s="43" t="s">
        <v>280</v>
      </c>
      <c r="Q32" s="43">
        <v>20000</v>
      </c>
      <c r="R32" s="43" t="s">
        <v>59</v>
      </c>
      <c r="S32" s="43" t="s">
        <v>52</v>
      </c>
      <c r="T32" s="43" t="s">
        <v>69</v>
      </c>
      <c r="U32" s="43" t="s">
        <v>228</v>
      </c>
      <c r="V32" s="43">
        <v>500</v>
      </c>
      <c r="W32" s="43" t="s">
        <v>328</v>
      </c>
      <c r="X32" s="43">
        <v>3000</v>
      </c>
      <c r="Y32" s="43" t="s">
        <v>268</v>
      </c>
      <c r="Z32" s="43">
        <v>85</v>
      </c>
      <c r="AA32" s="43" t="s">
        <v>278</v>
      </c>
      <c r="AB32" s="43" t="s">
        <v>228</v>
      </c>
      <c r="AC32" s="43" t="s">
        <v>228</v>
      </c>
      <c r="AD32" s="43" t="s">
        <v>228</v>
      </c>
      <c r="AE32" s="43" t="s">
        <v>228</v>
      </c>
      <c r="AF32" s="43" t="s">
        <v>228</v>
      </c>
      <c r="AG32" s="43" t="s">
        <v>228</v>
      </c>
      <c r="AH32" s="43" t="s">
        <v>228</v>
      </c>
      <c r="AI32" s="43" t="s">
        <v>228</v>
      </c>
      <c r="AJ32" t="s">
        <v>468</v>
      </c>
      <c r="AK32">
        <v>1</v>
      </c>
      <c r="AL32">
        <v>1</v>
      </c>
      <c r="AM32" t="s">
        <v>93</v>
      </c>
      <c r="AN32" t="s">
        <v>228</v>
      </c>
      <c r="AO32" t="s">
        <v>526</v>
      </c>
      <c r="AP32" t="s">
        <v>109</v>
      </c>
      <c r="AQ32">
        <v>12</v>
      </c>
      <c r="AR32" t="s">
        <v>521</v>
      </c>
      <c r="AS32" t="s">
        <v>228</v>
      </c>
      <c r="AT32" t="s">
        <v>140</v>
      </c>
      <c r="AU32">
        <v>1</v>
      </c>
      <c r="AV32">
        <v>1</v>
      </c>
      <c r="AW32" t="s">
        <v>536</v>
      </c>
      <c r="AX32" t="s">
        <v>283</v>
      </c>
      <c r="AY32" t="s">
        <v>280</v>
      </c>
      <c r="AZ32">
        <v>5</v>
      </c>
      <c r="BA32" t="s">
        <v>533</v>
      </c>
      <c r="BB32" t="s">
        <v>405</v>
      </c>
      <c r="BC32" t="s">
        <v>395</v>
      </c>
      <c r="BD32" t="s">
        <v>228</v>
      </c>
      <c r="BE32" t="s">
        <v>522</v>
      </c>
      <c r="BF32" t="s">
        <v>523</v>
      </c>
      <c r="BG32" t="s">
        <v>407</v>
      </c>
      <c r="BH32" t="s">
        <v>396</v>
      </c>
      <c r="BI32" t="s">
        <v>524</v>
      </c>
      <c r="BJ32" t="s">
        <v>228</v>
      </c>
      <c r="BK32" t="s">
        <v>228</v>
      </c>
      <c r="BL32" t="s">
        <v>228</v>
      </c>
      <c r="BM32" t="s">
        <v>228</v>
      </c>
      <c r="BN32" t="s">
        <v>228</v>
      </c>
      <c r="BO32" t="s">
        <v>228</v>
      </c>
      <c r="BP32" t="s">
        <v>228</v>
      </c>
      <c r="BQ32" t="s">
        <v>228</v>
      </c>
      <c r="BR32" t="s">
        <v>228</v>
      </c>
      <c r="BS32" t="s">
        <v>409</v>
      </c>
      <c r="BT32">
        <v>1</v>
      </c>
    </row>
    <row r="33" spans="1:72" x14ac:dyDescent="0.15">
      <c r="A33" s="43">
        <v>2023</v>
      </c>
      <c r="B33" s="43">
        <v>1</v>
      </c>
      <c r="C33" s="43">
        <v>1</v>
      </c>
      <c r="D33" s="43">
        <v>8</v>
      </c>
      <c r="E33" s="43" t="s">
        <v>228</v>
      </c>
      <c r="F33" s="43" t="s">
        <v>57</v>
      </c>
      <c r="G33" s="43">
        <v>2016</v>
      </c>
      <c r="H33" s="43">
        <v>12</v>
      </c>
      <c r="I33" s="43" t="s">
        <v>521</v>
      </c>
      <c r="J33" s="43" t="s">
        <v>228</v>
      </c>
      <c r="K33" s="43">
        <v>1983</v>
      </c>
      <c r="L33" s="43">
        <v>1</v>
      </c>
      <c r="M33" s="43">
        <v>1</v>
      </c>
      <c r="N33" s="43" t="s">
        <v>50</v>
      </c>
      <c r="O33" s="43" t="s">
        <v>283</v>
      </c>
      <c r="P33" s="43" t="s">
        <v>280</v>
      </c>
      <c r="Q33" s="43">
        <v>20000</v>
      </c>
      <c r="R33" s="43" t="s">
        <v>59</v>
      </c>
      <c r="S33" s="43" t="s">
        <v>52</v>
      </c>
      <c r="T33" s="43" t="s">
        <v>69</v>
      </c>
      <c r="U33" s="43" t="s">
        <v>67</v>
      </c>
      <c r="V33" s="43">
        <v>500</v>
      </c>
      <c r="W33" s="43" t="s">
        <v>328</v>
      </c>
      <c r="X33" s="43">
        <v>3000</v>
      </c>
      <c r="Y33" s="43" t="s">
        <v>268</v>
      </c>
      <c r="Z33" s="43">
        <v>85</v>
      </c>
      <c r="AA33" s="43" t="s">
        <v>278</v>
      </c>
      <c r="AB33" s="43" t="s">
        <v>228</v>
      </c>
      <c r="AC33" s="43" t="s">
        <v>228</v>
      </c>
      <c r="AD33" s="43" t="s">
        <v>228</v>
      </c>
      <c r="AE33" s="43" t="s">
        <v>228</v>
      </c>
      <c r="AF33" s="43" t="s">
        <v>228</v>
      </c>
      <c r="AG33" s="43" t="s">
        <v>228</v>
      </c>
      <c r="AH33" s="43" t="s">
        <v>228</v>
      </c>
      <c r="AI33" s="43" t="s">
        <v>228</v>
      </c>
      <c r="AJ33" t="s">
        <v>468</v>
      </c>
      <c r="AK33">
        <v>1</v>
      </c>
      <c r="AL33">
        <v>1</v>
      </c>
      <c r="AM33" t="s">
        <v>93</v>
      </c>
      <c r="AN33" t="s">
        <v>228</v>
      </c>
      <c r="AO33" t="s">
        <v>526</v>
      </c>
      <c r="AP33" t="s">
        <v>109</v>
      </c>
      <c r="AQ33">
        <v>12</v>
      </c>
      <c r="AR33" t="s">
        <v>521</v>
      </c>
      <c r="AS33" t="s">
        <v>228</v>
      </c>
      <c r="AT33" t="s">
        <v>140</v>
      </c>
      <c r="AU33">
        <v>1</v>
      </c>
      <c r="AV33">
        <v>1</v>
      </c>
      <c r="AW33" t="s">
        <v>536</v>
      </c>
      <c r="AX33" t="s">
        <v>283</v>
      </c>
      <c r="AY33" t="s">
        <v>280</v>
      </c>
      <c r="AZ33">
        <v>5</v>
      </c>
      <c r="BA33" t="s">
        <v>533</v>
      </c>
      <c r="BB33" t="s">
        <v>405</v>
      </c>
      <c r="BC33" t="s">
        <v>395</v>
      </c>
      <c r="BD33" t="s">
        <v>534</v>
      </c>
      <c r="BE33" t="s">
        <v>522</v>
      </c>
      <c r="BF33" t="s">
        <v>523</v>
      </c>
      <c r="BG33" t="s">
        <v>407</v>
      </c>
      <c r="BH33" t="s">
        <v>396</v>
      </c>
      <c r="BI33" t="s">
        <v>524</v>
      </c>
      <c r="BJ33" t="s">
        <v>228</v>
      </c>
      <c r="BK33" t="s">
        <v>228</v>
      </c>
      <c r="BL33" t="s">
        <v>228</v>
      </c>
      <c r="BM33" t="s">
        <v>228</v>
      </c>
      <c r="BN33" t="s">
        <v>228</v>
      </c>
      <c r="BO33" t="s">
        <v>228</v>
      </c>
      <c r="BP33" t="s">
        <v>228</v>
      </c>
      <c r="BQ33" t="s">
        <v>228</v>
      </c>
      <c r="BR33" t="s">
        <v>228</v>
      </c>
      <c r="BS33" t="s">
        <v>409</v>
      </c>
      <c r="BT33">
        <v>1</v>
      </c>
    </row>
    <row r="34" spans="1:72" x14ac:dyDescent="0.15">
      <c r="A34" s="43">
        <v>2023</v>
      </c>
      <c r="B34" s="43">
        <v>1</v>
      </c>
      <c r="C34" s="43">
        <v>1</v>
      </c>
      <c r="D34" s="43">
        <v>8</v>
      </c>
      <c r="E34" s="43" t="s">
        <v>228</v>
      </c>
      <c r="F34" s="43" t="s">
        <v>57</v>
      </c>
      <c r="G34" s="43">
        <v>2016</v>
      </c>
      <c r="H34" s="43">
        <v>12</v>
      </c>
      <c r="I34" s="43" t="s">
        <v>521</v>
      </c>
      <c r="J34" s="43" t="s">
        <v>228</v>
      </c>
      <c r="K34" s="43">
        <v>1983</v>
      </c>
      <c r="L34" s="43">
        <v>1</v>
      </c>
      <c r="M34" s="43">
        <v>1</v>
      </c>
      <c r="N34" s="43" t="s">
        <v>50</v>
      </c>
      <c r="O34" s="43" t="s">
        <v>283</v>
      </c>
      <c r="P34" s="43" t="s">
        <v>280</v>
      </c>
      <c r="Q34" s="43">
        <v>20000</v>
      </c>
      <c r="R34" s="43" t="s">
        <v>59</v>
      </c>
      <c r="S34" s="43" t="s">
        <v>52</v>
      </c>
      <c r="T34" s="43" t="s">
        <v>69</v>
      </c>
      <c r="U34" s="43" t="s">
        <v>69</v>
      </c>
      <c r="V34" s="43">
        <v>500</v>
      </c>
      <c r="W34" s="43" t="s">
        <v>328</v>
      </c>
      <c r="X34" s="43">
        <v>3000</v>
      </c>
      <c r="Y34" s="43" t="s">
        <v>268</v>
      </c>
      <c r="Z34" s="43">
        <v>85</v>
      </c>
      <c r="AA34" s="43" t="s">
        <v>278</v>
      </c>
      <c r="AB34" s="43" t="s">
        <v>228</v>
      </c>
      <c r="AC34" s="43" t="s">
        <v>228</v>
      </c>
      <c r="AD34" s="43" t="s">
        <v>228</v>
      </c>
      <c r="AE34" s="43" t="s">
        <v>228</v>
      </c>
      <c r="AF34" s="43" t="s">
        <v>228</v>
      </c>
      <c r="AG34" s="43" t="s">
        <v>228</v>
      </c>
      <c r="AH34" s="43" t="s">
        <v>228</v>
      </c>
      <c r="AI34" s="43" t="s">
        <v>228</v>
      </c>
      <c r="AJ34" t="s">
        <v>468</v>
      </c>
      <c r="AK34">
        <v>1</v>
      </c>
      <c r="AL34">
        <v>1</v>
      </c>
      <c r="AM34" t="s">
        <v>93</v>
      </c>
      <c r="AN34" t="s">
        <v>228</v>
      </c>
      <c r="AO34" t="s">
        <v>526</v>
      </c>
      <c r="AP34" t="s">
        <v>109</v>
      </c>
      <c r="AQ34">
        <v>12</v>
      </c>
      <c r="AR34" t="s">
        <v>521</v>
      </c>
      <c r="AS34" t="s">
        <v>228</v>
      </c>
      <c r="AT34" t="s">
        <v>140</v>
      </c>
      <c r="AU34">
        <v>1</v>
      </c>
      <c r="AV34">
        <v>1</v>
      </c>
      <c r="AW34" t="s">
        <v>536</v>
      </c>
      <c r="AX34" t="s">
        <v>283</v>
      </c>
      <c r="AY34" t="s">
        <v>280</v>
      </c>
      <c r="AZ34">
        <v>5</v>
      </c>
      <c r="BA34" t="s">
        <v>533</v>
      </c>
      <c r="BB34" t="s">
        <v>405</v>
      </c>
      <c r="BC34" t="s">
        <v>395</v>
      </c>
      <c r="BD34" t="s">
        <v>395</v>
      </c>
      <c r="BE34" t="s">
        <v>522</v>
      </c>
      <c r="BF34" t="s">
        <v>523</v>
      </c>
      <c r="BG34" t="s">
        <v>407</v>
      </c>
      <c r="BH34" t="s">
        <v>396</v>
      </c>
      <c r="BI34" t="s">
        <v>524</v>
      </c>
      <c r="BJ34" t="s">
        <v>228</v>
      </c>
      <c r="BK34" t="s">
        <v>228</v>
      </c>
      <c r="BL34" t="s">
        <v>228</v>
      </c>
      <c r="BM34" t="s">
        <v>228</v>
      </c>
      <c r="BN34" t="s">
        <v>228</v>
      </c>
      <c r="BO34" t="s">
        <v>228</v>
      </c>
      <c r="BP34" t="s">
        <v>228</v>
      </c>
      <c r="BQ34" t="s">
        <v>228</v>
      </c>
      <c r="BR34" t="s">
        <v>228</v>
      </c>
      <c r="BS34" t="s">
        <v>409</v>
      </c>
      <c r="BT34">
        <v>1</v>
      </c>
    </row>
    <row r="35" spans="1:72" x14ac:dyDescent="0.15">
      <c r="A35" s="43">
        <v>2023</v>
      </c>
      <c r="B35" s="43">
        <v>1</v>
      </c>
      <c r="C35" s="43">
        <v>1</v>
      </c>
      <c r="D35" s="43">
        <v>8</v>
      </c>
      <c r="E35" s="43" t="s">
        <v>228</v>
      </c>
      <c r="F35" s="43" t="s">
        <v>57</v>
      </c>
      <c r="G35" s="43">
        <v>2016</v>
      </c>
      <c r="H35" s="43">
        <v>12</v>
      </c>
      <c r="I35" s="43" t="s">
        <v>521</v>
      </c>
      <c r="J35" s="43" t="s">
        <v>228</v>
      </c>
      <c r="K35" s="43">
        <v>1983</v>
      </c>
      <c r="L35" s="43">
        <v>1</v>
      </c>
      <c r="M35" s="43">
        <v>1</v>
      </c>
      <c r="N35" s="43" t="s">
        <v>50</v>
      </c>
      <c r="O35" s="43" t="s">
        <v>283</v>
      </c>
      <c r="P35" s="43" t="s">
        <v>280</v>
      </c>
      <c r="Q35" s="43">
        <v>20000</v>
      </c>
      <c r="R35" s="43" t="s">
        <v>59</v>
      </c>
      <c r="S35" s="43" t="s">
        <v>52</v>
      </c>
      <c r="T35" s="43" t="s">
        <v>69</v>
      </c>
      <c r="U35" s="43" t="s">
        <v>228</v>
      </c>
      <c r="V35" s="43">
        <v>500</v>
      </c>
      <c r="W35" s="43" t="s">
        <v>328</v>
      </c>
      <c r="X35" s="43">
        <v>3000</v>
      </c>
      <c r="Y35" s="43" t="s">
        <v>268</v>
      </c>
      <c r="Z35" s="43">
        <v>85</v>
      </c>
      <c r="AA35" s="43" t="s">
        <v>278</v>
      </c>
      <c r="AB35" s="43" t="s">
        <v>228</v>
      </c>
      <c r="AC35" s="43" t="s">
        <v>228</v>
      </c>
      <c r="AD35" s="43" t="s">
        <v>228</v>
      </c>
      <c r="AE35" s="43" t="s">
        <v>228</v>
      </c>
      <c r="AF35" s="43" t="s">
        <v>419</v>
      </c>
      <c r="AG35" s="43" t="s">
        <v>228</v>
      </c>
      <c r="AH35" s="43" t="s">
        <v>228</v>
      </c>
      <c r="AI35" s="43" t="s">
        <v>228</v>
      </c>
      <c r="AJ35" t="s">
        <v>468</v>
      </c>
      <c r="AK35">
        <v>1</v>
      </c>
      <c r="AL35">
        <v>1</v>
      </c>
      <c r="AM35" t="s">
        <v>93</v>
      </c>
      <c r="AN35" t="s">
        <v>228</v>
      </c>
      <c r="AO35" t="s">
        <v>526</v>
      </c>
      <c r="AP35" t="s">
        <v>109</v>
      </c>
      <c r="AQ35">
        <v>12</v>
      </c>
      <c r="AR35" t="s">
        <v>521</v>
      </c>
      <c r="AS35" t="s">
        <v>228</v>
      </c>
      <c r="AT35" t="s">
        <v>140</v>
      </c>
      <c r="AU35">
        <v>1</v>
      </c>
      <c r="AV35">
        <v>1</v>
      </c>
      <c r="AW35" t="s">
        <v>536</v>
      </c>
      <c r="AX35" t="s">
        <v>283</v>
      </c>
      <c r="AY35" t="s">
        <v>280</v>
      </c>
      <c r="AZ35">
        <v>5</v>
      </c>
      <c r="BA35" t="s">
        <v>533</v>
      </c>
      <c r="BB35" t="s">
        <v>405</v>
      </c>
      <c r="BC35" t="s">
        <v>395</v>
      </c>
      <c r="BD35" t="s">
        <v>228</v>
      </c>
      <c r="BE35" t="s">
        <v>522</v>
      </c>
      <c r="BF35" t="s">
        <v>523</v>
      </c>
      <c r="BG35" t="s">
        <v>407</v>
      </c>
      <c r="BH35" t="s">
        <v>396</v>
      </c>
      <c r="BI35" t="s">
        <v>524</v>
      </c>
      <c r="BJ35" t="s">
        <v>228</v>
      </c>
      <c r="BK35" t="s">
        <v>228</v>
      </c>
      <c r="BL35" t="s">
        <v>228</v>
      </c>
      <c r="BM35" t="s">
        <v>228</v>
      </c>
      <c r="BN35" t="s">
        <v>228</v>
      </c>
      <c r="BO35" t="s">
        <v>419</v>
      </c>
      <c r="BP35" t="s">
        <v>228</v>
      </c>
      <c r="BQ35" t="s">
        <v>228</v>
      </c>
      <c r="BR35" t="s">
        <v>228</v>
      </c>
      <c r="BS35" t="s">
        <v>409</v>
      </c>
      <c r="BT35">
        <v>1</v>
      </c>
    </row>
    <row r="36" spans="1:72" x14ac:dyDescent="0.15">
      <c r="A36" s="43">
        <v>2023</v>
      </c>
      <c r="B36" s="43">
        <v>1</v>
      </c>
      <c r="C36" s="43">
        <v>1</v>
      </c>
      <c r="D36" s="43">
        <v>8</v>
      </c>
      <c r="E36" s="43" t="s">
        <v>228</v>
      </c>
      <c r="F36" s="43" t="s">
        <v>57</v>
      </c>
      <c r="G36" s="43">
        <v>2016</v>
      </c>
      <c r="H36" s="43">
        <v>12</v>
      </c>
      <c r="I36" s="43" t="s">
        <v>521</v>
      </c>
      <c r="J36" s="43" t="s">
        <v>228</v>
      </c>
      <c r="K36" s="43">
        <v>1983</v>
      </c>
      <c r="L36" s="43">
        <v>1</v>
      </c>
      <c r="M36" s="43">
        <v>1</v>
      </c>
      <c r="N36" s="43" t="s">
        <v>50</v>
      </c>
      <c r="O36" s="43" t="s">
        <v>283</v>
      </c>
      <c r="P36" s="43" t="s">
        <v>280</v>
      </c>
      <c r="Q36" s="43">
        <v>20000</v>
      </c>
      <c r="R36" s="43" t="s">
        <v>59</v>
      </c>
      <c r="S36" s="43" t="s">
        <v>52</v>
      </c>
      <c r="T36" s="43" t="s">
        <v>69</v>
      </c>
      <c r="U36" s="43" t="s">
        <v>67</v>
      </c>
      <c r="V36" s="43">
        <v>500</v>
      </c>
      <c r="W36" s="43" t="s">
        <v>328</v>
      </c>
      <c r="X36" s="43">
        <v>3000</v>
      </c>
      <c r="Y36" s="43" t="s">
        <v>268</v>
      </c>
      <c r="Z36" s="43">
        <v>85</v>
      </c>
      <c r="AA36" s="43" t="s">
        <v>278</v>
      </c>
      <c r="AB36" s="43" t="s">
        <v>228</v>
      </c>
      <c r="AC36" s="43" t="s">
        <v>228</v>
      </c>
      <c r="AD36" s="43" t="s">
        <v>228</v>
      </c>
      <c r="AE36" s="43" t="s">
        <v>228</v>
      </c>
      <c r="AF36" s="43" t="s">
        <v>419</v>
      </c>
      <c r="AG36" s="43" t="s">
        <v>228</v>
      </c>
      <c r="AH36" s="43" t="s">
        <v>228</v>
      </c>
      <c r="AI36" s="43" t="s">
        <v>228</v>
      </c>
      <c r="AJ36" t="s">
        <v>468</v>
      </c>
      <c r="AK36">
        <v>1</v>
      </c>
      <c r="AL36">
        <v>1</v>
      </c>
      <c r="AM36" t="s">
        <v>93</v>
      </c>
      <c r="AN36" t="s">
        <v>228</v>
      </c>
      <c r="AO36" t="s">
        <v>526</v>
      </c>
      <c r="AP36" t="s">
        <v>109</v>
      </c>
      <c r="AQ36">
        <v>12</v>
      </c>
      <c r="AR36" t="s">
        <v>521</v>
      </c>
      <c r="AS36" t="s">
        <v>228</v>
      </c>
      <c r="AT36" t="s">
        <v>140</v>
      </c>
      <c r="AU36">
        <v>1</v>
      </c>
      <c r="AV36">
        <v>1</v>
      </c>
      <c r="AW36" t="s">
        <v>536</v>
      </c>
      <c r="AX36" t="s">
        <v>283</v>
      </c>
      <c r="AY36" t="s">
        <v>280</v>
      </c>
      <c r="AZ36">
        <v>5</v>
      </c>
      <c r="BA36" t="s">
        <v>533</v>
      </c>
      <c r="BB36" t="s">
        <v>405</v>
      </c>
      <c r="BC36" t="s">
        <v>395</v>
      </c>
      <c r="BD36" t="s">
        <v>534</v>
      </c>
      <c r="BE36" t="s">
        <v>522</v>
      </c>
      <c r="BF36" t="s">
        <v>523</v>
      </c>
      <c r="BG36" t="s">
        <v>407</v>
      </c>
      <c r="BH36" t="s">
        <v>396</v>
      </c>
      <c r="BI36" t="s">
        <v>524</v>
      </c>
      <c r="BJ36" t="s">
        <v>228</v>
      </c>
      <c r="BK36" t="s">
        <v>228</v>
      </c>
      <c r="BL36" t="s">
        <v>228</v>
      </c>
      <c r="BM36" t="s">
        <v>228</v>
      </c>
      <c r="BN36" t="s">
        <v>228</v>
      </c>
      <c r="BO36" t="s">
        <v>419</v>
      </c>
      <c r="BP36" t="s">
        <v>228</v>
      </c>
      <c r="BQ36" t="s">
        <v>228</v>
      </c>
      <c r="BR36" t="s">
        <v>228</v>
      </c>
      <c r="BS36" t="s">
        <v>409</v>
      </c>
      <c r="BT36">
        <v>1</v>
      </c>
    </row>
    <row r="37" spans="1:72" x14ac:dyDescent="0.15">
      <c r="A37" s="43">
        <v>2023</v>
      </c>
      <c r="B37" s="43">
        <v>1</v>
      </c>
      <c r="C37" s="43">
        <v>1</v>
      </c>
      <c r="D37" s="43">
        <v>8</v>
      </c>
      <c r="E37" s="43" t="s">
        <v>228</v>
      </c>
      <c r="F37" s="43" t="s">
        <v>57</v>
      </c>
      <c r="G37" s="43">
        <v>2016</v>
      </c>
      <c r="H37" s="43">
        <v>12</v>
      </c>
      <c r="I37" s="43" t="s">
        <v>521</v>
      </c>
      <c r="J37" s="43" t="s">
        <v>228</v>
      </c>
      <c r="K37" s="43">
        <v>1983</v>
      </c>
      <c r="L37" s="43">
        <v>1</v>
      </c>
      <c r="M37" s="43">
        <v>1</v>
      </c>
      <c r="N37" s="43" t="s">
        <v>50</v>
      </c>
      <c r="O37" s="43" t="s">
        <v>283</v>
      </c>
      <c r="P37" s="43" t="s">
        <v>280</v>
      </c>
      <c r="Q37" s="43">
        <v>20000</v>
      </c>
      <c r="R37" s="43" t="s">
        <v>59</v>
      </c>
      <c r="S37" s="43" t="s">
        <v>52</v>
      </c>
      <c r="T37" s="43" t="s">
        <v>69</v>
      </c>
      <c r="U37" s="43" t="s">
        <v>69</v>
      </c>
      <c r="V37" s="43">
        <v>500</v>
      </c>
      <c r="W37" s="43" t="s">
        <v>328</v>
      </c>
      <c r="X37" s="43">
        <v>3000</v>
      </c>
      <c r="Y37" s="43" t="s">
        <v>268</v>
      </c>
      <c r="Z37" s="43">
        <v>85</v>
      </c>
      <c r="AA37" s="43" t="s">
        <v>278</v>
      </c>
      <c r="AB37" s="43" t="s">
        <v>228</v>
      </c>
      <c r="AC37" s="43" t="s">
        <v>228</v>
      </c>
      <c r="AD37" s="43" t="s">
        <v>228</v>
      </c>
      <c r="AE37" s="43" t="s">
        <v>228</v>
      </c>
      <c r="AF37" s="43" t="s">
        <v>419</v>
      </c>
      <c r="AG37" s="43" t="s">
        <v>228</v>
      </c>
      <c r="AH37" s="43" t="s">
        <v>228</v>
      </c>
      <c r="AI37" s="43" t="s">
        <v>228</v>
      </c>
      <c r="AJ37" t="s">
        <v>468</v>
      </c>
      <c r="AK37">
        <v>1</v>
      </c>
      <c r="AL37">
        <v>1</v>
      </c>
      <c r="AM37" t="s">
        <v>93</v>
      </c>
      <c r="AN37" t="s">
        <v>228</v>
      </c>
      <c r="AO37" t="s">
        <v>526</v>
      </c>
      <c r="AP37" t="s">
        <v>109</v>
      </c>
      <c r="AQ37">
        <v>12</v>
      </c>
      <c r="AR37" t="s">
        <v>521</v>
      </c>
      <c r="AS37" t="s">
        <v>228</v>
      </c>
      <c r="AT37" t="s">
        <v>140</v>
      </c>
      <c r="AU37">
        <v>1</v>
      </c>
      <c r="AV37">
        <v>1</v>
      </c>
      <c r="AW37" t="s">
        <v>536</v>
      </c>
      <c r="AX37" t="s">
        <v>283</v>
      </c>
      <c r="AY37" t="s">
        <v>280</v>
      </c>
      <c r="AZ37">
        <v>5</v>
      </c>
      <c r="BA37" t="s">
        <v>533</v>
      </c>
      <c r="BB37" t="s">
        <v>405</v>
      </c>
      <c r="BC37" t="s">
        <v>395</v>
      </c>
      <c r="BD37" t="s">
        <v>395</v>
      </c>
      <c r="BE37" t="s">
        <v>522</v>
      </c>
      <c r="BF37" t="s">
        <v>523</v>
      </c>
      <c r="BG37" t="s">
        <v>407</v>
      </c>
      <c r="BH37" t="s">
        <v>396</v>
      </c>
      <c r="BI37" t="s">
        <v>524</v>
      </c>
      <c r="BJ37" t="s">
        <v>228</v>
      </c>
      <c r="BK37" t="s">
        <v>228</v>
      </c>
      <c r="BL37" t="s">
        <v>228</v>
      </c>
      <c r="BM37" t="s">
        <v>228</v>
      </c>
      <c r="BN37" t="s">
        <v>228</v>
      </c>
      <c r="BO37" t="s">
        <v>419</v>
      </c>
      <c r="BP37" t="s">
        <v>228</v>
      </c>
      <c r="BQ37" t="s">
        <v>228</v>
      </c>
      <c r="BR37" t="s">
        <v>228</v>
      </c>
      <c r="BS37" t="s">
        <v>409</v>
      </c>
      <c r="BT37">
        <v>1</v>
      </c>
    </row>
    <row r="38" spans="1:72" x14ac:dyDescent="0.15">
      <c r="A38" s="43">
        <v>2023</v>
      </c>
      <c r="B38" s="43">
        <v>1</v>
      </c>
      <c r="C38" s="43">
        <v>1</v>
      </c>
      <c r="D38" s="43">
        <v>8</v>
      </c>
      <c r="E38" s="43" t="s">
        <v>228</v>
      </c>
      <c r="F38" s="43" t="s">
        <v>57</v>
      </c>
      <c r="G38" s="43">
        <v>2016</v>
      </c>
      <c r="H38" s="43">
        <v>12</v>
      </c>
      <c r="I38" s="43" t="s">
        <v>521</v>
      </c>
      <c r="J38" s="43" t="s">
        <v>228</v>
      </c>
      <c r="K38" s="43">
        <v>1983</v>
      </c>
      <c r="L38" s="43">
        <v>1</v>
      </c>
      <c r="M38" s="43">
        <v>1</v>
      </c>
      <c r="N38" s="43" t="s">
        <v>50</v>
      </c>
      <c r="O38" s="43" t="s">
        <v>283</v>
      </c>
      <c r="P38" s="43" t="s">
        <v>280</v>
      </c>
      <c r="Q38" s="43">
        <v>20000</v>
      </c>
      <c r="R38" s="43" t="s">
        <v>59</v>
      </c>
      <c r="S38" s="43" t="s">
        <v>52</v>
      </c>
      <c r="T38" s="43" t="s">
        <v>69</v>
      </c>
      <c r="U38" s="43" t="s">
        <v>228</v>
      </c>
      <c r="V38" s="43">
        <v>500</v>
      </c>
      <c r="W38" s="43" t="s">
        <v>328</v>
      </c>
      <c r="X38" s="43">
        <v>3000</v>
      </c>
      <c r="Y38" s="43" t="s">
        <v>268</v>
      </c>
      <c r="Z38" s="43">
        <v>85</v>
      </c>
      <c r="AA38" s="43" t="s">
        <v>278</v>
      </c>
      <c r="AB38" s="43" t="s">
        <v>228</v>
      </c>
      <c r="AC38" s="43" t="s">
        <v>228</v>
      </c>
      <c r="AD38" s="43" t="s">
        <v>228</v>
      </c>
      <c r="AE38" s="43" t="s">
        <v>228</v>
      </c>
      <c r="AF38" s="43" t="s">
        <v>420</v>
      </c>
      <c r="AG38" s="43" t="s">
        <v>228</v>
      </c>
      <c r="AH38" s="43" t="s">
        <v>228</v>
      </c>
      <c r="AI38" s="43" t="s">
        <v>228</v>
      </c>
      <c r="AJ38" t="s">
        <v>468</v>
      </c>
      <c r="AK38">
        <v>1</v>
      </c>
      <c r="AL38">
        <v>1</v>
      </c>
      <c r="AM38" t="s">
        <v>93</v>
      </c>
      <c r="AN38" t="s">
        <v>228</v>
      </c>
      <c r="AO38" t="s">
        <v>526</v>
      </c>
      <c r="AP38" t="s">
        <v>109</v>
      </c>
      <c r="AQ38">
        <v>12</v>
      </c>
      <c r="AR38" t="s">
        <v>521</v>
      </c>
      <c r="AS38" t="s">
        <v>228</v>
      </c>
      <c r="AT38" t="s">
        <v>140</v>
      </c>
      <c r="AU38">
        <v>1</v>
      </c>
      <c r="AV38">
        <v>1</v>
      </c>
      <c r="AW38" t="s">
        <v>536</v>
      </c>
      <c r="AX38" t="s">
        <v>283</v>
      </c>
      <c r="AY38" t="s">
        <v>280</v>
      </c>
      <c r="AZ38">
        <v>5</v>
      </c>
      <c r="BA38" t="s">
        <v>533</v>
      </c>
      <c r="BB38" t="s">
        <v>405</v>
      </c>
      <c r="BC38" t="s">
        <v>395</v>
      </c>
      <c r="BD38" t="s">
        <v>228</v>
      </c>
      <c r="BE38" t="s">
        <v>522</v>
      </c>
      <c r="BF38" t="s">
        <v>523</v>
      </c>
      <c r="BG38" t="s">
        <v>407</v>
      </c>
      <c r="BH38" t="s">
        <v>396</v>
      </c>
      <c r="BI38" t="s">
        <v>524</v>
      </c>
      <c r="BJ38" t="s">
        <v>228</v>
      </c>
      <c r="BK38" t="s">
        <v>228</v>
      </c>
      <c r="BL38" t="s">
        <v>228</v>
      </c>
      <c r="BM38" t="s">
        <v>228</v>
      </c>
      <c r="BN38" t="s">
        <v>228</v>
      </c>
      <c r="BO38" t="s">
        <v>420</v>
      </c>
      <c r="BP38" t="s">
        <v>228</v>
      </c>
      <c r="BQ38" t="s">
        <v>228</v>
      </c>
      <c r="BR38" t="s">
        <v>228</v>
      </c>
      <c r="BS38" t="s">
        <v>409</v>
      </c>
      <c r="BT38">
        <v>1</v>
      </c>
    </row>
    <row r="39" spans="1:72" x14ac:dyDescent="0.15">
      <c r="A39" s="43">
        <v>2023</v>
      </c>
      <c r="B39" s="43">
        <v>1</v>
      </c>
      <c r="C39" s="43">
        <v>1</v>
      </c>
      <c r="D39" s="43">
        <v>8</v>
      </c>
      <c r="E39" s="43" t="s">
        <v>228</v>
      </c>
      <c r="F39" s="43" t="s">
        <v>57</v>
      </c>
      <c r="G39" s="43">
        <v>2016</v>
      </c>
      <c r="H39" s="43">
        <v>12</v>
      </c>
      <c r="I39" s="43" t="s">
        <v>521</v>
      </c>
      <c r="J39" s="43" t="s">
        <v>228</v>
      </c>
      <c r="K39" s="43">
        <v>1983</v>
      </c>
      <c r="L39" s="43">
        <v>1</v>
      </c>
      <c r="M39" s="43">
        <v>1</v>
      </c>
      <c r="N39" s="43" t="s">
        <v>50</v>
      </c>
      <c r="O39" s="43" t="s">
        <v>283</v>
      </c>
      <c r="P39" s="43" t="s">
        <v>280</v>
      </c>
      <c r="Q39" s="43">
        <v>20000</v>
      </c>
      <c r="R39" s="43" t="s">
        <v>59</v>
      </c>
      <c r="S39" s="43" t="s">
        <v>52</v>
      </c>
      <c r="T39" s="43" t="s">
        <v>69</v>
      </c>
      <c r="U39" s="43" t="s">
        <v>67</v>
      </c>
      <c r="V39" s="43">
        <v>500</v>
      </c>
      <c r="W39" s="43" t="s">
        <v>328</v>
      </c>
      <c r="X39" s="43">
        <v>3000</v>
      </c>
      <c r="Y39" s="43" t="s">
        <v>268</v>
      </c>
      <c r="Z39" s="43">
        <v>85</v>
      </c>
      <c r="AA39" s="43" t="s">
        <v>278</v>
      </c>
      <c r="AB39" s="43" t="s">
        <v>228</v>
      </c>
      <c r="AC39" s="43" t="s">
        <v>228</v>
      </c>
      <c r="AD39" s="43" t="s">
        <v>228</v>
      </c>
      <c r="AE39" s="43" t="s">
        <v>228</v>
      </c>
      <c r="AF39" s="43" t="s">
        <v>420</v>
      </c>
      <c r="AG39" s="43" t="s">
        <v>228</v>
      </c>
      <c r="AH39" s="43" t="s">
        <v>228</v>
      </c>
      <c r="AI39" s="43" t="s">
        <v>228</v>
      </c>
      <c r="AJ39" t="s">
        <v>468</v>
      </c>
      <c r="AK39">
        <v>1</v>
      </c>
      <c r="AL39">
        <v>1</v>
      </c>
      <c r="AM39" t="s">
        <v>93</v>
      </c>
      <c r="AN39" t="s">
        <v>228</v>
      </c>
      <c r="AO39" t="s">
        <v>526</v>
      </c>
      <c r="AP39" t="s">
        <v>109</v>
      </c>
      <c r="AQ39">
        <v>12</v>
      </c>
      <c r="AR39" t="s">
        <v>521</v>
      </c>
      <c r="AS39" t="s">
        <v>228</v>
      </c>
      <c r="AT39" t="s">
        <v>140</v>
      </c>
      <c r="AU39">
        <v>1</v>
      </c>
      <c r="AV39">
        <v>1</v>
      </c>
      <c r="AW39" t="s">
        <v>536</v>
      </c>
      <c r="AX39" t="s">
        <v>283</v>
      </c>
      <c r="AY39" t="s">
        <v>280</v>
      </c>
      <c r="AZ39">
        <v>5</v>
      </c>
      <c r="BA39" t="s">
        <v>533</v>
      </c>
      <c r="BB39" t="s">
        <v>405</v>
      </c>
      <c r="BC39" t="s">
        <v>395</v>
      </c>
      <c r="BD39" t="s">
        <v>534</v>
      </c>
      <c r="BE39" t="s">
        <v>522</v>
      </c>
      <c r="BF39" t="s">
        <v>523</v>
      </c>
      <c r="BG39" t="s">
        <v>407</v>
      </c>
      <c r="BH39" t="s">
        <v>396</v>
      </c>
      <c r="BI39" t="s">
        <v>524</v>
      </c>
      <c r="BJ39" t="s">
        <v>228</v>
      </c>
      <c r="BK39" t="s">
        <v>228</v>
      </c>
      <c r="BL39" t="s">
        <v>228</v>
      </c>
      <c r="BM39" t="s">
        <v>228</v>
      </c>
      <c r="BN39" t="s">
        <v>228</v>
      </c>
      <c r="BO39" t="s">
        <v>420</v>
      </c>
      <c r="BP39" t="s">
        <v>228</v>
      </c>
      <c r="BQ39" t="s">
        <v>228</v>
      </c>
      <c r="BR39" t="s">
        <v>228</v>
      </c>
      <c r="BS39" t="s">
        <v>409</v>
      </c>
      <c r="BT39">
        <v>1</v>
      </c>
    </row>
    <row r="40" spans="1:72" x14ac:dyDescent="0.15">
      <c r="A40" s="43">
        <v>2023</v>
      </c>
      <c r="B40" s="43">
        <v>1</v>
      </c>
      <c r="C40" s="43">
        <v>1</v>
      </c>
      <c r="D40" s="43">
        <v>8</v>
      </c>
      <c r="E40" s="43" t="s">
        <v>228</v>
      </c>
      <c r="F40" s="43" t="s">
        <v>57</v>
      </c>
      <c r="G40" s="43">
        <v>2016</v>
      </c>
      <c r="H40" s="43">
        <v>12</v>
      </c>
      <c r="I40" s="43" t="s">
        <v>521</v>
      </c>
      <c r="J40" s="43" t="s">
        <v>228</v>
      </c>
      <c r="K40" s="43">
        <v>1983</v>
      </c>
      <c r="L40" s="43">
        <v>1</v>
      </c>
      <c r="M40" s="43">
        <v>1</v>
      </c>
      <c r="N40" s="43" t="s">
        <v>50</v>
      </c>
      <c r="O40" s="43" t="s">
        <v>283</v>
      </c>
      <c r="P40" s="43" t="s">
        <v>280</v>
      </c>
      <c r="Q40" s="43">
        <v>20000</v>
      </c>
      <c r="R40" s="43" t="s">
        <v>59</v>
      </c>
      <c r="S40" s="43" t="s">
        <v>52</v>
      </c>
      <c r="T40" s="43" t="s">
        <v>69</v>
      </c>
      <c r="U40" s="43" t="s">
        <v>69</v>
      </c>
      <c r="V40" s="43">
        <v>500</v>
      </c>
      <c r="W40" s="43" t="s">
        <v>328</v>
      </c>
      <c r="X40" s="43">
        <v>3000</v>
      </c>
      <c r="Y40" s="43" t="s">
        <v>268</v>
      </c>
      <c r="Z40" s="43">
        <v>85</v>
      </c>
      <c r="AA40" s="43" t="s">
        <v>278</v>
      </c>
      <c r="AB40" s="43" t="s">
        <v>228</v>
      </c>
      <c r="AC40" s="43" t="s">
        <v>228</v>
      </c>
      <c r="AD40" s="43" t="s">
        <v>228</v>
      </c>
      <c r="AE40" s="43" t="s">
        <v>228</v>
      </c>
      <c r="AF40" s="43" t="s">
        <v>420</v>
      </c>
      <c r="AG40" s="43" t="s">
        <v>228</v>
      </c>
      <c r="AH40" s="43" t="s">
        <v>228</v>
      </c>
      <c r="AI40" s="43" t="s">
        <v>228</v>
      </c>
      <c r="AJ40" t="s">
        <v>468</v>
      </c>
      <c r="AK40">
        <v>1</v>
      </c>
      <c r="AL40">
        <v>1</v>
      </c>
      <c r="AM40" t="s">
        <v>93</v>
      </c>
      <c r="AN40" t="s">
        <v>228</v>
      </c>
      <c r="AO40" t="s">
        <v>526</v>
      </c>
      <c r="AP40" t="s">
        <v>109</v>
      </c>
      <c r="AQ40">
        <v>12</v>
      </c>
      <c r="AR40" t="s">
        <v>521</v>
      </c>
      <c r="AS40" t="s">
        <v>228</v>
      </c>
      <c r="AT40" t="s">
        <v>140</v>
      </c>
      <c r="AU40">
        <v>1</v>
      </c>
      <c r="AV40">
        <v>1</v>
      </c>
      <c r="AW40" t="s">
        <v>536</v>
      </c>
      <c r="AX40" t="s">
        <v>283</v>
      </c>
      <c r="AY40" t="s">
        <v>280</v>
      </c>
      <c r="AZ40">
        <v>5</v>
      </c>
      <c r="BA40" t="s">
        <v>533</v>
      </c>
      <c r="BB40" t="s">
        <v>405</v>
      </c>
      <c r="BC40" t="s">
        <v>395</v>
      </c>
      <c r="BD40" t="s">
        <v>395</v>
      </c>
      <c r="BE40" t="s">
        <v>522</v>
      </c>
      <c r="BF40" t="s">
        <v>523</v>
      </c>
      <c r="BG40" t="s">
        <v>407</v>
      </c>
      <c r="BH40" t="s">
        <v>396</v>
      </c>
      <c r="BI40" t="s">
        <v>524</v>
      </c>
      <c r="BJ40" t="s">
        <v>228</v>
      </c>
      <c r="BK40" t="s">
        <v>228</v>
      </c>
      <c r="BL40" t="s">
        <v>228</v>
      </c>
      <c r="BM40" t="s">
        <v>228</v>
      </c>
      <c r="BN40" t="s">
        <v>228</v>
      </c>
      <c r="BO40" t="s">
        <v>420</v>
      </c>
      <c r="BP40" t="s">
        <v>228</v>
      </c>
      <c r="BQ40" t="s">
        <v>228</v>
      </c>
      <c r="BR40" t="s">
        <v>228</v>
      </c>
      <c r="BS40" t="s">
        <v>409</v>
      </c>
      <c r="BT40">
        <v>1</v>
      </c>
    </row>
    <row r="41" spans="1:72" x14ac:dyDescent="0.15">
      <c r="A41" s="43">
        <v>2023</v>
      </c>
      <c r="B41" s="43">
        <v>1</v>
      </c>
      <c r="C41" s="43">
        <v>1</v>
      </c>
      <c r="D41" s="43">
        <v>8</v>
      </c>
      <c r="E41" s="43" t="s">
        <v>228</v>
      </c>
      <c r="F41" s="43" t="s">
        <v>57</v>
      </c>
      <c r="G41" s="43">
        <v>2016</v>
      </c>
      <c r="H41" s="43">
        <v>12</v>
      </c>
      <c r="I41" s="43" t="s">
        <v>521</v>
      </c>
      <c r="J41" s="43" t="s">
        <v>228</v>
      </c>
      <c r="K41" s="43">
        <v>1983</v>
      </c>
      <c r="L41" s="43">
        <v>1</v>
      </c>
      <c r="M41" s="43">
        <v>1</v>
      </c>
      <c r="N41" s="43" t="s">
        <v>50</v>
      </c>
      <c r="O41" s="43" t="s">
        <v>283</v>
      </c>
      <c r="P41" s="43" t="s">
        <v>280</v>
      </c>
      <c r="Q41" s="43">
        <v>20000</v>
      </c>
      <c r="R41" s="43" t="s">
        <v>59</v>
      </c>
      <c r="S41" s="43" t="s">
        <v>52</v>
      </c>
      <c r="T41" s="43" t="s">
        <v>69</v>
      </c>
      <c r="U41" s="43" t="s">
        <v>228</v>
      </c>
      <c r="V41" s="43">
        <v>500</v>
      </c>
      <c r="W41" s="43" t="s">
        <v>328</v>
      </c>
      <c r="X41" s="43">
        <v>3000</v>
      </c>
      <c r="Y41" s="43" t="s">
        <v>268</v>
      </c>
      <c r="Z41" s="43">
        <v>85</v>
      </c>
      <c r="AA41" s="43" t="s">
        <v>278</v>
      </c>
      <c r="AB41" s="43" t="s">
        <v>228</v>
      </c>
      <c r="AC41" s="43" t="s">
        <v>228</v>
      </c>
      <c r="AD41" s="43" t="s">
        <v>228</v>
      </c>
      <c r="AE41" s="43" t="s">
        <v>67</v>
      </c>
      <c r="AF41" s="43" t="s">
        <v>228</v>
      </c>
      <c r="AG41" s="43" t="s">
        <v>228</v>
      </c>
      <c r="AH41" s="43" t="s">
        <v>228</v>
      </c>
      <c r="AI41" s="43" t="s">
        <v>228</v>
      </c>
      <c r="AJ41" t="s">
        <v>468</v>
      </c>
      <c r="AK41">
        <v>1</v>
      </c>
      <c r="AL41">
        <v>1</v>
      </c>
      <c r="AM41" t="s">
        <v>93</v>
      </c>
      <c r="AN41" t="s">
        <v>228</v>
      </c>
      <c r="AO41" t="s">
        <v>526</v>
      </c>
      <c r="AP41" t="s">
        <v>109</v>
      </c>
      <c r="AQ41">
        <v>12</v>
      </c>
      <c r="AR41" t="s">
        <v>521</v>
      </c>
      <c r="AS41" t="s">
        <v>228</v>
      </c>
      <c r="AT41" t="s">
        <v>140</v>
      </c>
      <c r="AU41">
        <v>1</v>
      </c>
      <c r="AV41">
        <v>1</v>
      </c>
      <c r="AW41" t="s">
        <v>536</v>
      </c>
      <c r="AX41" t="s">
        <v>283</v>
      </c>
      <c r="AY41" t="s">
        <v>280</v>
      </c>
      <c r="AZ41">
        <v>5</v>
      </c>
      <c r="BA41" t="s">
        <v>533</v>
      </c>
      <c r="BB41" t="s">
        <v>405</v>
      </c>
      <c r="BC41" t="s">
        <v>395</v>
      </c>
      <c r="BD41" t="s">
        <v>228</v>
      </c>
      <c r="BE41" t="s">
        <v>522</v>
      </c>
      <c r="BF41" t="s">
        <v>523</v>
      </c>
      <c r="BG41" t="s">
        <v>407</v>
      </c>
      <c r="BH41" t="s">
        <v>396</v>
      </c>
      <c r="BI41" t="s">
        <v>524</v>
      </c>
      <c r="BJ41" t="s">
        <v>228</v>
      </c>
      <c r="BK41" t="s">
        <v>228</v>
      </c>
      <c r="BL41" t="s">
        <v>228</v>
      </c>
      <c r="BM41" t="s">
        <v>228</v>
      </c>
      <c r="BN41" t="s">
        <v>67</v>
      </c>
      <c r="BO41" t="s">
        <v>228</v>
      </c>
      <c r="BP41" t="s">
        <v>228</v>
      </c>
      <c r="BQ41" t="s">
        <v>228</v>
      </c>
      <c r="BR41" t="s">
        <v>228</v>
      </c>
      <c r="BS41" t="s">
        <v>409</v>
      </c>
      <c r="BT41">
        <v>0</v>
      </c>
    </row>
    <row r="42" spans="1:72" x14ac:dyDescent="0.15">
      <c r="A42" s="43">
        <v>2023</v>
      </c>
      <c r="B42" s="43">
        <v>1</v>
      </c>
      <c r="C42" s="43">
        <v>1</v>
      </c>
      <c r="D42" s="43">
        <v>8</v>
      </c>
      <c r="E42" s="43" t="s">
        <v>228</v>
      </c>
      <c r="F42" s="43" t="s">
        <v>57</v>
      </c>
      <c r="G42" s="43">
        <v>2016</v>
      </c>
      <c r="H42" s="43">
        <v>12</v>
      </c>
      <c r="I42" s="43" t="s">
        <v>521</v>
      </c>
      <c r="J42" s="43" t="s">
        <v>228</v>
      </c>
      <c r="K42" s="43">
        <v>1983</v>
      </c>
      <c r="L42" s="43">
        <v>1</v>
      </c>
      <c r="M42" s="43">
        <v>1</v>
      </c>
      <c r="N42" s="43" t="s">
        <v>49</v>
      </c>
      <c r="O42" s="43" t="s">
        <v>283</v>
      </c>
      <c r="P42" s="43" t="s">
        <v>280</v>
      </c>
      <c r="Q42" s="43">
        <v>20000</v>
      </c>
      <c r="R42" s="43" t="s">
        <v>59</v>
      </c>
      <c r="S42" s="43" t="s">
        <v>52</v>
      </c>
      <c r="T42" s="43" t="s">
        <v>69</v>
      </c>
      <c r="U42" s="43" t="s">
        <v>228</v>
      </c>
      <c r="V42" s="43">
        <v>500</v>
      </c>
      <c r="W42" s="43" t="s">
        <v>328</v>
      </c>
      <c r="X42" s="43">
        <v>3000</v>
      </c>
      <c r="Y42" s="43" t="s">
        <v>268</v>
      </c>
      <c r="Z42" s="43">
        <v>85</v>
      </c>
      <c r="AA42" s="43" t="s">
        <v>278</v>
      </c>
      <c r="AB42" s="43" t="s">
        <v>228</v>
      </c>
      <c r="AC42" s="43" t="s">
        <v>228</v>
      </c>
      <c r="AD42" s="43" t="s">
        <v>228</v>
      </c>
      <c r="AE42" s="43" t="s">
        <v>228</v>
      </c>
      <c r="AF42" s="43" t="s">
        <v>228</v>
      </c>
      <c r="AG42" s="43" t="s">
        <v>228</v>
      </c>
      <c r="AH42" s="43" t="s">
        <v>228</v>
      </c>
      <c r="AI42" s="43" t="s">
        <v>228</v>
      </c>
      <c r="AJ42" t="s">
        <v>468</v>
      </c>
      <c r="AK42">
        <v>1</v>
      </c>
      <c r="AL42">
        <v>1</v>
      </c>
      <c r="AM42" t="s">
        <v>93</v>
      </c>
      <c r="AN42" t="s">
        <v>228</v>
      </c>
      <c r="AO42" t="s">
        <v>526</v>
      </c>
      <c r="AP42" t="s">
        <v>109</v>
      </c>
      <c r="AQ42">
        <v>12</v>
      </c>
      <c r="AR42" t="s">
        <v>521</v>
      </c>
      <c r="AS42" t="s">
        <v>228</v>
      </c>
      <c r="AT42" t="s">
        <v>140</v>
      </c>
      <c r="AU42">
        <v>1</v>
      </c>
      <c r="AV42">
        <v>1</v>
      </c>
      <c r="AW42" t="s">
        <v>537</v>
      </c>
      <c r="AX42" t="s">
        <v>283</v>
      </c>
      <c r="AY42" t="s">
        <v>280</v>
      </c>
      <c r="AZ42">
        <v>5</v>
      </c>
      <c r="BA42" t="s">
        <v>533</v>
      </c>
      <c r="BB42" t="s">
        <v>405</v>
      </c>
      <c r="BC42" t="s">
        <v>395</v>
      </c>
      <c r="BD42" t="s">
        <v>228</v>
      </c>
      <c r="BE42" t="s">
        <v>522</v>
      </c>
      <c r="BF42" t="s">
        <v>523</v>
      </c>
      <c r="BG42" t="s">
        <v>407</v>
      </c>
      <c r="BH42" t="s">
        <v>396</v>
      </c>
      <c r="BI42" t="s">
        <v>524</v>
      </c>
      <c r="BJ42" t="s">
        <v>228</v>
      </c>
      <c r="BK42" t="s">
        <v>228</v>
      </c>
      <c r="BL42" t="s">
        <v>228</v>
      </c>
      <c r="BM42" t="s">
        <v>228</v>
      </c>
      <c r="BN42" t="s">
        <v>228</v>
      </c>
      <c r="BO42" t="s">
        <v>228</v>
      </c>
      <c r="BP42" t="s">
        <v>228</v>
      </c>
      <c r="BQ42" t="s">
        <v>228</v>
      </c>
      <c r="BR42" t="s">
        <v>228</v>
      </c>
      <c r="BS42" t="s">
        <v>409</v>
      </c>
      <c r="BT42">
        <v>1</v>
      </c>
    </row>
    <row r="43" spans="1:72" x14ac:dyDescent="0.15">
      <c r="A43" s="43">
        <v>2023</v>
      </c>
      <c r="B43" s="43">
        <v>1</v>
      </c>
      <c r="C43" s="43">
        <v>1</v>
      </c>
      <c r="D43" s="43">
        <v>8</v>
      </c>
      <c r="E43" s="43" t="s">
        <v>228</v>
      </c>
      <c r="F43" s="43" t="s">
        <v>57</v>
      </c>
      <c r="G43" s="43">
        <v>2016</v>
      </c>
      <c r="H43" s="43">
        <v>12</v>
      </c>
      <c r="I43" s="43" t="s">
        <v>521</v>
      </c>
      <c r="J43" s="43" t="s">
        <v>228</v>
      </c>
      <c r="K43" s="43">
        <v>1983</v>
      </c>
      <c r="L43" s="43">
        <v>1</v>
      </c>
      <c r="M43" s="43">
        <v>1</v>
      </c>
      <c r="N43" s="43" t="s">
        <v>49</v>
      </c>
      <c r="O43" s="43" t="s">
        <v>283</v>
      </c>
      <c r="P43" s="43" t="s">
        <v>280</v>
      </c>
      <c r="Q43" s="43">
        <v>20000</v>
      </c>
      <c r="R43" s="43" t="s">
        <v>59</v>
      </c>
      <c r="S43" s="43" t="s">
        <v>52</v>
      </c>
      <c r="T43" s="43" t="s">
        <v>69</v>
      </c>
      <c r="U43" s="43" t="s">
        <v>67</v>
      </c>
      <c r="V43" s="43">
        <v>500</v>
      </c>
      <c r="W43" s="43" t="s">
        <v>328</v>
      </c>
      <c r="X43" s="43">
        <v>3000</v>
      </c>
      <c r="Y43" s="43" t="s">
        <v>268</v>
      </c>
      <c r="Z43" s="43">
        <v>85</v>
      </c>
      <c r="AA43" s="43" t="s">
        <v>278</v>
      </c>
      <c r="AB43" s="43" t="s">
        <v>228</v>
      </c>
      <c r="AC43" s="43" t="s">
        <v>228</v>
      </c>
      <c r="AD43" s="43" t="s">
        <v>228</v>
      </c>
      <c r="AE43" s="43" t="s">
        <v>228</v>
      </c>
      <c r="AF43" s="43" t="s">
        <v>228</v>
      </c>
      <c r="AG43" s="43" t="s">
        <v>228</v>
      </c>
      <c r="AH43" s="43" t="s">
        <v>228</v>
      </c>
      <c r="AI43" s="43" t="s">
        <v>228</v>
      </c>
      <c r="AJ43" t="s">
        <v>468</v>
      </c>
      <c r="AK43">
        <v>1</v>
      </c>
      <c r="AL43">
        <v>1</v>
      </c>
      <c r="AM43" t="s">
        <v>93</v>
      </c>
      <c r="AN43" t="s">
        <v>228</v>
      </c>
      <c r="AO43" t="s">
        <v>526</v>
      </c>
      <c r="AP43" t="s">
        <v>109</v>
      </c>
      <c r="AQ43">
        <v>12</v>
      </c>
      <c r="AR43" t="s">
        <v>521</v>
      </c>
      <c r="AS43" t="s">
        <v>228</v>
      </c>
      <c r="AT43" t="s">
        <v>140</v>
      </c>
      <c r="AU43">
        <v>1</v>
      </c>
      <c r="AV43">
        <v>1</v>
      </c>
      <c r="AW43" t="s">
        <v>537</v>
      </c>
      <c r="AX43" t="s">
        <v>283</v>
      </c>
      <c r="AY43" t="s">
        <v>280</v>
      </c>
      <c r="AZ43">
        <v>5</v>
      </c>
      <c r="BA43" t="s">
        <v>533</v>
      </c>
      <c r="BB43" t="s">
        <v>405</v>
      </c>
      <c r="BC43" t="s">
        <v>395</v>
      </c>
      <c r="BD43" t="s">
        <v>534</v>
      </c>
      <c r="BE43" t="s">
        <v>522</v>
      </c>
      <c r="BF43" t="s">
        <v>523</v>
      </c>
      <c r="BG43" t="s">
        <v>407</v>
      </c>
      <c r="BH43" t="s">
        <v>396</v>
      </c>
      <c r="BI43" t="s">
        <v>524</v>
      </c>
      <c r="BJ43" t="s">
        <v>228</v>
      </c>
      <c r="BK43" t="s">
        <v>228</v>
      </c>
      <c r="BL43" t="s">
        <v>228</v>
      </c>
      <c r="BM43" t="s">
        <v>228</v>
      </c>
      <c r="BN43" t="s">
        <v>228</v>
      </c>
      <c r="BO43" t="s">
        <v>228</v>
      </c>
      <c r="BP43" t="s">
        <v>228</v>
      </c>
      <c r="BQ43" t="s">
        <v>228</v>
      </c>
      <c r="BR43" t="s">
        <v>228</v>
      </c>
      <c r="BS43" t="s">
        <v>409</v>
      </c>
      <c r="BT43">
        <v>1</v>
      </c>
    </row>
    <row r="44" spans="1:72" x14ac:dyDescent="0.15">
      <c r="A44" s="43">
        <v>2023</v>
      </c>
      <c r="B44" s="43">
        <v>1</v>
      </c>
      <c r="C44" s="43">
        <v>1</v>
      </c>
      <c r="D44" s="43">
        <v>8</v>
      </c>
      <c r="E44" s="43" t="s">
        <v>228</v>
      </c>
      <c r="F44" s="43" t="s">
        <v>57</v>
      </c>
      <c r="G44" s="43">
        <v>2016</v>
      </c>
      <c r="H44" s="43">
        <v>12</v>
      </c>
      <c r="I44" s="43" t="s">
        <v>521</v>
      </c>
      <c r="J44" s="43" t="s">
        <v>228</v>
      </c>
      <c r="K44" s="43">
        <v>1983</v>
      </c>
      <c r="L44" s="43">
        <v>1</v>
      </c>
      <c r="M44" s="43">
        <v>1</v>
      </c>
      <c r="N44" s="43" t="s">
        <v>49</v>
      </c>
      <c r="O44" s="43" t="s">
        <v>283</v>
      </c>
      <c r="P44" s="43" t="s">
        <v>280</v>
      </c>
      <c r="Q44" s="43">
        <v>20000</v>
      </c>
      <c r="R44" s="43" t="s">
        <v>59</v>
      </c>
      <c r="S44" s="43" t="s">
        <v>52</v>
      </c>
      <c r="T44" s="43" t="s">
        <v>69</v>
      </c>
      <c r="U44" s="43" t="s">
        <v>69</v>
      </c>
      <c r="V44" s="43">
        <v>500</v>
      </c>
      <c r="W44" s="43" t="s">
        <v>328</v>
      </c>
      <c r="X44" s="43">
        <v>3000</v>
      </c>
      <c r="Y44" s="43" t="s">
        <v>268</v>
      </c>
      <c r="Z44" s="43">
        <v>85</v>
      </c>
      <c r="AA44" s="43" t="s">
        <v>278</v>
      </c>
      <c r="AB44" s="43" t="s">
        <v>228</v>
      </c>
      <c r="AC44" s="43" t="s">
        <v>228</v>
      </c>
      <c r="AD44" s="43" t="s">
        <v>228</v>
      </c>
      <c r="AE44" s="43" t="s">
        <v>228</v>
      </c>
      <c r="AF44" s="43" t="s">
        <v>228</v>
      </c>
      <c r="AG44" s="43" t="s">
        <v>228</v>
      </c>
      <c r="AH44" s="43" t="s">
        <v>228</v>
      </c>
      <c r="AI44" s="43" t="s">
        <v>228</v>
      </c>
      <c r="AJ44" t="s">
        <v>468</v>
      </c>
      <c r="AK44">
        <v>1</v>
      </c>
      <c r="AL44">
        <v>1</v>
      </c>
      <c r="AM44" t="s">
        <v>93</v>
      </c>
      <c r="AN44" t="s">
        <v>228</v>
      </c>
      <c r="AO44" t="s">
        <v>526</v>
      </c>
      <c r="AP44" t="s">
        <v>109</v>
      </c>
      <c r="AQ44">
        <v>12</v>
      </c>
      <c r="AR44" t="s">
        <v>521</v>
      </c>
      <c r="AS44" t="s">
        <v>228</v>
      </c>
      <c r="AT44" t="s">
        <v>140</v>
      </c>
      <c r="AU44">
        <v>1</v>
      </c>
      <c r="AV44">
        <v>1</v>
      </c>
      <c r="AW44" t="s">
        <v>537</v>
      </c>
      <c r="AX44" t="s">
        <v>283</v>
      </c>
      <c r="AY44" t="s">
        <v>280</v>
      </c>
      <c r="AZ44">
        <v>5</v>
      </c>
      <c r="BA44" t="s">
        <v>533</v>
      </c>
      <c r="BB44" t="s">
        <v>405</v>
      </c>
      <c r="BC44" t="s">
        <v>395</v>
      </c>
      <c r="BD44" t="s">
        <v>395</v>
      </c>
      <c r="BE44" t="s">
        <v>522</v>
      </c>
      <c r="BF44" t="s">
        <v>523</v>
      </c>
      <c r="BG44" t="s">
        <v>407</v>
      </c>
      <c r="BH44" t="s">
        <v>396</v>
      </c>
      <c r="BI44" t="s">
        <v>524</v>
      </c>
      <c r="BJ44" t="s">
        <v>228</v>
      </c>
      <c r="BK44" t="s">
        <v>228</v>
      </c>
      <c r="BL44" t="s">
        <v>228</v>
      </c>
      <c r="BM44" t="s">
        <v>228</v>
      </c>
      <c r="BN44" t="s">
        <v>228</v>
      </c>
      <c r="BO44" t="s">
        <v>228</v>
      </c>
      <c r="BP44" t="s">
        <v>228</v>
      </c>
      <c r="BQ44" t="s">
        <v>228</v>
      </c>
      <c r="BR44" t="s">
        <v>228</v>
      </c>
      <c r="BS44" t="s">
        <v>409</v>
      </c>
      <c r="BT44">
        <v>1</v>
      </c>
    </row>
    <row r="45" spans="1:72" x14ac:dyDescent="0.15">
      <c r="A45" s="43">
        <v>2023</v>
      </c>
      <c r="B45" s="43">
        <v>1</v>
      </c>
      <c r="C45" s="43">
        <v>1</v>
      </c>
      <c r="D45" s="43">
        <v>8</v>
      </c>
      <c r="E45" s="43" t="s">
        <v>228</v>
      </c>
      <c r="F45" s="43" t="s">
        <v>57</v>
      </c>
      <c r="G45" s="43">
        <v>2016</v>
      </c>
      <c r="H45" s="43">
        <v>12</v>
      </c>
      <c r="I45" s="43" t="s">
        <v>521</v>
      </c>
      <c r="J45" s="43" t="s">
        <v>228</v>
      </c>
      <c r="K45" s="43">
        <v>1983</v>
      </c>
      <c r="L45" s="43">
        <v>1</v>
      </c>
      <c r="M45" s="43">
        <v>1</v>
      </c>
      <c r="N45" s="43" t="s">
        <v>49</v>
      </c>
      <c r="O45" s="43" t="s">
        <v>283</v>
      </c>
      <c r="P45" s="43" t="s">
        <v>280</v>
      </c>
      <c r="Q45" s="43">
        <v>20000</v>
      </c>
      <c r="R45" s="43" t="s">
        <v>59</v>
      </c>
      <c r="S45" s="43" t="s">
        <v>52</v>
      </c>
      <c r="T45" s="43" t="s">
        <v>69</v>
      </c>
      <c r="U45" s="43" t="s">
        <v>228</v>
      </c>
      <c r="V45" s="43">
        <v>500</v>
      </c>
      <c r="W45" s="43" t="s">
        <v>328</v>
      </c>
      <c r="X45" s="43">
        <v>3000</v>
      </c>
      <c r="Y45" s="43" t="s">
        <v>268</v>
      </c>
      <c r="Z45" s="43">
        <v>85</v>
      </c>
      <c r="AA45" s="43" t="s">
        <v>278</v>
      </c>
      <c r="AB45" s="43" t="s">
        <v>228</v>
      </c>
      <c r="AC45" s="43" t="s">
        <v>228</v>
      </c>
      <c r="AD45" s="43" t="s">
        <v>228</v>
      </c>
      <c r="AE45" s="43" t="s">
        <v>228</v>
      </c>
      <c r="AF45" s="43" t="s">
        <v>419</v>
      </c>
      <c r="AG45" s="43" t="s">
        <v>228</v>
      </c>
      <c r="AH45" s="43" t="s">
        <v>228</v>
      </c>
      <c r="AI45" s="43" t="s">
        <v>228</v>
      </c>
      <c r="AJ45" t="s">
        <v>468</v>
      </c>
      <c r="AK45">
        <v>1</v>
      </c>
      <c r="AL45">
        <v>1</v>
      </c>
      <c r="AM45" t="s">
        <v>93</v>
      </c>
      <c r="AN45" t="s">
        <v>228</v>
      </c>
      <c r="AO45" t="s">
        <v>526</v>
      </c>
      <c r="AP45" t="s">
        <v>109</v>
      </c>
      <c r="AQ45">
        <v>12</v>
      </c>
      <c r="AR45" t="s">
        <v>521</v>
      </c>
      <c r="AS45" t="s">
        <v>228</v>
      </c>
      <c r="AT45" t="s">
        <v>140</v>
      </c>
      <c r="AU45">
        <v>1</v>
      </c>
      <c r="AV45">
        <v>1</v>
      </c>
      <c r="AW45" t="s">
        <v>537</v>
      </c>
      <c r="AX45" t="s">
        <v>283</v>
      </c>
      <c r="AY45" t="s">
        <v>280</v>
      </c>
      <c r="AZ45">
        <v>5</v>
      </c>
      <c r="BA45" t="s">
        <v>533</v>
      </c>
      <c r="BB45" t="s">
        <v>405</v>
      </c>
      <c r="BC45" t="s">
        <v>395</v>
      </c>
      <c r="BD45" t="s">
        <v>228</v>
      </c>
      <c r="BE45" t="s">
        <v>522</v>
      </c>
      <c r="BF45" t="s">
        <v>523</v>
      </c>
      <c r="BG45" t="s">
        <v>407</v>
      </c>
      <c r="BH45" t="s">
        <v>396</v>
      </c>
      <c r="BI45" t="s">
        <v>524</v>
      </c>
      <c r="BJ45" t="s">
        <v>228</v>
      </c>
      <c r="BK45" t="s">
        <v>228</v>
      </c>
      <c r="BL45" t="s">
        <v>228</v>
      </c>
      <c r="BM45" t="s">
        <v>228</v>
      </c>
      <c r="BN45" t="s">
        <v>228</v>
      </c>
      <c r="BO45" t="s">
        <v>419</v>
      </c>
      <c r="BP45" t="s">
        <v>228</v>
      </c>
      <c r="BQ45" t="s">
        <v>228</v>
      </c>
      <c r="BR45" t="s">
        <v>228</v>
      </c>
      <c r="BS45" t="s">
        <v>409</v>
      </c>
      <c r="BT45">
        <v>1</v>
      </c>
    </row>
    <row r="46" spans="1:72" x14ac:dyDescent="0.15">
      <c r="A46" s="43">
        <v>2023</v>
      </c>
      <c r="B46" s="43">
        <v>1</v>
      </c>
      <c r="C46" s="43">
        <v>1</v>
      </c>
      <c r="D46" s="43">
        <v>8</v>
      </c>
      <c r="E46" s="43" t="s">
        <v>228</v>
      </c>
      <c r="F46" s="43" t="s">
        <v>57</v>
      </c>
      <c r="G46" s="43">
        <v>2016</v>
      </c>
      <c r="H46" s="43">
        <v>12</v>
      </c>
      <c r="I46" s="43" t="s">
        <v>521</v>
      </c>
      <c r="J46" s="43" t="s">
        <v>228</v>
      </c>
      <c r="K46" s="43">
        <v>1983</v>
      </c>
      <c r="L46" s="43">
        <v>1</v>
      </c>
      <c r="M46" s="43">
        <v>1</v>
      </c>
      <c r="N46" s="43" t="s">
        <v>49</v>
      </c>
      <c r="O46" s="43" t="s">
        <v>283</v>
      </c>
      <c r="P46" s="43" t="s">
        <v>280</v>
      </c>
      <c r="Q46" s="43">
        <v>20000</v>
      </c>
      <c r="R46" s="43" t="s">
        <v>59</v>
      </c>
      <c r="S46" s="43" t="s">
        <v>52</v>
      </c>
      <c r="T46" s="43" t="s">
        <v>69</v>
      </c>
      <c r="U46" s="43" t="s">
        <v>67</v>
      </c>
      <c r="V46" s="43">
        <v>500</v>
      </c>
      <c r="W46" s="43" t="s">
        <v>328</v>
      </c>
      <c r="X46" s="43">
        <v>3000</v>
      </c>
      <c r="Y46" s="43" t="s">
        <v>268</v>
      </c>
      <c r="Z46" s="43">
        <v>85</v>
      </c>
      <c r="AA46" s="43" t="s">
        <v>278</v>
      </c>
      <c r="AB46" s="43" t="s">
        <v>228</v>
      </c>
      <c r="AC46" s="43" t="s">
        <v>228</v>
      </c>
      <c r="AD46" s="43" t="s">
        <v>228</v>
      </c>
      <c r="AE46" s="43" t="s">
        <v>228</v>
      </c>
      <c r="AF46" s="43" t="s">
        <v>419</v>
      </c>
      <c r="AG46" s="43" t="s">
        <v>228</v>
      </c>
      <c r="AH46" s="43" t="s">
        <v>228</v>
      </c>
      <c r="AI46" s="43" t="s">
        <v>228</v>
      </c>
      <c r="AJ46" t="s">
        <v>468</v>
      </c>
      <c r="AK46">
        <v>1</v>
      </c>
      <c r="AL46">
        <v>1</v>
      </c>
      <c r="AM46" t="s">
        <v>93</v>
      </c>
      <c r="AN46" t="s">
        <v>228</v>
      </c>
      <c r="AO46" t="s">
        <v>526</v>
      </c>
      <c r="AP46" t="s">
        <v>109</v>
      </c>
      <c r="AQ46">
        <v>12</v>
      </c>
      <c r="AR46" t="s">
        <v>521</v>
      </c>
      <c r="AS46" t="s">
        <v>228</v>
      </c>
      <c r="AT46" t="s">
        <v>140</v>
      </c>
      <c r="AU46">
        <v>1</v>
      </c>
      <c r="AV46">
        <v>1</v>
      </c>
      <c r="AW46" t="s">
        <v>537</v>
      </c>
      <c r="AX46" t="s">
        <v>283</v>
      </c>
      <c r="AY46" t="s">
        <v>280</v>
      </c>
      <c r="AZ46">
        <v>5</v>
      </c>
      <c r="BA46" t="s">
        <v>533</v>
      </c>
      <c r="BB46" t="s">
        <v>405</v>
      </c>
      <c r="BC46" t="s">
        <v>395</v>
      </c>
      <c r="BD46" t="s">
        <v>534</v>
      </c>
      <c r="BE46" t="s">
        <v>522</v>
      </c>
      <c r="BF46" t="s">
        <v>523</v>
      </c>
      <c r="BG46" t="s">
        <v>407</v>
      </c>
      <c r="BH46" t="s">
        <v>396</v>
      </c>
      <c r="BI46" t="s">
        <v>524</v>
      </c>
      <c r="BJ46" t="s">
        <v>228</v>
      </c>
      <c r="BK46" t="s">
        <v>228</v>
      </c>
      <c r="BL46" t="s">
        <v>228</v>
      </c>
      <c r="BM46" t="s">
        <v>228</v>
      </c>
      <c r="BN46" t="s">
        <v>228</v>
      </c>
      <c r="BO46" t="s">
        <v>419</v>
      </c>
      <c r="BP46" t="s">
        <v>228</v>
      </c>
      <c r="BQ46" t="s">
        <v>228</v>
      </c>
      <c r="BR46" t="s">
        <v>228</v>
      </c>
      <c r="BS46" t="s">
        <v>409</v>
      </c>
      <c r="BT46">
        <v>1</v>
      </c>
    </row>
    <row r="47" spans="1:72" x14ac:dyDescent="0.15">
      <c r="A47" s="43">
        <v>2023</v>
      </c>
      <c r="B47" s="43">
        <v>1</v>
      </c>
      <c r="C47" s="43">
        <v>1</v>
      </c>
      <c r="D47" s="43">
        <v>8</v>
      </c>
      <c r="E47" s="43" t="s">
        <v>228</v>
      </c>
      <c r="F47" s="43" t="s">
        <v>57</v>
      </c>
      <c r="G47" s="43">
        <v>2016</v>
      </c>
      <c r="H47" s="43">
        <v>12</v>
      </c>
      <c r="I47" s="43" t="s">
        <v>521</v>
      </c>
      <c r="J47" s="43" t="s">
        <v>228</v>
      </c>
      <c r="K47" s="43">
        <v>1983</v>
      </c>
      <c r="L47" s="43">
        <v>1</v>
      </c>
      <c r="M47" s="43">
        <v>1</v>
      </c>
      <c r="N47" s="43" t="s">
        <v>49</v>
      </c>
      <c r="O47" s="43" t="s">
        <v>283</v>
      </c>
      <c r="P47" s="43" t="s">
        <v>280</v>
      </c>
      <c r="Q47" s="43">
        <v>20000</v>
      </c>
      <c r="R47" s="43" t="s">
        <v>59</v>
      </c>
      <c r="S47" s="43" t="s">
        <v>52</v>
      </c>
      <c r="T47" s="43" t="s">
        <v>69</v>
      </c>
      <c r="U47" s="43" t="s">
        <v>69</v>
      </c>
      <c r="V47" s="43">
        <v>500</v>
      </c>
      <c r="W47" s="43" t="s">
        <v>328</v>
      </c>
      <c r="X47" s="43">
        <v>3000</v>
      </c>
      <c r="Y47" s="43" t="s">
        <v>268</v>
      </c>
      <c r="Z47" s="43">
        <v>85</v>
      </c>
      <c r="AA47" s="43" t="s">
        <v>278</v>
      </c>
      <c r="AB47" s="43" t="s">
        <v>228</v>
      </c>
      <c r="AC47" s="43" t="s">
        <v>228</v>
      </c>
      <c r="AD47" s="43" t="s">
        <v>228</v>
      </c>
      <c r="AE47" s="43" t="s">
        <v>228</v>
      </c>
      <c r="AF47" s="43" t="s">
        <v>419</v>
      </c>
      <c r="AG47" s="43" t="s">
        <v>228</v>
      </c>
      <c r="AH47" s="43" t="s">
        <v>228</v>
      </c>
      <c r="AI47" s="43" t="s">
        <v>228</v>
      </c>
      <c r="AJ47" t="s">
        <v>468</v>
      </c>
      <c r="AK47">
        <v>1</v>
      </c>
      <c r="AL47">
        <v>1</v>
      </c>
      <c r="AM47" t="s">
        <v>93</v>
      </c>
      <c r="AN47" t="s">
        <v>228</v>
      </c>
      <c r="AO47" t="s">
        <v>526</v>
      </c>
      <c r="AP47" t="s">
        <v>109</v>
      </c>
      <c r="AQ47">
        <v>12</v>
      </c>
      <c r="AR47" t="s">
        <v>521</v>
      </c>
      <c r="AS47" t="s">
        <v>228</v>
      </c>
      <c r="AT47" t="s">
        <v>140</v>
      </c>
      <c r="AU47">
        <v>1</v>
      </c>
      <c r="AV47">
        <v>1</v>
      </c>
      <c r="AW47" t="s">
        <v>537</v>
      </c>
      <c r="AX47" t="s">
        <v>283</v>
      </c>
      <c r="AY47" t="s">
        <v>280</v>
      </c>
      <c r="AZ47">
        <v>5</v>
      </c>
      <c r="BA47" t="s">
        <v>533</v>
      </c>
      <c r="BB47" t="s">
        <v>405</v>
      </c>
      <c r="BC47" t="s">
        <v>395</v>
      </c>
      <c r="BD47" t="s">
        <v>395</v>
      </c>
      <c r="BE47" t="s">
        <v>522</v>
      </c>
      <c r="BF47" t="s">
        <v>523</v>
      </c>
      <c r="BG47" t="s">
        <v>407</v>
      </c>
      <c r="BH47" t="s">
        <v>396</v>
      </c>
      <c r="BI47" t="s">
        <v>524</v>
      </c>
      <c r="BJ47" t="s">
        <v>228</v>
      </c>
      <c r="BK47" t="s">
        <v>228</v>
      </c>
      <c r="BL47" t="s">
        <v>228</v>
      </c>
      <c r="BM47" t="s">
        <v>228</v>
      </c>
      <c r="BN47" t="s">
        <v>228</v>
      </c>
      <c r="BO47" t="s">
        <v>419</v>
      </c>
      <c r="BP47" t="s">
        <v>228</v>
      </c>
      <c r="BQ47" t="s">
        <v>228</v>
      </c>
      <c r="BR47" t="s">
        <v>228</v>
      </c>
      <c r="BS47" t="s">
        <v>409</v>
      </c>
      <c r="BT47">
        <v>1</v>
      </c>
    </row>
    <row r="48" spans="1:72" x14ac:dyDescent="0.15">
      <c r="A48" s="43">
        <v>2023</v>
      </c>
      <c r="B48" s="43">
        <v>1</v>
      </c>
      <c r="C48" s="43">
        <v>1</v>
      </c>
      <c r="D48" s="43">
        <v>8</v>
      </c>
      <c r="E48" s="43" t="s">
        <v>228</v>
      </c>
      <c r="F48" s="43" t="s">
        <v>57</v>
      </c>
      <c r="G48" s="43">
        <v>2016</v>
      </c>
      <c r="H48" s="43">
        <v>12</v>
      </c>
      <c r="I48" s="43" t="s">
        <v>521</v>
      </c>
      <c r="J48" s="43" t="s">
        <v>228</v>
      </c>
      <c r="K48" s="43">
        <v>1983</v>
      </c>
      <c r="L48" s="43">
        <v>1</v>
      </c>
      <c r="M48" s="43">
        <v>1</v>
      </c>
      <c r="N48" s="43" t="s">
        <v>49</v>
      </c>
      <c r="O48" s="43" t="s">
        <v>283</v>
      </c>
      <c r="P48" s="43" t="s">
        <v>280</v>
      </c>
      <c r="Q48" s="43">
        <v>20000</v>
      </c>
      <c r="R48" s="43" t="s">
        <v>59</v>
      </c>
      <c r="S48" s="43" t="s">
        <v>52</v>
      </c>
      <c r="T48" s="43" t="s">
        <v>69</v>
      </c>
      <c r="U48" s="43" t="s">
        <v>228</v>
      </c>
      <c r="V48" s="43">
        <v>500</v>
      </c>
      <c r="W48" s="43" t="s">
        <v>328</v>
      </c>
      <c r="X48" s="43">
        <v>3000</v>
      </c>
      <c r="Y48" s="43" t="s">
        <v>268</v>
      </c>
      <c r="Z48" s="43">
        <v>85</v>
      </c>
      <c r="AA48" s="43" t="s">
        <v>278</v>
      </c>
      <c r="AB48" s="43" t="s">
        <v>228</v>
      </c>
      <c r="AC48" s="43" t="s">
        <v>228</v>
      </c>
      <c r="AD48" s="43" t="s">
        <v>228</v>
      </c>
      <c r="AE48" s="43" t="s">
        <v>228</v>
      </c>
      <c r="AF48" s="43" t="s">
        <v>420</v>
      </c>
      <c r="AG48" s="43" t="s">
        <v>228</v>
      </c>
      <c r="AH48" s="43" t="s">
        <v>228</v>
      </c>
      <c r="AI48" s="43" t="s">
        <v>228</v>
      </c>
      <c r="AJ48" t="s">
        <v>468</v>
      </c>
      <c r="AK48">
        <v>1</v>
      </c>
      <c r="AL48">
        <v>1</v>
      </c>
      <c r="AM48" t="s">
        <v>93</v>
      </c>
      <c r="AN48" t="s">
        <v>228</v>
      </c>
      <c r="AO48" t="s">
        <v>526</v>
      </c>
      <c r="AP48" t="s">
        <v>109</v>
      </c>
      <c r="AQ48">
        <v>12</v>
      </c>
      <c r="AR48" t="s">
        <v>521</v>
      </c>
      <c r="AS48" t="s">
        <v>228</v>
      </c>
      <c r="AT48" t="s">
        <v>140</v>
      </c>
      <c r="AU48">
        <v>1</v>
      </c>
      <c r="AV48">
        <v>1</v>
      </c>
      <c r="AW48" t="s">
        <v>537</v>
      </c>
      <c r="AX48" t="s">
        <v>283</v>
      </c>
      <c r="AY48" t="s">
        <v>280</v>
      </c>
      <c r="AZ48">
        <v>5</v>
      </c>
      <c r="BA48" t="s">
        <v>533</v>
      </c>
      <c r="BB48" t="s">
        <v>405</v>
      </c>
      <c r="BC48" t="s">
        <v>395</v>
      </c>
      <c r="BD48" t="s">
        <v>228</v>
      </c>
      <c r="BE48" t="s">
        <v>522</v>
      </c>
      <c r="BF48" t="s">
        <v>523</v>
      </c>
      <c r="BG48" t="s">
        <v>407</v>
      </c>
      <c r="BH48" t="s">
        <v>396</v>
      </c>
      <c r="BI48" t="s">
        <v>524</v>
      </c>
      <c r="BJ48" t="s">
        <v>228</v>
      </c>
      <c r="BK48" t="s">
        <v>228</v>
      </c>
      <c r="BL48" t="s">
        <v>228</v>
      </c>
      <c r="BM48" t="s">
        <v>228</v>
      </c>
      <c r="BN48" t="s">
        <v>228</v>
      </c>
      <c r="BO48" t="s">
        <v>420</v>
      </c>
      <c r="BP48" t="s">
        <v>228</v>
      </c>
      <c r="BQ48" t="s">
        <v>228</v>
      </c>
      <c r="BR48" t="s">
        <v>228</v>
      </c>
      <c r="BS48" t="s">
        <v>409</v>
      </c>
      <c r="BT48">
        <v>1</v>
      </c>
    </row>
    <row r="49" spans="1:72" x14ac:dyDescent="0.15">
      <c r="A49" s="43">
        <v>2023</v>
      </c>
      <c r="B49" s="43">
        <v>1</v>
      </c>
      <c r="C49" s="43">
        <v>1</v>
      </c>
      <c r="D49" s="43">
        <v>8</v>
      </c>
      <c r="E49" s="43" t="s">
        <v>228</v>
      </c>
      <c r="F49" s="43" t="s">
        <v>57</v>
      </c>
      <c r="G49" s="43">
        <v>2016</v>
      </c>
      <c r="H49" s="43">
        <v>12</v>
      </c>
      <c r="I49" s="43" t="s">
        <v>521</v>
      </c>
      <c r="J49" s="43" t="s">
        <v>228</v>
      </c>
      <c r="K49" s="43">
        <v>1983</v>
      </c>
      <c r="L49" s="43">
        <v>1</v>
      </c>
      <c r="M49" s="43">
        <v>1</v>
      </c>
      <c r="N49" s="43" t="s">
        <v>49</v>
      </c>
      <c r="O49" s="43" t="s">
        <v>283</v>
      </c>
      <c r="P49" s="43" t="s">
        <v>280</v>
      </c>
      <c r="Q49" s="43">
        <v>20000</v>
      </c>
      <c r="R49" s="43" t="s">
        <v>59</v>
      </c>
      <c r="S49" s="43" t="s">
        <v>52</v>
      </c>
      <c r="T49" s="43" t="s">
        <v>69</v>
      </c>
      <c r="U49" s="43" t="s">
        <v>67</v>
      </c>
      <c r="V49" s="43">
        <v>500</v>
      </c>
      <c r="W49" s="43" t="s">
        <v>328</v>
      </c>
      <c r="X49" s="43">
        <v>3000</v>
      </c>
      <c r="Y49" s="43" t="s">
        <v>268</v>
      </c>
      <c r="Z49" s="43">
        <v>85</v>
      </c>
      <c r="AA49" s="43" t="s">
        <v>278</v>
      </c>
      <c r="AB49" s="43" t="s">
        <v>228</v>
      </c>
      <c r="AC49" s="43" t="s">
        <v>228</v>
      </c>
      <c r="AD49" s="43" t="s">
        <v>228</v>
      </c>
      <c r="AE49" s="43" t="s">
        <v>228</v>
      </c>
      <c r="AF49" s="43" t="s">
        <v>420</v>
      </c>
      <c r="AG49" s="43" t="s">
        <v>228</v>
      </c>
      <c r="AH49" s="43" t="s">
        <v>228</v>
      </c>
      <c r="AI49" s="43" t="s">
        <v>228</v>
      </c>
      <c r="AJ49" t="s">
        <v>468</v>
      </c>
      <c r="AK49">
        <v>1</v>
      </c>
      <c r="AL49">
        <v>1</v>
      </c>
      <c r="AM49" t="s">
        <v>93</v>
      </c>
      <c r="AN49" t="s">
        <v>228</v>
      </c>
      <c r="AO49" t="s">
        <v>526</v>
      </c>
      <c r="AP49" t="s">
        <v>109</v>
      </c>
      <c r="AQ49">
        <v>12</v>
      </c>
      <c r="AR49" t="s">
        <v>521</v>
      </c>
      <c r="AS49" t="s">
        <v>228</v>
      </c>
      <c r="AT49" t="s">
        <v>140</v>
      </c>
      <c r="AU49">
        <v>1</v>
      </c>
      <c r="AV49">
        <v>1</v>
      </c>
      <c r="AW49" t="s">
        <v>537</v>
      </c>
      <c r="AX49" t="s">
        <v>283</v>
      </c>
      <c r="AY49" t="s">
        <v>280</v>
      </c>
      <c r="AZ49">
        <v>5</v>
      </c>
      <c r="BA49" t="s">
        <v>533</v>
      </c>
      <c r="BB49" t="s">
        <v>405</v>
      </c>
      <c r="BC49" t="s">
        <v>395</v>
      </c>
      <c r="BD49" t="s">
        <v>534</v>
      </c>
      <c r="BE49" t="s">
        <v>522</v>
      </c>
      <c r="BF49" t="s">
        <v>523</v>
      </c>
      <c r="BG49" t="s">
        <v>407</v>
      </c>
      <c r="BH49" t="s">
        <v>396</v>
      </c>
      <c r="BI49" t="s">
        <v>524</v>
      </c>
      <c r="BJ49" t="s">
        <v>228</v>
      </c>
      <c r="BK49" t="s">
        <v>228</v>
      </c>
      <c r="BL49" t="s">
        <v>228</v>
      </c>
      <c r="BM49" t="s">
        <v>228</v>
      </c>
      <c r="BN49" t="s">
        <v>228</v>
      </c>
      <c r="BO49" t="s">
        <v>420</v>
      </c>
      <c r="BP49" t="s">
        <v>228</v>
      </c>
      <c r="BQ49" t="s">
        <v>228</v>
      </c>
      <c r="BR49" t="s">
        <v>228</v>
      </c>
      <c r="BS49" t="s">
        <v>409</v>
      </c>
      <c r="BT49">
        <v>1</v>
      </c>
    </row>
    <row r="50" spans="1:72" x14ac:dyDescent="0.15">
      <c r="A50" s="43">
        <v>2023</v>
      </c>
      <c r="B50" s="8">
        <v>1</v>
      </c>
      <c r="C50" s="8">
        <v>1</v>
      </c>
      <c r="D50" s="8">
        <v>8</v>
      </c>
      <c r="E50" s="8" t="s">
        <v>228</v>
      </c>
      <c r="F50" s="8" t="s">
        <v>57</v>
      </c>
      <c r="G50" s="8">
        <v>2016</v>
      </c>
      <c r="H50" s="8">
        <v>12</v>
      </c>
      <c r="I50" s="8" t="s">
        <v>521</v>
      </c>
      <c r="J50" s="8" t="s">
        <v>228</v>
      </c>
      <c r="K50" s="8">
        <v>1983</v>
      </c>
      <c r="L50" s="17">
        <v>1</v>
      </c>
      <c r="M50" s="8">
        <v>1</v>
      </c>
      <c r="N50" s="8" t="s">
        <v>49</v>
      </c>
      <c r="O50" s="8" t="s">
        <v>283</v>
      </c>
      <c r="P50" s="8" t="s">
        <v>280</v>
      </c>
      <c r="Q50" s="8">
        <v>20000</v>
      </c>
      <c r="R50" s="8" t="s">
        <v>59</v>
      </c>
      <c r="S50" s="8" t="s">
        <v>52</v>
      </c>
      <c r="T50" s="8" t="s">
        <v>69</v>
      </c>
      <c r="U50" s="8" t="s">
        <v>69</v>
      </c>
      <c r="V50" s="8">
        <v>500</v>
      </c>
      <c r="W50" s="8" t="s">
        <v>328</v>
      </c>
      <c r="X50" s="8">
        <v>3000</v>
      </c>
      <c r="Y50" s="8" t="s">
        <v>268</v>
      </c>
      <c r="Z50" s="8">
        <v>85</v>
      </c>
      <c r="AA50" s="8" t="s">
        <v>278</v>
      </c>
      <c r="AB50" s="8" t="s">
        <v>228</v>
      </c>
      <c r="AC50" s="8" t="s">
        <v>228</v>
      </c>
      <c r="AD50" s="8" t="s">
        <v>228</v>
      </c>
      <c r="AE50" s="8" t="s">
        <v>228</v>
      </c>
      <c r="AF50" s="8" t="s">
        <v>420</v>
      </c>
      <c r="AG50" s="8" t="s">
        <v>228</v>
      </c>
      <c r="AH50" s="8" t="s">
        <v>228</v>
      </c>
      <c r="AI50" s="8" t="s">
        <v>228</v>
      </c>
      <c r="AJ50" t="s">
        <v>468</v>
      </c>
      <c r="AK50">
        <v>1</v>
      </c>
      <c r="AL50">
        <v>1</v>
      </c>
      <c r="AM50" t="s">
        <v>93</v>
      </c>
      <c r="AN50" t="s">
        <v>228</v>
      </c>
      <c r="AO50" t="s">
        <v>526</v>
      </c>
      <c r="AP50" t="s">
        <v>109</v>
      </c>
      <c r="AQ50">
        <v>12</v>
      </c>
      <c r="AR50" t="s">
        <v>521</v>
      </c>
      <c r="AS50" t="s">
        <v>228</v>
      </c>
      <c r="AT50" t="s">
        <v>140</v>
      </c>
      <c r="AU50">
        <v>1</v>
      </c>
      <c r="AV50">
        <v>1</v>
      </c>
      <c r="AW50" t="s">
        <v>537</v>
      </c>
      <c r="AX50" t="s">
        <v>283</v>
      </c>
      <c r="AY50" t="s">
        <v>280</v>
      </c>
      <c r="AZ50">
        <v>5</v>
      </c>
      <c r="BA50" t="s">
        <v>533</v>
      </c>
      <c r="BB50" t="s">
        <v>405</v>
      </c>
      <c r="BC50" t="s">
        <v>395</v>
      </c>
      <c r="BD50" t="s">
        <v>395</v>
      </c>
      <c r="BE50" t="s">
        <v>522</v>
      </c>
      <c r="BF50" t="s">
        <v>523</v>
      </c>
      <c r="BG50" t="s">
        <v>407</v>
      </c>
      <c r="BH50" t="s">
        <v>396</v>
      </c>
      <c r="BI50" t="s">
        <v>524</v>
      </c>
      <c r="BJ50" t="s">
        <v>228</v>
      </c>
      <c r="BK50" t="s">
        <v>228</v>
      </c>
      <c r="BL50" t="s">
        <v>228</v>
      </c>
      <c r="BM50" t="s">
        <v>228</v>
      </c>
      <c r="BN50" t="s">
        <v>228</v>
      </c>
      <c r="BO50" t="s">
        <v>420</v>
      </c>
      <c r="BP50" t="s">
        <v>228</v>
      </c>
      <c r="BQ50" t="s">
        <v>228</v>
      </c>
      <c r="BR50" t="s">
        <v>228</v>
      </c>
      <c r="BS50" t="s">
        <v>409</v>
      </c>
      <c r="BT50">
        <v>1</v>
      </c>
    </row>
    <row r="51" spans="1:72" x14ac:dyDescent="0.15">
      <c r="A51" s="43">
        <v>2023</v>
      </c>
      <c r="B51" s="8">
        <v>1</v>
      </c>
      <c r="C51" s="8">
        <v>1</v>
      </c>
      <c r="D51" s="8">
        <v>8</v>
      </c>
      <c r="E51" s="8" t="s">
        <v>228</v>
      </c>
      <c r="F51" s="8" t="s">
        <v>57</v>
      </c>
      <c r="G51" s="8">
        <v>2016</v>
      </c>
      <c r="H51" s="8">
        <v>12</v>
      </c>
      <c r="I51" s="8" t="s">
        <v>521</v>
      </c>
      <c r="J51" s="8" t="s">
        <v>228</v>
      </c>
      <c r="K51" s="8">
        <v>1983</v>
      </c>
      <c r="L51" s="17">
        <v>1</v>
      </c>
      <c r="M51" s="8">
        <v>1</v>
      </c>
      <c r="N51" s="8" t="s">
        <v>49</v>
      </c>
      <c r="O51" s="8" t="s">
        <v>283</v>
      </c>
      <c r="P51" s="8" t="s">
        <v>280</v>
      </c>
      <c r="Q51" s="8">
        <v>20000</v>
      </c>
      <c r="R51" s="8" t="s">
        <v>59</v>
      </c>
      <c r="S51" s="8" t="s">
        <v>52</v>
      </c>
      <c r="T51" s="8" t="s">
        <v>69</v>
      </c>
      <c r="U51" s="8" t="s">
        <v>228</v>
      </c>
      <c r="V51" s="8">
        <v>500</v>
      </c>
      <c r="W51" s="8" t="s">
        <v>328</v>
      </c>
      <c r="X51" s="8">
        <v>3000</v>
      </c>
      <c r="Y51" s="8" t="s">
        <v>268</v>
      </c>
      <c r="Z51" s="8">
        <v>85</v>
      </c>
      <c r="AA51" s="8" t="s">
        <v>278</v>
      </c>
      <c r="AB51" s="8" t="s">
        <v>228</v>
      </c>
      <c r="AC51" s="8" t="s">
        <v>228</v>
      </c>
      <c r="AD51" s="8" t="s">
        <v>228</v>
      </c>
      <c r="AE51" s="8" t="s">
        <v>67</v>
      </c>
      <c r="AF51" s="8" t="s">
        <v>228</v>
      </c>
      <c r="AG51" s="8" t="s">
        <v>228</v>
      </c>
      <c r="AH51" s="8" t="s">
        <v>228</v>
      </c>
      <c r="AI51" s="8" t="s">
        <v>228</v>
      </c>
      <c r="AJ51" t="s">
        <v>468</v>
      </c>
      <c r="AK51">
        <v>1</v>
      </c>
      <c r="AL51">
        <v>1</v>
      </c>
      <c r="AM51" t="s">
        <v>93</v>
      </c>
      <c r="AN51" t="s">
        <v>228</v>
      </c>
      <c r="AO51" t="s">
        <v>526</v>
      </c>
      <c r="AP51" t="s">
        <v>109</v>
      </c>
      <c r="AQ51">
        <v>12</v>
      </c>
      <c r="AR51" t="s">
        <v>521</v>
      </c>
      <c r="AS51" t="s">
        <v>228</v>
      </c>
      <c r="AT51" t="s">
        <v>140</v>
      </c>
      <c r="AU51">
        <v>1</v>
      </c>
      <c r="AV51">
        <v>1</v>
      </c>
      <c r="AW51" t="s">
        <v>537</v>
      </c>
      <c r="AX51" t="s">
        <v>283</v>
      </c>
      <c r="AY51" t="s">
        <v>280</v>
      </c>
      <c r="AZ51">
        <v>5</v>
      </c>
      <c r="BA51" t="s">
        <v>533</v>
      </c>
      <c r="BB51" t="s">
        <v>405</v>
      </c>
      <c r="BC51" t="s">
        <v>395</v>
      </c>
      <c r="BD51" t="s">
        <v>228</v>
      </c>
      <c r="BE51" t="s">
        <v>522</v>
      </c>
      <c r="BF51" t="s">
        <v>523</v>
      </c>
      <c r="BG51" t="s">
        <v>407</v>
      </c>
      <c r="BH51" t="s">
        <v>396</v>
      </c>
      <c r="BI51" t="s">
        <v>524</v>
      </c>
      <c r="BJ51" t="s">
        <v>228</v>
      </c>
      <c r="BK51" t="s">
        <v>228</v>
      </c>
      <c r="BL51" t="s">
        <v>228</v>
      </c>
      <c r="BM51" t="s">
        <v>228</v>
      </c>
      <c r="BN51" t="s">
        <v>67</v>
      </c>
      <c r="BO51" t="s">
        <v>228</v>
      </c>
      <c r="BP51" t="s">
        <v>228</v>
      </c>
      <c r="BQ51" t="s">
        <v>228</v>
      </c>
      <c r="BR51" t="s">
        <v>228</v>
      </c>
      <c r="BS51" t="s">
        <v>409</v>
      </c>
      <c r="BT51">
        <v>0</v>
      </c>
    </row>
    <row r="52" spans="1:72" x14ac:dyDescent="0.15">
      <c r="A52" s="43">
        <v>2023</v>
      </c>
      <c r="B52" s="8">
        <v>1</v>
      </c>
      <c r="C52" s="8">
        <v>1</v>
      </c>
      <c r="D52" s="8">
        <v>8</v>
      </c>
      <c r="E52" s="8" t="s">
        <v>228</v>
      </c>
      <c r="F52" s="8" t="s">
        <v>57</v>
      </c>
      <c r="G52" s="8">
        <v>2016</v>
      </c>
      <c r="H52" s="8">
        <v>12</v>
      </c>
      <c r="I52" s="8" t="s">
        <v>521</v>
      </c>
      <c r="J52" s="8" t="s">
        <v>228</v>
      </c>
      <c r="K52" s="8">
        <v>1983</v>
      </c>
      <c r="L52" s="17">
        <v>1</v>
      </c>
      <c r="M52" s="8">
        <v>1</v>
      </c>
      <c r="N52" s="8" t="s">
        <v>47</v>
      </c>
      <c r="O52" s="8" t="s">
        <v>283</v>
      </c>
      <c r="P52" s="8" t="s">
        <v>280</v>
      </c>
      <c r="Q52" s="8">
        <v>20000</v>
      </c>
      <c r="R52" s="8" t="s">
        <v>59</v>
      </c>
      <c r="S52" s="8" t="s">
        <v>52</v>
      </c>
      <c r="T52" s="8" t="s">
        <v>69</v>
      </c>
      <c r="U52" s="8" t="s">
        <v>228</v>
      </c>
      <c r="V52" s="8">
        <v>500</v>
      </c>
      <c r="W52" s="8" t="s">
        <v>328</v>
      </c>
      <c r="X52" s="8">
        <v>3000</v>
      </c>
      <c r="Y52" s="8" t="s">
        <v>268</v>
      </c>
      <c r="Z52" s="8">
        <v>85</v>
      </c>
      <c r="AA52" s="8" t="s">
        <v>278</v>
      </c>
      <c r="AB52" s="8" t="s">
        <v>228</v>
      </c>
      <c r="AC52" s="8" t="s">
        <v>228</v>
      </c>
      <c r="AD52" s="8" t="s">
        <v>228</v>
      </c>
      <c r="AE52" s="8" t="s">
        <v>228</v>
      </c>
      <c r="AF52" s="8" t="s">
        <v>228</v>
      </c>
      <c r="AG52" s="8" t="s">
        <v>228</v>
      </c>
      <c r="AH52" s="8" t="s">
        <v>228</v>
      </c>
      <c r="AI52" s="8" t="s">
        <v>228</v>
      </c>
      <c r="AJ52" t="s">
        <v>468</v>
      </c>
      <c r="AK52">
        <v>1</v>
      </c>
      <c r="AL52">
        <v>1</v>
      </c>
      <c r="AM52" t="s">
        <v>93</v>
      </c>
      <c r="AN52" t="s">
        <v>228</v>
      </c>
      <c r="AO52" t="s">
        <v>526</v>
      </c>
      <c r="AP52" t="s">
        <v>109</v>
      </c>
      <c r="AQ52">
        <v>12</v>
      </c>
      <c r="AR52" t="s">
        <v>521</v>
      </c>
      <c r="AS52" t="s">
        <v>228</v>
      </c>
      <c r="AT52" t="s">
        <v>140</v>
      </c>
      <c r="AU52">
        <v>1</v>
      </c>
      <c r="AV52">
        <v>1</v>
      </c>
      <c r="AW52" t="s">
        <v>538</v>
      </c>
      <c r="AX52" t="s">
        <v>283</v>
      </c>
      <c r="AY52" t="s">
        <v>280</v>
      </c>
      <c r="AZ52">
        <v>5</v>
      </c>
      <c r="BA52" t="s">
        <v>533</v>
      </c>
      <c r="BB52" t="s">
        <v>405</v>
      </c>
      <c r="BC52" t="s">
        <v>395</v>
      </c>
      <c r="BD52" t="s">
        <v>228</v>
      </c>
      <c r="BE52" t="s">
        <v>522</v>
      </c>
      <c r="BF52" t="s">
        <v>523</v>
      </c>
      <c r="BG52" t="s">
        <v>407</v>
      </c>
      <c r="BH52" t="s">
        <v>396</v>
      </c>
      <c r="BI52" t="s">
        <v>524</v>
      </c>
      <c r="BJ52" t="s">
        <v>228</v>
      </c>
      <c r="BK52" t="s">
        <v>228</v>
      </c>
      <c r="BL52" t="s">
        <v>228</v>
      </c>
      <c r="BM52" t="s">
        <v>228</v>
      </c>
      <c r="BN52" t="s">
        <v>228</v>
      </c>
      <c r="BO52" t="s">
        <v>228</v>
      </c>
      <c r="BP52" t="s">
        <v>228</v>
      </c>
      <c r="BQ52" t="s">
        <v>228</v>
      </c>
      <c r="BR52" t="s">
        <v>228</v>
      </c>
      <c r="BS52" t="s">
        <v>409</v>
      </c>
      <c r="BT52">
        <v>1</v>
      </c>
    </row>
    <row r="53" spans="1:72" x14ac:dyDescent="0.15">
      <c r="A53" s="43">
        <v>2023</v>
      </c>
      <c r="B53" s="8">
        <v>1</v>
      </c>
      <c r="C53" s="8">
        <v>1</v>
      </c>
      <c r="D53" s="8">
        <v>8</v>
      </c>
      <c r="E53" s="8" t="s">
        <v>228</v>
      </c>
      <c r="F53" s="8" t="s">
        <v>57</v>
      </c>
      <c r="G53" s="8">
        <v>2016</v>
      </c>
      <c r="H53" s="8">
        <v>12</v>
      </c>
      <c r="I53" s="8" t="s">
        <v>521</v>
      </c>
      <c r="J53" s="8" t="s">
        <v>228</v>
      </c>
      <c r="K53" s="8">
        <v>1983</v>
      </c>
      <c r="L53" s="17">
        <v>1</v>
      </c>
      <c r="M53" s="8">
        <v>1</v>
      </c>
      <c r="N53" s="8" t="s">
        <v>47</v>
      </c>
      <c r="O53" s="8" t="s">
        <v>283</v>
      </c>
      <c r="P53" s="8" t="s">
        <v>280</v>
      </c>
      <c r="Q53" s="8">
        <v>20000</v>
      </c>
      <c r="R53" s="8" t="s">
        <v>59</v>
      </c>
      <c r="S53" s="8" t="s">
        <v>52</v>
      </c>
      <c r="T53" s="8" t="s">
        <v>69</v>
      </c>
      <c r="U53" s="8" t="s">
        <v>67</v>
      </c>
      <c r="V53" s="8">
        <v>500</v>
      </c>
      <c r="W53" s="8" t="s">
        <v>328</v>
      </c>
      <c r="X53" s="8">
        <v>3000</v>
      </c>
      <c r="Y53" s="8" t="s">
        <v>268</v>
      </c>
      <c r="Z53" s="8">
        <v>85</v>
      </c>
      <c r="AA53" s="8" t="s">
        <v>278</v>
      </c>
      <c r="AB53" s="8" t="s">
        <v>228</v>
      </c>
      <c r="AC53" s="8" t="s">
        <v>228</v>
      </c>
      <c r="AD53" s="8" t="s">
        <v>228</v>
      </c>
      <c r="AE53" s="8" t="s">
        <v>228</v>
      </c>
      <c r="AF53" s="8" t="s">
        <v>228</v>
      </c>
      <c r="AG53" s="8" t="s">
        <v>228</v>
      </c>
      <c r="AH53" s="8" t="s">
        <v>228</v>
      </c>
      <c r="AI53" s="8" t="s">
        <v>228</v>
      </c>
      <c r="AJ53" t="s">
        <v>468</v>
      </c>
      <c r="AK53">
        <v>1</v>
      </c>
      <c r="AL53">
        <v>1</v>
      </c>
      <c r="AM53" t="s">
        <v>93</v>
      </c>
      <c r="AN53" t="s">
        <v>228</v>
      </c>
      <c r="AO53" t="s">
        <v>526</v>
      </c>
      <c r="AP53" t="s">
        <v>109</v>
      </c>
      <c r="AQ53">
        <v>12</v>
      </c>
      <c r="AR53" t="s">
        <v>521</v>
      </c>
      <c r="AS53" t="s">
        <v>228</v>
      </c>
      <c r="AT53" t="s">
        <v>140</v>
      </c>
      <c r="AU53">
        <v>1</v>
      </c>
      <c r="AV53">
        <v>1</v>
      </c>
      <c r="AW53" t="s">
        <v>538</v>
      </c>
      <c r="AX53" t="s">
        <v>283</v>
      </c>
      <c r="AY53" t="s">
        <v>280</v>
      </c>
      <c r="AZ53">
        <v>5</v>
      </c>
      <c r="BA53" t="s">
        <v>533</v>
      </c>
      <c r="BB53" t="s">
        <v>405</v>
      </c>
      <c r="BC53" t="s">
        <v>395</v>
      </c>
      <c r="BD53" t="s">
        <v>534</v>
      </c>
      <c r="BE53" t="s">
        <v>522</v>
      </c>
      <c r="BF53" t="s">
        <v>523</v>
      </c>
      <c r="BG53" t="s">
        <v>407</v>
      </c>
      <c r="BH53" t="s">
        <v>396</v>
      </c>
      <c r="BI53" t="s">
        <v>524</v>
      </c>
      <c r="BJ53" t="s">
        <v>228</v>
      </c>
      <c r="BK53" t="s">
        <v>228</v>
      </c>
      <c r="BL53" t="s">
        <v>228</v>
      </c>
      <c r="BM53" t="s">
        <v>228</v>
      </c>
      <c r="BN53" t="s">
        <v>228</v>
      </c>
      <c r="BO53" t="s">
        <v>228</v>
      </c>
      <c r="BP53" t="s">
        <v>228</v>
      </c>
      <c r="BQ53" t="s">
        <v>228</v>
      </c>
      <c r="BR53" t="s">
        <v>228</v>
      </c>
      <c r="BS53" t="s">
        <v>409</v>
      </c>
      <c r="BT53">
        <v>1</v>
      </c>
    </row>
    <row r="54" spans="1:72" x14ac:dyDescent="0.15">
      <c r="A54" s="43">
        <v>2023</v>
      </c>
      <c r="B54" s="8">
        <v>1</v>
      </c>
      <c r="C54" s="8">
        <v>1</v>
      </c>
      <c r="D54" s="8">
        <v>8</v>
      </c>
      <c r="E54" s="8" t="s">
        <v>228</v>
      </c>
      <c r="F54" s="8" t="s">
        <v>57</v>
      </c>
      <c r="G54" s="8">
        <v>2016</v>
      </c>
      <c r="H54" s="8">
        <v>12</v>
      </c>
      <c r="I54" s="8" t="s">
        <v>521</v>
      </c>
      <c r="J54" s="8" t="s">
        <v>228</v>
      </c>
      <c r="K54" s="8">
        <v>1983</v>
      </c>
      <c r="L54" s="17">
        <v>1</v>
      </c>
      <c r="M54" s="8">
        <v>1</v>
      </c>
      <c r="N54" s="8" t="s">
        <v>47</v>
      </c>
      <c r="O54" s="8" t="s">
        <v>283</v>
      </c>
      <c r="P54" s="8" t="s">
        <v>280</v>
      </c>
      <c r="Q54" s="8">
        <v>20000</v>
      </c>
      <c r="R54" s="8" t="s">
        <v>59</v>
      </c>
      <c r="S54" s="8" t="s">
        <v>52</v>
      </c>
      <c r="T54" s="8" t="s">
        <v>69</v>
      </c>
      <c r="U54" s="8" t="s">
        <v>69</v>
      </c>
      <c r="V54" s="8">
        <v>500</v>
      </c>
      <c r="W54" s="8" t="s">
        <v>328</v>
      </c>
      <c r="X54" s="8">
        <v>3000</v>
      </c>
      <c r="Y54" s="8" t="s">
        <v>268</v>
      </c>
      <c r="Z54" s="8">
        <v>85</v>
      </c>
      <c r="AA54" s="8" t="s">
        <v>278</v>
      </c>
      <c r="AB54" s="8" t="s">
        <v>228</v>
      </c>
      <c r="AC54" s="8" t="s">
        <v>228</v>
      </c>
      <c r="AD54" s="8" t="s">
        <v>228</v>
      </c>
      <c r="AE54" s="8" t="s">
        <v>228</v>
      </c>
      <c r="AF54" s="8" t="s">
        <v>228</v>
      </c>
      <c r="AG54" s="8" t="s">
        <v>228</v>
      </c>
      <c r="AH54" s="8" t="s">
        <v>228</v>
      </c>
      <c r="AI54" s="8" t="s">
        <v>228</v>
      </c>
      <c r="AJ54" t="s">
        <v>468</v>
      </c>
      <c r="AK54">
        <v>1</v>
      </c>
      <c r="AL54">
        <v>1</v>
      </c>
      <c r="AM54" t="s">
        <v>93</v>
      </c>
      <c r="AN54" t="s">
        <v>228</v>
      </c>
      <c r="AO54" t="s">
        <v>526</v>
      </c>
      <c r="AP54" t="s">
        <v>109</v>
      </c>
      <c r="AQ54">
        <v>12</v>
      </c>
      <c r="AR54" t="s">
        <v>521</v>
      </c>
      <c r="AS54" t="s">
        <v>228</v>
      </c>
      <c r="AT54" t="s">
        <v>140</v>
      </c>
      <c r="AU54">
        <v>1</v>
      </c>
      <c r="AV54">
        <v>1</v>
      </c>
      <c r="AW54" t="s">
        <v>538</v>
      </c>
      <c r="AX54" t="s">
        <v>283</v>
      </c>
      <c r="AY54" t="s">
        <v>280</v>
      </c>
      <c r="AZ54">
        <v>5</v>
      </c>
      <c r="BA54" t="s">
        <v>533</v>
      </c>
      <c r="BB54" t="s">
        <v>405</v>
      </c>
      <c r="BC54" t="s">
        <v>395</v>
      </c>
      <c r="BD54" t="s">
        <v>395</v>
      </c>
      <c r="BE54" t="s">
        <v>522</v>
      </c>
      <c r="BF54" t="s">
        <v>523</v>
      </c>
      <c r="BG54" t="s">
        <v>407</v>
      </c>
      <c r="BH54" t="s">
        <v>396</v>
      </c>
      <c r="BI54" t="s">
        <v>524</v>
      </c>
      <c r="BJ54" t="s">
        <v>228</v>
      </c>
      <c r="BK54" t="s">
        <v>228</v>
      </c>
      <c r="BL54" t="s">
        <v>228</v>
      </c>
      <c r="BM54" t="s">
        <v>228</v>
      </c>
      <c r="BN54" t="s">
        <v>228</v>
      </c>
      <c r="BO54" t="s">
        <v>228</v>
      </c>
      <c r="BP54" t="s">
        <v>228</v>
      </c>
      <c r="BQ54" t="s">
        <v>228</v>
      </c>
      <c r="BR54" t="s">
        <v>228</v>
      </c>
      <c r="BS54" t="s">
        <v>409</v>
      </c>
      <c r="BT54">
        <v>1</v>
      </c>
    </row>
    <row r="55" spans="1:72" x14ac:dyDescent="0.15">
      <c r="A55" s="43">
        <v>2023</v>
      </c>
      <c r="B55" s="8">
        <v>1</v>
      </c>
      <c r="C55" s="8">
        <v>1</v>
      </c>
      <c r="D55" s="8">
        <v>8</v>
      </c>
      <c r="E55" s="8" t="s">
        <v>228</v>
      </c>
      <c r="F55" s="8" t="s">
        <v>57</v>
      </c>
      <c r="G55" s="8">
        <v>2016</v>
      </c>
      <c r="H55" s="8">
        <v>12</v>
      </c>
      <c r="I55" s="8" t="s">
        <v>521</v>
      </c>
      <c r="J55" s="8" t="s">
        <v>228</v>
      </c>
      <c r="K55" s="8">
        <v>1983</v>
      </c>
      <c r="L55" s="17">
        <v>1</v>
      </c>
      <c r="M55" s="8">
        <v>1</v>
      </c>
      <c r="N55" s="8" t="s">
        <v>47</v>
      </c>
      <c r="O55" s="8" t="s">
        <v>283</v>
      </c>
      <c r="P55" s="8" t="s">
        <v>280</v>
      </c>
      <c r="Q55" s="8">
        <v>20000</v>
      </c>
      <c r="R55" s="8" t="s">
        <v>59</v>
      </c>
      <c r="S55" s="8" t="s">
        <v>52</v>
      </c>
      <c r="T55" s="8" t="s">
        <v>69</v>
      </c>
      <c r="U55" s="8" t="s">
        <v>228</v>
      </c>
      <c r="V55" s="8">
        <v>500</v>
      </c>
      <c r="W55" s="8" t="s">
        <v>328</v>
      </c>
      <c r="X55" s="8">
        <v>3000</v>
      </c>
      <c r="Y55" s="8" t="s">
        <v>268</v>
      </c>
      <c r="Z55" s="8">
        <v>85</v>
      </c>
      <c r="AA55" s="8" t="s">
        <v>278</v>
      </c>
      <c r="AB55" s="8" t="s">
        <v>228</v>
      </c>
      <c r="AC55" s="8" t="s">
        <v>228</v>
      </c>
      <c r="AD55" s="8" t="s">
        <v>228</v>
      </c>
      <c r="AE55" s="8" t="s">
        <v>228</v>
      </c>
      <c r="AF55" s="8" t="s">
        <v>419</v>
      </c>
      <c r="AG55" s="8" t="s">
        <v>228</v>
      </c>
      <c r="AH55" s="8" t="s">
        <v>228</v>
      </c>
      <c r="AI55" s="8" t="s">
        <v>228</v>
      </c>
      <c r="AJ55" t="s">
        <v>468</v>
      </c>
      <c r="AK55">
        <v>1</v>
      </c>
      <c r="AL55">
        <v>1</v>
      </c>
      <c r="AM55" t="s">
        <v>93</v>
      </c>
      <c r="AN55" t="s">
        <v>228</v>
      </c>
      <c r="AO55" t="s">
        <v>526</v>
      </c>
      <c r="AP55" t="s">
        <v>109</v>
      </c>
      <c r="AQ55">
        <v>12</v>
      </c>
      <c r="AR55" t="s">
        <v>521</v>
      </c>
      <c r="AS55" t="s">
        <v>228</v>
      </c>
      <c r="AT55" t="s">
        <v>140</v>
      </c>
      <c r="AU55">
        <v>1</v>
      </c>
      <c r="AV55">
        <v>1</v>
      </c>
      <c r="AW55" t="s">
        <v>538</v>
      </c>
      <c r="AX55" t="s">
        <v>283</v>
      </c>
      <c r="AY55" t="s">
        <v>280</v>
      </c>
      <c r="AZ55">
        <v>5</v>
      </c>
      <c r="BA55" t="s">
        <v>533</v>
      </c>
      <c r="BB55" t="s">
        <v>405</v>
      </c>
      <c r="BC55" t="s">
        <v>395</v>
      </c>
      <c r="BD55" t="s">
        <v>228</v>
      </c>
      <c r="BE55" t="s">
        <v>522</v>
      </c>
      <c r="BF55" t="s">
        <v>523</v>
      </c>
      <c r="BG55" t="s">
        <v>407</v>
      </c>
      <c r="BH55" t="s">
        <v>396</v>
      </c>
      <c r="BI55" t="s">
        <v>524</v>
      </c>
      <c r="BJ55" t="s">
        <v>228</v>
      </c>
      <c r="BK55" t="s">
        <v>228</v>
      </c>
      <c r="BL55" t="s">
        <v>228</v>
      </c>
      <c r="BM55" t="s">
        <v>228</v>
      </c>
      <c r="BN55" t="s">
        <v>228</v>
      </c>
      <c r="BO55" t="s">
        <v>419</v>
      </c>
      <c r="BP55" t="s">
        <v>228</v>
      </c>
      <c r="BQ55" t="s">
        <v>228</v>
      </c>
      <c r="BR55" t="s">
        <v>228</v>
      </c>
      <c r="BS55" t="s">
        <v>409</v>
      </c>
      <c r="BT55">
        <v>1</v>
      </c>
    </row>
    <row r="56" spans="1:72" x14ac:dyDescent="0.15">
      <c r="A56" s="43">
        <v>2023</v>
      </c>
      <c r="B56" s="8">
        <v>1</v>
      </c>
      <c r="C56" s="8">
        <v>1</v>
      </c>
      <c r="D56" s="8">
        <v>8</v>
      </c>
      <c r="E56" s="8" t="s">
        <v>228</v>
      </c>
      <c r="F56" s="8" t="s">
        <v>57</v>
      </c>
      <c r="G56" s="8">
        <v>2016</v>
      </c>
      <c r="H56" s="8">
        <v>12</v>
      </c>
      <c r="I56" s="8" t="s">
        <v>521</v>
      </c>
      <c r="J56" s="8" t="s">
        <v>228</v>
      </c>
      <c r="K56" s="8">
        <v>1983</v>
      </c>
      <c r="L56" s="17">
        <v>1</v>
      </c>
      <c r="M56" s="8">
        <v>1</v>
      </c>
      <c r="N56" s="8" t="s">
        <v>47</v>
      </c>
      <c r="O56" s="8" t="s">
        <v>283</v>
      </c>
      <c r="P56" s="8" t="s">
        <v>280</v>
      </c>
      <c r="Q56" s="8">
        <v>20000</v>
      </c>
      <c r="R56" s="8" t="s">
        <v>59</v>
      </c>
      <c r="S56" s="8" t="s">
        <v>52</v>
      </c>
      <c r="T56" s="8" t="s">
        <v>69</v>
      </c>
      <c r="U56" s="8" t="s">
        <v>67</v>
      </c>
      <c r="V56" s="8">
        <v>500</v>
      </c>
      <c r="W56" s="8" t="s">
        <v>328</v>
      </c>
      <c r="X56" s="8">
        <v>3000</v>
      </c>
      <c r="Y56" s="8" t="s">
        <v>268</v>
      </c>
      <c r="Z56" s="8">
        <v>85</v>
      </c>
      <c r="AA56" s="8" t="s">
        <v>278</v>
      </c>
      <c r="AB56" s="8" t="s">
        <v>228</v>
      </c>
      <c r="AC56" s="8" t="s">
        <v>228</v>
      </c>
      <c r="AD56" s="8" t="s">
        <v>228</v>
      </c>
      <c r="AE56" s="8" t="s">
        <v>228</v>
      </c>
      <c r="AF56" s="8" t="s">
        <v>419</v>
      </c>
      <c r="AG56" s="8" t="s">
        <v>228</v>
      </c>
      <c r="AH56" s="8" t="s">
        <v>228</v>
      </c>
      <c r="AI56" s="8" t="s">
        <v>228</v>
      </c>
      <c r="AJ56" t="s">
        <v>468</v>
      </c>
      <c r="AK56">
        <v>1</v>
      </c>
      <c r="AL56">
        <v>1</v>
      </c>
      <c r="AM56" t="s">
        <v>93</v>
      </c>
      <c r="AN56" t="s">
        <v>228</v>
      </c>
      <c r="AO56" t="s">
        <v>526</v>
      </c>
      <c r="AP56" t="s">
        <v>109</v>
      </c>
      <c r="AQ56">
        <v>12</v>
      </c>
      <c r="AR56" t="s">
        <v>521</v>
      </c>
      <c r="AS56" t="s">
        <v>228</v>
      </c>
      <c r="AT56" t="s">
        <v>140</v>
      </c>
      <c r="AU56">
        <v>1</v>
      </c>
      <c r="AV56">
        <v>1</v>
      </c>
      <c r="AW56" t="s">
        <v>538</v>
      </c>
      <c r="AX56" t="s">
        <v>283</v>
      </c>
      <c r="AY56" t="s">
        <v>280</v>
      </c>
      <c r="AZ56">
        <v>5</v>
      </c>
      <c r="BA56" t="s">
        <v>533</v>
      </c>
      <c r="BB56" t="s">
        <v>405</v>
      </c>
      <c r="BC56" t="s">
        <v>395</v>
      </c>
      <c r="BD56" t="s">
        <v>534</v>
      </c>
      <c r="BE56" t="s">
        <v>522</v>
      </c>
      <c r="BF56" t="s">
        <v>523</v>
      </c>
      <c r="BG56" t="s">
        <v>407</v>
      </c>
      <c r="BH56" t="s">
        <v>396</v>
      </c>
      <c r="BI56" t="s">
        <v>524</v>
      </c>
      <c r="BJ56" t="s">
        <v>228</v>
      </c>
      <c r="BK56" t="s">
        <v>228</v>
      </c>
      <c r="BL56" t="s">
        <v>228</v>
      </c>
      <c r="BM56" t="s">
        <v>228</v>
      </c>
      <c r="BN56" t="s">
        <v>228</v>
      </c>
      <c r="BO56" t="s">
        <v>419</v>
      </c>
      <c r="BP56" t="s">
        <v>228</v>
      </c>
      <c r="BQ56" t="s">
        <v>228</v>
      </c>
      <c r="BR56" t="s">
        <v>228</v>
      </c>
      <c r="BS56" t="s">
        <v>409</v>
      </c>
      <c r="BT56">
        <v>1</v>
      </c>
    </row>
    <row r="57" spans="1:72" x14ac:dyDescent="0.15">
      <c r="A57" s="43">
        <v>2023</v>
      </c>
      <c r="B57" s="8">
        <v>1</v>
      </c>
      <c r="C57" s="8">
        <v>1</v>
      </c>
      <c r="D57" s="8">
        <v>8</v>
      </c>
      <c r="E57" s="8" t="s">
        <v>228</v>
      </c>
      <c r="F57" s="8" t="s">
        <v>57</v>
      </c>
      <c r="G57" s="8">
        <v>2016</v>
      </c>
      <c r="H57" s="8">
        <v>12</v>
      </c>
      <c r="I57" s="8" t="s">
        <v>521</v>
      </c>
      <c r="J57" s="8" t="s">
        <v>228</v>
      </c>
      <c r="K57" s="8">
        <v>1983</v>
      </c>
      <c r="L57" s="17">
        <v>1</v>
      </c>
      <c r="M57" s="8">
        <v>1</v>
      </c>
      <c r="N57" s="8" t="s">
        <v>47</v>
      </c>
      <c r="O57" s="8" t="s">
        <v>283</v>
      </c>
      <c r="P57" s="8" t="s">
        <v>280</v>
      </c>
      <c r="Q57" s="8">
        <v>20000</v>
      </c>
      <c r="R57" s="8" t="s">
        <v>59</v>
      </c>
      <c r="S57" s="8" t="s">
        <v>52</v>
      </c>
      <c r="T57" s="8" t="s">
        <v>69</v>
      </c>
      <c r="U57" s="8" t="s">
        <v>69</v>
      </c>
      <c r="V57" s="8">
        <v>500</v>
      </c>
      <c r="W57" s="8" t="s">
        <v>328</v>
      </c>
      <c r="X57" s="8">
        <v>3000</v>
      </c>
      <c r="Y57" s="8" t="s">
        <v>268</v>
      </c>
      <c r="Z57" s="8">
        <v>85</v>
      </c>
      <c r="AA57" s="8" t="s">
        <v>278</v>
      </c>
      <c r="AB57" s="8" t="s">
        <v>228</v>
      </c>
      <c r="AC57" s="8" t="s">
        <v>228</v>
      </c>
      <c r="AD57" s="8" t="s">
        <v>228</v>
      </c>
      <c r="AE57" s="8" t="s">
        <v>228</v>
      </c>
      <c r="AF57" s="8" t="s">
        <v>419</v>
      </c>
      <c r="AG57" s="8" t="s">
        <v>228</v>
      </c>
      <c r="AH57" s="8" t="s">
        <v>228</v>
      </c>
      <c r="AI57" s="8" t="s">
        <v>228</v>
      </c>
      <c r="AJ57" t="s">
        <v>468</v>
      </c>
      <c r="AK57">
        <v>1</v>
      </c>
      <c r="AL57">
        <v>1</v>
      </c>
      <c r="AM57" t="s">
        <v>93</v>
      </c>
      <c r="AN57" t="s">
        <v>228</v>
      </c>
      <c r="AO57" t="s">
        <v>526</v>
      </c>
      <c r="AP57" t="s">
        <v>109</v>
      </c>
      <c r="AQ57">
        <v>12</v>
      </c>
      <c r="AR57" t="s">
        <v>521</v>
      </c>
      <c r="AS57" t="s">
        <v>228</v>
      </c>
      <c r="AT57" t="s">
        <v>140</v>
      </c>
      <c r="AU57">
        <v>1</v>
      </c>
      <c r="AV57">
        <v>1</v>
      </c>
      <c r="AW57" t="s">
        <v>538</v>
      </c>
      <c r="AX57" t="s">
        <v>283</v>
      </c>
      <c r="AY57" t="s">
        <v>280</v>
      </c>
      <c r="AZ57">
        <v>5</v>
      </c>
      <c r="BA57" t="s">
        <v>533</v>
      </c>
      <c r="BB57" t="s">
        <v>405</v>
      </c>
      <c r="BC57" t="s">
        <v>395</v>
      </c>
      <c r="BD57" t="s">
        <v>395</v>
      </c>
      <c r="BE57" t="s">
        <v>522</v>
      </c>
      <c r="BF57" t="s">
        <v>523</v>
      </c>
      <c r="BG57" t="s">
        <v>407</v>
      </c>
      <c r="BH57" t="s">
        <v>396</v>
      </c>
      <c r="BI57" t="s">
        <v>524</v>
      </c>
      <c r="BJ57" t="s">
        <v>228</v>
      </c>
      <c r="BK57" t="s">
        <v>228</v>
      </c>
      <c r="BL57" t="s">
        <v>228</v>
      </c>
      <c r="BM57" t="s">
        <v>228</v>
      </c>
      <c r="BN57" t="s">
        <v>228</v>
      </c>
      <c r="BO57" t="s">
        <v>419</v>
      </c>
      <c r="BP57" t="s">
        <v>228</v>
      </c>
      <c r="BQ57" t="s">
        <v>228</v>
      </c>
      <c r="BR57" t="s">
        <v>228</v>
      </c>
      <c r="BS57" t="s">
        <v>409</v>
      </c>
      <c r="BT57">
        <v>1</v>
      </c>
    </row>
    <row r="58" spans="1:72" x14ac:dyDescent="0.15">
      <c r="A58" s="43">
        <v>2023</v>
      </c>
      <c r="B58" s="8">
        <v>1</v>
      </c>
      <c r="C58" s="8">
        <v>1</v>
      </c>
      <c r="D58" s="8">
        <v>8</v>
      </c>
      <c r="E58" s="8" t="s">
        <v>228</v>
      </c>
      <c r="F58" s="8" t="s">
        <v>57</v>
      </c>
      <c r="G58" s="8">
        <v>2016</v>
      </c>
      <c r="H58" s="8">
        <v>12</v>
      </c>
      <c r="I58" s="8" t="s">
        <v>521</v>
      </c>
      <c r="J58" s="8" t="s">
        <v>228</v>
      </c>
      <c r="K58" s="8">
        <v>1983</v>
      </c>
      <c r="L58" s="17">
        <v>1</v>
      </c>
      <c r="M58" s="8">
        <v>1</v>
      </c>
      <c r="N58" s="8" t="s">
        <v>47</v>
      </c>
      <c r="O58" s="8" t="s">
        <v>283</v>
      </c>
      <c r="P58" s="8" t="s">
        <v>280</v>
      </c>
      <c r="Q58" s="8">
        <v>20000</v>
      </c>
      <c r="R58" s="8" t="s">
        <v>59</v>
      </c>
      <c r="S58" s="8" t="s">
        <v>52</v>
      </c>
      <c r="T58" s="8" t="s">
        <v>69</v>
      </c>
      <c r="U58" s="8" t="s">
        <v>228</v>
      </c>
      <c r="V58" s="8">
        <v>500</v>
      </c>
      <c r="W58" s="8" t="s">
        <v>328</v>
      </c>
      <c r="X58" s="8">
        <v>3000</v>
      </c>
      <c r="Y58" s="8" t="s">
        <v>268</v>
      </c>
      <c r="Z58" s="8">
        <v>85</v>
      </c>
      <c r="AA58" s="8" t="s">
        <v>278</v>
      </c>
      <c r="AB58" s="8" t="s">
        <v>228</v>
      </c>
      <c r="AC58" s="8" t="s">
        <v>228</v>
      </c>
      <c r="AD58" s="8" t="s">
        <v>228</v>
      </c>
      <c r="AE58" s="8" t="s">
        <v>228</v>
      </c>
      <c r="AF58" s="8" t="s">
        <v>420</v>
      </c>
      <c r="AG58" s="8" t="s">
        <v>228</v>
      </c>
      <c r="AH58" s="8" t="s">
        <v>228</v>
      </c>
      <c r="AI58" s="8" t="s">
        <v>228</v>
      </c>
      <c r="AJ58" t="s">
        <v>468</v>
      </c>
      <c r="AK58">
        <v>1</v>
      </c>
      <c r="AL58">
        <v>1</v>
      </c>
      <c r="AM58" t="s">
        <v>93</v>
      </c>
      <c r="AN58" t="s">
        <v>228</v>
      </c>
      <c r="AO58" t="s">
        <v>526</v>
      </c>
      <c r="AP58" t="s">
        <v>109</v>
      </c>
      <c r="AQ58">
        <v>12</v>
      </c>
      <c r="AR58" t="s">
        <v>521</v>
      </c>
      <c r="AS58" t="s">
        <v>228</v>
      </c>
      <c r="AT58" t="s">
        <v>140</v>
      </c>
      <c r="AU58">
        <v>1</v>
      </c>
      <c r="AV58">
        <v>1</v>
      </c>
      <c r="AW58" t="s">
        <v>538</v>
      </c>
      <c r="AX58" t="s">
        <v>283</v>
      </c>
      <c r="AY58" t="s">
        <v>280</v>
      </c>
      <c r="AZ58">
        <v>5</v>
      </c>
      <c r="BA58" t="s">
        <v>533</v>
      </c>
      <c r="BB58" t="s">
        <v>405</v>
      </c>
      <c r="BC58" t="s">
        <v>395</v>
      </c>
      <c r="BD58" t="s">
        <v>228</v>
      </c>
      <c r="BE58" t="s">
        <v>522</v>
      </c>
      <c r="BF58" t="s">
        <v>523</v>
      </c>
      <c r="BG58" t="s">
        <v>407</v>
      </c>
      <c r="BH58" t="s">
        <v>396</v>
      </c>
      <c r="BI58" t="s">
        <v>524</v>
      </c>
      <c r="BJ58" t="s">
        <v>228</v>
      </c>
      <c r="BK58" t="s">
        <v>228</v>
      </c>
      <c r="BL58" t="s">
        <v>228</v>
      </c>
      <c r="BM58" t="s">
        <v>228</v>
      </c>
      <c r="BN58" t="s">
        <v>228</v>
      </c>
      <c r="BO58" t="s">
        <v>420</v>
      </c>
      <c r="BP58" t="s">
        <v>228</v>
      </c>
      <c r="BQ58" t="s">
        <v>228</v>
      </c>
      <c r="BR58" t="s">
        <v>228</v>
      </c>
      <c r="BS58" t="s">
        <v>409</v>
      </c>
      <c r="BT58">
        <v>1</v>
      </c>
    </row>
    <row r="59" spans="1:72" x14ac:dyDescent="0.15">
      <c r="A59" s="43">
        <v>2023</v>
      </c>
      <c r="B59" s="8">
        <v>1</v>
      </c>
      <c r="C59" s="8">
        <v>1</v>
      </c>
      <c r="D59" s="8">
        <v>8</v>
      </c>
      <c r="E59" s="8" t="s">
        <v>228</v>
      </c>
      <c r="F59" s="8" t="s">
        <v>57</v>
      </c>
      <c r="G59" s="8">
        <v>2016</v>
      </c>
      <c r="H59" s="8">
        <v>12</v>
      </c>
      <c r="I59" s="8" t="s">
        <v>521</v>
      </c>
      <c r="J59" s="8" t="s">
        <v>228</v>
      </c>
      <c r="K59" s="8">
        <v>1983</v>
      </c>
      <c r="L59" s="17">
        <v>1</v>
      </c>
      <c r="M59" s="8">
        <v>1</v>
      </c>
      <c r="N59" s="8" t="s">
        <v>47</v>
      </c>
      <c r="O59" s="8" t="s">
        <v>283</v>
      </c>
      <c r="P59" s="8" t="s">
        <v>280</v>
      </c>
      <c r="Q59" s="8">
        <v>20000</v>
      </c>
      <c r="R59" s="8" t="s">
        <v>59</v>
      </c>
      <c r="S59" s="8" t="s">
        <v>52</v>
      </c>
      <c r="T59" s="8" t="s">
        <v>69</v>
      </c>
      <c r="U59" s="8" t="s">
        <v>67</v>
      </c>
      <c r="V59" s="8">
        <v>500</v>
      </c>
      <c r="W59" s="8" t="s">
        <v>328</v>
      </c>
      <c r="X59" s="8">
        <v>3000</v>
      </c>
      <c r="Y59" s="8" t="s">
        <v>268</v>
      </c>
      <c r="Z59" s="8">
        <v>85</v>
      </c>
      <c r="AA59" s="8" t="s">
        <v>278</v>
      </c>
      <c r="AB59" s="8" t="s">
        <v>228</v>
      </c>
      <c r="AC59" s="8" t="s">
        <v>228</v>
      </c>
      <c r="AD59" s="8" t="s">
        <v>228</v>
      </c>
      <c r="AE59" s="8" t="s">
        <v>228</v>
      </c>
      <c r="AF59" s="8" t="s">
        <v>420</v>
      </c>
      <c r="AG59" s="8" t="s">
        <v>228</v>
      </c>
      <c r="AH59" s="8" t="s">
        <v>228</v>
      </c>
      <c r="AI59" s="8" t="s">
        <v>228</v>
      </c>
      <c r="AJ59" t="s">
        <v>468</v>
      </c>
      <c r="AK59">
        <v>1</v>
      </c>
      <c r="AL59">
        <v>1</v>
      </c>
      <c r="AM59" t="s">
        <v>93</v>
      </c>
      <c r="AN59" t="s">
        <v>228</v>
      </c>
      <c r="AO59" t="s">
        <v>526</v>
      </c>
      <c r="AP59" t="s">
        <v>109</v>
      </c>
      <c r="AQ59">
        <v>12</v>
      </c>
      <c r="AR59" t="s">
        <v>521</v>
      </c>
      <c r="AS59" t="s">
        <v>228</v>
      </c>
      <c r="AT59" t="s">
        <v>140</v>
      </c>
      <c r="AU59">
        <v>1</v>
      </c>
      <c r="AV59">
        <v>1</v>
      </c>
      <c r="AW59" t="s">
        <v>538</v>
      </c>
      <c r="AX59" t="s">
        <v>283</v>
      </c>
      <c r="AY59" t="s">
        <v>280</v>
      </c>
      <c r="AZ59">
        <v>5</v>
      </c>
      <c r="BA59" t="s">
        <v>533</v>
      </c>
      <c r="BB59" t="s">
        <v>405</v>
      </c>
      <c r="BC59" t="s">
        <v>395</v>
      </c>
      <c r="BD59" t="s">
        <v>534</v>
      </c>
      <c r="BE59" t="s">
        <v>522</v>
      </c>
      <c r="BF59" t="s">
        <v>523</v>
      </c>
      <c r="BG59" t="s">
        <v>407</v>
      </c>
      <c r="BH59" t="s">
        <v>396</v>
      </c>
      <c r="BI59" t="s">
        <v>524</v>
      </c>
      <c r="BJ59" t="s">
        <v>228</v>
      </c>
      <c r="BK59" t="s">
        <v>228</v>
      </c>
      <c r="BL59" t="s">
        <v>228</v>
      </c>
      <c r="BM59" t="s">
        <v>228</v>
      </c>
      <c r="BN59" t="s">
        <v>228</v>
      </c>
      <c r="BO59" t="s">
        <v>420</v>
      </c>
      <c r="BP59" t="s">
        <v>228</v>
      </c>
      <c r="BQ59" t="s">
        <v>228</v>
      </c>
      <c r="BR59" t="s">
        <v>228</v>
      </c>
      <c r="BS59" t="s">
        <v>409</v>
      </c>
      <c r="BT59">
        <v>1</v>
      </c>
    </row>
    <row r="60" spans="1:72" x14ac:dyDescent="0.15">
      <c r="A60" s="43">
        <v>2023</v>
      </c>
      <c r="B60" s="8">
        <v>1</v>
      </c>
      <c r="C60" s="8">
        <v>1</v>
      </c>
      <c r="D60" s="8">
        <v>8</v>
      </c>
      <c r="E60" s="8" t="s">
        <v>228</v>
      </c>
      <c r="F60" s="8" t="s">
        <v>57</v>
      </c>
      <c r="G60" s="8">
        <v>2016</v>
      </c>
      <c r="H60" s="8">
        <v>12</v>
      </c>
      <c r="I60" s="8" t="s">
        <v>521</v>
      </c>
      <c r="J60" s="8" t="s">
        <v>228</v>
      </c>
      <c r="K60" s="8">
        <v>1983</v>
      </c>
      <c r="L60" s="17">
        <v>1</v>
      </c>
      <c r="M60" s="8">
        <v>1</v>
      </c>
      <c r="N60" s="8" t="s">
        <v>47</v>
      </c>
      <c r="O60" s="8" t="s">
        <v>283</v>
      </c>
      <c r="P60" s="8" t="s">
        <v>280</v>
      </c>
      <c r="Q60" s="8">
        <v>20000</v>
      </c>
      <c r="R60" s="8" t="s">
        <v>59</v>
      </c>
      <c r="S60" s="8" t="s">
        <v>52</v>
      </c>
      <c r="T60" s="8" t="s">
        <v>69</v>
      </c>
      <c r="U60" s="8" t="s">
        <v>69</v>
      </c>
      <c r="V60" s="8">
        <v>500</v>
      </c>
      <c r="W60" s="8" t="s">
        <v>328</v>
      </c>
      <c r="X60" s="8">
        <v>3000</v>
      </c>
      <c r="Y60" s="8" t="s">
        <v>268</v>
      </c>
      <c r="Z60" s="8">
        <v>85</v>
      </c>
      <c r="AA60" s="8" t="s">
        <v>278</v>
      </c>
      <c r="AB60" s="8" t="s">
        <v>228</v>
      </c>
      <c r="AC60" s="8" t="s">
        <v>228</v>
      </c>
      <c r="AD60" s="8" t="s">
        <v>228</v>
      </c>
      <c r="AE60" s="8" t="s">
        <v>228</v>
      </c>
      <c r="AF60" s="8" t="s">
        <v>420</v>
      </c>
      <c r="AG60" s="8" t="s">
        <v>228</v>
      </c>
      <c r="AH60" s="8" t="s">
        <v>228</v>
      </c>
      <c r="AI60" s="8" t="s">
        <v>228</v>
      </c>
      <c r="AJ60" t="s">
        <v>468</v>
      </c>
      <c r="AK60">
        <v>1</v>
      </c>
      <c r="AL60">
        <v>1</v>
      </c>
      <c r="AM60" t="s">
        <v>93</v>
      </c>
      <c r="AN60" t="s">
        <v>228</v>
      </c>
      <c r="AO60" t="s">
        <v>526</v>
      </c>
      <c r="AP60" t="s">
        <v>109</v>
      </c>
      <c r="AQ60">
        <v>12</v>
      </c>
      <c r="AR60" t="s">
        <v>521</v>
      </c>
      <c r="AS60" t="s">
        <v>228</v>
      </c>
      <c r="AT60" t="s">
        <v>140</v>
      </c>
      <c r="AU60">
        <v>1</v>
      </c>
      <c r="AV60">
        <v>1</v>
      </c>
      <c r="AW60" t="s">
        <v>538</v>
      </c>
      <c r="AX60" t="s">
        <v>283</v>
      </c>
      <c r="AY60" t="s">
        <v>280</v>
      </c>
      <c r="AZ60">
        <v>5</v>
      </c>
      <c r="BA60" t="s">
        <v>533</v>
      </c>
      <c r="BB60" t="s">
        <v>405</v>
      </c>
      <c r="BC60" t="s">
        <v>395</v>
      </c>
      <c r="BD60" t="s">
        <v>395</v>
      </c>
      <c r="BE60" t="s">
        <v>522</v>
      </c>
      <c r="BF60" t="s">
        <v>523</v>
      </c>
      <c r="BG60" t="s">
        <v>407</v>
      </c>
      <c r="BH60" t="s">
        <v>396</v>
      </c>
      <c r="BI60" t="s">
        <v>524</v>
      </c>
      <c r="BJ60" t="s">
        <v>228</v>
      </c>
      <c r="BK60" t="s">
        <v>228</v>
      </c>
      <c r="BL60" t="s">
        <v>228</v>
      </c>
      <c r="BM60" t="s">
        <v>228</v>
      </c>
      <c r="BN60" t="s">
        <v>228</v>
      </c>
      <c r="BO60" t="s">
        <v>420</v>
      </c>
      <c r="BP60" t="s">
        <v>228</v>
      </c>
      <c r="BQ60" t="s">
        <v>228</v>
      </c>
      <c r="BR60" t="s">
        <v>228</v>
      </c>
      <c r="BS60" t="s">
        <v>409</v>
      </c>
      <c r="BT60">
        <v>1</v>
      </c>
    </row>
    <row r="61" spans="1:72" x14ac:dyDescent="0.15">
      <c r="A61" s="43">
        <v>2023</v>
      </c>
      <c r="B61" s="8">
        <v>1</v>
      </c>
      <c r="C61" s="8">
        <v>1</v>
      </c>
      <c r="D61" s="8">
        <v>8</v>
      </c>
      <c r="E61" s="8" t="s">
        <v>228</v>
      </c>
      <c r="F61" s="8" t="s">
        <v>57</v>
      </c>
      <c r="G61" s="8">
        <v>2016</v>
      </c>
      <c r="H61" s="8">
        <v>12</v>
      </c>
      <c r="I61" s="8" t="s">
        <v>521</v>
      </c>
      <c r="J61" s="8" t="s">
        <v>228</v>
      </c>
      <c r="K61" s="8">
        <v>1983</v>
      </c>
      <c r="L61" s="17">
        <v>1</v>
      </c>
      <c r="M61" s="8">
        <v>1</v>
      </c>
      <c r="N61" s="8" t="s">
        <v>47</v>
      </c>
      <c r="O61" s="8" t="s">
        <v>283</v>
      </c>
      <c r="P61" s="8" t="s">
        <v>280</v>
      </c>
      <c r="Q61" s="8">
        <v>20000</v>
      </c>
      <c r="R61" s="8" t="s">
        <v>59</v>
      </c>
      <c r="S61" s="8" t="s">
        <v>52</v>
      </c>
      <c r="T61" s="8" t="s">
        <v>69</v>
      </c>
      <c r="U61" s="8" t="s">
        <v>228</v>
      </c>
      <c r="V61" s="8">
        <v>500</v>
      </c>
      <c r="W61" s="8" t="s">
        <v>328</v>
      </c>
      <c r="X61" s="8">
        <v>3000</v>
      </c>
      <c r="Y61" s="8" t="s">
        <v>268</v>
      </c>
      <c r="Z61" s="8">
        <v>85</v>
      </c>
      <c r="AA61" s="8" t="s">
        <v>278</v>
      </c>
      <c r="AB61" s="8" t="s">
        <v>228</v>
      </c>
      <c r="AC61" s="8" t="s">
        <v>228</v>
      </c>
      <c r="AD61" s="8" t="s">
        <v>228</v>
      </c>
      <c r="AE61" s="8" t="s">
        <v>67</v>
      </c>
      <c r="AF61" s="8" t="s">
        <v>228</v>
      </c>
      <c r="AG61" s="8" t="s">
        <v>228</v>
      </c>
      <c r="AH61" s="8" t="s">
        <v>228</v>
      </c>
      <c r="AI61" s="8" t="s">
        <v>228</v>
      </c>
      <c r="AJ61" t="s">
        <v>468</v>
      </c>
      <c r="AK61">
        <v>1</v>
      </c>
      <c r="AL61">
        <v>1</v>
      </c>
      <c r="AM61" t="s">
        <v>93</v>
      </c>
      <c r="AN61" t="s">
        <v>228</v>
      </c>
      <c r="AO61" t="s">
        <v>526</v>
      </c>
      <c r="AP61" t="s">
        <v>109</v>
      </c>
      <c r="AQ61">
        <v>12</v>
      </c>
      <c r="AR61" t="s">
        <v>521</v>
      </c>
      <c r="AS61" t="s">
        <v>228</v>
      </c>
      <c r="AT61" t="s">
        <v>140</v>
      </c>
      <c r="AU61">
        <v>1</v>
      </c>
      <c r="AV61">
        <v>1</v>
      </c>
      <c r="AW61" t="s">
        <v>538</v>
      </c>
      <c r="AX61" t="s">
        <v>283</v>
      </c>
      <c r="AY61" t="s">
        <v>280</v>
      </c>
      <c r="AZ61">
        <v>5</v>
      </c>
      <c r="BA61" t="s">
        <v>533</v>
      </c>
      <c r="BB61" t="s">
        <v>405</v>
      </c>
      <c r="BC61" t="s">
        <v>395</v>
      </c>
      <c r="BD61" t="s">
        <v>228</v>
      </c>
      <c r="BE61" t="s">
        <v>522</v>
      </c>
      <c r="BF61" t="s">
        <v>523</v>
      </c>
      <c r="BG61" t="s">
        <v>407</v>
      </c>
      <c r="BH61" t="s">
        <v>396</v>
      </c>
      <c r="BI61" t="s">
        <v>524</v>
      </c>
      <c r="BJ61" t="s">
        <v>228</v>
      </c>
      <c r="BK61" t="s">
        <v>228</v>
      </c>
      <c r="BL61" t="s">
        <v>228</v>
      </c>
      <c r="BM61" t="s">
        <v>228</v>
      </c>
      <c r="BN61" t="s">
        <v>67</v>
      </c>
      <c r="BO61" t="s">
        <v>228</v>
      </c>
      <c r="BP61" t="s">
        <v>228</v>
      </c>
      <c r="BQ61" t="s">
        <v>228</v>
      </c>
      <c r="BR61" t="s">
        <v>228</v>
      </c>
      <c r="BS61" t="s">
        <v>409</v>
      </c>
      <c r="BT61">
        <v>0</v>
      </c>
    </row>
    <row r="62" spans="1:72" x14ac:dyDescent="0.15">
      <c r="A62" s="43">
        <v>2023</v>
      </c>
      <c r="B62" s="8">
        <v>1</v>
      </c>
      <c r="C62" s="8">
        <v>1</v>
      </c>
      <c r="D62" s="8">
        <v>8</v>
      </c>
      <c r="E62" s="8" t="s">
        <v>228</v>
      </c>
      <c r="F62" s="8" t="s">
        <v>57</v>
      </c>
      <c r="G62" s="8">
        <v>2016</v>
      </c>
      <c r="H62" s="8">
        <v>12</v>
      </c>
      <c r="I62" s="8" t="s">
        <v>521</v>
      </c>
      <c r="J62" s="8" t="s">
        <v>228</v>
      </c>
      <c r="K62" s="8">
        <v>1983</v>
      </c>
      <c r="L62" s="17">
        <v>1</v>
      </c>
      <c r="M62" s="8">
        <v>1</v>
      </c>
      <c r="N62" s="8" t="s">
        <v>46</v>
      </c>
      <c r="O62" s="8" t="s">
        <v>283</v>
      </c>
      <c r="P62" s="8" t="s">
        <v>280</v>
      </c>
      <c r="Q62" s="8">
        <v>20000</v>
      </c>
      <c r="R62" s="8" t="s">
        <v>59</v>
      </c>
      <c r="S62" s="8" t="s">
        <v>52</v>
      </c>
      <c r="T62" s="8" t="s">
        <v>69</v>
      </c>
      <c r="U62" s="8" t="s">
        <v>228</v>
      </c>
      <c r="V62" s="8">
        <v>500</v>
      </c>
      <c r="W62" s="8" t="s">
        <v>328</v>
      </c>
      <c r="X62" s="8">
        <v>3000</v>
      </c>
      <c r="Y62" s="8" t="s">
        <v>268</v>
      </c>
      <c r="Z62" s="8">
        <v>85</v>
      </c>
      <c r="AA62" s="8" t="s">
        <v>278</v>
      </c>
      <c r="AB62" s="8" t="s">
        <v>228</v>
      </c>
      <c r="AC62" s="8" t="s">
        <v>228</v>
      </c>
      <c r="AD62" s="8" t="s">
        <v>228</v>
      </c>
      <c r="AE62" s="8" t="s">
        <v>228</v>
      </c>
      <c r="AF62" s="8" t="s">
        <v>228</v>
      </c>
      <c r="AG62" s="8" t="s">
        <v>228</v>
      </c>
      <c r="AH62" s="8" t="s">
        <v>228</v>
      </c>
      <c r="AI62" s="8" t="s">
        <v>228</v>
      </c>
      <c r="AJ62" t="s">
        <v>468</v>
      </c>
      <c r="AK62">
        <v>1</v>
      </c>
      <c r="AL62">
        <v>1</v>
      </c>
      <c r="AM62" t="s">
        <v>93</v>
      </c>
      <c r="AN62" t="s">
        <v>228</v>
      </c>
      <c r="AO62" t="s">
        <v>526</v>
      </c>
      <c r="AP62" t="s">
        <v>109</v>
      </c>
      <c r="AQ62">
        <v>12</v>
      </c>
      <c r="AR62" t="s">
        <v>521</v>
      </c>
      <c r="AS62" t="s">
        <v>228</v>
      </c>
      <c r="AT62" t="s">
        <v>140</v>
      </c>
      <c r="AU62">
        <v>1</v>
      </c>
      <c r="AV62">
        <v>1</v>
      </c>
      <c r="AW62" t="s">
        <v>539</v>
      </c>
      <c r="AX62" t="s">
        <v>283</v>
      </c>
      <c r="AY62" t="s">
        <v>280</v>
      </c>
      <c r="AZ62">
        <v>5</v>
      </c>
      <c r="BA62" t="s">
        <v>533</v>
      </c>
      <c r="BB62" t="s">
        <v>405</v>
      </c>
      <c r="BC62" t="s">
        <v>395</v>
      </c>
      <c r="BD62" t="s">
        <v>228</v>
      </c>
      <c r="BE62" t="s">
        <v>522</v>
      </c>
      <c r="BF62" t="s">
        <v>523</v>
      </c>
      <c r="BG62" t="s">
        <v>407</v>
      </c>
      <c r="BH62" t="s">
        <v>396</v>
      </c>
      <c r="BI62" t="s">
        <v>524</v>
      </c>
      <c r="BJ62" t="s">
        <v>228</v>
      </c>
      <c r="BK62" t="s">
        <v>228</v>
      </c>
      <c r="BL62" t="s">
        <v>228</v>
      </c>
      <c r="BM62" t="s">
        <v>228</v>
      </c>
      <c r="BN62" t="s">
        <v>228</v>
      </c>
      <c r="BO62" t="s">
        <v>228</v>
      </c>
      <c r="BP62" t="s">
        <v>228</v>
      </c>
      <c r="BQ62" t="s">
        <v>228</v>
      </c>
      <c r="BR62" t="s">
        <v>228</v>
      </c>
      <c r="BS62" t="s">
        <v>409</v>
      </c>
      <c r="BT62">
        <v>1</v>
      </c>
    </row>
    <row r="63" spans="1:72" x14ac:dyDescent="0.15">
      <c r="A63" s="43">
        <v>2023</v>
      </c>
      <c r="B63" s="8">
        <v>1</v>
      </c>
      <c r="C63" s="8">
        <v>1</v>
      </c>
      <c r="D63" s="8">
        <v>8</v>
      </c>
      <c r="E63" s="8" t="s">
        <v>228</v>
      </c>
      <c r="F63" s="8" t="s">
        <v>57</v>
      </c>
      <c r="G63" s="8">
        <v>2016</v>
      </c>
      <c r="H63" s="8">
        <v>12</v>
      </c>
      <c r="I63" s="8" t="s">
        <v>521</v>
      </c>
      <c r="J63" s="8" t="s">
        <v>228</v>
      </c>
      <c r="K63" s="8">
        <v>1983</v>
      </c>
      <c r="L63" s="17">
        <v>1</v>
      </c>
      <c r="M63" s="8">
        <v>1</v>
      </c>
      <c r="N63" s="8" t="s">
        <v>46</v>
      </c>
      <c r="O63" s="8" t="s">
        <v>283</v>
      </c>
      <c r="P63" s="8" t="s">
        <v>280</v>
      </c>
      <c r="Q63" s="8">
        <v>20000</v>
      </c>
      <c r="R63" s="8" t="s">
        <v>59</v>
      </c>
      <c r="S63" s="8" t="s">
        <v>52</v>
      </c>
      <c r="T63" s="8" t="s">
        <v>69</v>
      </c>
      <c r="U63" s="8" t="s">
        <v>67</v>
      </c>
      <c r="V63" s="8">
        <v>500</v>
      </c>
      <c r="W63" s="8" t="s">
        <v>328</v>
      </c>
      <c r="X63" s="8">
        <v>3000</v>
      </c>
      <c r="Y63" s="8" t="s">
        <v>268</v>
      </c>
      <c r="Z63" s="8">
        <v>85</v>
      </c>
      <c r="AA63" s="8" t="s">
        <v>278</v>
      </c>
      <c r="AB63" s="8" t="s">
        <v>228</v>
      </c>
      <c r="AC63" s="8" t="s">
        <v>228</v>
      </c>
      <c r="AD63" s="8" t="s">
        <v>228</v>
      </c>
      <c r="AE63" s="8" t="s">
        <v>228</v>
      </c>
      <c r="AF63" s="8" t="s">
        <v>228</v>
      </c>
      <c r="AG63" s="8" t="s">
        <v>228</v>
      </c>
      <c r="AH63" s="8" t="s">
        <v>228</v>
      </c>
      <c r="AI63" s="8" t="s">
        <v>228</v>
      </c>
      <c r="AJ63" t="s">
        <v>468</v>
      </c>
      <c r="AK63">
        <v>1</v>
      </c>
      <c r="AL63">
        <v>1</v>
      </c>
      <c r="AM63" t="s">
        <v>93</v>
      </c>
      <c r="AN63" t="s">
        <v>228</v>
      </c>
      <c r="AO63" t="s">
        <v>526</v>
      </c>
      <c r="AP63" t="s">
        <v>109</v>
      </c>
      <c r="AQ63">
        <v>12</v>
      </c>
      <c r="AR63" t="s">
        <v>521</v>
      </c>
      <c r="AS63" t="s">
        <v>228</v>
      </c>
      <c r="AT63" t="s">
        <v>140</v>
      </c>
      <c r="AU63">
        <v>1</v>
      </c>
      <c r="AV63">
        <v>1</v>
      </c>
      <c r="AW63" t="s">
        <v>539</v>
      </c>
      <c r="AX63" t="s">
        <v>283</v>
      </c>
      <c r="AY63" t="s">
        <v>280</v>
      </c>
      <c r="AZ63">
        <v>5</v>
      </c>
      <c r="BA63" t="s">
        <v>533</v>
      </c>
      <c r="BB63" t="s">
        <v>405</v>
      </c>
      <c r="BC63" t="s">
        <v>395</v>
      </c>
      <c r="BD63" t="s">
        <v>534</v>
      </c>
      <c r="BE63" t="s">
        <v>522</v>
      </c>
      <c r="BF63" t="s">
        <v>523</v>
      </c>
      <c r="BG63" t="s">
        <v>407</v>
      </c>
      <c r="BH63" t="s">
        <v>396</v>
      </c>
      <c r="BI63" t="s">
        <v>524</v>
      </c>
      <c r="BJ63" t="s">
        <v>228</v>
      </c>
      <c r="BK63" t="s">
        <v>228</v>
      </c>
      <c r="BL63" t="s">
        <v>228</v>
      </c>
      <c r="BM63" t="s">
        <v>228</v>
      </c>
      <c r="BN63" t="s">
        <v>228</v>
      </c>
      <c r="BO63" t="s">
        <v>228</v>
      </c>
      <c r="BP63" t="s">
        <v>228</v>
      </c>
      <c r="BQ63" t="s">
        <v>228</v>
      </c>
      <c r="BR63" t="s">
        <v>228</v>
      </c>
      <c r="BS63" t="s">
        <v>409</v>
      </c>
      <c r="BT63">
        <v>1</v>
      </c>
    </row>
    <row r="64" spans="1:72" x14ac:dyDescent="0.15">
      <c r="A64" s="43">
        <v>2023</v>
      </c>
      <c r="B64" s="8">
        <v>1</v>
      </c>
      <c r="C64" s="8">
        <v>1</v>
      </c>
      <c r="D64" s="8">
        <v>8</v>
      </c>
      <c r="E64" s="8" t="s">
        <v>228</v>
      </c>
      <c r="F64" s="8" t="s">
        <v>57</v>
      </c>
      <c r="G64" s="8">
        <v>2016</v>
      </c>
      <c r="H64" s="8">
        <v>12</v>
      </c>
      <c r="I64" s="8" t="s">
        <v>521</v>
      </c>
      <c r="J64" s="8" t="s">
        <v>228</v>
      </c>
      <c r="K64" s="8">
        <v>1983</v>
      </c>
      <c r="L64" s="17">
        <v>1</v>
      </c>
      <c r="M64" s="8">
        <v>1</v>
      </c>
      <c r="N64" s="8" t="s">
        <v>46</v>
      </c>
      <c r="O64" s="8" t="s">
        <v>283</v>
      </c>
      <c r="P64" s="8" t="s">
        <v>280</v>
      </c>
      <c r="Q64" s="8">
        <v>20000</v>
      </c>
      <c r="R64" s="8" t="s">
        <v>59</v>
      </c>
      <c r="S64" s="8" t="s">
        <v>52</v>
      </c>
      <c r="T64" s="8" t="s">
        <v>69</v>
      </c>
      <c r="U64" s="8" t="s">
        <v>69</v>
      </c>
      <c r="V64" s="8">
        <v>500</v>
      </c>
      <c r="W64" s="8" t="s">
        <v>328</v>
      </c>
      <c r="X64" s="8">
        <v>3000</v>
      </c>
      <c r="Y64" s="8" t="s">
        <v>268</v>
      </c>
      <c r="Z64" s="8">
        <v>85</v>
      </c>
      <c r="AA64" s="8" t="s">
        <v>278</v>
      </c>
      <c r="AB64" s="8" t="s">
        <v>228</v>
      </c>
      <c r="AC64" s="8" t="s">
        <v>228</v>
      </c>
      <c r="AD64" s="8" t="s">
        <v>228</v>
      </c>
      <c r="AE64" s="8" t="s">
        <v>228</v>
      </c>
      <c r="AF64" s="8" t="s">
        <v>228</v>
      </c>
      <c r="AG64" s="8" t="s">
        <v>228</v>
      </c>
      <c r="AH64" s="8" t="s">
        <v>228</v>
      </c>
      <c r="AI64" s="8" t="s">
        <v>228</v>
      </c>
      <c r="AJ64" t="s">
        <v>468</v>
      </c>
      <c r="AK64">
        <v>1</v>
      </c>
      <c r="AL64">
        <v>1</v>
      </c>
      <c r="AM64" t="s">
        <v>93</v>
      </c>
      <c r="AN64" t="s">
        <v>228</v>
      </c>
      <c r="AO64" t="s">
        <v>526</v>
      </c>
      <c r="AP64" t="s">
        <v>109</v>
      </c>
      <c r="AQ64">
        <v>12</v>
      </c>
      <c r="AR64" t="s">
        <v>521</v>
      </c>
      <c r="AS64" t="s">
        <v>228</v>
      </c>
      <c r="AT64" t="s">
        <v>140</v>
      </c>
      <c r="AU64">
        <v>1</v>
      </c>
      <c r="AV64">
        <v>1</v>
      </c>
      <c r="AW64" t="s">
        <v>539</v>
      </c>
      <c r="AX64" t="s">
        <v>283</v>
      </c>
      <c r="AY64" t="s">
        <v>280</v>
      </c>
      <c r="AZ64">
        <v>5</v>
      </c>
      <c r="BA64" t="s">
        <v>533</v>
      </c>
      <c r="BB64" t="s">
        <v>405</v>
      </c>
      <c r="BC64" t="s">
        <v>395</v>
      </c>
      <c r="BD64" t="s">
        <v>395</v>
      </c>
      <c r="BE64" t="s">
        <v>522</v>
      </c>
      <c r="BF64" t="s">
        <v>523</v>
      </c>
      <c r="BG64" t="s">
        <v>407</v>
      </c>
      <c r="BH64" t="s">
        <v>396</v>
      </c>
      <c r="BI64" t="s">
        <v>524</v>
      </c>
      <c r="BJ64" t="s">
        <v>228</v>
      </c>
      <c r="BK64" t="s">
        <v>228</v>
      </c>
      <c r="BL64" t="s">
        <v>228</v>
      </c>
      <c r="BM64" t="s">
        <v>228</v>
      </c>
      <c r="BN64" t="s">
        <v>228</v>
      </c>
      <c r="BO64" t="s">
        <v>228</v>
      </c>
      <c r="BP64" t="s">
        <v>228</v>
      </c>
      <c r="BQ64" t="s">
        <v>228</v>
      </c>
      <c r="BR64" t="s">
        <v>228</v>
      </c>
      <c r="BS64" t="s">
        <v>409</v>
      </c>
      <c r="BT64">
        <v>1</v>
      </c>
    </row>
    <row r="65" spans="1:72" x14ac:dyDescent="0.15">
      <c r="A65" s="43">
        <v>2023</v>
      </c>
      <c r="B65" s="8">
        <v>1</v>
      </c>
      <c r="C65" s="8">
        <v>1</v>
      </c>
      <c r="D65" s="8">
        <v>8</v>
      </c>
      <c r="E65" s="8" t="s">
        <v>228</v>
      </c>
      <c r="F65" s="8" t="s">
        <v>57</v>
      </c>
      <c r="G65" s="8">
        <v>2016</v>
      </c>
      <c r="H65" s="8">
        <v>12</v>
      </c>
      <c r="I65" s="8" t="s">
        <v>521</v>
      </c>
      <c r="J65" s="8" t="s">
        <v>228</v>
      </c>
      <c r="K65" s="8">
        <v>1983</v>
      </c>
      <c r="L65" s="17">
        <v>1</v>
      </c>
      <c r="M65" s="8">
        <v>1</v>
      </c>
      <c r="N65" s="8" t="s">
        <v>46</v>
      </c>
      <c r="O65" s="8" t="s">
        <v>283</v>
      </c>
      <c r="P65" s="8" t="s">
        <v>280</v>
      </c>
      <c r="Q65" s="8">
        <v>20000</v>
      </c>
      <c r="R65" s="8" t="s">
        <v>59</v>
      </c>
      <c r="S65" s="8" t="s">
        <v>52</v>
      </c>
      <c r="T65" s="8" t="s">
        <v>69</v>
      </c>
      <c r="U65" s="8" t="s">
        <v>228</v>
      </c>
      <c r="V65" s="8">
        <v>500</v>
      </c>
      <c r="W65" s="8" t="s">
        <v>328</v>
      </c>
      <c r="X65" s="8">
        <v>3000</v>
      </c>
      <c r="Y65" s="8" t="s">
        <v>268</v>
      </c>
      <c r="Z65" s="8">
        <v>85</v>
      </c>
      <c r="AA65" s="8" t="s">
        <v>278</v>
      </c>
      <c r="AB65" s="8" t="s">
        <v>228</v>
      </c>
      <c r="AC65" s="8" t="s">
        <v>228</v>
      </c>
      <c r="AD65" s="8" t="s">
        <v>228</v>
      </c>
      <c r="AE65" s="8" t="s">
        <v>228</v>
      </c>
      <c r="AF65" s="8" t="s">
        <v>419</v>
      </c>
      <c r="AG65" s="8" t="s">
        <v>228</v>
      </c>
      <c r="AH65" s="8" t="s">
        <v>228</v>
      </c>
      <c r="AI65" s="8" t="s">
        <v>228</v>
      </c>
      <c r="AJ65" t="s">
        <v>468</v>
      </c>
      <c r="AK65">
        <v>1</v>
      </c>
      <c r="AL65">
        <v>1</v>
      </c>
      <c r="AM65" t="s">
        <v>93</v>
      </c>
      <c r="AN65" t="s">
        <v>228</v>
      </c>
      <c r="AO65" t="s">
        <v>526</v>
      </c>
      <c r="AP65" t="s">
        <v>109</v>
      </c>
      <c r="AQ65">
        <v>12</v>
      </c>
      <c r="AR65" t="s">
        <v>521</v>
      </c>
      <c r="AS65" t="s">
        <v>228</v>
      </c>
      <c r="AT65" t="s">
        <v>140</v>
      </c>
      <c r="AU65">
        <v>1</v>
      </c>
      <c r="AV65">
        <v>1</v>
      </c>
      <c r="AW65" t="s">
        <v>539</v>
      </c>
      <c r="AX65" t="s">
        <v>283</v>
      </c>
      <c r="AY65" t="s">
        <v>280</v>
      </c>
      <c r="AZ65">
        <v>5</v>
      </c>
      <c r="BA65" t="s">
        <v>533</v>
      </c>
      <c r="BB65" t="s">
        <v>405</v>
      </c>
      <c r="BC65" t="s">
        <v>395</v>
      </c>
      <c r="BD65" t="s">
        <v>228</v>
      </c>
      <c r="BE65" t="s">
        <v>522</v>
      </c>
      <c r="BF65" t="s">
        <v>523</v>
      </c>
      <c r="BG65" t="s">
        <v>407</v>
      </c>
      <c r="BH65" t="s">
        <v>396</v>
      </c>
      <c r="BI65" t="s">
        <v>524</v>
      </c>
      <c r="BJ65" t="s">
        <v>228</v>
      </c>
      <c r="BK65" t="s">
        <v>228</v>
      </c>
      <c r="BL65" t="s">
        <v>228</v>
      </c>
      <c r="BM65" t="s">
        <v>228</v>
      </c>
      <c r="BN65" t="s">
        <v>228</v>
      </c>
      <c r="BO65" t="s">
        <v>419</v>
      </c>
      <c r="BP65" t="s">
        <v>228</v>
      </c>
      <c r="BQ65" t="s">
        <v>228</v>
      </c>
      <c r="BR65" t="s">
        <v>228</v>
      </c>
      <c r="BS65" t="s">
        <v>409</v>
      </c>
      <c r="BT65">
        <v>1</v>
      </c>
    </row>
    <row r="66" spans="1:72" x14ac:dyDescent="0.15">
      <c r="A66" s="43">
        <v>2023</v>
      </c>
      <c r="B66" s="8">
        <v>1</v>
      </c>
      <c r="C66" s="8">
        <v>1</v>
      </c>
      <c r="D66" s="8">
        <v>8</v>
      </c>
      <c r="E66" s="8" t="s">
        <v>228</v>
      </c>
      <c r="F66" s="8" t="s">
        <v>57</v>
      </c>
      <c r="G66" s="8">
        <v>2016</v>
      </c>
      <c r="H66" s="8">
        <v>12</v>
      </c>
      <c r="I66" s="8" t="s">
        <v>521</v>
      </c>
      <c r="J66" s="8" t="s">
        <v>228</v>
      </c>
      <c r="K66" s="8">
        <v>1983</v>
      </c>
      <c r="L66" s="17">
        <v>1</v>
      </c>
      <c r="M66" s="8">
        <v>1</v>
      </c>
      <c r="N66" s="8" t="s">
        <v>46</v>
      </c>
      <c r="O66" s="8" t="s">
        <v>283</v>
      </c>
      <c r="P66" s="8" t="s">
        <v>280</v>
      </c>
      <c r="Q66" s="8">
        <v>20000</v>
      </c>
      <c r="R66" s="8" t="s">
        <v>59</v>
      </c>
      <c r="S66" s="8" t="s">
        <v>52</v>
      </c>
      <c r="T66" s="8" t="s">
        <v>69</v>
      </c>
      <c r="U66" s="8" t="s">
        <v>67</v>
      </c>
      <c r="V66" s="8">
        <v>500</v>
      </c>
      <c r="W66" s="8" t="s">
        <v>328</v>
      </c>
      <c r="X66" s="8">
        <v>3000</v>
      </c>
      <c r="Y66" s="8" t="s">
        <v>268</v>
      </c>
      <c r="Z66" s="8">
        <v>85</v>
      </c>
      <c r="AA66" s="8" t="s">
        <v>278</v>
      </c>
      <c r="AB66" s="8" t="s">
        <v>228</v>
      </c>
      <c r="AC66" s="8" t="s">
        <v>228</v>
      </c>
      <c r="AD66" s="8" t="s">
        <v>228</v>
      </c>
      <c r="AE66" s="8" t="s">
        <v>228</v>
      </c>
      <c r="AF66" s="8" t="s">
        <v>419</v>
      </c>
      <c r="AG66" s="8" t="s">
        <v>228</v>
      </c>
      <c r="AH66" s="8" t="s">
        <v>228</v>
      </c>
      <c r="AI66" s="8" t="s">
        <v>228</v>
      </c>
      <c r="AJ66" t="s">
        <v>468</v>
      </c>
      <c r="AK66">
        <v>1</v>
      </c>
      <c r="AL66">
        <v>1</v>
      </c>
      <c r="AM66" t="s">
        <v>93</v>
      </c>
      <c r="AN66" t="s">
        <v>228</v>
      </c>
      <c r="AO66" t="s">
        <v>526</v>
      </c>
      <c r="AP66" t="s">
        <v>109</v>
      </c>
      <c r="AQ66">
        <v>12</v>
      </c>
      <c r="AR66" t="s">
        <v>521</v>
      </c>
      <c r="AS66" t="s">
        <v>228</v>
      </c>
      <c r="AT66" t="s">
        <v>140</v>
      </c>
      <c r="AU66">
        <v>1</v>
      </c>
      <c r="AV66">
        <v>1</v>
      </c>
      <c r="AW66" t="s">
        <v>539</v>
      </c>
      <c r="AX66" t="s">
        <v>283</v>
      </c>
      <c r="AY66" t="s">
        <v>280</v>
      </c>
      <c r="AZ66">
        <v>5</v>
      </c>
      <c r="BA66" t="s">
        <v>533</v>
      </c>
      <c r="BB66" t="s">
        <v>405</v>
      </c>
      <c r="BC66" t="s">
        <v>395</v>
      </c>
      <c r="BD66" t="s">
        <v>534</v>
      </c>
      <c r="BE66" t="s">
        <v>522</v>
      </c>
      <c r="BF66" t="s">
        <v>523</v>
      </c>
      <c r="BG66" t="s">
        <v>407</v>
      </c>
      <c r="BH66" t="s">
        <v>396</v>
      </c>
      <c r="BI66" t="s">
        <v>524</v>
      </c>
      <c r="BJ66" t="s">
        <v>228</v>
      </c>
      <c r="BK66" t="s">
        <v>228</v>
      </c>
      <c r="BL66" t="s">
        <v>228</v>
      </c>
      <c r="BM66" t="s">
        <v>228</v>
      </c>
      <c r="BN66" t="s">
        <v>228</v>
      </c>
      <c r="BO66" t="s">
        <v>419</v>
      </c>
      <c r="BP66" t="s">
        <v>228</v>
      </c>
      <c r="BQ66" t="s">
        <v>228</v>
      </c>
      <c r="BR66" t="s">
        <v>228</v>
      </c>
      <c r="BS66" t="s">
        <v>409</v>
      </c>
      <c r="BT66">
        <v>1</v>
      </c>
    </row>
    <row r="67" spans="1:72" x14ac:dyDescent="0.15">
      <c r="A67" s="43">
        <v>2023</v>
      </c>
      <c r="B67" s="8">
        <v>1</v>
      </c>
      <c r="C67" s="8">
        <v>1</v>
      </c>
      <c r="D67" s="8">
        <v>8</v>
      </c>
      <c r="E67" s="8" t="s">
        <v>228</v>
      </c>
      <c r="F67" s="8" t="s">
        <v>57</v>
      </c>
      <c r="G67" s="8">
        <v>2016</v>
      </c>
      <c r="H67" s="8">
        <v>12</v>
      </c>
      <c r="I67" s="8" t="s">
        <v>521</v>
      </c>
      <c r="J67" s="8" t="s">
        <v>228</v>
      </c>
      <c r="K67" s="8">
        <v>1983</v>
      </c>
      <c r="L67" s="17">
        <v>1</v>
      </c>
      <c r="M67" s="8">
        <v>1</v>
      </c>
      <c r="N67" s="8" t="s">
        <v>46</v>
      </c>
      <c r="O67" s="8" t="s">
        <v>283</v>
      </c>
      <c r="P67" s="8" t="s">
        <v>280</v>
      </c>
      <c r="Q67" s="8">
        <v>20000</v>
      </c>
      <c r="R67" s="8" t="s">
        <v>59</v>
      </c>
      <c r="S67" s="8" t="s">
        <v>52</v>
      </c>
      <c r="T67" s="8" t="s">
        <v>69</v>
      </c>
      <c r="U67" s="8" t="s">
        <v>69</v>
      </c>
      <c r="V67" s="8">
        <v>500</v>
      </c>
      <c r="W67" s="8" t="s">
        <v>328</v>
      </c>
      <c r="X67" s="8">
        <v>3000</v>
      </c>
      <c r="Y67" s="8" t="s">
        <v>268</v>
      </c>
      <c r="Z67" s="8">
        <v>85</v>
      </c>
      <c r="AA67" s="8" t="s">
        <v>278</v>
      </c>
      <c r="AB67" s="8" t="s">
        <v>228</v>
      </c>
      <c r="AC67" s="8" t="s">
        <v>228</v>
      </c>
      <c r="AD67" s="8" t="s">
        <v>228</v>
      </c>
      <c r="AE67" s="8" t="s">
        <v>228</v>
      </c>
      <c r="AF67" s="8" t="s">
        <v>419</v>
      </c>
      <c r="AG67" s="8" t="s">
        <v>228</v>
      </c>
      <c r="AH67" s="8" t="s">
        <v>228</v>
      </c>
      <c r="AI67" s="8" t="s">
        <v>228</v>
      </c>
      <c r="AJ67" t="s">
        <v>468</v>
      </c>
      <c r="AK67">
        <v>1</v>
      </c>
      <c r="AL67">
        <v>1</v>
      </c>
      <c r="AM67" t="s">
        <v>93</v>
      </c>
      <c r="AN67" t="s">
        <v>228</v>
      </c>
      <c r="AO67" t="s">
        <v>526</v>
      </c>
      <c r="AP67" t="s">
        <v>109</v>
      </c>
      <c r="AQ67">
        <v>12</v>
      </c>
      <c r="AR67" t="s">
        <v>521</v>
      </c>
      <c r="AS67" t="s">
        <v>228</v>
      </c>
      <c r="AT67" t="s">
        <v>140</v>
      </c>
      <c r="AU67">
        <v>1</v>
      </c>
      <c r="AV67">
        <v>1</v>
      </c>
      <c r="AW67" t="s">
        <v>539</v>
      </c>
      <c r="AX67" t="s">
        <v>283</v>
      </c>
      <c r="AY67" t="s">
        <v>280</v>
      </c>
      <c r="AZ67">
        <v>5</v>
      </c>
      <c r="BA67" t="s">
        <v>533</v>
      </c>
      <c r="BB67" t="s">
        <v>405</v>
      </c>
      <c r="BC67" t="s">
        <v>395</v>
      </c>
      <c r="BD67" t="s">
        <v>395</v>
      </c>
      <c r="BE67" t="s">
        <v>522</v>
      </c>
      <c r="BF67" t="s">
        <v>523</v>
      </c>
      <c r="BG67" t="s">
        <v>407</v>
      </c>
      <c r="BH67" t="s">
        <v>396</v>
      </c>
      <c r="BI67" t="s">
        <v>524</v>
      </c>
      <c r="BJ67" t="s">
        <v>228</v>
      </c>
      <c r="BK67" t="s">
        <v>228</v>
      </c>
      <c r="BL67" t="s">
        <v>228</v>
      </c>
      <c r="BM67" t="s">
        <v>228</v>
      </c>
      <c r="BN67" t="s">
        <v>228</v>
      </c>
      <c r="BO67" t="s">
        <v>419</v>
      </c>
      <c r="BP67" t="s">
        <v>228</v>
      </c>
      <c r="BQ67" t="s">
        <v>228</v>
      </c>
      <c r="BR67" t="s">
        <v>228</v>
      </c>
      <c r="BS67" t="s">
        <v>409</v>
      </c>
      <c r="BT67">
        <v>1</v>
      </c>
    </row>
    <row r="68" spans="1:72" x14ac:dyDescent="0.15">
      <c r="A68" s="43">
        <v>2023</v>
      </c>
      <c r="B68" s="8">
        <v>1</v>
      </c>
      <c r="C68" s="8">
        <v>1</v>
      </c>
      <c r="D68" s="8">
        <v>8</v>
      </c>
      <c r="E68" s="8" t="s">
        <v>228</v>
      </c>
      <c r="F68" s="8" t="s">
        <v>57</v>
      </c>
      <c r="G68" s="8">
        <v>2016</v>
      </c>
      <c r="H68" s="8">
        <v>12</v>
      </c>
      <c r="I68" s="8" t="s">
        <v>521</v>
      </c>
      <c r="J68" s="8" t="s">
        <v>228</v>
      </c>
      <c r="K68" s="8">
        <v>1983</v>
      </c>
      <c r="L68" s="17">
        <v>1</v>
      </c>
      <c r="M68" s="8">
        <v>1</v>
      </c>
      <c r="N68" s="8" t="s">
        <v>46</v>
      </c>
      <c r="O68" s="8" t="s">
        <v>283</v>
      </c>
      <c r="P68" s="8" t="s">
        <v>280</v>
      </c>
      <c r="Q68" s="8">
        <v>20000</v>
      </c>
      <c r="R68" s="8" t="s">
        <v>59</v>
      </c>
      <c r="S68" s="8" t="s">
        <v>52</v>
      </c>
      <c r="T68" s="8" t="s">
        <v>69</v>
      </c>
      <c r="U68" s="8" t="s">
        <v>228</v>
      </c>
      <c r="V68" s="8">
        <v>500</v>
      </c>
      <c r="W68" s="8" t="s">
        <v>328</v>
      </c>
      <c r="X68" s="8">
        <v>3000</v>
      </c>
      <c r="Y68" s="8" t="s">
        <v>268</v>
      </c>
      <c r="Z68" s="8">
        <v>85</v>
      </c>
      <c r="AA68" s="8" t="s">
        <v>278</v>
      </c>
      <c r="AB68" s="8" t="s">
        <v>228</v>
      </c>
      <c r="AC68" s="8" t="s">
        <v>228</v>
      </c>
      <c r="AD68" s="8" t="s">
        <v>228</v>
      </c>
      <c r="AE68" s="8" t="s">
        <v>228</v>
      </c>
      <c r="AF68" s="8" t="s">
        <v>420</v>
      </c>
      <c r="AG68" s="8" t="s">
        <v>228</v>
      </c>
      <c r="AH68" s="8" t="s">
        <v>228</v>
      </c>
      <c r="AI68" s="8" t="s">
        <v>228</v>
      </c>
      <c r="AJ68" t="s">
        <v>468</v>
      </c>
      <c r="AK68">
        <v>1</v>
      </c>
      <c r="AL68">
        <v>1</v>
      </c>
      <c r="AM68" t="s">
        <v>93</v>
      </c>
      <c r="AN68" t="s">
        <v>228</v>
      </c>
      <c r="AO68" t="s">
        <v>526</v>
      </c>
      <c r="AP68" t="s">
        <v>109</v>
      </c>
      <c r="AQ68">
        <v>12</v>
      </c>
      <c r="AR68" t="s">
        <v>521</v>
      </c>
      <c r="AS68" t="s">
        <v>228</v>
      </c>
      <c r="AT68" t="s">
        <v>140</v>
      </c>
      <c r="AU68">
        <v>1</v>
      </c>
      <c r="AV68">
        <v>1</v>
      </c>
      <c r="AW68" t="s">
        <v>539</v>
      </c>
      <c r="AX68" t="s">
        <v>283</v>
      </c>
      <c r="AY68" t="s">
        <v>280</v>
      </c>
      <c r="AZ68">
        <v>5</v>
      </c>
      <c r="BA68" t="s">
        <v>533</v>
      </c>
      <c r="BB68" t="s">
        <v>405</v>
      </c>
      <c r="BC68" t="s">
        <v>395</v>
      </c>
      <c r="BD68" t="s">
        <v>228</v>
      </c>
      <c r="BE68" t="s">
        <v>522</v>
      </c>
      <c r="BF68" t="s">
        <v>523</v>
      </c>
      <c r="BG68" t="s">
        <v>407</v>
      </c>
      <c r="BH68" t="s">
        <v>396</v>
      </c>
      <c r="BI68" t="s">
        <v>524</v>
      </c>
      <c r="BJ68" t="s">
        <v>228</v>
      </c>
      <c r="BK68" t="s">
        <v>228</v>
      </c>
      <c r="BL68" t="s">
        <v>228</v>
      </c>
      <c r="BM68" t="s">
        <v>228</v>
      </c>
      <c r="BN68" t="s">
        <v>228</v>
      </c>
      <c r="BO68" t="s">
        <v>420</v>
      </c>
      <c r="BP68" t="s">
        <v>228</v>
      </c>
      <c r="BQ68" t="s">
        <v>228</v>
      </c>
      <c r="BR68" t="s">
        <v>228</v>
      </c>
      <c r="BS68" t="s">
        <v>409</v>
      </c>
      <c r="BT68">
        <v>1</v>
      </c>
    </row>
    <row r="69" spans="1:72" x14ac:dyDescent="0.15">
      <c r="A69" s="43">
        <v>2023</v>
      </c>
      <c r="B69" s="8">
        <v>1</v>
      </c>
      <c r="C69" s="8">
        <v>1</v>
      </c>
      <c r="D69" s="8">
        <v>8</v>
      </c>
      <c r="E69" s="8" t="s">
        <v>228</v>
      </c>
      <c r="F69" s="8" t="s">
        <v>57</v>
      </c>
      <c r="G69" s="8">
        <v>2016</v>
      </c>
      <c r="H69" s="8">
        <v>12</v>
      </c>
      <c r="I69" s="8" t="s">
        <v>521</v>
      </c>
      <c r="J69" s="8" t="s">
        <v>228</v>
      </c>
      <c r="K69" s="8">
        <v>1983</v>
      </c>
      <c r="L69" s="17">
        <v>1</v>
      </c>
      <c r="M69" s="8">
        <v>1</v>
      </c>
      <c r="N69" s="8" t="s">
        <v>46</v>
      </c>
      <c r="O69" s="8" t="s">
        <v>283</v>
      </c>
      <c r="P69" s="8" t="s">
        <v>280</v>
      </c>
      <c r="Q69" s="8">
        <v>20000</v>
      </c>
      <c r="R69" s="8" t="s">
        <v>59</v>
      </c>
      <c r="S69" s="8" t="s">
        <v>52</v>
      </c>
      <c r="T69" s="8" t="s">
        <v>69</v>
      </c>
      <c r="U69" s="8" t="s">
        <v>67</v>
      </c>
      <c r="V69" s="8">
        <v>500</v>
      </c>
      <c r="W69" s="8" t="s">
        <v>328</v>
      </c>
      <c r="X69" s="8">
        <v>3000</v>
      </c>
      <c r="Y69" s="8" t="s">
        <v>268</v>
      </c>
      <c r="Z69" s="8">
        <v>85</v>
      </c>
      <c r="AA69" s="8" t="s">
        <v>278</v>
      </c>
      <c r="AB69" s="8" t="s">
        <v>228</v>
      </c>
      <c r="AC69" s="8" t="s">
        <v>228</v>
      </c>
      <c r="AD69" s="8" t="s">
        <v>228</v>
      </c>
      <c r="AE69" s="8" t="s">
        <v>228</v>
      </c>
      <c r="AF69" s="8" t="s">
        <v>420</v>
      </c>
      <c r="AG69" s="8" t="s">
        <v>228</v>
      </c>
      <c r="AH69" s="8" t="s">
        <v>228</v>
      </c>
      <c r="AI69" s="8" t="s">
        <v>228</v>
      </c>
      <c r="AJ69" t="s">
        <v>468</v>
      </c>
      <c r="AK69">
        <v>1</v>
      </c>
      <c r="AL69">
        <v>1</v>
      </c>
      <c r="AM69" t="s">
        <v>93</v>
      </c>
      <c r="AN69" t="s">
        <v>228</v>
      </c>
      <c r="AO69" t="s">
        <v>526</v>
      </c>
      <c r="AP69" t="s">
        <v>109</v>
      </c>
      <c r="AQ69">
        <v>12</v>
      </c>
      <c r="AR69" t="s">
        <v>521</v>
      </c>
      <c r="AS69" t="s">
        <v>228</v>
      </c>
      <c r="AT69" t="s">
        <v>140</v>
      </c>
      <c r="AU69">
        <v>1</v>
      </c>
      <c r="AV69">
        <v>1</v>
      </c>
      <c r="AW69" t="s">
        <v>539</v>
      </c>
      <c r="AX69" t="s">
        <v>283</v>
      </c>
      <c r="AY69" t="s">
        <v>280</v>
      </c>
      <c r="AZ69">
        <v>5</v>
      </c>
      <c r="BA69" t="s">
        <v>533</v>
      </c>
      <c r="BB69" t="s">
        <v>405</v>
      </c>
      <c r="BC69" t="s">
        <v>395</v>
      </c>
      <c r="BD69" t="s">
        <v>534</v>
      </c>
      <c r="BE69" t="s">
        <v>522</v>
      </c>
      <c r="BF69" t="s">
        <v>523</v>
      </c>
      <c r="BG69" t="s">
        <v>407</v>
      </c>
      <c r="BH69" t="s">
        <v>396</v>
      </c>
      <c r="BI69" t="s">
        <v>524</v>
      </c>
      <c r="BJ69" t="s">
        <v>228</v>
      </c>
      <c r="BK69" t="s">
        <v>228</v>
      </c>
      <c r="BL69" t="s">
        <v>228</v>
      </c>
      <c r="BM69" t="s">
        <v>228</v>
      </c>
      <c r="BN69" t="s">
        <v>228</v>
      </c>
      <c r="BO69" t="s">
        <v>420</v>
      </c>
      <c r="BP69" t="s">
        <v>228</v>
      </c>
      <c r="BQ69" t="s">
        <v>228</v>
      </c>
      <c r="BR69" t="s">
        <v>228</v>
      </c>
      <c r="BS69" t="s">
        <v>409</v>
      </c>
      <c r="BT69">
        <v>1</v>
      </c>
    </row>
    <row r="70" spans="1:72" x14ac:dyDescent="0.15">
      <c r="A70" s="43">
        <v>2023</v>
      </c>
      <c r="B70" s="8">
        <v>1</v>
      </c>
      <c r="C70" s="8">
        <v>1</v>
      </c>
      <c r="D70" s="8">
        <v>8</v>
      </c>
      <c r="E70" s="8" t="s">
        <v>228</v>
      </c>
      <c r="F70" s="8" t="s">
        <v>57</v>
      </c>
      <c r="G70" s="8">
        <v>2016</v>
      </c>
      <c r="H70" s="8">
        <v>12</v>
      </c>
      <c r="I70" s="8" t="s">
        <v>521</v>
      </c>
      <c r="J70" s="8" t="s">
        <v>228</v>
      </c>
      <c r="K70" s="8">
        <v>1983</v>
      </c>
      <c r="L70" s="17">
        <v>1</v>
      </c>
      <c r="M70" s="8">
        <v>1</v>
      </c>
      <c r="N70" s="8" t="s">
        <v>46</v>
      </c>
      <c r="O70" s="8" t="s">
        <v>283</v>
      </c>
      <c r="P70" s="8" t="s">
        <v>280</v>
      </c>
      <c r="Q70" s="8">
        <v>20000</v>
      </c>
      <c r="R70" s="8" t="s">
        <v>59</v>
      </c>
      <c r="S70" s="8" t="s">
        <v>52</v>
      </c>
      <c r="T70" s="8" t="s">
        <v>69</v>
      </c>
      <c r="U70" s="8" t="s">
        <v>69</v>
      </c>
      <c r="V70" s="8">
        <v>500</v>
      </c>
      <c r="W70" s="8" t="s">
        <v>328</v>
      </c>
      <c r="X70" s="8">
        <v>3000</v>
      </c>
      <c r="Y70" s="8" t="s">
        <v>268</v>
      </c>
      <c r="Z70" s="8">
        <v>85</v>
      </c>
      <c r="AA70" s="8" t="s">
        <v>278</v>
      </c>
      <c r="AB70" s="8" t="s">
        <v>228</v>
      </c>
      <c r="AC70" s="8" t="s">
        <v>228</v>
      </c>
      <c r="AD70" s="8" t="s">
        <v>228</v>
      </c>
      <c r="AE70" s="8" t="s">
        <v>228</v>
      </c>
      <c r="AF70" s="8" t="s">
        <v>420</v>
      </c>
      <c r="AG70" s="8" t="s">
        <v>228</v>
      </c>
      <c r="AH70" s="8" t="s">
        <v>228</v>
      </c>
      <c r="AI70" s="8" t="s">
        <v>228</v>
      </c>
      <c r="AJ70" t="s">
        <v>468</v>
      </c>
      <c r="AK70">
        <v>1</v>
      </c>
      <c r="AL70">
        <v>1</v>
      </c>
      <c r="AM70" t="s">
        <v>93</v>
      </c>
      <c r="AN70" t="s">
        <v>228</v>
      </c>
      <c r="AO70" t="s">
        <v>526</v>
      </c>
      <c r="AP70" t="s">
        <v>109</v>
      </c>
      <c r="AQ70">
        <v>12</v>
      </c>
      <c r="AR70" t="s">
        <v>521</v>
      </c>
      <c r="AS70" t="s">
        <v>228</v>
      </c>
      <c r="AT70" t="s">
        <v>140</v>
      </c>
      <c r="AU70">
        <v>1</v>
      </c>
      <c r="AV70">
        <v>1</v>
      </c>
      <c r="AW70" t="s">
        <v>539</v>
      </c>
      <c r="AX70" t="s">
        <v>283</v>
      </c>
      <c r="AY70" t="s">
        <v>280</v>
      </c>
      <c r="AZ70">
        <v>5</v>
      </c>
      <c r="BA70" t="s">
        <v>533</v>
      </c>
      <c r="BB70" t="s">
        <v>405</v>
      </c>
      <c r="BC70" t="s">
        <v>395</v>
      </c>
      <c r="BD70" t="s">
        <v>395</v>
      </c>
      <c r="BE70" t="s">
        <v>522</v>
      </c>
      <c r="BF70" t="s">
        <v>523</v>
      </c>
      <c r="BG70" t="s">
        <v>407</v>
      </c>
      <c r="BH70" t="s">
        <v>396</v>
      </c>
      <c r="BI70" t="s">
        <v>524</v>
      </c>
      <c r="BJ70" t="s">
        <v>228</v>
      </c>
      <c r="BK70" t="s">
        <v>228</v>
      </c>
      <c r="BL70" t="s">
        <v>228</v>
      </c>
      <c r="BM70" t="s">
        <v>228</v>
      </c>
      <c r="BN70" t="s">
        <v>228</v>
      </c>
      <c r="BO70" t="s">
        <v>420</v>
      </c>
      <c r="BP70" t="s">
        <v>228</v>
      </c>
      <c r="BQ70" t="s">
        <v>228</v>
      </c>
      <c r="BR70" t="s">
        <v>228</v>
      </c>
      <c r="BS70" t="s">
        <v>409</v>
      </c>
      <c r="BT70">
        <v>1</v>
      </c>
    </row>
    <row r="71" spans="1:72" x14ac:dyDescent="0.15">
      <c r="A71" s="43">
        <v>2023</v>
      </c>
      <c r="B71" s="8">
        <v>1</v>
      </c>
      <c r="C71" s="8">
        <v>1</v>
      </c>
      <c r="D71" s="8">
        <v>8</v>
      </c>
      <c r="E71" s="8" t="s">
        <v>228</v>
      </c>
      <c r="F71" s="8" t="s">
        <v>57</v>
      </c>
      <c r="G71" s="8">
        <v>2016</v>
      </c>
      <c r="H71" s="8">
        <v>12</v>
      </c>
      <c r="I71" s="8" t="s">
        <v>521</v>
      </c>
      <c r="J71" s="8" t="s">
        <v>228</v>
      </c>
      <c r="K71" s="8">
        <v>1983</v>
      </c>
      <c r="L71" s="17">
        <v>1</v>
      </c>
      <c r="M71" s="8">
        <v>1</v>
      </c>
      <c r="N71" s="8" t="s">
        <v>46</v>
      </c>
      <c r="O71" s="8" t="s">
        <v>283</v>
      </c>
      <c r="P71" s="8" t="s">
        <v>280</v>
      </c>
      <c r="Q71" s="8">
        <v>20000</v>
      </c>
      <c r="R71" s="8" t="s">
        <v>59</v>
      </c>
      <c r="S71" s="8" t="s">
        <v>52</v>
      </c>
      <c r="T71" s="8" t="s">
        <v>69</v>
      </c>
      <c r="U71" s="8" t="s">
        <v>228</v>
      </c>
      <c r="V71" s="8">
        <v>500</v>
      </c>
      <c r="W71" s="8" t="s">
        <v>328</v>
      </c>
      <c r="X71" s="8">
        <v>3000</v>
      </c>
      <c r="Y71" s="8" t="s">
        <v>268</v>
      </c>
      <c r="Z71" s="8">
        <v>85</v>
      </c>
      <c r="AA71" s="8" t="s">
        <v>278</v>
      </c>
      <c r="AB71" s="8" t="s">
        <v>228</v>
      </c>
      <c r="AC71" s="8" t="s">
        <v>228</v>
      </c>
      <c r="AD71" s="8" t="s">
        <v>228</v>
      </c>
      <c r="AE71" s="8" t="s">
        <v>67</v>
      </c>
      <c r="AF71" s="8" t="s">
        <v>228</v>
      </c>
      <c r="AG71" s="8" t="s">
        <v>228</v>
      </c>
      <c r="AH71" s="8" t="s">
        <v>228</v>
      </c>
      <c r="AI71" s="8" t="s">
        <v>228</v>
      </c>
      <c r="AJ71" t="s">
        <v>468</v>
      </c>
      <c r="AK71">
        <v>1</v>
      </c>
      <c r="AL71">
        <v>1</v>
      </c>
      <c r="AM71" t="s">
        <v>93</v>
      </c>
      <c r="AN71" t="s">
        <v>228</v>
      </c>
      <c r="AO71" t="s">
        <v>526</v>
      </c>
      <c r="AP71" t="s">
        <v>109</v>
      </c>
      <c r="AQ71">
        <v>12</v>
      </c>
      <c r="AR71" t="s">
        <v>521</v>
      </c>
      <c r="AS71" t="s">
        <v>228</v>
      </c>
      <c r="AT71" t="s">
        <v>140</v>
      </c>
      <c r="AU71">
        <v>1</v>
      </c>
      <c r="AV71">
        <v>1</v>
      </c>
      <c r="AW71" t="s">
        <v>539</v>
      </c>
      <c r="AX71" t="s">
        <v>283</v>
      </c>
      <c r="AY71" t="s">
        <v>280</v>
      </c>
      <c r="AZ71">
        <v>5</v>
      </c>
      <c r="BA71" t="s">
        <v>533</v>
      </c>
      <c r="BB71" t="s">
        <v>405</v>
      </c>
      <c r="BC71" t="s">
        <v>395</v>
      </c>
      <c r="BD71" t="s">
        <v>228</v>
      </c>
      <c r="BE71" t="s">
        <v>522</v>
      </c>
      <c r="BF71" t="s">
        <v>523</v>
      </c>
      <c r="BG71" t="s">
        <v>407</v>
      </c>
      <c r="BH71" t="s">
        <v>396</v>
      </c>
      <c r="BI71" t="s">
        <v>524</v>
      </c>
      <c r="BJ71" t="s">
        <v>228</v>
      </c>
      <c r="BK71" t="s">
        <v>228</v>
      </c>
      <c r="BL71" t="s">
        <v>228</v>
      </c>
      <c r="BM71" t="s">
        <v>228</v>
      </c>
      <c r="BN71" t="s">
        <v>67</v>
      </c>
      <c r="BO71" t="s">
        <v>228</v>
      </c>
      <c r="BP71" t="s">
        <v>228</v>
      </c>
      <c r="BQ71" t="s">
        <v>228</v>
      </c>
      <c r="BR71" t="s">
        <v>228</v>
      </c>
      <c r="BS71" t="s">
        <v>409</v>
      </c>
      <c r="BT71">
        <v>0</v>
      </c>
    </row>
    <row r="72" spans="1:72" x14ac:dyDescent="0.15">
      <c r="A72" s="43">
        <v>2023</v>
      </c>
      <c r="B72" s="8">
        <v>1</v>
      </c>
      <c r="C72" s="8">
        <v>1</v>
      </c>
      <c r="D72" s="8">
        <v>20</v>
      </c>
      <c r="E72" s="8" t="s">
        <v>228</v>
      </c>
      <c r="F72" s="8" t="s">
        <v>57</v>
      </c>
      <c r="G72" s="8">
        <v>2016</v>
      </c>
      <c r="H72" s="8">
        <v>12</v>
      </c>
      <c r="I72" s="8" t="s">
        <v>521</v>
      </c>
      <c r="J72" s="8" t="s">
        <v>228</v>
      </c>
      <c r="K72" s="8">
        <v>1983</v>
      </c>
      <c r="L72" s="17">
        <v>1</v>
      </c>
      <c r="M72" s="8">
        <v>1</v>
      </c>
      <c r="N72" s="8" t="s">
        <v>48</v>
      </c>
      <c r="O72" s="8" t="s">
        <v>283</v>
      </c>
      <c r="P72" s="8" t="s">
        <v>217</v>
      </c>
      <c r="Q72" s="8">
        <v>3000</v>
      </c>
      <c r="R72" s="8" t="s">
        <v>57</v>
      </c>
      <c r="S72" s="8" t="s">
        <v>52</v>
      </c>
      <c r="T72" s="8" t="s">
        <v>69</v>
      </c>
      <c r="U72" s="8" t="s">
        <v>228</v>
      </c>
      <c r="V72" s="8">
        <v>500</v>
      </c>
      <c r="W72" s="8" t="s">
        <v>328</v>
      </c>
      <c r="X72" s="8">
        <v>3000</v>
      </c>
      <c r="Y72" s="8" t="s">
        <v>268</v>
      </c>
      <c r="Z72" s="8">
        <v>85</v>
      </c>
      <c r="AA72" s="8" t="s">
        <v>278</v>
      </c>
      <c r="AB72" s="8" t="s">
        <v>228</v>
      </c>
      <c r="AC72" s="8" t="s">
        <v>228</v>
      </c>
      <c r="AD72" s="8" t="s">
        <v>228</v>
      </c>
      <c r="AE72" s="8" t="s">
        <v>228</v>
      </c>
      <c r="AF72" s="8" t="s">
        <v>228</v>
      </c>
      <c r="AG72" s="8" t="s">
        <v>228</v>
      </c>
      <c r="AH72" s="8" t="s">
        <v>228</v>
      </c>
      <c r="AI72" s="8" t="s">
        <v>228</v>
      </c>
      <c r="AJ72" t="s">
        <v>468</v>
      </c>
      <c r="AK72">
        <v>1</v>
      </c>
      <c r="AL72">
        <v>1</v>
      </c>
      <c r="AM72" t="s">
        <v>81</v>
      </c>
      <c r="AN72" t="s">
        <v>228</v>
      </c>
      <c r="AO72" t="s">
        <v>526</v>
      </c>
      <c r="AP72" t="s">
        <v>109</v>
      </c>
      <c r="AQ72">
        <v>12</v>
      </c>
      <c r="AR72" t="s">
        <v>521</v>
      </c>
      <c r="AS72" t="s">
        <v>228</v>
      </c>
      <c r="AT72" t="s">
        <v>140</v>
      </c>
      <c r="AU72">
        <v>1</v>
      </c>
      <c r="AV72">
        <v>1</v>
      </c>
      <c r="AW72" t="s">
        <v>406</v>
      </c>
      <c r="AX72" t="s">
        <v>283</v>
      </c>
      <c r="AY72" t="s">
        <v>217</v>
      </c>
      <c r="AZ72">
        <v>1</v>
      </c>
      <c r="BA72" t="s">
        <v>408</v>
      </c>
      <c r="BB72" t="s">
        <v>405</v>
      </c>
      <c r="BC72" t="s">
        <v>395</v>
      </c>
      <c r="BD72" t="s">
        <v>228</v>
      </c>
      <c r="BE72" t="s">
        <v>522</v>
      </c>
      <c r="BF72" t="s">
        <v>523</v>
      </c>
      <c r="BG72" t="s">
        <v>407</v>
      </c>
      <c r="BH72" t="s">
        <v>396</v>
      </c>
      <c r="BI72" t="s">
        <v>524</v>
      </c>
      <c r="BJ72" t="s">
        <v>228</v>
      </c>
      <c r="BK72" t="s">
        <v>228</v>
      </c>
      <c r="BL72" t="s">
        <v>228</v>
      </c>
      <c r="BM72" t="s">
        <v>228</v>
      </c>
      <c r="BN72" t="s">
        <v>228</v>
      </c>
      <c r="BO72" t="s">
        <v>228</v>
      </c>
      <c r="BP72" t="s">
        <v>228</v>
      </c>
      <c r="BQ72" t="s">
        <v>228</v>
      </c>
      <c r="BR72" t="s">
        <v>228</v>
      </c>
      <c r="BS72" t="s">
        <v>409</v>
      </c>
      <c r="BT72">
        <v>1</v>
      </c>
    </row>
    <row r="73" spans="1:72" x14ac:dyDescent="0.15">
      <c r="A73" s="43">
        <v>2023</v>
      </c>
      <c r="B73" s="8">
        <v>1</v>
      </c>
      <c r="C73" s="8">
        <v>1</v>
      </c>
      <c r="D73" s="8">
        <v>20</v>
      </c>
      <c r="E73" s="8" t="s">
        <v>228</v>
      </c>
      <c r="F73" s="8" t="s">
        <v>57</v>
      </c>
      <c r="G73" s="8">
        <v>2016</v>
      </c>
      <c r="H73" s="8">
        <v>12</v>
      </c>
      <c r="I73" s="8" t="s">
        <v>521</v>
      </c>
      <c r="J73" s="8" t="s">
        <v>228</v>
      </c>
      <c r="K73" s="8">
        <v>1983</v>
      </c>
      <c r="L73" s="17">
        <v>1</v>
      </c>
      <c r="M73" s="8">
        <v>1</v>
      </c>
      <c r="N73" s="8" t="s">
        <v>48</v>
      </c>
      <c r="O73" s="8" t="s">
        <v>283</v>
      </c>
      <c r="P73" s="8" t="s">
        <v>217</v>
      </c>
      <c r="Q73" s="8">
        <v>3000</v>
      </c>
      <c r="R73" s="8" t="s">
        <v>57</v>
      </c>
      <c r="S73" s="8" t="s">
        <v>52</v>
      </c>
      <c r="T73" s="8" t="s">
        <v>69</v>
      </c>
      <c r="U73" s="8" t="s">
        <v>228</v>
      </c>
      <c r="V73" s="8">
        <v>500</v>
      </c>
      <c r="W73" s="8" t="s">
        <v>233</v>
      </c>
      <c r="X73" s="8">
        <v>3000</v>
      </c>
      <c r="Y73" s="8" t="s">
        <v>268</v>
      </c>
      <c r="Z73" s="8">
        <v>85</v>
      </c>
      <c r="AA73" s="8" t="s">
        <v>278</v>
      </c>
      <c r="AB73" s="8" t="s">
        <v>228</v>
      </c>
      <c r="AC73" s="8" t="s">
        <v>228</v>
      </c>
      <c r="AD73" s="8" t="s">
        <v>228</v>
      </c>
      <c r="AE73" s="8" t="s">
        <v>228</v>
      </c>
      <c r="AF73" s="8" t="s">
        <v>228</v>
      </c>
      <c r="AG73" s="8" t="s">
        <v>228</v>
      </c>
      <c r="AH73" s="8" t="s">
        <v>228</v>
      </c>
      <c r="AI73" s="8" t="s">
        <v>228</v>
      </c>
      <c r="AJ73" t="s">
        <v>468</v>
      </c>
      <c r="AK73">
        <v>1</v>
      </c>
      <c r="AL73">
        <v>1</v>
      </c>
      <c r="AM73" t="s">
        <v>81</v>
      </c>
      <c r="AN73" t="s">
        <v>228</v>
      </c>
      <c r="AO73" t="s">
        <v>526</v>
      </c>
      <c r="AP73" t="s">
        <v>109</v>
      </c>
      <c r="AQ73">
        <v>12</v>
      </c>
      <c r="AR73" t="s">
        <v>521</v>
      </c>
      <c r="AS73" t="s">
        <v>228</v>
      </c>
      <c r="AT73" t="s">
        <v>140</v>
      </c>
      <c r="AU73">
        <v>1</v>
      </c>
      <c r="AV73">
        <v>1</v>
      </c>
      <c r="AW73" t="s">
        <v>406</v>
      </c>
      <c r="AX73" t="s">
        <v>283</v>
      </c>
      <c r="AY73" t="s">
        <v>217</v>
      </c>
      <c r="AZ73">
        <v>1</v>
      </c>
      <c r="BA73" t="s">
        <v>408</v>
      </c>
      <c r="BB73" t="s">
        <v>405</v>
      </c>
      <c r="BC73" t="s">
        <v>395</v>
      </c>
      <c r="BD73" t="s">
        <v>228</v>
      </c>
      <c r="BE73" t="s">
        <v>522</v>
      </c>
      <c r="BF73" t="s">
        <v>540</v>
      </c>
      <c r="BG73" t="s">
        <v>407</v>
      </c>
      <c r="BH73" t="s">
        <v>396</v>
      </c>
      <c r="BI73" t="s">
        <v>524</v>
      </c>
      <c r="BJ73" t="s">
        <v>228</v>
      </c>
      <c r="BK73" t="s">
        <v>228</v>
      </c>
      <c r="BL73" t="s">
        <v>228</v>
      </c>
      <c r="BM73" t="s">
        <v>228</v>
      </c>
      <c r="BN73" t="s">
        <v>228</v>
      </c>
      <c r="BO73" t="s">
        <v>228</v>
      </c>
      <c r="BP73" t="s">
        <v>228</v>
      </c>
      <c r="BQ73" t="s">
        <v>228</v>
      </c>
      <c r="BR73" t="s">
        <v>228</v>
      </c>
      <c r="BS73" t="s">
        <v>409</v>
      </c>
      <c r="BT73">
        <v>1</v>
      </c>
    </row>
    <row r="74" spans="1:72" x14ac:dyDescent="0.15">
      <c r="A74" s="43">
        <v>2023</v>
      </c>
      <c r="B74" s="8">
        <v>1</v>
      </c>
      <c r="C74" s="8">
        <v>1</v>
      </c>
      <c r="D74" s="8">
        <v>20</v>
      </c>
      <c r="E74" s="8" t="s">
        <v>228</v>
      </c>
      <c r="F74" s="8" t="s">
        <v>57</v>
      </c>
      <c r="G74" s="8">
        <v>2016</v>
      </c>
      <c r="H74" s="8">
        <v>12</v>
      </c>
      <c r="I74" s="8" t="s">
        <v>521</v>
      </c>
      <c r="J74" s="8" t="s">
        <v>228</v>
      </c>
      <c r="K74" s="8">
        <v>1983</v>
      </c>
      <c r="L74" s="17">
        <v>1</v>
      </c>
      <c r="M74" s="8">
        <v>1</v>
      </c>
      <c r="N74" s="8" t="s">
        <v>48</v>
      </c>
      <c r="O74" s="8" t="s">
        <v>283</v>
      </c>
      <c r="P74" s="8" t="s">
        <v>217</v>
      </c>
      <c r="Q74" s="8">
        <v>3000</v>
      </c>
      <c r="R74" s="8" t="s">
        <v>57</v>
      </c>
      <c r="S74" s="8" t="s">
        <v>52</v>
      </c>
      <c r="T74" s="8" t="s">
        <v>69</v>
      </c>
      <c r="U74" s="8" t="s">
        <v>228</v>
      </c>
      <c r="V74" s="8">
        <v>500</v>
      </c>
      <c r="W74" s="8" t="s">
        <v>328</v>
      </c>
      <c r="X74" s="8">
        <v>3000</v>
      </c>
      <c r="Y74" s="8" t="s">
        <v>268</v>
      </c>
      <c r="Z74" s="8">
        <v>85</v>
      </c>
      <c r="AA74" s="8" t="s">
        <v>278</v>
      </c>
      <c r="AB74" s="8" t="s">
        <v>228</v>
      </c>
      <c r="AC74" s="8" t="s">
        <v>67</v>
      </c>
      <c r="AD74" s="8" t="s">
        <v>228</v>
      </c>
      <c r="AE74" s="8" t="s">
        <v>228</v>
      </c>
      <c r="AF74" s="8" t="s">
        <v>228</v>
      </c>
      <c r="AG74" s="8" t="s">
        <v>228</v>
      </c>
      <c r="AH74" s="8" t="s">
        <v>228</v>
      </c>
      <c r="AI74" s="8" t="s">
        <v>228</v>
      </c>
      <c r="AJ74" t="s">
        <v>468</v>
      </c>
      <c r="AK74">
        <v>1</v>
      </c>
      <c r="AL74">
        <v>1</v>
      </c>
      <c r="AM74" t="s">
        <v>81</v>
      </c>
      <c r="AN74" t="s">
        <v>228</v>
      </c>
      <c r="AO74" t="s">
        <v>526</v>
      </c>
      <c r="AP74" t="s">
        <v>109</v>
      </c>
      <c r="AQ74">
        <v>12</v>
      </c>
      <c r="AR74" t="s">
        <v>521</v>
      </c>
      <c r="AS74" t="s">
        <v>228</v>
      </c>
      <c r="AT74" t="s">
        <v>140</v>
      </c>
      <c r="AU74">
        <v>1</v>
      </c>
      <c r="AV74">
        <v>1</v>
      </c>
      <c r="AW74" t="s">
        <v>406</v>
      </c>
      <c r="AX74" t="s">
        <v>283</v>
      </c>
      <c r="AY74" t="s">
        <v>217</v>
      </c>
      <c r="AZ74">
        <v>1</v>
      </c>
      <c r="BA74" t="s">
        <v>408</v>
      </c>
      <c r="BB74" t="s">
        <v>405</v>
      </c>
      <c r="BC74" t="s">
        <v>395</v>
      </c>
      <c r="BD74" t="s">
        <v>228</v>
      </c>
      <c r="BE74" t="s">
        <v>522</v>
      </c>
      <c r="BF74" t="s">
        <v>523</v>
      </c>
      <c r="BG74" t="s">
        <v>407</v>
      </c>
      <c r="BH74" t="s">
        <v>396</v>
      </c>
      <c r="BI74" t="s">
        <v>524</v>
      </c>
      <c r="BJ74" t="s">
        <v>228</v>
      </c>
      <c r="BK74" t="s">
        <v>228</v>
      </c>
      <c r="BL74" t="s">
        <v>67</v>
      </c>
      <c r="BM74" t="s">
        <v>228</v>
      </c>
      <c r="BN74" t="s">
        <v>228</v>
      </c>
      <c r="BO74" t="s">
        <v>228</v>
      </c>
      <c r="BP74" t="s">
        <v>228</v>
      </c>
      <c r="BQ74" t="s">
        <v>228</v>
      </c>
      <c r="BR74" t="s">
        <v>228</v>
      </c>
      <c r="BS74" t="s">
        <v>409</v>
      </c>
      <c r="BT74">
        <v>0</v>
      </c>
    </row>
    <row r="75" spans="1:72" x14ac:dyDescent="0.15">
      <c r="A75" s="43">
        <v>2023</v>
      </c>
      <c r="B75" s="8">
        <v>1</v>
      </c>
      <c r="C75" s="8">
        <v>1</v>
      </c>
      <c r="D75" s="8" t="s">
        <v>282</v>
      </c>
      <c r="E75" s="8" t="s">
        <v>228</v>
      </c>
      <c r="F75" s="8" t="s">
        <v>57</v>
      </c>
      <c r="G75" s="8">
        <v>2016</v>
      </c>
      <c r="H75" s="8">
        <v>12</v>
      </c>
      <c r="I75" s="8" t="s">
        <v>521</v>
      </c>
      <c r="J75" s="8" t="s">
        <v>228</v>
      </c>
      <c r="K75" s="8">
        <v>1983</v>
      </c>
      <c r="L75" s="17">
        <v>1</v>
      </c>
      <c r="M75" s="8">
        <v>1</v>
      </c>
      <c r="N75" s="8" t="s">
        <v>48</v>
      </c>
      <c r="O75" s="8" t="s">
        <v>283</v>
      </c>
      <c r="P75" s="8" t="s">
        <v>217</v>
      </c>
      <c r="Q75" s="8">
        <v>3000</v>
      </c>
      <c r="R75" s="8" t="s">
        <v>57</v>
      </c>
      <c r="S75" s="8" t="s">
        <v>52</v>
      </c>
      <c r="T75" s="8" t="s">
        <v>69</v>
      </c>
      <c r="U75" s="8" t="s">
        <v>228</v>
      </c>
      <c r="V75" s="8">
        <v>500</v>
      </c>
      <c r="W75" s="8" t="s">
        <v>328</v>
      </c>
      <c r="X75" s="8">
        <v>3000</v>
      </c>
      <c r="Y75" s="8" t="s">
        <v>268</v>
      </c>
      <c r="Z75" s="8">
        <v>85</v>
      </c>
      <c r="AA75" s="8" t="s">
        <v>278</v>
      </c>
      <c r="AB75" s="8" t="s">
        <v>228</v>
      </c>
      <c r="AC75" s="8" t="s">
        <v>228</v>
      </c>
      <c r="AD75" s="8" t="s">
        <v>228</v>
      </c>
      <c r="AE75" s="8" t="s">
        <v>228</v>
      </c>
      <c r="AF75" s="8" t="s">
        <v>228</v>
      </c>
      <c r="AG75" s="8" t="s">
        <v>228</v>
      </c>
      <c r="AH75" s="8" t="s">
        <v>228</v>
      </c>
      <c r="AI75" s="8" t="s">
        <v>228</v>
      </c>
      <c r="AJ75" t="s">
        <v>468</v>
      </c>
      <c r="AK75">
        <v>1</v>
      </c>
      <c r="AL75">
        <v>1</v>
      </c>
      <c r="AM75" t="s">
        <v>282</v>
      </c>
      <c r="AN75" t="s">
        <v>228</v>
      </c>
      <c r="AO75" t="s">
        <v>526</v>
      </c>
      <c r="AP75" t="s">
        <v>109</v>
      </c>
      <c r="AQ75">
        <v>12</v>
      </c>
      <c r="AR75" t="s">
        <v>521</v>
      </c>
      <c r="AS75" t="s">
        <v>228</v>
      </c>
      <c r="AT75" t="s">
        <v>140</v>
      </c>
      <c r="AU75">
        <v>1</v>
      </c>
      <c r="AV75">
        <v>1</v>
      </c>
      <c r="AW75" t="s">
        <v>406</v>
      </c>
      <c r="AX75" t="s">
        <v>283</v>
      </c>
      <c r="AY75" t="s">
        <v>217</v>
      </c>
      <c r="AZ75">
        <v>1</v>
      </c>
      <c r="BA75" t="s">
        <v>408</v>
      </c>
      <c r="BB75" t="s">
        <v>405</v>
      </c>
      <c r="BC75" t="s">
        <v>395</v>
      </c>
      <c r="BD75" t="s">
        <v>228</v>
      </c>
      <c r="BE75" t="s">
        <v>522</v>
      </c>
      <c r="BF75" t="s">
        <v>523</v>
      </c>
      <c r="BG75" t="s">
        <v>407</v>
      </c>
      <c r="BH75" t="s">
        <v>396</v>
      </c>
      <c r="BI75" t="s">
        <v>524</v>
      </c>
      <c r="BJ75" t="s">
        <v>228</v>
      </c>
      <c r="BK75" t="s">
        <v>228</v>
      </c>
      <c r="BL75" t="s">
        <v>228</v>
      </c>
      <c r="BM75" t="s">
        <v>228</v>
      </c>
      <c r="BN75" t="s">
        <v>228</v>
      </c>
      <c r="BO75" t="s">
        <v>228</v>
      </c>
      <c r="BP75" t="s">
        <v>228</v>
      </c>
      <c r="BQ75" t="s">
        <v>228</v>
      </c>
      <c r="BR75" t="s">
        <v>228</v>
      </c>
      <c r="BS75" t="s">
        <v>465</v>
      </c>
      <c r="BT75">
        <v>1</v>
      </c>
    </row>
    <row r="76" spans="1:72" x14ac:dyDescent="0.15">
      <c r="A76" s="43">
        <v>2023</v>
      </c>
      <c r="B76" s="8">
        <v>1</v>
      </c>
      <c r="C76" s="8">
        <v>1</v>
      </c>
      <c r="D76" s="8" t="s">
        <v>282</v>
      </c>
      <c r="E76" s="8" t="s">
        <v>228</v>
      </c>
      <c r="F76" s="8" t="s">
        <v>57</v>
      </c>
      <c r="G76" s="8">
        <v>2016</v>
      </c>
      <c r="H76" s="8">
        <v>12</v>
      </c>
      <c r="I76" s="8" t="s">
        <v>521</v>
      </c>
      <c r="J76" s="8" t="s">
        <v>228</v>
      </c>
      <c r="K76" s="8">
        <v>1983</v>
      </c>
      <c r="L76" s="17">
        <v>1</v>
      </c>
      <c r="M76" s="8">
        <v>1</v>
      </c>
      <c r="N76" s="8" t="s">
        <v>48</v>
      </c>
      <c r="O76" s="8" t="s">
        <v>283</v>
      </c>
      <c r="P76" s="8" t="s">
        <v>217</v>
      </c>
      <c r="Q76" s="8">
        <v>3000</v>
      </c>
      <c r="R76" s="8" t="s">
        <v>57</v>
      </c>
      <c r="S76" s="8" t="s">
        <v>52</v>
      </c>
      <c r="T76" s="8" t="s">
        <v>69</v>
      </c>
      <c r="U76" s="8" t="s">
        <v>228</v>
      </c>
      <c r="V76" s="8">
        <v>500</v>
      </c>
      <c r="W76" s="8" t="s">
        <v>233</v>
      </c>
      <c r="X76" s="8">
        <v>3000</v>
      </c>
      <c r="Y76" s="8" t="s">
        <v>268</v>
      </c>
      <c r="Z76" s="8">
        <v>85</v>
      </c>
      <c r="AA76" s="8" t="s">
        <v>278</v>
      </c>
      <c r="AB76" s="8" t="s">
        <v>228</v>
      </c>
      <c r="AC76" s="8" t="s">
        <v>228</v>
      </c>
      <c r="AD76" s="8" t="s">
        <v>228</v>
      </c>
      <c r="AE76" s="8" t="s">
        <v>228</v>
      </c>
      <c r="AF76" s="8" t="s">
        <v>228</v>
      </c>
      <c r="AG76" s="8" t="s">
        <v>228</v>
      </c>
      <c r="AH76" s="8" t="s">
        <v>228</v>
      </c>
      <c r="AI76" s="8" t="s">
        <v>228</v>
      </c>
      <c r="AJ76" t="s">
        <v>468</v>
      </c>
      <c r="AK76">
        <v>1</v>
      </c>
      <c r="AL76">
        <v>1</v>
      </c>
      <c r="AM76" t="s">
        <v>282</v>
      </c>
      <c r="AN76" t="s">
        <v>228</v>
      </c>
      <c r="AO76" t="s">
        <v>526</v>
      </c>
      <c r="AP76" t="s">
        <v>109</v>
      </c>
      <c r="AQ76">
        <v>12</v>
      </c>
      <c r="AR76" t="s">
        <v>521</v>
      </c>
      <c r="AS76" t="s">
        <v>228</v>
      </c>
      <c r="AT76" t="s">
        <v>140</v>
      </c>
      <c r="AU76">
        <v>1</v>
      </c>
      <c r="AV76">
        <v>1</v>
      </c>
      <c r="AW76" t="s">
        <v>406</v>
      </c>
      <c r="AX76" t="s">
        <v>283</v>
      </c>
      <c r="AY76" t="s">
        <v>217</v>
      </c>
      <c r="AZ76">
        <v>1</v>
      </c>
      <c r="BA76" t="s">
        <v>408</v>
      </c>
      <c r="BB76" t="s">
        <v>405</v>
      </c>
      <c r="BC76" t="s">
        <v>395</v>
      </c>
      <c r="BD76" t="s">
        <v>228</v>
      </c>
      <c r="BE76" t="s">
        <v>522</v>
      </c>
      <c r="BF76" t="s">
        <v>540</v>
      </c>
      <c r="BG76" t="s">
        <v>407</v>
      </c>
      <c r="BH76" t="s">
        <v>396</v>
      </c>
      <c r="BI76" t="s">
        <v>524</v>
      </c>
      <c r="BJ76" t="s">
        <v>228</v>
      </c>
      <c r="BK76" t="s">
        <v>228</v>
      </c>
      <c r="BL76" t="s">
        <v>228</v>
      </c>
      <c r="BM76" t="s">
        <v>228</v>
      </c>
      <c r="BN76" t="s">
        <v>228</v>
      </c>
      <c r="BO76" t="s">
        <v>228</v>
      </c>
      <c r="BP76" t="s">
        <v>228</v>
      </c>
      <c r="BQ76" t="s">
        <v>228</v>
      </c>
      <c r="BR76" t="s">
        <v>228</v>
      </c>
      <c r="BS76" t="s">
        <v>465</v>
      </c>
      <c r="BT76">
        <v>1</v>
      </c>
    </row>
    <row r="77" spans="1:72" x14ac:dyDescent="0.15">
      <c r="A77" s="43">
        <v>2023</v>
      </c>
      <c r="B77" s="8">
        <v>1</v>
      </c>
      <c r="C77" s="8">
        <v>1</v>
      </c>
      <c r="D77" s="8" t="s">
        <v>282</v>
      </c>
      <c r="E77" s="8" t="s">
        <v>228</v>
      </c>
      <c r="F77" s="8" t="s">
        <v>57</v>
      </c>
      <c r="G77" s="8">
        <v>2016</v>
      </c>
      <c r="H77" s="8">
        <v>12</v>
      </c>
      <c r="I77" s="8" t="s">
        <v>521</v>
      </c>
      <c r="J77" s="8" t="s">
        <v>228</v>
      </c>
      <c r="K77" s="8">
        <v>1983</v>
      </c>
      <c r="L77" s="17">
        <v>1</v>
      </c>
      <c r="M77" s="8">
        <v>1</v>
      </c>
      <c r="N77" s="8" t="s">
        <v>48</v>
      </c>
      <c r="O77" s="8" t="s">
        <v>283</v>
      </c>
      <c r="P77" s="8" t="s">
        <v>217</v>
      </c>
      <c r="Q77" s="8">
        <v>3000</v>
      </c>
      <c r="R77" s="8" t="s">
        <v>57</v>
      </c>
      <c r="S77" s="8" t="s">
        <v>52</v>
      </c>
      <c r="T77" s="8" t="s">
        <v>69</v>
      </c>
      <c r="U77" s="8" t="s">
        <v>228</v>
      </c>
      <c r="V77" s="8">
        <v>500</v>
      </c>
      <c r="W77" s="8" t="s">
        <v>328</v>
      </c>
      <c r="X77" s="8">
        <v>3000</v>
      </c>
      <c r="Y77" s="8" t="s">
        <v>268</v>
      </c>
      <c r="Z77" s="8">
        <v>85</v>
      </c>
      <c r="AA77" s="8" t="s">
        <v>278</v>
      </c>
      <c r="AB77" s="8" t="s">
        <v>228</v>
      </c>
      <c r="AC77" s="8" t="s">
        <v>67</v>
      </c>
      <c r="AD77" s="8" t="s">
        <v>228</v>
      </c>
      <c r="AE77" s="8" t="s">
        <v>228</v>
      </c>
      <c r="AF77" s="8" t="s">
        <v>228</v>
      </c>
      <c r="AG77" s="8" t="s">
        <v>228</v>
      </c>
      <c r="AH77" s="8" t="s">
        <v>228</v>
      </c>
      <c r="AI77" s="8" t="s">
        <v>228</v>
      </c>
      <c r="AJ77" t="s">
        <v>468</v>
      </c>
      <c r="AK77">
        <v>1</v>
      </c>
      <c r="AL77">
        <v>1</v>
      </c>
      <c r="AM77" t="s">
        <v>282</v>
      </c>
      <c r="AN77" t="s">
        <v>228</v>
      </c>
      <c r="AO77" t="s">
        <v>526</v>
      </c>
      <c r="AP77" t="s">
        <v>109</v>
      </c>
      <c r="AQ77">
        <v>12</v>
      </c>
      <c r="AR77" t="s">
        <v>521</v>
      </c>
      <c r="AS77" t="s">
        <v>228</v>
      </c>
      <c r="AT77" t="s">
        <v>140</v>
      </c>
      <c r="AU77">
        <v>1</v>
      </c>
      <c r="AV77">
        <v>1</v>
      </c>
      <c r="AW77" t="s">
        <v>406</v>
      </c>
      <c r="AX77" t="s">
        <v>283</v>
      </c>
      <c r="AY77" t="s">
        <v>217</v>
      </c>
      <c r="AZ77">
        <v>1</v>
      </c>
      <c r="BA77" t="s">
        <v>408</v>
      </c>
      <c r="BB77" t="s">
        <v>405</v>
      </c>
      <c r="BC77" t="s">
        <v>395</v>
      </c>
      <c r="BD77" t="s">
        <v>228</v>
      </c>
      <c r="BE77" t="s">
        <v>522</v>
      </c>
      <c r="BF77" t="s">
        <v>523</v>
      </c>
      <c r="BG77" t="s">
        <v>407</v>
      </c>
      <c r="BH77" t="s">
        <v>396</v>
      </c>
      <c r="BI77" t="s">
        <v>524</v>
      </c>
      <c r="BJ77" t="s">
        <v>228</v>
      </c>
      <c r="BK77" t="s">
        <v>228</v>
      </c>
      <c r="BL77" t="s">
        <v>67</v>
      </c>
      <c r="BM77" t="s">
        <v>228</v>
      </c>
      <c r="BN77" t="s">
        <v>228</v>
      </c>
      <c r="BO77" t="s">
        <v>228</v>
      </c>
      <c r="BP77" t="s">
        <v>228</v>
      </c>
      <c r="BQ77" t="s">
        <v>228</v>
      </c>
      <c r="BR77" t="s">
        <v>228</v>
      </c>
      <c r="BS77" t="s">
        <v>465</v>
      </c>
      <c r="BT77">
        <v>0</v>
      </c>
    </row>
    <row r="78" spans="1:72" x14ac:dyDescent="0.15">
      <c r="A78" s="43">
        <v>2023</v>
      </c>
      <c r="B78" s="8">
        <v>1</v>
      </c>
      <c r="C78" s="8">
        <v>1</v>
      </c>
      <c r="D78" s="8" t="s">
        <v>391</v>
      </c>
      <c r="E78" s="8" t="s">
        <v>228</v>
      </c>
      <c r="F78" s="8" t="s">
        <v>57</v>
      </c>
      <c r="G78" s="8">
        <v>2016</v>
      </c>
      <c r="H78" s="8">
        <v>12</v>
      </c>
      <c r="I78" s="8" t="s">
        <v>521</v>
      </c>
      <c r="J78" s="8" t="s">
        <v>228</v>
      </c>
      <c r="K78" s="8">
        <v>1983</v>
      </c>
      <c r="L78" s="17">
        <v>1</v>
      </c>
      <c r="M78" s="8">
        <v>1</v>
      </c>
      <c r="N78" s="8" t="s">
        <v>48</v>
      </c>
      <c r="O78" s="8" t="s">
        <v>283</v>
      </c>
      <c r="P78" s="8" t="s">
        <v>217</v>
      </c>
      <c r="Q78" s="8">
        <v>3000</v>
      </c>
      <c r="R78" s="8" t="s">
        <v>57</v>
      </c>
      <c r="S78" s="8" t="s">
        <v>52</v>
      </c>
      <c r="T78" s="8" t="s">
        <v>69</v>
      </c>
      <c r="U78" s="8" t="s">
        <v>228</v>
      </c>
      <c r="V78" s="8">
        <v>500</v>
      </c>
      <c r="W78" s="8" t="s">
        <v>328</v>
      </c>
      <c r="X78" s="8">
        <v>3000</v>
      </c>
      <c r="Y78" s="8" t="s">
        <v>268</v>
      </c>
      <c r="Z78" s="8">
        <v>85</v>
      </c>
      <c r="AA78" s="8" t="s">
        <v>278</v>
      </c>
      <c r="AB78" s="8" t="s">
        <v>228</v>
      </c>
      <c r="AC78" s="8" t="s">
        <v>228</v>
      </c>
      <c r="AD78" s="8" t="s">
        <v>228</v>
      </c>
      <c r="AE78" s="8" t="s">
        <v>228</v>
      </c>
      <c r="AF78" s="8" t="s">
        <v>228</v>
      </c>
      <c r="AG78" s="8" t="s">
        <v>228</v>
      </c>
      <c r="AH78" s="8" t="s">
        <v>228</v>
      </c>
      <c r="AI78" s="8" t="s">
        <v>228</v>
      </c>
      <c r="AJ78" t="s">
        <v>468</v>
      </c>
      <c r="AK78">
        <v>1</v>
      </c>
      <c r="AL78">
        <v>1</v>
      </c>
      <c r="AM78" t="s">
        <v>391</v>
      </c>
      <c r="AN78" t="s">
        <v>228</v>
      </c>
      <c r="AO78" t="s">
        <v>526</v>
      </c>
      <c r="AP78" t="s">
        <v>109</v>
      </c>
      <c r="AQ78">
        <v>12</v>
      </c>
      <c r="AR78" t="s">
        <v>521</v>
      </c>
      <c r="AS78" t="s">
        <v>228</v>
      </c>
      <c r="AT78" t="s">
        <v>140</v>
      </c>
      <c r="AU78">
        <v>1</v>
      </c>
      <c r="AV78">
        <v>1</v>
      </c>
      <c r="AW78" t="s">
        <v>406</v>
      </c>
      <c r="AX78" t="s">
        <v>283</v>
      </c>
      <c r="AY78" t="s">
        <v>217</v>
      </c>
      <c r="AZ78">
        <v>1</v>
      </c>
      <c r="BA78" t="s">
        <v>408</v>
      </c>
      <c r="BB78" t="s">
        <v>405</v>
      </c>
      <c r="BC78" t="s">
        <v>395</v>
      </c>
      <c r="BD78" t="s">
        <v>228</v>
      </c>
      <c r="BE78" t="s">
        <v>522</v>
      </c>
      <c r="BF78" t="s">
        <v>523</v>
      </c>
      <c r="BG78" t="s">
        <v>407</v>
      </c>
      <c r="BH78" t="s">
        <v>396</v>
      </c>
      <c r="BI78" t="s">
        <v>524</v>
      </c>
      <c r="BJ78" t="s">
        <v>228</v>
      </c>
      <c r="BK78" t="s">
        <v>228</v>
      </c>
      <c r="BL78" t="s">
        <v>228</v>
      </c>
      <c r="BM78" t="s">
        <v>228</v>
      </c>
      <c r="BN78" t="s">
        <v>228</v>
      </c>
      <c r="BO78" t="s">
        <v>228</v>
      </c>
      <c r="BP78" t="s">
        <v>228</v>
      </c>
      <c r="BQ78" t="s">
        <v>228</v>
      </c>
      <c r="BR78" t="s">
        <v>228</v>
      </c>
      <c r="BS78" t="s">
        <v>465</v>
      </c>
      <c r="BT78">
        <v>1</v>
      </c>
    </row>
    <row r="79" spans="1:72" x14ac:dyDescent="0.15">
      <c r="A79" s="43">
        <v>2023</v>
      </c>
      <c r="B79" s="8">
        <v>1</v>
      </c>
      <c r="C79" s="8">
        <v>1</v>
      </c>
      <c r="D79" s="8" t="s">
        <v>391</v>
      </c>
      <c r="E79" s="8" t="s">
        <v>228</v>
      </c>
      <c r="F79" s="8" t="s">
        <v>57</v>
      </c>
      <c r="G79" s="8">
        <v>2016</v>
      </c>
      <c r="H79" s="8">
        <v>12</v>
      </c>
      <c r="I79" s="8" t="s">
        <v>521</v>
      </c>
      <c r="J79" s="8" t="s">
        <v>228</v>
      </c>
      <c r="K79" s="8">
        <v>1983</v>
      </c>
      <c r="L79" s="17">
        <v>1</v>
      </c>
      <c r="M79" s="8">
        <v>1</v>
      </c>
      <c r="N79" s="8" t="s">
        <v>48</v>
      </c>
      <c r="O79" s="8" t="s">
        <v>283</v>
      </c>
      <c r="P79" s="8" t="s">
        <v>217</v>
      </c>
      <c r="Q79" s="8">
        <v>3000</v>
      </c>
      <c r="R79" s="8" t="s">
        <v>57</v>
      </c>
      <c r="S79" s="8" t="s">
        <v>52</v>
      </c>
      <c r="T79" s="8" t="s">
        <v>69</v>
      </c>
      <c r="U79" s="8" t="s">
        <v>228</v>
      </c>
      <c r="V79" s="8">
        <v>500</v>
      </c>
      <c r="W79" s="8" t="s">
        <v>233</v>
      </c>
      <c r="X79" s="8">
        <v>3000</v>
      </c>
      <c r="Y79" s="8" t="s">
        <v>268</v>
      </c>
      <c r="Z79" s="8">
        <v>85</v>
      </c>
      <c r="AA79" s="8" t="s">
        <v>278</v>
      </c>
      <c r="AB79" s="8" t="s">
        <v>228</v>
      </c>
      <c r="AC79" s="8" t="s">
        <v>228</v>
      </c>
      <c r="AD79" s="8" t="s">
        <v>228</v>
      </c>
      <c r="AE79" s="8" t="s">
        <v>228</v>
      </c>
      <c r="AF79" s="8" t="s">
        <v>228</v>
      </c>
      <c r="AG79" s="8" t="s">
        <v>228</v>
      </c>
      <c r="AH79" s="8" t="s">
        <v>228</v>
      </c>
      <c r="AI79" s="8" t="s">
        <v>228</v>
      </c>
      <c r="AJ79" t="s">
        <v>468</v>
      </c>
      <c r="AK79">
        <v>1</v>
      </c>
      <c r="AL79">
        <v>1</v>
      </c>
      <c r="AM79" t="s">
        <v>391</v>
      </c>
      <c r="AN79" t="s">
        <v>228</v>
      </c>
      <c r="AO79" t="s">
        <v>526</v>
      </c>
      <c r="AP79" t="s">
        <v>109</v>
      </c>
      <c r="AQ79">
        <v>12</v>
      </c>
      <c r="AR79" t="s">
        <v>521</v>
      </c>
      <c r="AS79" t="s">
        <v>228</v>
      </c>
      <c r="AT79" t="s">
        <v>140</v>
      </c>
      <c r="AU79">
        <v>1</v>
      </c>
      <c r="AV79">
        <v>1</v>
      </c>
      <c r="AW79" t="s">
        <v>406</v>
      </c>
      <c r="AX79" t="s">
        <v>283</v>
      </c>
      <c r="AY79" t="s">
        <v>217</v>
      </c>
      <c r="AZ79">
        <v>1</v>
      </c>
      <c r="BA79" t="s">
        <v>408</v>
      </c>
      <c r="BB79" t="s">
        <v>405</v>
      </c>
      <c r="BC79" t="s">
        <v>395</v>
      </c>
      <c r="BD79" t="s">
        <v>228</v>
      </c>
      <c r="BE79" t="s">
        <v>522</v>
      </c>
      <c r="BF79" t="s">
        <v>540</v>
      </c>
      <c r="BG79" t="s">
        <v>407</v>
      </c>
      <c r="BH79" t="s">
        <v>396</v>
      </c>
      <c r="BI79" t="s">
        <v>524</v>
      </c>
      <c r="BJ79" t="s">
        <v>228</v>
      </c>
      <c r="BK79" t="s">
        <v>228</v>
      </c>
      <c r="BL79" t="s">
        <v>228</v>
      </c>
      <c r="BM79" t="s">
        <v>228</v>
      </c>
      <c r="BN79" t="s">
        <v>228</v>
      </c>
      <c r="BO79" t="s">
        <v>228</v>
      </c>
      <c r="BP79" t="s">
        <v>228</v>
      </c>
      <c r="BQ79" t="s">
        <v>228</v>
      </c>
      <c r="BR79" t="s">
        <v>228</v>
      </c>
      <c r="BS79" t="s">
        <v>465</v>
      </c>
      <c r="BT79">
        <v>1</v>
      </c>
    </row>
    <row r="80" spans="1:72" x14ac:dyDescent="0.15">
      <c r="A80" s="43">
        <v>2023</v>
      </c>
      <c r="B80" s="8">
        <v>1</v>
      </c>
      <c r="C80" s="8">
        <v>1</v>
      </c>
      <c r="D80" s="8" t="s">
        <v>391</v>
      </c>
      <c r="E80" s="8" t="s">
        <v>228</v>
      </c>
      <c r="F80" s="8" t="s">
        <v>57</v>
      </c>
      <c r="G80" s="8">
        <v>2016</v>
      </c>
      <c r="H80" s="8">
        <v>12</v>
      </c>
      <c r="I80" s="8" t="s">
        <v>521</v>
      </c>
      <c r="J80" s="8" t="s">
        <v>228</v>
      </c>
      <c r="K80" s="8">
        <v>1983</v>
      </c>
      <c r="L80" s="17">
        <v>1</v>
      </c>
      <c r="M80" s="8">
        <v>1</v>
      </c>
      <c r="N80" s="8" t="s">
        <v>48</v>
      </c>
      <c r="O80" s="8" t="s">
        <v>283</v>
      </c>
      <c r="P80" s="8" t="s">
        <v>217</v>
      </c>
      <c r="Q80" s="8">
        <v>3000</v>
      </c>
      <c r="R80" s="8" t="s">
        <v>57</v>
      </c>
      <c r="S80" s="8" t="s">
        <v>52</v>
      </c>
      <c r="T80" s="8" t="s">
        <v>69</v>
      </c>
      <c r="U80" s="8" t="s">
        <v>228</v>
      </c>
      <c r="V80" s="8">
        <v>500</v>
      </c>
      <c r="W80" s="8" t="s">
        <v>328</v>
      </c>
      <c r="X80" s="8">
        <v>3000</v>
      </c>
      <c r="Y80" s="8" t="s">
        <v>268</v>
      </c>
      <c r="Z80" s="8">
        <v>85</v>
      </c>
      <c r="AA80" s="8" t="s">
        <v>278</v>
      </c>
      <c r="AB80" s="8" t="s">
        <v>228</v>
      </c>
      <c r="AC80" s="8" t="s">
        <v>67</v>
      </c>
      <c r="AD80" s="8" t="s">
        <v>228</v>
      </c>
      <c r="AE80" s="8" t="s">
        <v>228</v>
      </c>
      <c r="AF80" s="8" t="s">
        <v>228</v>
      </c>
      <c r="AG80" s="8" t="s">
        <v>228</v>
      </c>
      <c r="AH80" s="8" t="s">
        <v>228</v>
      </c>
      <c r="AI80" s="8" t="s">
        <v>228</v>
      </c>
      <c r="AJ80" t="s">
        <v>468</v>
      </c>
      <c r="AK80">
        <v>1</v>
      </c>
      <c r="AL80">
        <v>1</v>
      </c>
      <c r="AM80" t="s">
        <v>391</v>
      </c>
      <c r="AN80" t="s">
        <v>228</v>
      </c>
      <c r="AO80" t="s">
        <v>526</v>
      </c>
      <c r="AP80" t="s">
        <v>109</v>
      </c>
      <c r="AQ80">
        <v>12</v>
      </c>
      <c r="AR80" t="s">
        <v>521</v>
      </c>
      <c r="AS80" t="s">
        <v>228</v>
      </c>
      <c r="AT80" t="s">
        <v>140</v>
      </c>
      <c r="AU80">
        <v>1</v>
      </c>
      <c r="AV80">
        <v>1</v>
      </c>
      <c r="AW80" t="s">
        <v>406</v>
      </c>
      <c r="AX80" t="s">
        <v>283</v>
      </c>
      <c r="AY80" t="s">
        <v>217</v>
      </c>
      <c r="AZ80">
        <v>1</v>
      </c>
      <c r="BA80" t="s">
        <v>408</v>
      </c>
      <c r="BB80" t="s">
        <v>405</v>
      </c>
      <c r="BC80" t="s">
        <v>395</v>
      </c>
      <c r="BD80" t="s">
        <v>228</v>
      </c>
      <c r="BE80" t="s">
        <v>522</v>
      </c>
      <c r="BF80" t="s">
        <v>523</v>
      </c>
      <c r="BG80" t="s">
        <v>407</v>
      </c>
      <c r="BH80" t="s">
        <v>396</v>
      </c>
      <c r="BI80" t="s">
        <v>524</v>
      </c>
      <c r="BJ80" t="s">
        <v>228</v>
      </c>
      <c r="BK80" t="s">
        <v>228</v>
      </c>
      <c r="BL80" t="s">
        <v>67</v>
      </c>
      <c r="BM80" t="s">
        <v>228</v>
      </c>
      <c r="BN80" t="s">
        <v>228</v>
      </c>
      <c r="BO80" t="s">
        <v>228</v>
      </c>
      <c r="BP80" t="s">
        <v>228</v>
      </c>
      <c r="BQ80" t="s">
        <v>228</v>
      </c>
      <c r="BR80" t="s">
        <v>228</v>
      </c>
      <c r="BS80" t="s">
        <v>465</v>
      </c>
      <c r="BT80">
        <v>0</v>
      </c>
    </row>
    <row r="81" spans="1:72" x14ac:dyDescent="0.15">
      <c r="A81" s="43">
        <v>2023</v>
      </c>
      <c r="B81" s="8">
        <v>1</v>
      </c>
      <c r="C81" s="8">
        <v>1</v>
      </c>
      <c r="D81" s="8">
        <v>20</v>
      </c>
      <c r="E81" s="8" t="s">
        <v>228</v>
      </c>
      <c r="F81" s="8" t="s">
        <v>57</v>
      </c>
      <c r="G81" s="8">
        <v>2017</v>
      </c>
      <c r="H81" s="8">
        <v>12</v>
      </c>
      <c r="I81" s="8" t="s">
        <v>483</v>
      </c>
      <c r="J81" s="8" t="s">
        <v>228</v>
      </c>
      <c r="K81" s="8">
        <v>1983</v>
      </c>
      <c r="L81" s="17">
        <v>1</v>
      </c>
      <c r="M81" s="8">
        <v>1</v>
      </c>
      <c r="N81" s="8" t="s">
        <v>48</v>
      </c>
      <c r="O81" s="8" t="s">
        <v>283</v>
      </c>
      <c r="P81" s="8" t="s">
        <v>217</v>
      </c>
      <c r="Q81" s="8">
        <v>3000</v>
      </c>
      <c r="R81" s="8" t="s">
        <v>57</v>
      </c>
      <c r="S81" s="8" t="s">
        <v>52</v>
      </c>
      <c r="T81" s="8" t="s">
        <v>69</v>
      </c>
      <c r="U81" s="8" t="s">
        <v>228</v>
      </c>
      <c r="V81" s="8">
        <v>500</v>
      </c>
      <c r="W81" s="8" t="s">
        <v>328</v>
      </c>
      <c r="X81" s="8">
        <v>3000</v>
      </c>
      <c r="Y81" s="8" t="s">
        <v>268</v>
      </c>
      <c r="Z81" s="8">
        <v>100</v>
      </c>
      <c r="AA81" s="8" t="s">
        <v>278</v>
      </c>
      <c r="AB81" s="8" t="s">
        <v>228</v>
      </c>
      <c r="AC81" s="8" t="s">
        <v>228</v>
      </c>
      <c r="AD81" s="8" t="s">
        <v>228</v>
      </c>
      <c r="AE81" s="8" t="s">
        <v>228</v>
      </c>
      <c r="AF81" s="8" t="s">
        <v>228</v>
      </c>
      <c r="AG81" s="8" t="s">
        <v>228</v>
      </c>
      <c r="AH81" s="8" t="s">
        <v>228</v>
      </c>
      <c r="AI81" s="8" t="s">
        <v>228</v>
      </c>
      <c r="AJ81" t="s">
        <v>468</v>
      </c>
      <c r="AK81">
        <v>1</v>
      </c>
      <c r="AL81">
        <v>1</v>
      </c>
      <c r="AM81" t="s">
        <v>81</v>
      </c>
      <c r="AN81" t="s">
        <v>228</v>
      </c>
      <c r="AO81" t="s">
        <v>526</v>
      </c>
      <c r="AP81" t="s">
        <v>108</v>
      </c>
      <c r="AQ81">
        <v>12</v>
      </c>
      <c r="AR81" t="s">
        <v>483</v>
      </c>
      <c r="AS81" t="s">
        <v>228</v>
      </c>
      <c r="AT81" t="s">
        <v>140</v>
      </c>
      <c r="AU81">
        <v>1</v>
      </c>
      <c r="AV81">
        <v>1</v>
      </c>
      <c r="AW81" t="s">
        <v>406</v>
      </c>
      <c r="AX81" t="s">
        <v>283</v>
      </c>
      <c r="AY81" t="s">
        <v>217</v>
      </c>
      <c r="AZ81">
        <v>1</v>
      </c>
      <c r="BA81" t="s">
        <v>408</v>
      </c>
      <c r="BB81" t="s">
        <v>405</v>
      </c>
      <c r="BC81" t="s">
        <v>395</v>
      </c>
      <c r="BD81" t="s">
        <v>228</v>
      </c>
      <c r="BE81" t="s">
        <v>522</v>
      </c>
      <c r="BF81" t="s">
        <v>523</v>
      </c>
      <c r="BG81" t="s">
        <v>407</v>
      </c>
      <c r="BH81" t="s">
        <v>396</v>
      </c>
      <c r="BI81" t="s">
        <v>525</v>
      </c>
      <c r="BJ81" t="s">
        <v>228</v>
      </c>
      <c r="BK81" t="s">
        <v>228</v>
      </c>
      <c r="BL81" t="s">
        <v>228</v>
      </c>
      <c r="BM81" t="s">
        <v>228</v>
      </c>
      <c r="BN81" t="s">
        <v>228</v>
      </c>
      <c r="BO81" t="s">
        <v>228</v>
      </c>
      <c r="BP81" t="s">
        <v>228</v>
      </c>
      <c r="BQ81" t="s">
        <v>228</v>
      </c>
      <c r="BR81" t="s">
        <v>228</v>
      </c>
      <c r="BS81" t="s">
        <v>409</v>
      </c>
      <c r="BT81">
        <v>1</v>
      </c>
    </row>
    <row r="82" spans="1:72" x14ac:dyDescent="0.15">
      <c r="A82" s="43">
        <v>2023</v>
      </c>
      <c r="B82" s="8">
        <v>1</v>
      </c>
      <c r="C82" s="8">
        <v>1</v>
      </c>
      <c r="D82" s="8">
        <v>20</v>
      </c>
      <c r="E82" s="8" t="s">
        <v>228</v>
      </c>
      <c r="F82" s="8" t="s">
        <v>57</v>
      </c>
      <c r="G82" s="8">
        <v>2017</v>
      </c>
      <c r="H82" s="8">
        <v>12</v>
      </c>
      <c r="I82" s="8" t="s">
        <v>483</v>
      </c>
      <c r="J82" s="8" t="s">
        <v>228</v>
      </c>
      <c r="K82" s="8">
        <v>1983</v>
      </c>
      <c r="L82" s="17">
        <v>1</v>
      </c>
      <c r="M82" s="8">
        <v>1</v>
      </c>
      <c r="N82" s="8" t="s">
        <v>48</v>
      </c>
      <c r="O82" s="8" t="s">
        <v>283</v>
      </c>
      <c r="P82" s="8" t="s">
        <v>217</v>
      </c>
      <c r="Q82" s="8">
        <v>3000</v>
      </c>
      <c r="R82" s="8" t="s">
        <v>57</v>
      </c>
      <c r="S82" s="8" t="s">
        <v>52</v>
      </c>
      <c r="T82" s="8" t="s">
        <v>69</v>
      </c>
      <c r="U82" s="8" t="s">
        <v>228</v>
      </c>
      <c r="V82" s="8">
        <v>500</v>
      </c>
      <c r="W82" s="8" t="s">
        <v>233</v>
      </c>
      <c r="X82" s="8">
        <v>3000</v>
      </c>
      <c r="Y82" s="8" t="s">
        <v>268</v>
      </c>
      <c r="Z82" s="8">
        <v>100</v>
      </c>
      <c r="AA82" s="8" t="s">
        <v>278</v>
      </c>
      <c r="AB82" s="8" t="s">
        <v>228</v>
      </c>
      <c r="AC82" s="8" t="s">
        <v>228</v>
      </c>
      <c r="AD82" s="8" t="s">
        <v>228</v>
      </c>
      <c r="AE82" s="8" t="s">
        <v>228</v>
      </c>
      <c r="AF82" s="8" t="s">
        <v>228</v>
      </c>
      <c r="AG82" s="8" t="s">
        <v>228</v>
      </c>
      <c r="AH82" s="8" t="s">
        <v>228</v>
      </c>
      <c r="AI82" s="8" t="s">
        <v>228</v>
      </c>
      <c r="AJ82" t="s">
        <v>468</v>
      </c>
      <c r="AK82">
        <v>1</v>
      </c>
      <c r="AL82">
        <v>1</v>
      </c>
      <c r="AM82" t="s">
        <v>81</v>
      </c>
      <c r="AN82" t="s">
        <v>228</v>
      </c>
      <c r="AO82" t="s">
        <v>526</v>
      </c>
      <c r="AP82" t="s">
        <v>108</v>
      </c>
      <c r="AQ82">
        <v>12</v>
      </c>
      <c r="AR82" t="s">
        <v>483</v>
      </c>
      <c r="AS82" t="s">
        <v>228</v>
      </c>
      <c r="AT82" t="s">
        <v>140</v>
      </c>
      <c r="AU82">
        <v>1</v>
      </c>
      <c r="AV82">
        <v>1</v>
      </c>
      <c r="AW82" t="s">
        <v>406</v>
      </c>
      <c r="AX82" t="s">
        <v>283</v>
      </c>
      <c r="AY82" t="s">
        <v>217</v>
      </c>
      <c r="AZ82">
        <v>1</v>
      </c>
      <c r="BA82" t="s">
        <v>408</v>
      </c>
      <c r="BB82" t="s">
        <v>405</v>
      </c>
      <c r="BC82" t="s">
        <v>395</v>
      </c>
      <c r="BD82" t="s">
        <v>228</v>
      </c>
      <c r="BE82" t="s">
        <v>522</v>
      </c>
      <c r="BF82" t="s">
        <v>540</v>
      </c>
      <c r="BG82" t="s">
        <v>407</v>
      </c>
      <c r="BH82" t="s">
        <v>396</v>
      </c>
      <c r="BI82" t="s">
        <v>525</v>
      </c>
      <c r="BJ82" t="s">
        <v>228</v>
      </c>
      <c r="BK82" t="s">
        <v>228</v>
      </c>
      <c r="BL82" t="s">
        <v>228</v>
      </c>
      <c r="BM82" t="s">
        <v>228</v>
      </c>
      <c r="BN82" t="s">
        <v>228</v>
      </c>
      <c r="BO82" t="s">
        <v>228</v>
      </c>
      <c r="BP82" t="s">
        <v>228</v>
      </c>
      <c r="BQ82" t="s">
        <v>228</v>
      </c>
      <c r="BR82" t="s">
        <v>228</v>
      </c>
      <c r="BS82" t="s">
        <v>409</v>
      </c>
      <c r="BT82">
        <v>1</v>
      </c>
    </row>
    <row r="83" spans="1:72" x14ac:dyDescent="0.15">
      <c r="A83" s="43">
        <v>2023</v>
      </c>
      <c r="B83" s="8">
        <v>1</v>
      </c>
      <c r="C83" s="8">
        <v>1</v>
      </c>
      <c r="D83" s="8">
        <v>20</v>
      </c>
      <c r="E83" s="8" t="s">
        <v>228</v>
      </c>
      <c r="F83" s="8" t="s">
        <v>57</v>
      </c>
      <c r="G83" s="8">
        <v>2017</v>
      </c>
      <c r="H83" s="8">
        <v>12</v>
      </c>
      <c r="I83" s="8" t="s">
        <v>483</v>
      </c>
      <c r="J83" s="8" t="s">
        <v>228</v>
      </c>
      <c r="K83" s="8">
        <v>1983</v>
      </c>
      <c r="L83" s="17">
        <v>1</v>
      </c>
      <c r="M83" s="8">
        <v>1</v>
      </c>
      <c r="N83" s="8" t="s">
        <v>48</v>
      </c>
      <c r="O83" s="8" t="s">
        <v>283</v>
      </c>
      <c r="P83" s="8" t="s">
        <v>217</v>
      </c>
      <c r="Q83" s="8">
        <v>3000</v>
      </c>
      <c r="R83" s="8" t="s">
        <v>57</v>
      </c>
      <c r="S83" s="8" t="s">
        <v>52</v>
      </c>
      <c r="T83" s="8" t="s">
        <v>69</v>
      </c>
      <c r="U83" s="8" t="s">
        <v>228</v>
      </c>
      <c r="V83" s="8">
        <v>500</v>
      </c>
      <c r="W83" s="8" t="s">
        <v>328</v>
      </c>
      <c r="X83" s="8">
        <v>3000</v>
      </c>
      <c r="Y83" s="8" t="s">
        <v>268</v>
      </c>
      <c r="Z83" s="8">
        <v>100</v>
      </c>
      <c r="AA83" s="8" t="s">
        <v>278</v>
      </c>
      <c r="AB83" s="8" t="s">
        <v>228</v>
      </c>
      <c r="AC83" s="8" t="s">
        <v>67</v>
      </c>
      <c r="AD83" s="8" t="s">
        <v>228</v>
      </c>
      <c r="AE83" s="8" t="s">
        <v>228</v>
      </c>
      <c r="AF83" s="8" t="s">
        <v>228</v>
      </c>
      <c r="AG83" s="8" t="s">
        <v>228</v>
      </c>
      <c r="AH83" s="8" t="s">
        <v>228</v>
      </c>
      <c r="AI83" s="8" t="s">
        <v>228</v>
      </c>
      <c r="AJ83" t="s">
        <v>468</v>
      </c>
      <c r="AK83">
        <v>1</v>
      </c>
      <c r="AL83">
        <v>1</v>
      </c>
      <c r="AM83" t="s">
        <v>81</v>
      </c>
      <c r="AN83" t="s">
        <v>228</v>
      </c>
      <c r="AO83" t="s">
        <v>526</v>
      </c>
      <c r="AP83" t="s">
        <v>108</v>
      </c>
      <c r="AQ83">
        <v>12</v>
      </c>
      <c r="AR83" t="s">
        <v>483</v>
      </c>
      <c r="AS83" t="s">
        <v>228</v>
      </c>
      <c r="AT83" t="s">
        <v>140</v>
      </c>
      <c r="AU83">
        <v>1</v>
      </c>
      <c r="AV83">
        <v>1</v>
      </c>
      <c r="AW83" t="s">
        <v>406</v>
      </c>
      <c r="AX83" t="s">
        <v>283</v>
      </c>
      <c r="AY83" t="s">
        <v>217</v>
      </c>
      <c r="AZ83">
        <v>1</v>
      </c>
      <c r="BA83" t="s">
        <v>408</v>
      </c>
      <c r="BB83" t="s">
        <v>405</v>
      </c>
      <c r="BC83" t="s">
        <v>395</v>
      </c>
      <c r="BD83" t="s">
        <v>228</v>
      </c>
      <c r="BE83" t="s">
        <v>522</v>
      </c>
      <c r="BF83" t="s">
        <v>523</v>
      </c>
      <c r="BG83" t="s">
        <v>407</v>
      </c>
      <c r="BH83" t="s">
        <v>396</v>
      </c>
      <c r="BI83" t="s">
        <v>525</v>
      </c>
      <c r="BJ83" t="s">
        <v>228</v>
      </c>
      <c r="BK83" t="s">
        <v>228</v>
      </c>
      <c r="BL83" t="s">
        <v>67</v>
      </c>
      <c r="BM83" t="s">
        <v>228</v>
      </c>
      <c r="BN83" t="s">
        <v>228</v>
      </c>
      <c r="BO83" t="s">
        <v>228</v>
      </c>
      <c r="BP83" t="s">
        <v>228</v>
      </c>
      <c r="BQ83" t="s">
        <v>228</v>
      </c>
      <c r="BR83" t="s">
        <v>228</v>
      </c>
      <c r="BS83" t="s">
        <v>409</v>
      </c>
      <c r="BT83">
        <v>0</v>
      </c>
    </row>
    <row r="84" spans="1:72" x14ac:dyDescent="0.15">
      <c r="A84" s="43">
        <v>2023</v>
      </c>
      <c r="B84" s="8">
        <v>1</v>
      </c>
      <c r="C84" s="8">
        <v>1</v>
      </c>
      <c r="D84" s="8" t="s">
        <v>282</v>
      </c>
      <c r="E84" s="8" t="s">
        <v>228</v>
      </c>
      <c r="F84" s="8" t="s">
        <v>57</v>
      </c>
      <c r="G84" s="8">
        <v>2017</v>
      </c>
      <c r="H84" s="8">
        <v>12</v>
      </c>
      <c r="I84" s="8" t="s">
        <v>483</v>
      </c>
      <c r="J84" s="8" t="s">
        <v>228</v>
      </c>
      <c r="K84" s="8">
        <v>1983</v>
      </c>
      <c r="L84" s="17">
        <v>1</v>
      </c>
      <c r="M84" s="8">
        <v>1</v>
      </c>
      <c r="N84" s="8" t="s">
        <v>48</v>
      </c>
      <c r="O84" s="8" t="s">
        <v>283</v>
      </c>
      <c r="P84" s="8" t="s">
        <v>217</v>
      </c>
      <c r="Q84" s="8">
        <v>3000</v>
      </c>
      <c r="R84" s="8" t="s">
        <v>57</v>
      </c>
      <c r="S84" s="8" t="s">
        <v>52</v>
      </c>
      <c r="T84" s="8" t="s">
        <v>69</v>
      </c>
      <c r="U84" s="8" t="s">
        <v>228</v>
      </c>
      <c r="V84" s="8">
        <v>500</v>
      </c>
      <c r="W84" s="8" t="s">
        <v>328</v>
      </c>
      <c r="X84" s="8">
        <v>3000</v>
      </c>
      <c r="Y84" s="8" t="s">
        <v>268</v>
      </c>
      <c r="Z84" s="8">
        <v>100</v>
      </c>
      <c r="AA84" s="8" t="s">
        <v>278</v>
      </c>
      <c r="AB84" s="8" t="s">
        <v>228</v>
      </c>
      <c r="AC84" s="8" t="s">
        <v>228</v>
      </c>
      <c r="AD84" s="8" t="s">
        <v>228</v>
      </c>
      <c r="AE84" s="8" t="s">
        <v>228</v>
      </c>
      <c r="AF84" s="8" t="s">
        <v>228</v>
      </c>
      <c r="AG84" s="8" t="s">
        <v>228</v>
      </c>
      <c r="AH84" s="8" t="s">
        <v>228</v>
      </c>
      <c r="AI84" s="8" t="s">
        <v>228</v>
      </c>
      <c r="AJ84" t="s">
        <v>468</v>
      </c>
      <c r="AK84">
        <v>1</v>
      </c>
      <c r="AL84">
        <v>1</v>
      </c>
      <c r="AM84" t="s">
        <v>282</v>
      </c>
      <c r="AN84" t="s">
        <v>228</v>
      </c>
      <c r="AO84" t="s">
        <v>526</v>
      </c>
      <c r="AP84" t="s">
        <v>108</v>
      </c>
      <c r="AQ84">
        <v>12</v>
      </c>
      <c r="AR84" t="s">
        <v>483</v>
      </c>
      <c r="AS84" t="s">
        <v>228</v>
      </c>
      <c r="AT84" t="s">
        <v>140</v>
      </c>
      <c r="AU84">
        <v>1</v>
      </c>
      <c r="AV84">
        <v>1</v>
      </c>
      <c r="AW84" t="s">
        <v>406</v>
      </c>
      <c r="AX84" t="s">
        <v>283</v>
      </c>
      <c r="AY84" t="s">
        <v>217</v>
      </c>
      <c r="AZ84">
        <v>1</v>
      </c>
      <c r="BA84" t="s">
        <v>408</v>
      </c>
      <c r="BB84" t="s">
        <v>405</v>
      </c>
      <c r="BC84" t="s">
        <v>395</v>
      </c>
      <c r="BD84" t="s">
        <v>228</v>
      </c>
      <c r="BE84" t="s">
        <v>522</v>
      </c>
      <c r="BF84" t="s">
        <v>523</v>
      </c>
      <c r="BG84" t="s">
        <v>407</v>
      </c>
      <c r="BH84" t="s">
        <v>396</v>
      </c>
      <c r="BI84" t="s">
        <v>525</v>
      </c>
      <c r="BJ84" t="s">
        <v>228</v>
      </c>
      <c r="BK84" t="s">
        <v>228</v>
      </c>
      <c r="BL84" t="s">
        <v>228</v>
      </c>
      <c r="BM84" t="s">
        <v>228</v>
      </c>
      <c r="BN84" t="s">
        <v>228</v>
      </c>
      <c r="BO84" t="s">
        <v>228</v>
      </c>
      <c r="BP84" t="s">
        <v>228</v>
      </c>
      <c r="BQ84" t="s">
        <v>228</v>
      </c>
      <c r="BR84" t="s">
        <v>228</v>
      </c>
      <c r="BS84" t="s">
        <v>465</v>
      </c>
      <c r="BT84">
        <v>1</v>
      </c>
    </row>
    <row r="85" spans="1:72" x14ac:dyDescent="0.15">
      <c r="A85" s="43">
        <v>2023</v>
      </c>
      <c r="B85" s="8">
        <v>1</v>
      </c>
      <c r="C85" s="8">
        <v>1</v>
      </c>
      <c r="D85" s="8" t="s">
        <v>282</v>
      </c>
      <c r="E85" s="8" t="s">
        <v>228</v>
      </c>
      <c r="F85" s="8" t="s">
        <v>57</v>
      </c>
      <c r="G85" s="8">
        <v>2017</v>
      </c>
      <c r="H85" s="8">
        <v>12</v>
      </c>
      <c r="I85" s="8" t="s">
        <v>483</v>
      </c>
      <c r="J85" s="8" t="s">
        <v>228</v>
      </c>
      <c r="K85" s="8">
        <v>1983</v>
      </c>
      <c r="L85" s="17">
        <v>1</v>
      </c>
      <c r="M85" s="8">
        <v>1</v>
      </c>
      <c r="N85" s="8" t="s">
        <v>48</v>
      </c>
      <c r="O85" s="8" t="s">
        <v>283</v>
      </c>
      <c r="P85" s="8" t="s">
        <v>217</v>
      </c>
      <c r="Q85" s="8">
        <v>3000</v>
      </c>
      <c r="R85" s="8" t="s">
        <v>57</v>
      </c>
      <c r="S85" s="8" t="s">
        <v>52</v>
      </c>
      <c r="T85" s="8" t="s">
        <v>69</v>
      </c>
      <c r="U85" s="8" t="s">
        <v>228</v>
      </c>
      <c r="V85" s="8">
        <v>500</v>
      </c>
      <c r="W85" s="8" t="s">
        <v>233</v>
      </c>
      <c r="X85" s="8">
        <v>3000</v>
      </c>
      <c r="Y85" s="8" t="s">
        <v>268</v>
      </c>
      <c r="Z85" s="8">
        <v>100</v>
      </c>
      <c r="AA85" s="8" t="s">
        <v>278</v>
      </c>
      <c r="AB85" s="8" t="s">
        <v>228</v>
      </c>
      <c r="AC85" s="8" t="s">
        <v>228</v>
      </c>
      <c r="AD85" s="8" t="s">
        <v>228</v>
      </c>
      <c r="AE85" s="8" t="s">
        <v>228</v>
      </c>
      <c r="AF85" s="8" t="s">
        <v>228</v>
      </c>
      <c r="AG85" s="8" t="s">
        <v>228</v>
      </c>
      <c r="AH85" s="8" t="s">
        <v>228</v>
      </c>
      <c r="AI85" s="8" t="s">
        <v>228</v>
      </c>
      <c r="AJ85" t="s">
        <v>468</v>
      </c>
      <c r="AK85">
        <v>1</v>
      </c>
      <c r="AL85">
        <v>1</v>
      </c>
      <c r="AM85" t="s">
        <v>282</v>
      </c>
      <c r="AN85" t="s">
        <v>228</v>
      </c>
      <c r="AO85" t="s">
        <v>526</v>
      </c>
      <c r="AP85" t="s">
        <v>108</v>
      </c>
      <c r="AQ85">
        <v>12</v>
      </c>
      <c r="AR85" t="s">
        <v>483</v>
      </c>
      <c r="AS85" t="s">
        <v>228</v>
      </c>
      <c r="AT85" t="s">
        <v>140</v>
      </c>
      <c r="AU85">
        <v>1</v>
      </c>
      <c r="AV85">
        <v>1</v>
      </c>
      <c r="AW85" t="s">
        <v>406</v>
      </c>
      <c r="AX85" t="s">
        <v>283</v>
      </c>
      <c r="AY85" t="s">
        <v>217</v>
      </c>
      <c r="AZ85">
        <v>1</v>
      </c>
      <c r="BA85" t="s">
        <v>408</v>
      </c>
      <c r="BB85" t="s">
        <v>405</v>
      </c>
      <c r="BC85" t="s">
        <v>395</v>
      </c>
      <c r="BD85" t="s">
        <v>228</v>
      </c>
      <c r="BE85" t="s">
        <v>522</v>
      </c>
      <c r="BF85" t="s">
        <v>540</v>
      </c>
      <c r="BG85" t="s">
        <v>407</v>
      </c>
      <c r="BH85" t="s">
        <v>396</v>
      </c>
      <c r="BI85" t="s">
        <v>525</v>
      </c>
      <c r="BJ85" t="s">
        <v>228</v>
      </c>
      <c r="BK85" t="s">
        <v>228</v>
      </c>
      <c r="BL85" t="s">
        <v>228</v>
      </c>
      <c r="BM85" t="s">
        <v>228</v>
      </c>
      <c r="BN85" t="s">
        <v>228</v>
      </c>
      <c r="BO85" t="s">
        <v>228</v>
      </c>
      <c r="BP85" t="s">
        <v>228</v>
      </c>
      <c r="BQ85" t="s">
        <v>228</v>
      </c>
      <c r="BR85" t="s">
        <v>228</v>
      </c>
      <c r="BS85" t="s">
        <v>465</v>
      </c>
      <c r="BT85">
        <v>1</v>
      </c>
    </row>
    <row r="86" spans="1:72" x14ac:dyDescent="0.15">
      <c r="A86" s="43">
        <v>2023</v>
      </c>
      <c r="B86" s="8">
        <v>1</v>
      </c>
      <c r="C86" s="8">
        <v>1</v>
      </c>
      <c r="D86" s="8" t="s">
        <v>282</v>
      </c>
      <c r="E86" s="8" t="s">
        <v>228</v>
      </c>
      <c r="F86" s="8" t="s">
        <v>57</v>
      </c>
      <c r="G86" s="8">
        <v>2017</v>
      </c>
      <c r="H86" s="8">
        <v>12</v>
      </c>
      <c r="I86" s="8" t="s">
        <v>483</v>
      </c>
      <c r="J86" s="8" t="s">
        <v>228</v>
      </c>
      <c r="K86" s="8">
        <v>1983</v>
      </c>
      <c r="L86" s="17">
        <v>1</v>
      </c>
      <c r="M86" s="8">
        <v>1</v>
      </c>
      <c r="N86" s="8" t="s">
        <v>48</v>
      </c>
      <c r="O86" s="8" t="s">
        <v>283</v>
      </c>
      <c r="P86" s="8" t="s">
        <v>217</v>
      </c>
      <c r="Q86" s="8">
        <v>3000</v>
      </c>
      <c r="R86" s="8" t="s">
        <v>57</v>
      </c>
      <c r="S86" s="8" t="s">
        <v>52</v>
      </c>
      <c r="T86" s="8" t="s">
        <v>69</v>
      </c>
      <c r="U86" s="8" t="s">
        <v>228</v>
      </c>
      <c r="V86" s="8">
        <v>500</v>
      </c>
      <c r="W86" s="8" t="s">
        <v>328</v>
      </c>
      <c r="X86" s="8">
        <v>3000</v>
      </c>
      <c r="Y86" s="8" t="s">
        <v>268</v>
      </c>
      <c r="Z86" s="8">
        <v>100</v>
      </c>
      <c r="AA86" s="8" t="s">
        <v>278</v>
      </c>
      <c r="AB86" s="8" t="s">
        <v>228</v>
      </c>
      <c r="AC86" s="8" t="s">
        <v>67</v>
      </c>
      <c r="AD86" s="8" t="s">
        <v>228</v>
      </c>
      <c r="AE86" s="8" t="s">
        <v>228</v>
      </c>
      <c r="AF86" s="8" t="s">
        <v>228</v>
      </c>
      <c r="AG86" s="8" t="s">
        <v>228</v>
      </c>
      <c r="AH86" s="8" t="s">
        <v>228</v>
      </c>
      <c r="AI86" s="8" t="s">
        <v>228</v>
      </c>
      <c r="AJ86" t="s">
        <v>468</v>
      </c>
      <c r="AK86">
        <v>1</v>
      </c>
      <c r="AL86">
        <v>1</v>
      </c>
      <c r="AM86" t="s">
        <v>282</v>
      </c>
      <c r="AN86" t="s">
        <v>228</v>
      </c>
      <c r="AO86" t="s">
        <v>526</v>
      </c>
      <c r="AP86" t="s">
        <v>108</v>
      </c>
      <c r="AQ86">
        <v>12</v>
      </c>
      <c r="AR86" t="s">
        <v>483</v>
      </c>
      <c r="AS86" t="s">
        <v>228</v>
      </c>
      <c r="AT86" t="s">
        <v>140</v>
      </c>
      <c r="AU86">
        <v>1</v>
      </c>
      <c r="AV86">
        <v>1</v>
      </c>
      <c r="AW86" t="s">
        <v>406</v>
      </c>
      <c r="AX86" t="s">
        <v>283</v>
      </c>
      <c r="AY86" t="s">
        <v>217</v>
      </c>
      <c r="AZ86">
        <v>1</v>
      </c>
      <c r="BA86" t="s">
        <v>408</v>
      </c>
      <c r="BB86" t="s">
        <v>405</v>
      </c>
      <c r="BC86" t="s">
        <v>395</v>
      </c>
      <c r="BD86" t="s">
        <v>228</v>
      </c>
      <c r="BE86" t="s">
        <v>522</v>
      </c>
      <c r="BF86" t="s">
        <v>523</v>
      </c>
      <c r="BG86" t="s">
        <v>407</v>
      </c>
      <c r="BH86" t="s">
        <v>396</v>
      </c>
      <c r="BI86" t="s">
        <v>525</v>
      </c>
      <c r="BJ86" t="s">
        <v>228</v>
      </c>
      <c r="BK86" t="s">
        <v>228</v>
      </c>
      <c r="BL86" t="s">
        <v>67</v>
      </c>
      <c r="BM86" t="s">
        <v>228</v>
      </c>
      <c r="BN86" t="s">
        <v>228</v>
      </c>
      <c r="BO86" t="s">
        <v>228</v>
      </c>
      <c r="BP86" t="s">
        <v>228</v>
      </c>
      <c r="BQ86" t="s">
        <v>228</v>
      </c>
      <c r="BR86" t="s">
        <v>228</v>
      </c>
      <c r="BS86" t="s">
        <v>465</v>
      </c>
      <c r="BT86">
        <v>0</v>
      </c>
    </row>
    <row r="87" spans="1:72" x14ac:dyDescent="0.15">
      <c r="A87" s="43">
        <v>2023</v>
      </c>
      <c r="B87" s="8">
        <v>1</v>
      </c>
      <c r="C87" s="8">
        <v>1</v>
      </c>
      <c r="D87" s="8" t="s">
        <v>391</v>
      </c>
      <c r="E87" s="8" t="s">
        <v>228</v>
      </c>
      <c r="F87" s="8" t="s">
        <v>57</v>
      </c>
      <c r="G87" s="8">
        <v>2017</v>
      </c>
      <c r="H87" s="8">
        <v>12</v>
      </c>
      <c r="I87" s="8" t="s">
        <v>483</v>
      </c>
      <c r="J87" s="8" t="s">
        <v>228</v>
      </c>
      <c r="K87" s="8">
        <v>1983</v>
      </c>
      <c r="L87" s="17">
        <v>1</v>
      </c>
      <c r="M87" s="8">
        <v>1</v>
      </c>
      <c r="N87" s="8" t="s">
        <v>48</v>
      </c>
      <c r="O87" s="8" t="s">
        <v>283</v>
      </c>
      <c r="P87" s="8" t="s">
        <v>217</v>
      </c>
      <c r="Q87" s="8">
        <v>3000</v>
      </c>
      <c r="R87" s="8" t="s">
        <v>57</v>
      </c>
      <c r="S87" s="8" t="s">
        <v>52</v>
      </c>
      <c r="T87" s="8" t="s">
        <v>69</v>
      </c>
      <c r="U87" s="8" t="s">
        <v>228</v>
      </c>
      <c r="V87" s="8">
        <v>500</v>
      </c>
      <c r="W87" s="8" t="s">
        <v>328</v>
      </c>
      <c r="X87" s="8">
        <v>3000</v>
      </c>
      <c r="Y87" s="8" t="s">
        <v>268</v>
      </c>
      <c r="Z87" s="8">
        <v>100</v>
      </c>
      <c r="AA87" s="8" t="s">
        <v>278</v>
      </c>
      <c r="AB87" s="8" t="s">
        <v>228</v>
      </c>
      <c r="AC87" s="8" t="s">
        <v>228</v>
      </c>
      <c r="AD87" s="8" t="s">
        <v>228</v>
      </c>
      <c r="AE87" s="8" t="s">
        <v>228</v>
      </c>
      <c r="AF87" s="8" t="s">
        <v>228</v>
      </c>
      <c r="AG87" s="8" t="s">
        <v>228</v>
      </c>
      <c r="AH87" s="8" t="s">
        <v>228</v>
      </c>
      <c r="AI87" s="8" t="s">
        <v>228</v>
      </c>
      <c r="AJ87" t="s">
        <v>468</v>
      </c>
      <c r="AK87">
        <v>1</v>
      </c>
      <c r="AL87">
        <v>1</v>
      </c>
      <c r="AM87" t="s">
        <v>391</v>
      </c>
      <c r="AN87" t="s">
        <v>228</v>
      </c>
      <c r="AO87" t="s">
        <v>526</v>
      </c>
      <c r="AP87" t="s">
        <v>108</v>
      </c>
      <c r="AQ87">
        <v>12</v>
      </c>
      <c r="AR87" t="s">
        <v>483</v>
      </c>
      <c r="AS87" t="s">
        <v>228</v>
      </c>
      <c r="AT87" t="s">
        <v>140</v>
      </c>
      <c r="AU87">
        <v>1</v>
      </c>
      <c r="AV87">
        <v>1</v>
      </c>
      <c r="AW87" t="s">
        <v>406</v>
      </c>
      <c r="AX87" t="s">
        <v>283</v>
      </c>
      <c r="AY87" t="s">
        <v>217</v>
      </c>
      <c r="AZ87">
        <v>1</v>
      </c>
      <c r="BA87" t="s">
        <v>408</v>
      </c>
      <c r="BB87" t="s">
        <v>405</v>
      </c>
      <c r="BC87" t="s">
        <v>395</v>
      </c>
      <c r="BD87" t="s">
        <v>228</v>
      </c>
      <c r="BE87" t="s">
        <v>522</v>
      </c>
      <c r="BF87" t="s">
        <v>523</v>
      </c>
      <c r="BG87" t="s">
        <v>407</v>
      </c>
      <c r="BH87" t="s">
        <v>396</v>
      </c>
      <c r="BI87" t="s">
        <v>525</v>
      </c>
      <c r="BJ87" t="s">
        <v>228</v>
      </c>
      <c r="BK87" t="s">
        <v>228</v>
      </c>
      <c r="BL87" t="s">
        <v>228</v>
      </c>
      <c r="BM87" t="s">
        <v>228</v>
      </c>
      <c r="BN87" t="s">
        <v>228</v>
      </c>
      <c r="BO87" t="s">
        <v>228</v>
      </c>
      <c r="BP87" t="s">
        <v>228</v>
      </c>
      <c r="BQ87" t="s">
        <v>228</v>
      </c>
      <c r="BR87" t="s">
        <v>228</v>
      </c>
      <c r="BS87" t="s">
        <v>465</v>
      </c>
      <c r="BT87">
        <v>1</v>
      </c>
    </row>
    <row r="88" spans="1:72" x14ac:dyDescent="0.15">
      <c r="A88" s="43">
        <v>2023</v>
      </c>
      <c r="B88" s="8">
        <v>1</v>
      </c>
      <c r="C88" s="8">
        <v>1</v>
      </c>
      <c r="D88" s="8" t="s">
        <v>391</v>
      </c>
      <c r="E88" s="8" t="s">
        <v>228</v>
      </c>
      <c r="F88" s="8" t="s">
        <v>57</v>
      </c>
      <c r="G88" s="8">
        <v>2017</v>
      </c>
      <c r="H88" s="8">
        <v>12</v>
      </c>
      <c r="I88" s="8" t="s">
        <v>483</v>
      </c>
      <c r="J88" s="8" t="s">
        <v>228</v>
      </c>
      <c r="K88" s="8">
        <v>1983</v>
      </c>
      <c r="L88" s="17">
        <v>1</v>
      </c>
      <c r="M88" s="8">
        <v>1</v>
      </c>
      <c r="N88" s="8" t="s">
        <v>48</v>
      </c>
      <c r="O88" s="8" t="s">
        <v>283</v>
      </c>
      <c r="P88" s="8" t="s">
        <v>217</v>
      </c>
      <c r="Q88" s="8">
        <v>3000</v>
      </c>
      <c r="R88" s="8" t="s">
        <v>57</v>
      </c>
      <c r="S88" s="8" t="s">
        <v>52</v>
      </c>
      <c r="T88" s="8" t="s">
        <v>69</v>
      </c>
      <c r="U88" s="8" t="s">
        <v>228</v>
      </c>
      <c r="V88" s="8">
        <v>500</v>
      </c>
      <c r="W88" s="8" t="s">
        <v>233</v>
      </c>
      <c r="X88" s="8">
        <v>3000</v>
      </c>
      <c r="Y88" s="8" t="s">
        <v>268</v>
      </c>
      <c r="Z88" s="8">
        <v>100</v>
      </c>
      <c r="AA88" s="8" t="s">
        <v>278</v>
      </c>
      <c r="AB88" s="8" t="s">
        <v>228</v>
      </c>
      <c r="AC88" s="8" t="s">
        <v>228</v>
      </c>
      <c r="AD88" s="8" t="s">
        <v>228</v>
      </c>
      <c r="AE88" s="8" t="s">
        <v>228</v>
      </c>
      <c r="AF88" s="8" t="s">
        <v>228</v>
      </c>
      <c r="AG88" s="8" t="s">
        <v>228</v>
      </c>
      <c r="AH88" s="8" t="s">
        <v>228</v>
      </c>
      <c r="AI88" s="8" t="s">
        <v>228</v>
      </c>
      <c r="AJ88" t="s">
        <v>468</v>
      </c>
      <c r="AK88">
        <v>1</v>
      </c>
      <c r="AL88">
        <v>1</v>
      </c>
      <c r="AM88" t="s">
        <v>391</v>
      </c>
      <c r="AN88" t="s">
        <v>228</v>
      </c>
      <c r="AO88" t="s">
        <v>526</v>
      </c>
      <c r="AP88" t="s">
        <v>108</v>
      </c>
      <c r="AQ88">
        <v>12</v>
      </c>
      <c r="AR88" t="s">
        <v>483</v>
      </c>
      <c r="AS88" t="s">
        <v>228</v>
      </c>
      <c r="AT88" t="s">
        <v>140</v>
      </c>
      <c r="AU88">
        <v>1</v>
      </c>
      <c r="AV88">
        <v>1</v>
      </c>
      <c r="AW88" t="s">
        <v>406</v>
      </c>
      <c r="AX88" t="s">
        <v>283</v>
      </c>
      <c r="AY88" t="s">
        <v>217</v>
      </c>
      <c r="AZ88">
        <v>1</v>
      </c>
      <c r="BA88" t="s">
        <v>408</v>
      </c>
      <c r="BB88" t="s">
        <v>405</v>
      </c>
      <c r="BC88" t="s">
        <v>395</v>
      </c>
      <c r="BD88" t="s">
        <v>228</v>
      </c>
      <c r="BE88" t="s">
        <v>522</v>
      </c>
      <c r="BF88" t="s">
        <v>540</v>
      </c>
      <c r="BG88" t="s">
        <v>407</v>
      </c>
      <c r="BH88" t="s">
        <v>396</v>
      </c>
      <c r="BI88" t="s">
        <v>525</v>
      </c>
      <c r="BJ88" t="s">
        <v>228</v>
      </c>
      <c r="BK88" t="s">
        <v>228</v>
      </c>
      <c r="BL88" t="s">
        <v>228</v>
      </c>
      <c r="BM88" t="s">
        <v>228</v>
      </c>
      <c r="BN88" t="s">
        <v>228</v>
      </c>
      <c r="BO88" t="s">
        <v>228</v>
      </c>
      <c r="BP88" t="s">
        <v>228</v>
      </c>
      <c r="BQ88" t="s">
        <v>228</v>
      </c>
      <c r="BR88" t="s">
        <v>228</v>
      </c>
      <c r="BS88" t="s">
        <v>465</v>
      </c>
      <c r="BT88">
        <v>1</v>
      </c>
    </row>
    <row r="89" spans="1:72" x14ac:dyDescent="0.15">
      <c r="A89" s="43">
        <v>2023</v>
      </c>
      <c r="B89" s="8">
        <v>1</v>
      </c>
      <c r="C89" s="8">
        <v>1</v>
      </c>
      <c r="D89" s="8" t="s">
        <v>391</v>
      </c>
      <c r="E89" s="8" t="s">
        <v>228</v>
      </c>
      <c r="F89" s="8" t="s">
        <v>57</v>
      </c>
      <c r="G89" s="8">
        <v>2017</v>
      </c>
      <c r="H89" s="8">
        <v>12</v>
      </c>
      <c r="I89" s="8" t="s">
        <v>483</v>
      </c>
      <c r="J89" s="8" t="s">
        <v>228</v>
      </c>
      <c r="K89" s="8">
        <v>1983</v>
      </c>
      <c r="L89" s="17">
        <v>1</v>
      </c>
      <c r="M89" s="8">
        <v>1</v>
      </c>
      <c r="N89" s="8" t="s">
        <v>48</v>
      </c>
      <c r="O89" s="8" t="s">
        <v>283</v>
      </c>
      <c r="P89" s="8" t="s">
        <v>217</v>
      </c>
      <c r="Q89" s="8">
        <v>3000</v>
      </c>
      <c r="R89" s="8" t="s">
        <v>57</v>
      </c>
      <c r="S89" s="8" t="s">
        <v>52</v>
      </c>
      <c r="T89" s="8" t="s">
        <v>69</v>
      </c>
      <c r="U89" s="8" t="s">
        <v>228</v>
      </c>
      <c r="V89" s="8">
        <v>500</v>
      </c>
      <c r="W89" s="8" t="s">
        <v>328</v>
      </c>
      <c r="X89" s="8">
        <v>3000</v>
      </c>
      <c r="Y89" s="8" t="s">
        <v>268</v>
      </c>
      <c r="Z89" s="8">
        <v>100</v>
      </c>
      <c r="AA89" s="8" t="s">
        <v>278</v>
      </c>
      <c r="AB89" s="8" t="s">
        <v>228</v>
      </c>
      <c r="AC89" s="8" t="s">
        <v>67</v>
      </c>
      <c r="AD89" s="8" t="s">
        <v>228</v>
      </c>
      <c r="AE89" s="8" t="s">
        <v>228</v>
      </c>
      <c r="AF89" s="8" t="s">
        <v>228</v>
      </c>
      <c r="AG89" s="8" t="s">
        <v>228</v>
      </c>
      <c r="AH89" s="8" t="s">
        <v>228</v>
      </c>
      <c r="AI89" s="8" t="s">
        <v>228</v>
      </c>
      <c r="AJ89" t="s">
        <v>468</v>
      </c>
      <c r="AK89">
        <v>1</v>
      </c>
      <c r="AL89">
        <v>1</v>
      </c>
      <c r="AM89" t="s">
        <v>391</v>
      </c>
      <c r="AN89" t="s">
        <v>228</v>
      </c>
      <c r="AO89" t="s">
        <v>526</v>
      </c>
      <c r="AP89" t="s">
        <v>108</v>
      </c>
      <c r="AQ89">
        <v>12</v>
      </c>
      <c r="AR89" t="s">
        <v>483</v>
      </c>
      <c r="AS89" t="s">
        <v>228</v>
      </c>
      <c r="AT89" t="s">
        <v>140</v>
      </c>
      <c r="AU89">
        <v>1</v>
      </c>
      <c r="AV89">
        <v>1</v>
      </c>
      <c r="AW89" t="s">
        <v>406</v>
      </c>
      <c r="AX89" t="s">
        <v>283</v>
      </c>
      <c r="AY89" t="s">
        <v>217</v>
      </c>
      <c r="AZ89">
        <v>1</v>
      </c>
      <c r="BA89" t="s">
        <v>408</v>
      </c>
      <c r="BB89" t="s">
        <v>405</v>
      </c>
      <c r="BC89" t="s">
        <v>395</v>
      </c>
      <c r="BD89" t="s">
        <v>228</v>
      </c>
      <c r="BE89" t="s">
        <v>522</v>
      </c>
      <c r="BF89" t="s">
        <v>523</v>
      </c>
      <c r="BG89" t="s">
        <v>407</v>
      </c>
      <c r="BH89" t="s">
        <v>396</v>
      </c>
      <c r="BI89" t="s">
        <v>525</v>
      </c>
      <c r="BJ89" t="s">
        <v>228</v>
      </c>
      <c r="BK89" t="s">
        <v>228</v>
      </c>
      <c r="BL89" t="s">
        <v>67</v>
      </c>
      <c r="BM89" t="s">
        <v>228</v>
      </c>
      <c r="BN89" t="s">
        <v>228</v>
      </c>
      <c r="BO89" t="s">
        <v>228</v>
      </c>
      <c r="BP89" t="s">
        <v>228</v>
      </c>
      <c r="BQ89" t="s">
        <v>228</v>
      </c>
      <c r="BR89" t="s">
        <v>228</v>
      </c>
      <c r="BS89" t="s">
        <v>465</v>
      </c>
      <c r="BT89">
        <v>0</v>
      </c>
    </row>
    <row r="90" spans="1:72" x14ac:dyDescent="0.15">
      <c r="A90" s="43">
        <v>2023</v>
      </c>
      <c r="B90" s="8">
        <v>1</v>
      </c>
      <c r="C90" s="8">
        <v>1</v>
      </c>
      <c r="D90" s="8">
        <v>20</v>
      </c>
      <c r="E90" s="8" t="s">
        <v>228</v>
      </c>
      <c r="F90" s="8" t="s">
        <v>57</v>
      </c>
      <c r="G90" s="8">
        <v>2016</v>
      </c>
      <c r="H90" s="8">
        <v>12</v>
      </c>
      <c r="I90" s="8" t="s">
        <v>521</v>
      </c>
      <c r="J90" s="8" t="s">
        <v>228</v>
      </c>
      <c r="K90" s="8">
        <v>1983</v>
      </c>
      <c r="L90" s="17">
        <v>1</v>
      </c>
      <c r="M90" s="8">
        <v>1</v>
      </c>
      <c r="N90" s="8" t="s">
        <v>48</v>
      </c>
      <c r="O90" s="8" t="s">
        <v>283</v>
      </c>
      <c r="P90" s="8" t="s">
        <v>217</v>
      </c>
      <c r="Q90" s="8">
        <v>3000</v>
      </c>
      <c r="R90" s="8" t="s">
        <v>57</v>
      </c>
      <c r="S90" s="8" t="s">
        <v>54</v>
      </c>
      <c r="T90" s="8" t="s">
        <v>69</v>
      </c>
      <c r="U90" s="8" t="s">
        <v>228</v>
      </c>
      <c r="V90" s="8">
        <v>500</v>
      </c>
      <c r="W90" s="8" t="s">
        <v>328</v>
      </c>
      <c r="X90" s="8">
        <v>3000</v>
      </c>
      <c r="Y90" s="8" t="s">
        <v>268</v>
      </c>
      <c r="Z90" s="8">
        <v>85</v>
      </c>
      <c r="AA90" s="8" t="s">
        <v>278</v>
      </c>
      <c r="AB90" s="8" t="s">
        <v>228</v>
      </c>
      <c r="AC90" s="8" t="s">
        <v>228</v>
      </c>
      <c r="AD90" s="8" t="s">
        <v>228</v>
      </c>
      <c r="AE90" s="8" t="s">
        <v>228</v>
      </c>
      <c r="AF90" s="8" t="s">
        <v>228</v>
      </c>
      <c r="AG90" s="8" t="s">
        <v>228</v>
      </c>
      <c r="AH90" s="8" t="s">
        <v>228</v>
      </c>
      <c r="AI90" s="8" t="s">
        <v>228</v>
      </c>
      <c r="AJ90" t="s">
        <v>468</v>
      </c>
      <c r="AK90">
        <v>1</v>
      </c>
      <c r="AL90">
        <v>1</v>
      </c>
      <c r="AM90" t="s">
        <v>81</v>
      </c>
      <c r="AN90" t="s">
        <v>228</v>
      </c>
      <c r="AO90" t="s">
        <v>526</v>
      </c>
      <c r="AP90" t="s">
        <v>109</v>
      </c>
      <c r="AQ90">
        <v>12</v>
      </c>
      <c r="AR90" t="s">
        <v>521</v>
      </c>
      <c r="AS90" t="s">
        <v>228</v>
      </c>
      <c r="AT90" t="s">
        <v>140</v>
      </c>
      <c r="AU90">
        <v>1</v>
      </c>
      <c r="AV90">
        <v>1</v>
      </c>
      <c r="AW90" t="s">
        <v>406</v>
      </c>
      <c r="AX90" t="s">
        <v>283</v>
      </c>
      <c r="AY90" t="s">
        <v>217</v>
      </c>
      <c r="AZ90">
        <v>1</v>
      </c>
      <c r="BA90" t="s">
        <v>408</v>
      </c>
      <c r="BB90" t="s">
        <v>541</v>
      </c>
      <c r="BC90" t="s">
        <v>395</v>
      </c>
      <c r="BD90" t="s">
        <v>228</v>
      </c>
      <c r="BE90" t="s">
        <v>522</v>
      </c>
      <c r="BF90" t="s">
        <v>523</v>
      </c>
      <c r="BG90" t="s">
        <v>407</v>
      </c>
      <c r="BH90" t="s">
        <v>396</v>
      </c>
      <c r="BI90" t="s">
        <v>524</v>
      </c>
      <c r="BJ90" t="s">
        <v>228</v>
      </c>
      <c r="BK90" t="s">
        <v>228</v>
      </c>
      <c r="BL90" t="s">
        <v>228</v>
      </c>
      <c r="BM90" t="s">
        <v>228</v>
      </c>
      <c r="BN90" t="s">
        <v>228</v>
      </c>
      <c r="BO90" t="s">
        <v>228</v>
      </c>
      <c r="BP90" t="s">
        <v>228</v>
      </c>
      <c r="BQ90" t="s">
        <v>228</v>
      </c>
      <c r="BR90" t="s">
        <v>228</v>
      </c>
      <c r="BS90" t="s">
        <v>409</v>
      </c>
      <c r="BT90">
        <v>1</v>
      </c>
    </row>
    <row r="91" spans="1:72" x14ac:dyDescent="0.15">
      <c r="A91" s="43">
        <v>2023</v>
      </c>
      <c r="B91" s="8">
        <v>1</v>
      </c>
      <c r="C91" s="8">
        <v>1</v>
      </c>
      <c r="D91" s="8">
        <v>20</v>
      </c>
      <c r="E91" s="8" t="s">
        <v>228</v>
      </c>
      <c r="F91" s="8" t="s">
        <v>57</v>
      </c>
      <c r="G91" s="8">
        <v>2016</v>
      </c>
      <c r="H91" s="8">
        <v>12</v>
      </c>
      <c r="I91" s="8" t="s">
        <v>521</v>
      </c>
      <c r="J91" s="8" t="s">
        <v>228</v>
      </c>
      <c r="K91" s="8">
        <v>1983</v>
      </c>
      <c r="L91" s="17">
        <v>1</v>
      </c>
      <c r="M91" s="8">
        <v>1</v>
      </c>
      <c r="N91" s="8" t="s">
        <v>48</v>
      </c>
      <c r="O91" s="8" t="s">
        <v>283</v>
      </c>
      <c r="P91" s="8" t="s">
        <v>217</v>
      </c>
      <c r="Q91" s="8">
        <v>3000</v>
      </c>
      <c r="R91" s="8" t="s">
        <v>57</v>
      </c>
      <c r="S91" s="8" t="s">
        <v>53</v>
      </c>
      <c r="T91" s="8" t="s">
        <v>69</v>
      </c>
      <c r="U91" s="8" t="s">
        <v>228</v>
      </c>
      <c r="V91" s="8">
        <v>500</v>
      </c>
      <c r="W91" s="8" t="s">
        <v>328</v>
      </c>
      <c r="X91" s="8">
        <v>3000</v>
      </c>
      <c r="Y91" s="8" t="s">
        <v>268</v>
      </c>
      <c r="Z91" s="8">
        <v>85</v>
      </c>
      <c r="AA91" s="8" t="s">
        <v>278</v>
      </c>
      <c r="AB91" s="8" t="s">
        <v>228</v>
      </c>
      <c r="AC91" s="8" t="s">
        <v>228</v>
      </c>
      <c r="AD91" s="8" t="s">
        <v>228</v>
      </c>
      <c r="AE91" s="8" t="s">
        <v>228</v>
      </c>
      <c r="AF91" s="8" t="s">
        <v>228</v>
      </c>
      <c r="AG91" s="8" t="s">
        <v>228</v>
      </c>
      <c r="AH91" s="8" t="s">
        <v>228</v>
      </c>
      <c r="AI91" s="8" t="s">
        <v>228</v>
      </c>
      <c r="AJ91" t="s">
        <v>468</v>
      </c>
      <c r="AK91">
        <v>1</v>
      </c>
      <c r="AL91">
        <v>1</v>
      </c>
      <c r="AM91" t="s">
        <v>81</v>
      </c>
      <c r="AN91" t="s">
        <v>228</v>
      </c>
      <c r="AO91" t="s">
        <v>526</v>
      </c>
      <c r="AP91" t="s">
        <v>109</v>
      </c>
      <c r="AQ91">
        <v>12</v>
      </c>
      <c r="AR91" t="s">
        <v>521</v>
      </c>
      <c r="AS91" t="s">
        <v>228</v>
      </c>
      <c r="AT91" t="s">
        <v>140</v>
      </c>
      <c r="AU91">
        <v>1</v>
      </c>
      <c r="AV91">
        <v>1</v>
      </c>
      <c r="AW91" t="s">
        <v>406</v>
      </c>
      <c r="AX91" t="s">
        <v>283</v>
      </c>
      <c r="AY91" t="s">
        <v>217</v>
      </c>
      <c r="AZ91">
        <v>1</v>
      </c>
      <c r="BA91" t="s">
        <v>408</v>
      </c>
      <c r="BB91" t="s">
        <v>542</v>
      </c>
      <c r="BC91" t="s">
        <v>395</v>
      </c>
      <c r="BD91" t="s">
        <v>228</v>
      </c>
      <c r="BE91" t="s">
        <v>522</v>
      </c>
      <c r="BF91" t="s">
        <v>523</v>
      </c>
      <c r="BG91" t="s">
        <v>407</v>
      </c>
      <c r="BH91" t="s">
        <v>396</v>
      </c>
      <c r="BI91" t="s">
        <v>524</v>
      </c>
      <c r="BJ91" t="s">
        <v>228</v>
      </c>
      <c r="BK91" t="s">
        <v>228</v>
      </c>
      <c r="BL91" t="s">
        <v>228</v>
      </c>
      <c r="BM91" t="s">
        <v>228</v>
      </c>
      <c r="BN91" t="s">
        <v>228</v>
      </c>
      <c r="BO91" t="s">
        <v>228</v>
      </c>
      <c r="BP91" t="s">
        <v>228</v>
      </c>
      <c r="BQ91" t="s">
        <v>228</v>
      </c>
      <c r="BR91" t="s">
        <v>228</v>
      </c>
      <c r="BS91" t="s">
        <v>409</v>
      </c>
      <c r="BT91">
        <v>1</v>
      </c>
    </row>
    <row r="92" spans="1:72" x14ac:dyDescent="0.15">
      <c r="A92" s="43">
        <v>2023</v>
      </c>
      <c r="B92" s="8">
        <v>1</v>
      </c>
      <c r="C92" s="8">
        <v>1</v>
      </c>
      <c r="D92" s="8">
        <v>20</v>
      </c>
      <c r="E92" s="8" t="s">
        <v>228</v>
      </c>
      <c r="F92" s="8" t="s">
        <v>57</v>
      </c>
      <c r="G92" s="8">
        <v>2016</v>
      </c>
      <c r="H92" s="8">
        <v>12</v>
      </c>
      <c r="I92" s="8" t="s">
        <v>521</v>
      </c>
      <c r="J92" s="8" t="s">
        <v>228</v>
      </c>
      <c r="K92" s="8">
        <v>1983</v>
      </c>
      <c r="L92" s="17">
        <v>1</v>
      </c>
      <c r="M92" s="8">
        <v>1</v>
      </c>
      <c r="N92" s="8" t="s">
        <v>48</v>
      </c>
      <c r="O92" s="8" t="s">
        <v>283</v>
      </c>
      <c r="P92" s="8" t="s">
        <v>217</v>
      </c>
      <c r="Q92" s="8">
        <v>3000</v>
      </c>
      <c r="R92" s="8" t="s">
        <v>57</v>
      </c>
      <c r="S92" s="8" t="s">
        <v>54</v>
      </c>
      <c r="T92" s="8" t="s">
        <v>69</v>
      </c>
      <c r="U92" s="8" t="s">
        <v>228</v>
      </c>
      <c r="V92" s="8">
        <v>500</v>
      </c>
      <c r="W92" s="8" t="s">
        <v>328</v>
      </c>
      <c r="X92" s="8">
        <v>3000</v>
      </c>
      <c r="Y92" s="8" t="s">
        <v>268</v>
      </c>
      <c r="Z92" s="8">
        <v>85</v>
      </c>
      <c r="AA92" s="8" t="s">
        <v>278</v>
      </c>
      <c r="AB92" s="8" t="s">
        <v>247</v>
      </c>
      <c r="AC92" s="8" t="s">
        <v>228</v>
      </c>
      <c r="AD92" s="8" t="s">
        <v>228</v>
      </c>
      <c r="AE92" s="8" t="s">
        <v>228</v>
      </c>
      <c r="AF92" s="8" t="s">
        <v>228</v>
      </c>
      <c r="AG92" s="8" t="s">
        <v>228</v>
      </c>
      <c r="AH92" s="8" t="s">
        <v>228</v>
      </c>
      <c r="AI92" s="8" t="s">
        <v>228</v>
      </c>
      <c r="AJ92" t="s">
        <v>468</v>
      </c>
      <c r="AK92">
        <v>1</v>
      </c>
      <c r="AL92">
        <v>1</v>
      </c>
      <c r="AM92" t="s">
        <v>81</v>
      </c>
      <c r="AN92" t="s">
        <v>228</v>
      </c>
      <c r="AO92" t="s">
        <v>526</v>
      </c>
      <c r="AP92" t="s">
        <v>109</v>
      </c>
      <c r="AQ92">
        <v>12</v>
      </c>
      <c r="AR92" t="s">
        <v>521</v>
      </c>
      <c r="AS92" t="s">
        <v>228</v>
      </c>
      <c r="AT92" t="s">
        <v>140</v>
      </c>
      <c r="AU92">
        <v>1</v>
      </c>
      <c r="AV92">
        <v>1</v>
      </c>
      <c r="AW92" t="s">
        <v>406</v>
      </c>
      <c r="AX92" t="s">
        <v>283</v>
      </c>
      <c r="AY92" t="s">
        <v>217</v>
      </c>
      <c r="AZ92">
        <v>1</v>
      </c>
      <c r="BA92" t="s">
        <v>408</v>
      </c>
      <c r="BB92" t="s">
        <v>541</v>
      </c>
      <c r="BC92" t="s">
        <v>395</v>
      </c>
      <c r="BD92" t="s">
        <v>228</v>
      </c>
      <c r="BE92" t="s">
        <v>522</v>
      </c>
      <c r="BF92" t="s">
        <v>523</v>
      </c>
      <c r="BG92" t="s">
        <v>407</v>
      </c>
      <c r="BH92" t="s">
        <v>396</v>
      </c>
      <c r="BI92" t="s">
        <v>524</v>
      </c>
      <c r="BJ92" t="s">
        <v>228</v>
      </c>
      <c r="BK92" t="s">
        <v>543</v>
      </c>
      <c r="BL92" t="s">
        <v>228</v>
      </c>
      <c r="BM92" t="s">
        <v>228</v>
      </c>
      <c r="BN92" t="s">
        <v>228</v>
      </c>
      <c r="BO92" t="s">
        <v>228</v>
      </c>
      <c r="BP92" t="s">
        <v>228</v>
      </c>
      <c r="BQ92" t="s">
        <v>228</v>
      </c>
      <c r="BR92" t="s">
        <v>228</v>
      </c>
      <c r="BS92" t="s">
        <v>409</v>
      </c>
      <c r="BT92">
        <v>1</v>
      </c>
    </row>
    <row r="93" spans="1:72" x14ac:dyDescent="0.15">
      <c r="A93" s="43">
        <v>2023</v>
      </c>
      <c r="B93" s="8">
        <v>1</v>
      </c>
      <c r="C93" s="8">
        <v>1</v>
      </c>
      <c r="D93" s="8">
        <v>20</v>
      </c>
      <c r="E93" s="8" t="s">
        <v>228</v>
      </c>
      <c r="F93" s="8" t="s">
        <v>57</v>
      </c>
      <c r="G93" s="8">
        <v>2016</v>
      </c>
      <c r="H93" s="8">
        <v>12</v>
      </c>
      <c r="I93" s="8" t="s">
        <v>521</v>
      </c>
      <c r="J93" s="8" t="s">
        <v>228</v>
      </c>
      <c r="K93" s="8">
        <v>1983</v>
      </c>
      <c r="L93" s="17">
        <v>1</v>
      </c>
      <c r="M93" s="8">
        <v>1</v>
      </c>
      <c r="N93" s="8" t="s">
        <v>48</v>
      </c>
      <c r="O93" s="8" t="s">
        <v>283</v>
      </c>
      <c r="P93" s="8" t="s">
        <v>217</v>
      </c>
      <c r="Q93" s="8">
        <v>3000</v>
      </c>
      <c r="R93" s="8" t="s">
        <v>57</v>
      </c>
      <c r="S93" s="8" t="s">
        <v>53</v>
      </c>
      <c r="T93" s="8" t="s">
        <v>69</v>
      </c>
      <c r="U93" s="8" t="s">
        <v>228</v>
      </c>
      <c r="V93" s="8">
        <v>500</v>
      </c>
      <c r="W93" s="8" t="s">
        <v>328</v>
      </c>
      <c r="X93" s="8">
        <v>3000</v>
      </c>
      <c r="Y93" s="8" t="s">
        <v>268</v>
      </c>
      <c r="Z93" s="8">
        <v>85</v>
      </c>
      <c r="AA93" s="8" t="s">
        <v>278</v>
      </c>
      <c r="AB93" s="8" t="s">
        <v>247</v>
      </c>
      <c r="AC93" s="8" t="s">
        <v>228</v>
      </c>
      <c r="AD93" s="8" t="s">
        <v>228</v>
      </c>
      <c r="AE93" s="8" t="s">
        <v>228</v>
      </c>
      <c r="AF93" s="8" t="s">
        <v>228</v>
      </c>
      <c r="AG93" s="8" t="s">
        <v>228</v>
      </c>
      <c r="AH93" s="8" t="s">
        <v>228</v>
      </c>
      <c r="AI93" s="8" t="s">
        <v>228</v>
      </c>
      <c r="AJ93" t="s">
        <v>468</v>
      </c>
      <c r="AK93">
        <v>1</v>
      </c>
      <c r="AL93">
        <v>1</v>
      </c>
      <c r="AM93" t="s">
        <v>81</v>
      </c>
      <c r="AN93" t="s">
        <v>228</v>
      </c>
      <c r="AO93" t="s">
        <v>526</v>
      </c>
      <c r="AP93" t="s">
        <v>109</v>
      </c>
      <c r="AQ93">
        <v>12</v>
      </c>
      <c r="AR93" t="s">
        <v>521</v>
      </c>
      <c r="AS93" t="s">
        <v>228</v>
      </c>
      <c r="AT93" t="s">
        <v>140</v>
      </c>
      <c r="AU93">
        <v>1</v>
      </c>
      <c r="AV93">
        <v>1</v>
      </c>
      <c r="AW93" t="s">
        <v>406</v>
      </c>
      <c r="AX93" t="s">
        <v>283</v>
      </c>
      <c r="AY93" t="s">
        <v>217</v>
      </c>
      <c r="AZ93">
        <v>1</v>
      </c>
      <c r="BA93" t="s">
        <v>408</v>
      </c>
      <c r="BB93" t="s">
        <v>542</v>
      </c>
      <c r="BC93" t="s">
        <v>395</v>
      </c>
      <c r="BD93" t="s">
        <v>228</v>
      </c>
      <c r="BE93" t="s">
        <v>522</v>
      </c>
      <c r="BF93" t="s">
        <v>523</v>
      </c>
      <c r="BG93" t="s">
        <v>407</v>
      </c>
      <c r="BH93" t="s">
        <v>396</v>
      </c>
      <c r="BI93" t="s">
        <v>524</v>
      </c>
      <c r="BJ93" t="s">
        <v>228</v>
      </c>
      <c r="BK93" t="s">
        <v>543</v>
      </c>
      <c r="BL93" t="s">
        <v>228</v>
      </c>
      <c r="BM93" t="s">
        <v>228</v>
      </c>
      <c r="BN93" t="s">
        <v>228</v>
      </c>
      <c r="BO93" t="s">
        <v>228</v>
      </c>
      <c r="BP93" t="s">
        <v>228</v>
      </c>
      <c r="BQ93" t="s">
        <v>228</v>
      </c>
      <c r="BR93" t="s">
        <v>228</v>
      </c>
      <c r="BS93" t="s">
        <v>409</v>
      </c>
      <c r="BT93">
        <v>1</v>
      </c>
    </row>
    <row r="94" spans="1:72" x14ac:dyDescent="0.15">
      <c r="A94" s="43">
        <v>2023</v>
      </c>
      <c r="B94" s="8">
        <v>1</v>
      </c>
      <c r="C94" s="8">
        <v>1</v>
      </c>
      <c r="D94" s="8">
        <v>20</v>
      </c>
      <c r="E94" s="8" t="s">
        <v>228</v>
      </c>
      <c r="F94" s="8" t="s">
        <v>57</v>
      </c>
      <c r="G94" s="8">
        <v>2016</v>
      </c>
      <c r="H94" s="8">
        <v>12</v>
      </c>
      <c r="I94" s="8" t="s">
        <v>521</v>
      </c>
      <c r="J94" s="8" t="s">
        <v>228</v>
      </c>
      <c r="K94" s="8">
        <v>1983</v>
      </c>
      <c r="L94" s="17">
        <v>1</v>
      </c>
      <c r="M94" s="8">
        <v>1</v>
      </c>
      <c r="N94" s="8" t="s">
        <v>48</v>
      </c>
      <c r="O94" s="8" t="s">
        <v>283</v>
      </c>
      <c r="P94" s="8" t="s">
        <v>217</v>
      </c>
      <c r="Q94" s="8">
        <v>3000</v>
      </c>
      <c r="R94" s="8" t="s">
        <v>57</v>
      </c>
      <c r="S94" s="8" t="s">
        <v>52</v>
      </c>
      <c r="T94" s="8" t="s">
        <v>69</v>
      </c>
      <c r="U94" s="8" t="s">
        <v>228</v>
      </c>
      <c r="V94" s="8">
        <v>500</v>
      </c>
      <c r="W94" s="8" t="s">
        <v>328</v>
      </c>
      <c r="X94" s="8">
        <v>3000</v>
      </c>
      <c r="Y94" s="8" t="s">
        <v>268</v>
      </c>
      <c r="Z94" s="8">
        <v>85</v>
      </c>
      <c r="AA94" s="8" t="s">
        <v>278</v>
      </c>
      <c r="AB94" s="8" t="s">
        <v>247</v>
      </c>
      <c r="AC94" s="8" t="s">
        <v>228</v>
      </c>
      <c r="AD94" s="8" t="s">
        <v>228</v>
      </c>
      <c r="AE94" s="8" t="s">
        <v>228</v>
      </c>
      <c r="AF94" s="8" t="s">
        <v>228</v>
      </c>
      <c r="AG94" s="8" t="s">
        <v>228</v>
      </c>
      <c r="AH94" s="8" t="s">
        <v>228</v>
      </c>
      <c r="AI94" s="8" t="s">
        <v>228</v>
      </c>
      <c r="AJ94" t="s">
        <v>468</v>
      </c>
      <c r="AK94">
        <v>1</v>
      </c>
      <c r="AL94">
        <v>1</v>
      </c>
      <c r="AM94" t="s">
        <v>81</v>
      </c>
      <c r="AN94" t="s">
        <v>228</v>
      </c>
      <c r="AO94" t="s">
        <v>526</v>
      </c>
      <c r="AP94" t="s">
        <v>109</v>
      </c>
      <c r="AQ94">
        <v>12</v>
      </c>
      <c r="AR94" t="s">
        <v>521</v>
      </c>
      <c r="AS94" t="s">
        <v>228</v>
      </c>
      <c r="AT94" t="s">
        <v>140</v>
      </c>
      <c r="AU94">
        <v>1</v>
      </c>
      <c r="AV94">
        <v>1</v>
      </c>
      <c r="AW94" t="s">
        <v>406</v>
      </c>
      <c r="AX94" t="s">
        <v>283</v>
      </c>
      <c r="AY94" t="s">
        <v>217</v>
      </c>
      <c r="AZ94">
        <v>1</v>
      </c>
      <c r="BA94" t="s">
        <v>408</v>
      </c>
      <c r="BB94" t="s">
        <v>405</v>
      </c>
      <c r="BC94" t="s">
        <v>395</v>
      </c>
      <c r="BD94" t="s">
        <v>228</v>
      </c>
      <c r="BE94" t="s">
        <v>522</v>
      </c>
      <c r="BF94" t="s">
        <v>523</v>
      </c>
      <c r="BG94" t="s">
        <v>407</v>
      </c>
      <c r="BH94" t="s">
        <v>396</v>
      </c>
      <c r="BI94" t="s">
        <v>524</v>
      </c>
      <c r="BJ94" t="s">
        <v>228</v>
      </c>
      <c r="BK94" t="s">
        <v>543</v>
      </c>
      <c r="BL94" t="s">
        <v>228</v>
      </c>
      <c r="BM94" t="s">
        <v>228</v>
      </c>
      <c r="BN94" t="s">
        <v>228</v>
      </c>
      <c r="BO94" t="s">
        <v>228</v>
      </c>
      <c r="BP94" t="s">
        <v>228</v>
      </c>
      <c r="BQ94" t="s">
        <v>228</v>
      </c>
      <c r="BR94" t="s">
        <v>228</v>
      </c>
      <c r="BS94" t="s">
        <v>409</v>
      </c>
      <c r="BT94">
        <v>1</v>
      </c>
    </row>
    <row r="95" spans="1:72" x14ac:dyDescent="0.15">
      <c r="A95" s="43">
        <v>2023</v>
      </c>
      <c r="B95" s="8">
        <v>1</v>
      </c>
      <c r="C95" s="8">
        <v>1</v>
      </c>
      <c r="D95" s="8">
        <v>20</v>
      </c>
      <c r="E95" s="8" t="s">
        <v>228</v>
      </c>
      <c r="F95" s="8" t="s">
        <v>57</v>
      </c>
      <c r="G95" s="8">
        <v>2016</v>
      </c>
      <c r="H95" s="8">
        <v>12</v>
      </c>
      <c r="I95" s="8" t="s">
        <v>521</v>
      </c>
      <c r="J95" s="8" t="s">
        <v>228</v>
      </c>
      <c r="K95" s="8">
        <v>1983</v>
      </c>
      <c r="L95" s="17">
        <v>1</v>
      </c>
      <c r="M95" s="8">
        <v>1</v>
      </c>
      <c r="N95" s="8" t="s">
        <v>48</v>
      </c>
      <c r="O95" s="8" t="s">
        <v>283</v>
      </c>
      <c r="P95" s="8" t="s">
        <v>217</v>
      </c>
      <c r="Q95" s="8">
        <v>3000</v>
      </c>
      <c r="R95" s="8" t="s">
        <v>57</v>
      </c>
      <c r="S95" s="8" t="s">
        <v>54</v>
      </c>
      <c r="T95" s="8" t="s">
        <v>69</v>
      </c>
      <c r="U95" s="8" t="s">
        <v>228</v>
      </c>
      <c r="V95" s="8">
        <v>500</v>
      </c>
      <c r="W95" s="8" t="s">
        <v>328</v>
      </c>
      <c r="X95" s="8">
        <v>3000</v>
      </c>
      <c r="Y95" s="8" t="s">
        <v>271</v>
      </c>
      <c r="Z95" s="8">
        <v>85</v>
      </c>
      <c r="AA95" s="8" t="s">
        <v>278</v>
      </c>
      <c r="AB95" s="8" t="s">
        <v>228</v>
      </c>
      <c r="AC95" s="8" t="s">
        <v>228</v>
      </c>
      <c r="AD95" s="8" t="s">
        <v>228</v>
      </c>
      <c r="AE95" s="8" t="s">
        <v>228</v>
      </c>
      <c r="AF95" s="8" t="s">
        <v>228</v>
      </c>
      <c r="AG95" s="8" t="s">
        <v>228</v>
      </c>
      <c r="AH95" s="8" t="s">
        <v>228</v>
      </c>
      <c r="AI95" s="8" t="s">
        <v>228</v>
      </c>
      <c r="AJ95" t="s">
        <v>468</v>
      </c>
      <c r="AK95">
        <v>1</v>
      </c>
      <c r="AL95">
        <v>1</v>
      </c>
      <c r="AM95" t="s">
        <v>81</v>
      </c>
      <c r="AN95" t="s">
        <v>228</v>
      </c>
      <c r="AO95" t="s">
        <v>526</v>
      </c>
      <c r="AP95" t="s">
        <v>109</v>
      </c>
      <c r="AQ95">
        <v>12</v>
      </c>
      <c r="AR95" t="s">
        <v>521</v>
      </c>
      <c r="AS95" t="s">
        <v>228</v>
      </c>
      <c r="AT95" t="s">
        <v>140</v>
      </c>
      <c r="AU95">
        <v>1</v>
      </c>
      <c r="AV95">
        <v>1</v>
      </c>
      <c r="AW95" t="s">
        <v>406</v>
      </c>
      <c r="AX95" t="s">
        <v>283</v>
      </c>
      <c r="AY95" t="s">
        <v>217</v>
      </c>
      <c r="AZ95">
        <v>1</v>
      </c>
      <c r="BA95" t="s">
        <v>408</v>
      </c>
      <c r="BB95" t="s">
        <v>541</v>
      </c>
      <c r="BC95" t="s">
        <v>395</v>
      </c>
      <c r="BD95" t="s">
        <v>228</v>
      </c>
      <c r="BE95" t="s">
        <v>522</v>
      </c>
      <c r="BF95" t="s">
        <v>523</v>
      </c>
      <c r="BG95" t="s">
        <v>407</v>
      </c>
      <c r="BH95" t="s">
        <v>544</v>
      </c>
      <c r="BI95" t="s">
        <v>524</v>
      </c>
      <c r="BJ95" t="s">
        <v>228</v>
      </c>
      <c r="BK95" t="s">
        <v>228</v>
      </c>
      <c r="BL95" t="s">
        <v>228</v>
      </c>
      <c r="BM95" t="s">
        <v>228</v>
      </c>
      <c r="BN95" t="s">
        <v>228</v>
      </c>
      <c r="BO95" t="s">
        <v>228</v>
      </c>
      <c r="BP95" t="s">
        <v>228</v>
      </c>
      <c r="BQ95" t="s">
        <v>228</v>
      </c>
      <c r="BR95" t="s">
        <v>228</v>
      </c>
      <c r="BS95" t="s">
        <v>409</v>
      </c>
      <c r="BT95">
        <v>1</v>
      </c>
    </row>
    <row r="96" spans="1:72" x14ac:dyDescent="0.15">
      <c r="A96" s="43">
        <v>2023</v>
      </c>
      <c r="B96" s="8">
        <v>1</v>
      </c>
      <c r="C96" s="8">
        <v>1</v>
      </c>
      <c r="D96" s="8">
        <v>20</v>
      </c>
      <c r="E96" s="8" t="s">
        <v>228</v>
      </c>
      <c r="F96" s="8" t="s">
        <v>57</v>
      </c>
      <c r="G96" s="8">
        <v>2016</v>
      </c>
      <c r="H96" s="8">
        <v>12</v>
      </c>
      <c r="I96" s="8" t="s">
        <v>521</v>
      </c>
      <c r="J96" s="8" t="s">
        <v>228</v>
      </c>
      <c r="K96" s="8">
        <v>1983</v>
      </c>
      <c r="L96" s="17">
        <v>1</v>
      </c>
      <c r="M96" s="8">
        <v>1</v>
      </c>
      <c r="N96" s="8" t="s">
        <v>48</v>
      </c>
      <c r="O96" s="8" t="s">
        <v>283</v>
      </c>
      <c r="P96" s="8" t="s">
        <v>217</v>
      </c>
      <c r="Q96" s="8">
        <v>3000</v>
      </c>
      <c r="R96" s="8" t="s">
        <v>57</v>
      </c>
      <c r="S96" s="8" t="s">
        <v>53</v>
      </c>
      <c r="T96" s="8" t="s">
        <v>69</v>
      </c>
      <c r="U96" s="8" t="s">
        <v>228</v>
      </c>
      <c r="V96" s="8">
        <v>500</v>
      </c>
      <c r="W96" s="8" t="s">
        <v>328</v>
      </c>
      <c r="X96" s="8">
        <v>3000</v>
      </c>
      <c r="Y96" s="8" t="s">
        <v>271</v>
      </c>
      <c r="Z96" s="8">
        <v>85</v>
      </c>
      <c r="AA96" s="8" t="s">
        <v>278</v>
      </c>
      <c r="AB96" s="8" t="s">
        <v>228</v>
      </c>
      <c r="AC96" s="8" t="s">
        <v>228</v>
      </c>
      <c r="AD96" s="8" t="s">
        <v>228</v>
      </c>
      <c r="AE96" s="8" t="s">
        <v>228</v>
      </c>
      <c r="AF96" s="8" t="s">
        <v>228</v>
      </c>
      <c r="AG96" s="8" t="s">
        <v>228</v>
      </c>
      <c r="AH96" s="8" t="s">
        <v>228</v>
      </c>
      <c r="AI96" s="8" t="s">
        <v>228</v>
      </c>
      <c r="AJ96" t="s">
        <v>468</v>
      </c>
      <c r="AK96">
        <v>1</v>
      </c>
      <c r="AL96">
        <v>1</v>
      </c>
      <c r="AM96" t="s">
        <v>81</v>
      </c>
      <c r="AN96" t="s">
        <v>228</v>
      </c>
      <c r="AO96" t="s">
        <v>526</v>
      </c>
      <c r="AP96" t="s">
        <v>109</v>
      </c>
      <c r="AQ96">
        <v>12</v>
      </c>
      <c r="AR96" t="s">
        <v>521</v>
      </c>
      <c r="AS96" t="s">
        <v>228</v>
      </c>
      <c r="AT96" t="s">
        <v>140</v>
      </c>
      <c r="AU96">
        <v>1</v>
      </c>
      <c r="AV96">
        <v>1</v>
      </c>
      <c r="AW96" t="s">
        <v>406</v>
      </c>
      <c r="AX96" t="s">
        <v>283</v>
      </c>
      <c r="AY96" t="s">
        <v>217</v>
      </c>
      <c r="AZ96">
        <v>1</v>
      </c>
      <c r="BA96" t="s">
        <v>408</v>
      </c>
      <c r="BB96" t="s">
        <v>542</v>
      </c>
      <c r="BC96" t="s">
        <v>395</v>
      </c>
      <c r="BD96" t="s">
        <v>228</v>
      </c>
      <c r="BE96" t="s">
        <v>522</v>
      </c>
      <c r="BF96" t="s">
        <v>523</v>
      </c>
      <c r="BG96" t="s">
        <v>407</v>
      </c>
      <c r="BH96" t="s">
        <v>544</v>
      </c>
      <c r="BI96" t="s">
        <v>524</v>
      </c>
      <c r="BJ96" t="s">
        <v>228</v>
      </c>
      <c r="BK96" t="s">
        <v>228</v>
      </c>
      <c r="BL96" t="s">
        <v>228</v>
      </c>
      <c r="BM96" t="s">
        <v>228</v>
      </c>
      <c r="BN96" t="s">
        <v>228</v>
      </c>
      <c r="BO96" t="s">
        <v>228</v>
      </c>
      <c r="BP96" t="s">
        <v>228</v>
      </c>
      <c r="BQ96" t="s">
        <v>228</v>
      </c>
      <c r="BR96" t="s">
        <v>228</v>
      </c>
      <c r="BS96" t="s">
        <v>409</v>
      </c>
      <c r="BT96">
        <v>1</v>
      </c>
    </row>
    <row r="97" spans="1:72" x14ac:dyDescent="0.15">
      <c r="A97" s="43">
        <v>2023</v>
      </c>
      <c r="B97" s="8">
        <v>1</v>
      </c>
      <c r="C97" s="8">
        <v>1</v>
      </c>
      <c r="D97" s="8">
        <v>20</v>
      </c>
      <c r="E97" s="8" t="s">
        <v>228</v>
      </c>
      <c r="F97" s="8" t="s">
        <v>57</v>
      </c>
      <c r="G97" s="8">
        <v>2016</v>
      </c>
      <c r="H97" s="8">
        <v>12</v>
      </c>
      <c r="I97" s="8" t="s">
        <v>521</v>
      </c>
      <c r="J97" s="8" t="s">
        <v>228</v>
      </c>
      <c r="K97" s="8">
        <v>1983</v>
      </c>
      <c r="L97" s="17">
        <v>1</v>
      </c>
      <c r="M97" s="8">
        <v>1</v>
      </c>
      <c r="N97" s="8" t="s">
        <v>48</v>
      </c>
      <c r="O97" s="8" t="s">
        <v>283</v>
      </c>
      <c r="P97" s="8" t="s">
        <v>217</v>
      </c>
      <c r="Q97" s="8">
        <v>3000</v>
      </c>
      <c r="R97" s="8" t="s">
        <v>57</v>
      </c>
      <c r="S97" s="8" t="s">
        <v>52</v>
      </c>
      <c r="T97" s="8" t="s">
        <v>69</v>
      </c>
      <c r="U97" s="8" t="s">
        <v>228</v>
      </c>
      <c r="V97" s="8">
        <v>500</v>
      </c>
      <c r="W97" s="8" t="s">
        <v>328</v>
      </c>
      <c r="X97" s="8">
        <v>3000</v>
      </c>
      <c r="Y97" s="8" t="s">
        <v>271</v>
      </c>
      <c r="Z97" s="8">
        <v>85</v>
      </c>
      <c r="AA97" s="8" t="s">
        <v>278</v>
      </c>
      <c r="AB97" s="8" t="s">
        <v>228</v>
      </c>
      <c r="AC97" s="8" t="s">
        <v>228</v>
      </c>
      <c r="AD97" s="8" t="s">
        <v>228</v>
      </c>
      <c r="AE97" s="8" t="s">
        <v>228</v>
      </c>
      <c r="AF97" s="8" t="s">
        <v>228</v>
      </c>
      <c r="AG97" s="8" t="s">
        <v>228</v>
      </c>
      <c r="AH97" s="8" t="s">
        <v>228</v>
      </c>
      <c r="AI97" s="8" t="s">
        <v>228</v>
      </c>
      <c r="AJ97" t="s">
        <v>468</v>
      </c>
      <c r="AK97">
        <v>1</v>
      </c>
      <c r="AL97">
        <v>1</v>
      </c>
      <c r="AM97" t="s">
        <v>81</v>
      </c>
      <c r="AN97" t="s">
        <v>228</v>
      </c>
      <c r="AO97" t="s">
        <v>526</v>
      </c>
      <c r="AP97" t="s">
        <v>109</v>
      </c>
      <c r="AQ97">
        <v>12</v>
      </c>
      <c r="AR97" t="s">
        <v>521</v>
      </c>
      <c r="AS97" t="s">
        <v>228</v>
      </c>
      <c r="AT97" t="s">
        <v>140</v>
      </c>
      <c r="AU97">
        <v>1</v>
      </c>
      <c r="AV97">
        <v>1</v>
      </c>
      <c r="AW97" t="s">
        <v>406</v>
      </c>
      <c r="AX97" t="s">
        <v>283</v>
      </c>
      <c r="AY97" t="s">
        <v>217</v>
      </c>
      <c r="AZ97">
        <v>1</v>
      </c>
      <c r="BA97" t="s">
        <v>408</v>
      </c>
      <c r="BB97" t="s">
        <v>405</v>
      </c>
      <c r="BC97" t="s">
        <v>395</v>
      </c>
      <c r="BD97" t="s">
        <v>228</v>
      </c>
      <c r="BE97" t="s">
        <v>522</v>
      </c>
      <c r="BF97" t="s">
        <v>523</v>
      </c>
      <c r="BG97" t="s">
        <v>407</v>
      </c>
      <c r="BH97" t="s">
        <v>544</v>
      </c>
      <c r="BI97" t="s">
        <v>524</v>
      </c>
      <c r="BJ97" t="s">
        <v>228</v>
      </c>
      <c r="BK97" t="s">
        <v>228</v>
      </c>
      <c r="BL97" t="s">
        <v>228</v>
      </c>
      <c r="BM97" t="s">
        <v>228</v>
      </c>
      <c r="BN97" t="s">
        <v>228</v>
      </c>
      <c r="BO97" t="s">
        <v>228</v>
      </c>
      <c r="BP97" t="s">
        <v>228</v>
      </c>
      <c r="BQ97" t="s">
        <v>228</v>
      </c>
      <c r="BR97" t="s">
        <v>228</v>
      </c>
      <c r="BS97" t="s">
        <v>409</v>
      </c>
      <c r="BT97">
        <v>1</v>
      </c>
    </row>
    <row r="98" spans="1:72" x14ac:dyDescent="0.15">
      <c r="A98" s="43">
        <v>2023</v>
      </c>
      <c r="B98" s="8">
        <v>1</v>
      </c>
      <c r="C98" s="8">
        <v>1</v>
      </c>
      <c r="D98" s="8">
        <v>20</v>
      </c>
      <c r="E98" s="8" t="s">
        <v>228</v>
      </c>
      <c r="F98" s="8" t="s">
        <v>57</v>
      </c>
      <c r="G98" s="8">
        <v>2016</v>
      </c>
      <c r="H98" s="8">
        <v>12</v>
      </c>
      <c r="I98" s="8" t="s">
        <v>521</v>
      </c>
      <c r="J98" s="8" t="s">
        <v>228</v>
      </c>
      <c r="K98" s="8">
        <v>1983</v>
      </c>
      <c r="L98" s="17">
        <v>1</v>
      </c>
      <c r="M98" s="8">
        <v>1</v>
      </c>
      <c r="N98" s="8" t="s">
        <v>48</v>
      </c>
      <c r="O98" s="8" t="s">
        <v>283</v>
      </c>
      <c r="P98" s="8" t="s">
        <v>217</v>
      </c>
      <c r="Q98" s="8">
        <v>3000</v>
      </c>
      <c r="R98" s="8" t="s">
        <v>57</v>
      </c>
      <c r="S98" s="8" t="s">
        <v>54</v>
      </c>
      <c r="T98" s="8" t="s">
        <v>69</v>
      </c>
      <c r="U98" s="8" t="s">
        <v>228</v>
      </c>
      <c r="V98" s="8">
        <v>500</v>
      </c>
      <c r="W98" s="8" t="s">
        <v>328</v>
      </c>
      <c r="X98" s="8">
        <v>3000</v>
      </c>
      <c r="Y98" s="8" t="s">
        <v>271</v>
      </c>
      <c r="Z98" s="8">
        <v>85</v>
      </c>
      <c r="AA98" s="8" t="s">
        <v>278</v>
      </c>
      <c r="AB98" s="8" t="s">
        <v>247</v>
      </c>
      <c r="AC98" s="8" t="s">
        <v>228</v>
      </c>
      <c r="AD98" s="8" t="s">
        <v>228</v>
      </c>
      <c r="AE98" s="8" t="s">
        <v>228</v>
      </c>
      <c r="AF98" s="8" t="s">
        <v>228</v>
      </c>
      <c r="AG98" s="8" t="s">
        <v>228</v>
      </c>
      <c r="AH98" s="8" t="s">
        <v>228</v>
      </c>
      <c r="AI98" s="8" t="s">
        <v>228</v>
      </c>
      <c r="AJ98" t="s">
        <v>468</v>
      </c>
      <c r="AK98">
        <v>1</v>
      </c>
      <c r="AL98">
        <v>1</v>
      </c>
      <c r="AM98" t="s">
        <v>81</v>
      </c>
      <c r="AN98" t="s">
        <v>228</v>
      </c>
      <c r="AO98" t="s">
        <v>526</v>
      </c>
      <c r="AP98" t="s">
        <v>109</v>
      </c>
      <c r="AQ98">
        <v>12</v>
      </c>
      <c r="AR98" t="s">
        <v>521</v>
      </c>
      <c r="AS98" t="s">
        <v>228</v>
      </c>
      <c r="AT98" t="s">
        <v>140</v>
      </c>
      <c r="AU98">
        <v>1</v>
      </c>
      <c r="AV98">
        <v>1</v>
      </c>
      <c r="AW98" t="s">
        <v>406</v>
      </c>
      <c r="AX98" t="s">
        <v>283</v>
      </c>
      <c r="AY98" t="s">
        <v>217</v>
      </c>
      <c r="AZ98">
        <v>1</v>
      </c>
      <c r="BA98" t="s">
        <v>408</v>
      </c>
      <c r="BB98" t="s">
        <v>541</v>
      </c>
      <c r="BC98" t="s">
        <v>395</v>
      </c>
      <c r="BD98" t="s">
        <v>228</v>
      </c>
      <c r="BE98" t="s">
        <v>522</v>
      </c>
      <c r="BF98" t="s">
        <v>523</v>
      </c>
      <c r="BG98" t="s">
        <v>407</v>
      </c>
      <c r="BH98" t="s">
        <v>544</v>
      </c>
      <c r="BI98" t="s">
        <v>524</v>
      </c>
      <c r="BJ98" t="s">
        <v>228</v>
      </c>
      <c r="BK98" t="s">
        <v>543</v>
      </c>
      <c r="BL98" t="s">
        <v>228</v>
      </c>
      <c r="BM98" t="s">
        <v>228</v>
      </c>
      <c r="BN98" t="s">
        <v>228</v>
      </c>
      <c r="BO98" t="s">
        <v>228</v>
      </c>
      <c r="BP98" t="s">
        <v>228</v>
      </c>
      <c r="BQ98" t="s">
        <v>228</v>
      </c>
      <c r="BR98" t="s">
        <v>228</v>
      </c>
      <c r="BS98" t="s">
        <v>409</v>
      </c>
      <c r="BT98">
        <v>1</v>
      </c>
    </row>
    <row r="99" spans="1:72" x14ac:dyDescent="0.15">
      <c r="A99" s="43">
        <v>2023</v>
      </c>
      <c r="B99" s="8">
        <v>1</v>
      </c>
      <c r="C99" s="8">
        <v>1</v>
      </c>
      <c r="D99" s="8">
        <v>20</v>
      </c>
      <c r="E99" s="8" t="s">
        <v>228</v>
      </c>
      <c r="F99" s="8" t="s">
        <v>57</v>
      </c>
      <c r="G99" s="8">
        <v>2016</v>
      </c>
      <c r="H99" s="8">
        <v>12</v>
      </c>
      <c r="I99" s="8" t="s">
        <v>521</v>
      </c>
      <c r="J99" s="8" t="s">
        <v>228</v>
      </c>
      <c r="K99" s="8">
        <v>1983</v>
      </c>
      <c r="L99" s="17">
        <v>1</v>
      </c>
      <c r="M99" s="8">
        <v>1</v>
      </c>
      <c r="N99" s="8" t="s">
        <v>48</v>
      </c>
      <c r="O99" s="8" t="s">
        <v>283</v>
      </c>
      <c r="P99" s="8" t="s">
        <v>217</v>
      </c>
      <c r="Q99" s="8">
        <v>3000</v>
      </c>
      <c r="R99" s="8" t="s">
        <v>57</v>
      </c>
      <c r="S99" s="8" t="s">
        <v>53</v>
      </c>
      <c r="T99" s="8" t="s">
        <v>69</v>
      </c>
      <c r="U99" s="8" t="s">
        <v>228</v>
      </c>
      <c r="V99" s="8">
        <v>500</v>
      </c>
      <c r="W99" s="8" t="s">
        <v>328</v>
      </c>
      <c r="X99" s="8">
        <v>3000</v>
      </c>
      <c r="Y99" s="8" t="s">
        <v>271</v>
      </c>
      <c r="Z99" s="8">
        <v>85</v>
      </c>
      <c r="AA99" s="8" t="s">
        <v>278</v>
      </c>
      <c r="AB99" s="8" t="s">
        <v>247</v>
      </c>
      <c r="AC99" s="8" t="s">
        <v>228</v>
      </c>
      <c r="AD99" s="8" t="s">
        <v>228</v>
      </c>
      <c r="AE99" s="8" t="s">
        <v>228</v>
      </c>
      <c r="AF99" s="8" t="s">
        <v>228</v>
      </c>
      <c r="AG99" s="8" t="s">
        <v>228</v>
      </c>
      <c r="AH99" s="8" t="s">
        <v>228</v>
      </c>
      <c r="AI99" s="8" t="s">
        <v>228</v>
      </c>
      <c r="AJ99" t="s">
        <v>468</v>
      </c>
      <c r="AK99">
        <v>1</v>
      </c>
      <c r="AL99">
        <v>1</v>
      </c>
      <c r="AM99" t="s">
        <v>81</v>
      </c>
      <c r="AN99" t="s">
        <v>228</v>
      </c>
      <c r="AO99" t="s">
        <v>526</v>
      </c>
      <c r="AP99" t="s">
        <v>109</v>
      </c>
      <c r="AQ99">
        <v>12</v>
      </c>
      <c r="AR99" t="s">
        <v>521</v>
      </c>
      <c r="AS99" t="s">
        <v>228</v>
      </c>
      <c r="AT99" t="s">
        <v>140</v>
      </c>
      <c r="AU99">
        <v>1</v>
      </c>
      <c r="AV99">
        <v>1</v>
      </c>
      <c r="AW99" t="s">
        <v>406</v>
      </c>
      <c r="AX99" t="s">
        <v>283</v>
      </c>
      <c r="AY99" t="s">
        <v>217</v>
      </c>
      <c r="AZ99">
        <v>1</v>
      </c>
      <c r="BA99" t="s">
        <v>408</v>
      </c>
      <c r="BB99" t="s">
        <v>542</v>
      </c>
      <c r="BC99" t="s">
        <v>395</v>
      </c>
      <c r="BD99" t="s">
        <v>228</v>
      </c>
      <c r="BE99" t="s">
        <v>522</v>
      </c>
      <c r="BF99" t="s">
        <v>523</v>
      </c>
      <c r="BG99" t="s">
        <v>407</v>
      </c>
      <c r="BH99" t="s">
        <v>544</v>
      </c>
      <c r="BI99" t="s">
        <v>524</v>
      </c>
      <c r="BJ99" t="s">
        <v>228</v>
      </c>
      <c r="BK99" t="s">
        <v>543</v>
      </c>
      <c r="BL99" t="s">
        <v>228</v>
      </c>
      <c r="BM99" t="s">
        <v>228</v>
      </c>
      <c r="BN99" t="s">
        <v>228</v>
      </c>
      <c r="BO99" t="s">
        <v>228</v>
      </c>
      <c r="BP99" t="s">
        <v>228</v>
      </c>
      <c r="BQ99" t="s">
        <v>228</v>
      </c>
      <c r="BR99" t="s">
        <v>228</v>
      </c>
      <c r="BS99" t="s">
        <v>409</v>
      </c>
      <c r="BT99">
        <v>1</v>
      </c>
    </row>
    <row r="100" spans="1:72" x14ac:dyDescent="0.15">
      <c r="A100" s="43">
        <v>2023</v>
      </c>
      <c r="B100" s="8">
        <v>1</v>
      </c>
      <c r="C100" s="8">
        <v>1</v>
      </c>
      <c r="D100" s="8">
        <v>20</v>
      </c>
      <c r="E100" s="8" t="s">
        <v>228</v>
      </c>
      <c r="F100" s="8" t="s">
        <v>57</v>
      </c>
      <c r="G100" s="8">
        <v>2016</v>
      </c>
      <c r="H100" s="8">
        <v>12</v>
      </c>
      <c r="I100" s="8" t="s">
        <v>521</v>
      </c>
      <c r="J100" s="8" t="s">
        <v>228</v>
      </c>
      <c r="K100" s="8">
        <v>1983</v>
      </c>
      <c r="L100" s="17">
        <v>1</v>
      </c>
      <c r="M100" s="8">
        <v>1</v>
      </c>
      <c r="N100" s="8" t="s">
        <v>48</v>
      </c>
      <c r="O100" s="8" t="s">
        <v>283</v>
      </c>
      <c r="P100" s="8" t="s">
        <v>217</v>
      </c>
      <c r="Q100" s="8">
        <v>3000</v>
      </c>
      <c r="R100" s="8" t="s">
        <v>57</v>
      </c>
      <c r="S100" s="8" t="s">
        <v>52</v>
      </c>
      <c r="T100" s="8" t="s">
        <v>69</v>
      </c>
      <c r="U100" s="8" t="s">
        <v>228</v>
      </c>
      <c r="V100" s="8">
        <v>500</v>
      </c>
      <c r="W100" s="8" t="s">
        <v>328</v>
      </c>
      <c r="X100" s="8">
        <v>3000</v>
      </c>
      <c r="Y100" s="8" t="s">
        <v>271</v>
      </c>
      <c r="Z100" s="8">
        <v>85</v>
      </c>
      <c r="AA100" s="8" t="s">
        <v>278</v>
      </c>
      <c r="AB100" s="8" t="s">
        <v>247</v>
      </c>
      <c r="AC100" s="8" t="s">
        <v>228</v>
      </c>
      <c r="AD100" s="8" t="s">
        <v>228</v>
      </c>
      <c r="AE100" s="8" t="s">
        <v>228</v>
      </c>
      <c r="AF100" s="8" t="s">
        <v>228</v>
      </c>
      <c r="AG100" s="8" t="s">
        <v>228</v>
      </c>
      <c r="AH100" s="8" t="s">
        <v>228</v>
      </c>
      <c r="AI100" s="8" t="s">
        <v>228</v>
      </c>
      <c r="AJ100" t="s">
        <v>468</v>
      </c>
      <c r="AK100">
        <v>1</v>
      </c>
      <c r="AL100">
        <v>1</v>
      </c>
      <c r="AM100" t="s">
        <v>81</v>
      </c>
      <c r="AN100" t="s">
        <v>228</v>
      </c>
      <c r="AO100" t="s">
        <v>526</v>
      </c>
      <c r="AP100" t="s">
        <v>109</v>
      </c>
      <c r="AQ100">
        <v>12</v>
      </c>
      <c r="AR100" t="s">
        <v>521</v>
      </c>
      <c r="AS100" t="s">
        <v>228</v>
      </c>
      <c r="AT100" t="s">
        <v>140</v>
      </c>
      <c r="AU100">
        <v>1</v>
      </c>
      <c r="AV100">
        <v>1</v>
      </c>
      <c r="AW100" t="s">
        <v>406</v>
      </c>
      <c r="AX100" t="s">
        <v>283</v>
      </c>
      <c r="AY100" t="s">
        <v>217</v>
      </c>
      <c r="AZ100">
        <v>1</v>
      </c>
      <c r="BA100" t="s">
        <v>408</v>
      </c>
      <c r="BB100" t="s">
        <v>405</v>
      </c>
      <c r="BC100" t="s">
        <v>395</v>
      </c>
      <c r="BD100" t="s">
        <v>228</v>
      </c>
      <c r="BE100" t="s">
        <v>522</v>
      </c>
      <c r="BF100" t="s">
        <v>523</v>
      </c>
      <c r="BG100" t="s">
        <v>407</v>
      </c>
      <c r="BH100" t="s">
        <v>544</v>
      </c>
      <c r="BI100" t="s">
        <v>524</v>
      </c>
      <c r="BJ100" t="s">
        <v>228</v>
      </c>
      <c r="BK100" t="s">
        <v>543</v>
      </c>
      <c r="BL100" t="s">
        <v>228</v>
      </c>
      <c r="BM100" t="s">
        <v>228</v>
      </c>
      <c r="BN100" t="s">
        <v>228</v>
      </c>
      <c r="BO100" t="s">
        <v>228</v>
      </c>
      <c r="BP100" t="s">
        <v>228</v>
      </c>
      <c r="BQ100" t="s">
        <v>228</v>
      </c>
      <c r="BR100" t="s">
        <v>228</v>
      </c>
      <c r="BS100" t="s">
        <v>409</v>
      </c>
      <c r="BT100">
        <v>0</v>
      </c>
    </row>
    <row r="101" spans="1:72" x14ac:dyDescent="0.15">
      <c r="A101" s="43">
        <v>2023</v>
      </c>
      <c r="B101" s="8">
        <v>1</v>
      </c>
      <c r="C101" s="8">
        <v>1</v>
      </c>
      <c r="D101" s="8">
        <v>19</v>
      </c>
      <c r="E101" s="8" t="s">
        <v>228</v>
      </c>
      <c r="F101" s="8" t="s">
        <v>57</v>
      </c>
      <c r="G101" s="8">
        <v>2016</v>
      </c>
      <c r="H101" s="8">
        <v>12</v>
      </c>
      <c r="I101" s="8" t="s">
        <v>521</v>
      </c>
      <c r="J101" s="8" t="s">
        <v>228</v>
      </c>
      <c r="K101" s="8">
        <v>1983</v>
      </c>
      <c r="L101" s="17">
        <v>1</v>
      </c>
      <c r="M101" s="8">
        <v>1</v>
      </c>
      <c r="N101" s="8" t="s">
        <v>48</v>
      </c>
      <c r="O101" s="8" t="s">
        <v>283</v>
      </c>
      <c r="P101" s="8" t="s">
        <v>217</v>
      </c>
      <c r="Q101" s="8">
        <v>3000</v>
      </c>
      <c r="R101" s="8" t="s">
        <v>57</v>
      </c>
      <c r="S101" s="8" t="s">
        <v>54</v>
      </c>
      <c r="T101" s="8" t="s">
        <v>69</v>
      </c>
      <c r="U101" s="8" t="s">
        <v>228</v>
      </c>
      <c r="V101" s="8">
        <v>500</v>
      </c>
      <c r="W101" s="8" t="s">
        <v>328</v>
      </c>
      <c r="X101" s="8">
        <v>3000</v>
      </c>
      <c r="Y101" s="8" t="s">
        <v>268</v>
      </c>
      <c r="Z101" s="8">
        <v>85</v>
      </c>
      <c r="AA101" s="8" t="s">
        <v>278</v>
      </c>
      <c r="AB101" s="8" t="s">
        <v>228</v>
      </c>
      <c r="AC101" s="8" t="s">
        <v>228</v>
      </c>
      <c r="AD101" s="8" t="s">
        <v>228</v>
      </c>
      <c r="AE101" s="8" t="s">
        <v>228</v>
      </c>
      <c r="AF101" s="8" t="s">
        <v>228</v>
      </c>
      <c r="AG101" s="8" t="s">
        <v>228</v>
      </c>
      <c r="AH101" s="8" t="s">
        <v>228</v>
      </c>
      <c r="AI101" s="8" t="s">
        <v>228</v>
      </c>
      <c r="AJ101" t="s">
        <v>468</v>
      </c>
      <c r="AK101">
        <v>1</v>
      </c>
      <c r="AL101">
        <v>1</v>
      </c>
      <c r="AM101" t="s">
        <v>82</v>
      </c>
      <c r="AN101" t="s">
        <v>228</v>
      </c>
      <c r="AO101" t="s">
        <v>526</v>
      </c>
      <c r="AP101" t="s">
        <v>109</v>
      </c>
      <c r="AQ101">
        <v>12</v>
      </c>
      <c r="AR101" t="s">
        <v>521</v>
      </c>
      <c r="AS101" t="s">
        <v>228</v>
      </c>
      <c r="AT101" t="s">
        <v>140</v>
      </c>
      <c r="AU101">
        <v>1</v>
      </c>
      <c r="AV101">
        <v>1</v>
      </c>
      <c r="AW101" t="s">
        <v>406</v>
      </c>
      <c r="AX101" t="s">
        <v>283</v>
      </c>
      <c r="AY101" t="s">
        <v>217</v>
      </c>
      <c r="AZ101">
        <v>1</v>
      </c>
      <c r="BA101" t="s">
        <v>408</v>
      </c>
      <c r="BB101" t="s">
        <v>541</v>
      </c>
      <c r="BC101" t="s">
        <v>395</v>
      </c>
      <c r="BD101" t="s">
        <v>228</v>
      </c>
      <c r="BE101" t="s">
        <v>522</v>
      </c>
      <c r="BF101" t="s">
        <v>523</v>
      </c>
      <c r="BG101" t="s">
        <v>407</v>
      </c>
      <c r="BH101" t="s">
        <v>396</v>
      </c>
      <c r="BI101" t="s">
        <v>524</v>
      </c>
      <c r="BJ101" t="s">
        <v>228</v>
      </c>
      <c r="BK101" t="s">
        <v>228</v>
      </c>
      <c r="BL101" t="s">
        <v>228</v>
      </c>
      <c r="BM101" t="s">
        <v>228</v>
      </c>
      <c r="BN101" t="s">
        <v>228</v>
      </c>
      <c r="BO101" t="s">
        <v>228</v>
      </c>
      <c r="BP101" t="s">
        <v>228</v>
      </c>
      <c r="BQ101" t="s">
        <v>228</v>
      </c>
      <c r="BR101" t="s">
        <v>228</v>
      </c>
      <c r="BS101" t="s">
        <v>409</v>
      </c>
      <c r="BT101">
        <v>1</v>
      </c>
    </row>
    <row r="102" spans="1:72" x14ac:dyDescent="0.15">
      <c r="A102" s="43">
        <v>2023</v>
      </c>
      <c r="B102" s="8">
        <v>1</v>
      </c>
      <c r="C102" s="8">
        <v>1</v>
      </c>
      <c r="D102" s="8">
        <v>19</v>
      </c>
      <c r="E102" s="8" t="s">
        <v>228</v>
      </c>
      <c r="F102" s="8" t="s">
        <v>57</v>
      </c>
      <c r="G102" s="8">
        <v>2016</v>
      </c>
      <c r="H102" s="8">
        <v>12</v>
      </c>
      <c r="I102" s="8" t="s">
        <v>521</v>
      </c>
      <c r="J102" s="8" t="s">
        <v>228</v>
      </c>
      <c r="K102" s="8">
        <v>1983</v>
      </c>
      <c r="L102" s="17">
        <v>1</v>
      </c>
      <c r="M102" s="8">
        <v>1</v>
      </c>
      <c r="N102" s="8" t="s">
        <v>48</v>
      </c>
      <c r="O102" s="8" t="s">
        <v>283</v>
      </c>
      <c r="P102" s="8" t="s">
        <v>217</v>
      </c>
      <c r="Q102" s="8">
        <v>3000</v>
      </c>
      <c r="R102" s="8" t="s">
        <v>57</v>
      </c>
      <c r="S102" s="8" t="s">
        <v>53</v>
      </c>
      <c r="T102" s="8" t="s">
        <v>69</v>
      </c>
      <c r="U102" s="8" t="s">
        <v>228</v>
      </c>
      <c r="V102" s="8">
        <v>500</v>
      </c>
      <c r="W102" s="8" t="s">
        <v>328</v>
      </c>
      <c r="X102" s="8">
        <v>3000</v>
      </c>
      <c r="Y102" s="8" t="s">
        <v>268</v>
      </c>
      <c r="Z102" s="8">
        <v>85</v>
      </c>
      <c r="AA102" s="8" t="s">
        <v>278</v>
      </c>
      <c r="AB102" s="8" t="s">
        <v>228</v>
      </c>
      <c r="AC102" s="8" t="s">
        <v>228</v>
      </c>
      <c r="AD102" s="8" t="s">
        <v>228</v>
      </c>
      <c r="AE102" s="8" t="s">
        <v>228</v>
      </c>
      <c r="AF102" s="8" t="s">
        <v>228</v>
      </c>
      <c r="AG102" s="8" t="s">
        <v>228</v>
      </c>
      <c r="AH102" s="8" t="s">
        <v>228</v>
      </c>
      <c r="AI102" s="8" t="s">
        <v>228</v>
      </c>
      <c r="AJ102" t="s">
        <v>468</v>
      </c>
      <c r="AK102">
        <v>1</v>
      </c>
      <c r="AL102">
        <v>1</v>
      </c>
      <c r="AM102" t="s">
        <v>82</v>
      </c>
      <c r="AN102" t="s">
        <v>228</v>
      </c>
      <c r="AO102" t="s">
        <v>526</v>
      </c>
      <c r="AP102" t="s">
        <v>109</v>
      </c>
      <c r="AQ102">
        <v>12</v>
      </c>
      <c r="AR102" t="s">
        <v>521</v>
      </c>
      <c r="AS102" t="s">
        <v>228</v>
      </c>
      <c r="AT102" t="s">
        <v>140</v>
      </c>
      <c r="AU102">
        <v>1</v>
      </c>
      <c r="AV102">
        <v>1</v>
      </c>
      <c r="AW102" t="s">
        <v>406</v>
      </c>
      <c r="AX102" t="s">
        <v>283</v>
      </c>
      <c r="AY102" t="s">
        <v>217</v>
      </c>
      <c r="AZ102">
        <v>1</v>
      </c>
      <c r="BA102" t="s">
        <v>408</v>
      </c>
      <c r="BB102" t="s">
        <v>542</v>
      </c>
      <c r="BC102" t="s">
        <v>395</v>
      </c>
      <c r="BD102" t="s">
        <v>228</v>
      </c>
      <c r="BE102" t="s">
        <v>522</v>
      </c>
      <c r="BF102" t="s">
        <v>523</v>
      </c>
      <c r="BG102" t="s">
        <v>407</v>
      </c>
      <c r="BH102" t="s">
        <v>396</v>
      </c>
      <c r="BI102" t="s">
        <v>524</v>
      </c>
      <c r="BJ102" t="s">
        <v>228</v>
      </c>
      <c r="BK102" t="s">
        <v>228</v>
      </c>
      <c r="BL102" t="s">
        <v>228</v>
      </c>
      <c r="BM102" t="s">
        <v>228</v>
      </c>
      <c r="BN102" t="s">
        <v>228</v>
      </c>
      <c r="BO102" t="s">
        <v>228</v>
      </c>
      <c r="BP102" t="s">
        <v>228</v>
      </c>
      <c r="BQ102" t="s">
        <v>228</v>
      </c>
      <c r="BR102" t="s">
        <v>228</v>
      </c>
      <c r="BS102" t="s">
        <v>409</v>
      </c>
      <c r="BT102">
        <v>1</v>
      </c>
    </row>
    <row r="103" spans="1:72" x14ac:dyDescent="0.15">
      <c r="A103" s="43">
        <v>2023</v>
      </c>
      <c r="B103" s="8">
        <v>1</v>
      </c>
      <c r="C103" s="8">
        <v>1</v>
      </c>
      <c r="D103" s="8">
        <v>19</v>
      </c>
      <c r="E103" s="8" t="s">
        <v>228</v>
      </c>
      <c r="F103" s="8" t="s">
        <v>57</v>
      </c>
      <c r="G103" s="8">
        <v>2016</v>
      </c>
      <c r="H103" s="8">
        <v>12</v>
      </c>
      <c r="I103" s="8" t="s">
        <v>521</v>
      </c>
      <c r="J103" s="8" t="s">
        <v>228</v>
      </c>
      <c r="K103" s="8">
        <v>1983</v>
      </c>
      <c r="L103" s="17">
        <v>1</v>
      </c>
      <c r="M103" s="8">
        <v>1</v>
      </c>
      <c r="N103" s="8" t="s">
        <v>48</v>
      </c>
      <c r="O103" s="8" t="s">
        <v>283</v>
      </c>
      <c r="P103" s="8" t="s">
        <v>217</v>
      </c>
      <c r="Q103" s="8">
        <v>3000</v>
      </c>
      <c r="R103" s="8" t="s">
        <v>57</v>
      </c>
      <c r="S103" s="8" t="s">
        <v>52</v>
      </c>
      <c r="T103" s="8" t="s">
        <v>69</v>
      </c>
      <c r="U103" s="8" t="s">
        <v>228</v>
      </c>
      <c r="V103" s="8">
        <v>500</v>
      </c>
      <c r="W103" s="8" t="s">
        <v>328</v>
      </c>
      <c r="X103" s="8">
        <v>3000</v>
      </c>
      <c r="Y103" s="8" t="s">
        <v>268</v>
      </c>
      <c r="Z103" s="8">
        <v>85</v>
      </c>
      <c r="AA103" s="8" t="s">
        <v>278</v>
      </c>
      <c r="AB103" s="8" t="s">
        <v>228</v>
      </c>
      <c r="AC103" s="8" t="s">
        <v>228</v>
      </c>
      <c r="AD103" s="8" t="s">
        <v>228</v>
      </c>
      <c r="AE103" s="8" t="s">
        <v>228</v>
      </c>
      <c r="AF103" s="8" t="s">
        <v>228</v>
      </c>
      <c r="AG103" s="8" t="s">
        <v>228</v>
      </c>
      <c r="AH103" s="8" t="s">
        <v>228</v>
      </c>
      <c r="AI103" s="8" t="s">
        <v>228</v>
      </c>
      <c r="AJ103" t="s">
        <v>468</v>
      </c>
      <c r="AK103">
        <v>1</v>
      </c>
      <c r="AL103">
        <v>1</v>
      </c>
      <c r="AM103" t="s">
        <v>82</v>
      </c>
      <c r="AN103" t="s">
        <v>228</v>
      </c>
      <c r="AO103" t="s">
        <v>526</v>
      </c>
      <c r="AP103" t="s">
        <v>109</v>
      </c>
      <c r="AQ103">
        <v>12</v>
      </c>
      <c r="AR103" t="s">
        <v>521</v>
      </c>
      <c r="AS103" t="s">
        <v>228</v>
      </c>
      <c r="AT103" t="s">
        <v>140</v>
      </c>
      <c r="AU103">
        <v>1</v>
      </c>
      <c r="AV103">
        <v>1</v>
      </c>
      <c r="AW103" t="s">
        <v>406</v>
      </c>
      <c r="AX103" t="s">
        <v>283</v>
      </c>
      <c r="AY103" t="s">
        <v>217</v>
      </c>
      <c r="AZ103">
        <v>1</v>
      </c>
      <c r="BA103" t="s">
        <v>408</v>
      </c>
      <c r="BB103" t="s">
        <v>405</v>
      </c>
      <c r="BC103" t="s">
        <v>395</v>
      </c>
      <c r="BD103" t="s">
        <v>228</v>
      </c>
      <c r="BE103" t="s">
        <v>522</v>
      </c>
      <c r="BF103" t="s">
        <v>523</v>
      </c>
      <c r="BG103" t="s">
        <v>407</v>
      </c>
      <c r="BH103" t="s">
        <v>396</v>
      </c>
      <c r="BI103" t="s">
        <v>524</v>
      </c>
      <c r="BJ103" t="s">
        <v>228</v>
      </c>
      <c r="BK103" t="s">
        <v>228</v>
      </c>
      <c r="BL103" t="s">
        <v>228</v>
      </c>
      <c r="BM103" t="s">
        <v>228</v>
      </c>
      <c r="BN103" t="s">
        <v>228</v>
      </c>
      <c r="BO103" t="s">
        <v>228</v>
      </c>
      <c r="BP103" t="s">
        <v>228</v>
      </c>
      <c r="BQ103" t="s">
        <v>228</v>
      </c>
      <c r="BR103" t="s">
        <v>228</v>
      </c>
      <c r="BS103" t="s">
        <v>409</v>
      </c>
      <c r="BT103">
        <v>1</v>
      </c>
    </row>
    <row r="104" spans="1:72" x14ac:dyDescent="0.15">
      <c r="A104" s="43">
        <v>2023</v>
      </c>
      <c r="B104" s="8">
        <v>1</v>
      </c>
      <c r="C104" s="8">
        <v>1</v>
      </c>
      <c r="D104" s="8">
        <v>19</v>
      </c>
      <c r="E104" s="8" t="s">
        <v>228</v>
      </c>
      <c r="F104" s="8" t="s">
        <v>57</v>
      </c>
      <c r="G104" s="8">
        <v>2016</v>
      </c>
      <c r="H104" s="8">
        <v>12</v>
      </c>
      <c r="I104" s="8" t="s">
        <v>521</v>
      </c>
      <c r="J104" s="8" t="s">
        <v>228</v>
      </c>
      <c r="K104" s="8">
        <v>1983</v>
      </c>
      <c r="L104" s="17">
        <v>1</v>
      </c>
      <c r="M104" s="8">
        <v>1</v>
      </c>
      <c r="N104" s="8" t="s">
        <v>48</v>
      </c>
      <c r="O104" s="8" t="s">
        <v>283</v>
      </c>
      <c r="P104" s="8" t="s">
        <v>217</v>
      </c>
      <c r="Q104" s="8">
        <v>3000</v>
      </c>
      <c r="R104" s="8" t="s">
        <v>57</v>
      </c>
      <c r="S104" s="8" t="s">
        <v>54</v>
      </c>
      <c r="T104" s="8" t="s">
        <v>69</v>
      </c>
      <c r="U104" s="8" t="s">
        <v>228</v>
      </c>
      <c r="V104" s="8">
        <v>500</v>
      </c>
      <c r="W104" s="8" t="s">
        <v>328</v>
      </c>
      <c r="X104" s="8">
        <v>3000</v>
      </c>
      <c r="Y104" s="8" t="s">
        <v>268</v>
      </c>
      <c r="Z104" s="8">
        <v>85</v>
      </c>
      <c r="AA104" s="8" t="s">
        <v>278</v>
      </c>
      <c r="AB104" s="8" t="s">
        <v>247</v>
      </c>
      <c r="AC104" s="8" t="s">
        <v>228</v>
      </c>
      <c r="AD104" s="8" t="s">
        <v>228</v>
      </c>
      <c r="AE104" s="8" t="s">
        <v>228</v>
      </c>
      <c r="AF104" s="8" t="s">
        <v>228</v>
      </c>
      <c r="AG104" s="8" t="s">
        <v>228</v>
      </c>
      <c r="AH104" s="8" t="s">
        <v>228</v>
      </c>
      <c r="AI104" s="8" t="s">
        <v>228</v>
      </c>
      <c r="AJ104" t="s">
        <v>468</v>
      </c>
      <c r="AK104">
        <v>1</v>
      </c>
      <c r="AL104">
        <v>1</v>
      </c>
      <c r="AM104" t="s">
        <v>82</v>
      </c>
      <c r="AN104" t="s">
        <v>228</v>
      </c>
      <c r="AO104" t="s">
        <v>526</v>
      </c>
      <c r="AP104" t="s">
        <v>109</v>
      </c>
      <c r="AQ104">
        <v>12</v>
      </c>
      <c r="AR104" t="s">
        <v>521</v>
      </c>
      <c r="AS104" t="s">
        <v>228</v>
      </c>
      <c r="AT104" t="s">
        <v>140</v>
      </c>
      <c r="AU104">
        <v>1</v>
      </c>
      <c r="AV104">
        <v>1</v>
      </c>
      <c r="AW104" t="s">
        <v>406</v>
      </c>
      <c r="AX104" t="s">
        <v>283</v>
      </c>
      <c r="AY104" t="s">
        <v>217</v>
      </c>
      <c r="AZ104">
        <v>1</v>
      </c>
      <c r="BA104" t="s">
        <v>408</v>
      </c>
      <c r="BB104" t="s">
        <v>541</v>
      </c>
      <c r="BC104" t="s">
        <v>395</v>
      </c>
      <c r="BD104" t="s">
        <v>228</v>
      </c>
      <c r="BE104" t="s">
        <v>522</v>
      </c>
      <c r="BF104" t="s">
        <v>523</v>
      </c>
      <c r="BG104" t="s">
        <v>407</v>
      </c>
      <c r="BH104" t="s">
        <v>396</v>
      </c>
      <c r="BI104" t="s">
        <v>524</v>
      </c>
      <c r="BJ104" t="s">
        <v>228</v>
      </c>
      <c r="BK104" t="s">
        <v>543</v>
      </c>
      <c r="BL104" t="s">
        <v>228</v>
      </c>
      <c r="BM104" t="s">
        <v>228</v>
      </c>
      <c r="BN104" t="s">
        <v>228</v>
      </c>
      <c r="BO104" t="s">
        <v>228</v>
      </c>
      <c r="BP104" t="s">
        <v>228</v>
      </c>
      <c r="BQ104" t="s">
        <v>228</v>
      </c>
      <c r="BR104" t="s">
        <v>228</v>
      </c>
      <c r="BS104" t="s">
        <v>409</v>
      </c>
      <c r="BT104">
        <v>1</v>
      </c>
    </row>
    <row r="105" spans="1:72" x14ac:dyDescent="0.15">
      <c r="A105" s="43">
        <v>2023</v>
      </c>
      <c r="B105" s="8">
        <v>1</v>
      </c>
      <c r="C105" s="8">
        <v>1</v>
      </c>
      <c r="D105" s="8">
        <v>19</v>
      </c>
      <c r="E105" s="8" t="s">
        <v>228</v>
      </c>
      <c r="F105" s="8" t="s">
        <v>57</v>
      </c>
      <c r="G105" s="8">
        <v>2016</v>
      </c>
      <c r="H105" s="8">
        <v>12</v>
      </c>
      <c r="I105" s="8" t="s">
        <v>521</v>
      </c>
      <c r="J105" s="8" t="s">
        <v>228</v>
      </c>
      <c r="K105" s="8">
        <v>1983</v>
      </c>
      <c r="L105" s="17">
        <v>1</v>
      </c>
      <c r="M105" s="8">
        <v>1</v>
      </c>
      <c r="N105" s="8" t="s">
        <v>48</v>
      </c>
      <c r="O105" s="8" t="s">
        <v>283</v>
      </c>
      <c r="P105" s="8" t="s">
        <v>217</v>
      </c>
      <c r="Q105" s="8">
        <v>3000</v>
      </c>
      <c r="R105" s="8" t="s">
        <v>57</v>
      </c>
      <c r="S105" s="8" t="s">
        <v>53</v>
      </c>
      <c r="T105" s="8" t="s">
        <v>69</v>
      </c>
      <c r="U105" s="8" t="s">
        <v>228</v>
      </c>
      <c r="V105" s="8">
        <v>500</v>
      </c>
      <c r="W105" s="8" t="s">
        <v>328</v>
      </c>
      <c r="X105" s="8">
        <v>3000</v>
      </c>
      <c r="Y105" s="8" t="s">
        <v>268</v>
      </c>
      <c r="Z105" s="8">
        <v>85</v>
      </c>
      <c r="AA105" s="8" t="s">
        <v>278</v>
      </c>
      <c r="AB105" s="8" t="s">
        <v>247</v>
      </c>
      <c r="AC105" s="8" t="s">
        <v>228</v>
      </c>
      <c r="AD105" s="8" t="s">
        <v>228</v>
      </c>
      <c r="AE105" s="8" t="s">
        <v>228</v>
      </c>
      <c r="AF105" s="8" t="s">
        <v>228</v>
      </c>
      <c r="AG105" s="8" t="s">
        <v>228</v>
      </c>
      <c r="AH105" s="8" t="s">
        <v>228</v>
      </c>
      <c r="AI105" s="8" t="s">
        <v>228</v>
      </c>
      <c r="AJ105" t="s">
        <v>468</v>
      </c>
      <c r="AK105">
        <v>1</v>
      </c>
      <c r="AL105">
        <v>1</v>
      </c>
      <c r="AM105" t="s">
        <v>82</v>
      </c>
      <c r="AN105" t="s">
        <v>228</v>
      </c>
      <c r="AO105" t="s">
        <v>526</v>
      </c>
      <c r="AP105" t="s">
        <v>109</v>
      </c>
      <c r="AQ105">
        <v>12</v>
      </c>
      <c r="AR105" t="s">
        <v>521</v>
      </c>
      <c r="AS105" t="s">
        <v>228</v>
      </c>
      <c r="AT105" t="s">
        <v>140</v>
      </c>
      <c r="AU105">
        <v>1</v>
      </c>
      <c r="AV105">
        <v>1</v>
      </c>
      <c r="AW105" t="s">
        <v>406</v>
      </c>
      <c r="AX105" t="s">
        <v>283</v>
      </c>
      <c r="AY105" t="s">
        <v>217</v>
      </c>
      <c r="AZ105">
        <v>1</v>
      </c>
      <c r="BA105" t="s">
        <v>408</v>
      </c>
      <c r="BB105" t="s">
        <v>542</v>
      </c>
      <c r="BC105" t="s">
        <v>395</v>
      </c>
      <c r="BD105" t="s">
        <v>228</v>
      </c>
      <c r="BE105" t="s">
        <v>522</v>
      </c>
      <c r="BF105" t="s">
        <v>523</v>
      </c>
      <c r="BG105" t="s">
        <v>407</v>
      </c>
      <c r="BH105" t="s">
        <v>396</v>
      </c>
      <c r="BI105" t="s">
        <v>524</v>
      </c>
      <c r="BJ105" t="s">
        <v>228</v>
      </c>
      <c r="BK105" t="s">
        <v>543</v>
      </c>
      <c r="BL105" t="s">
        <v>228</v>
      </c>
      <c r="BM105" t="s">
        <v>228</v>
      </c>
      <c r="BN105" t="s">
        <v>228</v>
      </c>
      <c r="BO105" t="s">
        <v>228</v>
      </c>
      <c r="BP105" t="s">
        <v>228</v>
      </c>
      <c r="BQ105" t="s">
        <v>228</v>
      </c>
      <c r="BR105" t="s">
        <v>228</v>
      </c>
      <c r="BS105" t="s">
        <v>409</v>
      </c>
      <c r="BT105">
        <v>1</v>
      </c>
    </row>
    <row r="106" spans="1:72" x14ac:dyDescent="0.15">
      <c r="A106" s="43">
        <v>2023</v>
      </c>
      <c r="B106" s="8">
        <v>1</v>
      </c>
      <c r="C106" s="8">
        <v>1</v>
      </c>
      <c r="D106" s="8">
        <v>19</v>
      </c>
      <c r="E106" s="8" t="s">
        <v>228</v>
      </c>
      <c r="F106" s="8" t="s">
        <v>57</v>
      </c>
      <c r="G106" s="8">
        <v>2016</v>
      </c>
      <c r="H106" s="8">
        <v>12</v>
      </c>
      <c r="I106" s="8" t="s">
        <v>521</v>
      </c>
      <c r="J106" s="8" t="s">
        <v>228</v>
      </c>
      <c r="K106" s="8">
        <v>1983</v>
      </c>
      <c r="L106" s="17">
        <v>1</v>
      </c>
      <c r="M106" s="8">
        <v>1</v>
      </c>
      <c r="N106" s="8" t="s">
        <v>48</v>
      </c>
      <c r="O106" s="8" t="s">
        <v>283</v>
      </c>
      <c r="P106" s="8" t="s">
        <v>217</v>
      </c>
      <c r="Q106" s="8">
        <v>3000</v>
      </c>
      <c r="R106" s="8" t="s">
        <v>57</v>
      </c>
      <c r="S106" s="8" t="s">
        <v>52</v>
      </c>
      <c r="T106" s="8" t="s">
        <v>69</v>
      </c>
      <c r="U106" s="8" t="s">
        <v>228</v>
      </c>
      <c r="V106" s="8">
        <v>500</v>
      </c>
      <c r="W106" s="8" t="s">
        <v>328</v>
      </c>
      <c r="X106" s="8">
        <v>3000</v>
      </c>
      <c r="Y106" s="8" t="s">
        <v>268</v>
      </c>
      <c r="Z106" s="8">
        <v>85</v>
      </c>
      <c r="AA106" s="8" t="s">
        <v>278</v>
      </c>
      <c r="AB106" s="8" t="s">
        <v>247</v>
      </c>
      <c r="AC106" s="8" t="s">
        <v>228</v>
      </c>
      <c r="AD106" s="8" t="s">
        <v>228</v>
      </c>
      <c r="AE106" s="8" t="s">
        <v>228</v>
      </c>
      <c r="AF106" s="8" t="s">
        <v>228</v>
      </c>
      <c r="AG106" s="8" t="s">
        <v>228</v>
      </c>
      <c r="AH106" s="8" t="s">
        <v>228</v>
      </c>
      <c r="AI106" s="8" t="s">
        <v>228</v>
      </c>
      <c r="AJ106" t="s">
        <v>468</v>
      </c>
      <c r="AK106">
        <v>1</v>
      </c>
      <c r="AL106">
        <v>1</v>
      </c>
      <c r="AM106" t="s">
        <v>82</v>
      </c>
      <c r="AN106" t="s">
        <v>228</v>
      </c>
      <c r="AO106" t="s">
        <v>526</v>
      </c>
      <c r="AP106" t="s">
        <v>109</v>
      </c>
      <c r="AQ106">
        <v>12</v>
      </c>
      <c r="AR106" t="s">
        <v>521</v>
      </c>
      <c r="AS106" t="s">
        <v>228</v>
      </c>
      <c r="AT106" t="s">
        <v>140</v>
      </c>
      <c r="AU106">
        <v>1</v>
      </c>
      <c r="AV106">
        <v>1</v>
      </c>
      <c r="AW106" t="s">
        <v>406</v>
      </c>
      <c r="AX106" t="s">
        <v>283</v>
      </c>
      <c r="AY106" t="s">
        <v>217</v>
      </c>
      <c r="AZ106">
        <v>1</v>
      </c>
      <c r="BA106" t="s">
        <v>408</v>
      </c>
      <c r="BB106" t="s">
        <v>405</v>
      </c>
      <c r="BC106" t="s">
        <v>395</v>
      </c>
      <c r="BD106" t="s">
        <v>228</v>
      </c>
      <c r="BE106" t="s">
        <v>522</v>
      </c>
      <c r="BF106" t="s">
        <v>523</v>
      </c>
      <c r="BG106" t="s">
        <v>407</v>
      </c>
      <c r="BH106" t="s">
        <v>396</v>
      </c>
      <c r="BI106" t="s">
        <v>524</v>
      </c>
      <c r="BJ106" t="s">
        <v>228</v>
      </c>
      <c r="BK106" t="s">
        <v>543</v>
      </c>
      <c r="BL106" t="s">
        <v>228</v>
      </c>
      <c r="BM106" t="s">
        <v>228</v>
      </c>
      <c r="BN106" t="s">
        <v>228</v>
      </c>
      <c r="BO106" t="s">
        <v>228</v>
      </c>
      <c r="BP106" t="s">
        <v>228</v>
      </c>
      <c r="BQ106" t="s">
        <v>228</v>
      </c>
      <c r="BR106" t="s">
        <v>228</v>
      </c>
      <c r="BS106" t="s">
        <v>409</v>
      </c>
      <c r="BT106">
        <v>1</v>
      </c>
    </row>
    <row r="107" spans="1:72" x14ac:dyDescent="0.15">
      <c r="A107" s="43">
        <v>2023</v>
      </c>
      <c r="B107" s="8">
        <v>1</v>
      </c>
      <c r="C107" s="8">
        <v>1</v>
      </c>
      <c r="D107" s="8">
        <v>19</v>
      </c>
      <c r="E107" s="8" t="s">
        <v>228</v>
      </c>
      <c r="F107" s="8" t="s">
        <v>57</v>
      </c>
      <c r="G107" s="8">
        <v>2016</v>
      </c>
      <c r="H107" s="8">
        <v>12</v>
      </c>
      <c r="I107" s="8" t="s">
        <v>521</v>
      </c>
      <c r="J107" s="8" t="s">
        <v>228</v>
      </c>
      <c r="K107" s="8">
        <v>1983</v>
      </c>
      <c r="L107" s="17">
        <v>1</v>
      </c>
      <c r="M107" s="8">
        <v>1</v>
      </c>
      <c r="N107" s="8" t="s">
        <v>48</v>
      </c>
      <c r="O107" s="8" t="s">
        <v>283</v>
      </c>
      <c r="P107" s="8" t="s">
        <v>217</v>
      </c>
      <c r="Q107" s="8">
        <v>3000</v>
      </c>
      <c r="R107" s="8" t="s">
        <v>57</v>
      </c>
      <c r="S107" s="8" t="s">
        <v>54</v>
      </c>
      <c r="T107" s="8" t="s">
        <v>69</v>
      </c>
      <c r="U107" s="8" t="s">
        <v>228</v>
      </c>
      <c r="V107" s="8">
        <v>500</v>
      </c>
      <c r="W107" s="8" t="s">
        <v>328</v>
      </c>
      <c r="X107" s="8">
        <v>3000</v>
      </c>
      <c r="Y107" s="8" t="s">
        <v>271</v>
      </c>
      <c r="Z107" s="8">
        <v>85</v>
      </c>
      <c r="AA107" s="8" t="s">
        <v>278</v>
      </c>
      <c r="AB107" s="8" t="s">
        <v>228</v>
      </c>
      <c r="AC107" s="8" t="s">
        <v>228</v>
      </c>
      <c r="AD107" s="8" t="s">
        <v>228</v>
      </c>
      <c r="AE107" s="8" t="s">
        <v>228</v>
      </c>
      <c r="AF107" s="8" t="s">
        <v>228</v>
      </c>
      <c r="AG107" s="8" t="s">
        <v>228</v>
      </c>
      <c r="AH107" s="8" t="s">
        <v>228</v>
      </c>
      <c r="AI107" s="8" t="s">
        <v>228</v>
      </c>
      <c r="AJ107" t="s">
        <v>468</v>
      </c>
      <c r="AK107">
        <v>1</v>
      </c>
      <c r="AL107">
        <v>1</v>
      </c>
      <c r="AM107" t="s">
        <v>82</v>
      </c>
      <c r="AN107" t="s">
        <v>228</v>
      </c>
      <c r="AO107" t="s">
        <v>526</v>
      </c>
      <c r="AP107" t="s">
        <v>109</v>
      </c>
      <c r="AQ107">
        <v>12</v>
      </c>
      <c r="AR107" t="s">
        <v>521</v>
      </c>
      <c r="AS107" t="s">
        <v>228</v>
      </c>
      <c r="AT107" t="s">
        <v>140</v>
      </c>
      <c r="AU107">
        <v>1</v>
      </c>
      <c r="AV107">
        <v>1</v>
      </c>
      <c r="AW107" t="s">
        <v>406</v>
      </c>
      <c r="AX107" t="s">
        <v>283</v>
      </c>
      <c r="AY107" t="s">
        <v>217</v>
      </c>
      <c r="AZ107">
        <v>1</v>
      </c>
      <c r="BA107" t="s">
        <v>408</v>
      </c>
      <c r="BB107" t="s">
        <v>541</v>
      </c>
      <c r="BC107" t="s">
        <v>395</v>
      </c>
      <c r="BD107" t="s">
        <v>228</v>
      </c>
      <c r="BE107" t="s">
        <v>522</v>
      </c>
      <c r="BF107" t="s">
        <v>523</v>
      </c>
      <c r="BG107" t="s">
        <v>407</v>
      </c>
      <c r="BH107" t="s">
        <v>544</v>
      </c>
      <c r="BI107" t="s">
        <v>524</v>
      </c>
      <c r="BJ107" t="s">
        <v>228</v>
      </c>
      <c r="BK107" t="s">
        <v>228</v>
      </c>
      <c r="BL107" t="s">
        <v>228</v>
      </c>
      <c r="BM107" t="s">
        <v>228</v>
      </c>
      <c r="BN107" t="s">
        <v>228</v>
      </c>
      <c r="BO107" t="s">
        <v>228</v>
      </c>
      <c r="BP107" t="s">
        <v>228</v>
      </c>
      <c r="BQ107" t="s">
        <v>228</v>
      </c>
      <c r="BR107" t="s">
        <v>228</v>
      </c>
      <c r="BS107" t="s">
        <v>409</v>
      </c>
      <c r="BT107">
        <v>1</v>
      </c>
    </row>
    <row r="108" spans="1:72" x14ac:dyDescent="0.15">
      <c r="A108" s="43">
        <v>2023</v>
      </c>
      <c r="B108" s="8">
        <v>1</v>
      </c>
      <c r="C108" s="8">
        <v>1</v>
      </c>
      <c r="D108" s="8">
        <v>19</v>
      </c>
      <c r="E108" s="8" t="s">
        <v>228</v>
      </c>
      <c r="F108" s="8" t="s">
        <v>57</v>
      </c>
      <c r="G108" s="8">
        <v>2016</v>
      </c>
      <c r="H108" s="8">
        <v>12</v>
      </c>
      <c r="I108" s="8" t="s">
        <v>521</v>
      </c>
      <c r="J108" s="8" t="s">
        <v>228</v>
      </c>
      <c r="K108" s="8">
        <v>1983</v>
      </c>
      <c r="L108" s="17">
        <v>1</v>
      </c>
      <c r="M108" s="8">
        <v>1</v>
      </c>
      <c r="N108" s="8" t="s">
        <v>48</v>
      </c>
      <c r="O108" s="8" t="s">
        <v>283</v>
      </c>
      <c r="P108" s="8" t="s">
        <v>217</v>
      </c>
      <c r="Q108" s="8">
        <v>3000</v>
      </c>
      <c r="R108" s="8" t="s">
        <v>57</v>
      </c>
      <c r="S108" s="8" t="s">
        <v>53</v>
      </c>
      <c r="T108" s="8" t="s">
        <v>69</v>
      </c>
      <c r="U108" s="8" t="s">
        <v>228</v>
      </c>
      <c r="V108" s="8">
        <v>500</v>
      </c>
      <c r="W108" s="8" t="s">
        <v>328</v>
      </c>
      <c r="X108" s="8">
        <v>3000</v>
      </c>
      <c r="Y108" s="8" t="s">
        <v>271</v>
      </c>
      <c r="Z108" s="8">
        <v>85</v>
      </c>
      <c r="AA108" s="8" t="s">
        <v>278</v>
      </c>
      <c r="AB108" s="8" t="s">
        <v>228</v>
      </c>
      <c r="AC108" s="8" t="s">
        <v>228</v>
      </c>
      <c r="AD108" s="8" t="s">
        <v>228</v>
      </c>
      <c r="AE108" s="8" t="s">
        <v>228</v>
      </c>
      <c r="AF108" s="8" t="s">
        <v>228</v>
      </c>
      <c r="AG108" s="8" t="s">
        <v>228</v>
      </c>
      <c r="AH108" s="8" t="s">
        <v>228</v>
      </c>
      <c r="AI108" s="8" t="s">
        <v>228</v>
      </c>
      <c r="AJ108" t="s">
        <v>468</v>
      </c>
      <c r="AK108">
        <v>1</v>
      </c>
      <c r="AL108">
        <v>1</v>
      </c>
      <c r="AM108" t="s">
        <v>82</v>
      </c>
      <c r="AN108" t="s">
        <v>228</v>
      </c>
      <c r="AO108" t="s">
        <v>526</v>
      </c>
      <c r="AP108" t="s">
        <v>109</v>
      </c>
      <c r="AQ108">
        <v>12</v>
      </c>
      <c r="AR108" t="s">
        <v>521</v>
      </c>
      <c r="AS108" t="s">
        <v>228</v>
      </c>
      <c r="AT108" t="s">
        <v>140</v>
      </c>
      <c r="AU108">
        <v>1</v>
      </c>
      <c r="AV108">
        <v>1</v>
      </c>
      <c r="AW108" t="s">
        <v>406</v>
      </c>
      <c r="AX108" t="s">
        <v>283</v>
      </c>
      <c r="AY108" t="s">
        <v>217</v>
      </c>
      <c r="AZ108">
        <v>1</v>
      </c>
      <c r="BA108" t="s">
        <v>408</v>
      </c>
      <c r="BB108" t="s">
        <v>542</v>
      </c>
      <c r="BC108" t="s">
        <v>395</v>
      </c>
      <c r="BD108" t="s">
        <v>228</v>
      </c>
      <c r="BE108" t="s">
        <v>522</v>
      </c>
      <c r="BF108" t="s">
        <v>523</v>
      </c>
      <c r="BG108" t="s">
        <v>407</v>
      </c>
      <c r="BH108" t="s">
        <v>544</v>
      </c>
      <c r="BI108" t="s">
        <v>524</v>
      </c>
      <c r="BJ108" t="s">
        <v>228</v>
      </c>
      <c r="BK108" t="s">
        <v>228</v>
      </c>
      <c r="BL108" t="s">
        <v>228</v>
      </c>
      <c r="BM108" t="s">
        <v>228</v>
      </c>
      <c r="BN108" t="s">
        <v>228</v>
      </c>
      <c r="BO108" t="s">
        <v>228</v>
      </c>
      <c r="BP108" t="s">
        <v>228</v>
      </c>
      <c r="BQ108" t="s">
        <v>228</v>
      </c>
      <c r="BR108" t="s">
        <v>228</v>
      </c>
      <c r="BS108" t="s">
        <v>409</v>
      </c>
      <c r="BT108">
        <v>1</v>
      </c>
    </row>
    <row r="109" spans="1:72" x14ac:dyDescent="0.15">
      <c r="A109" s="43">
        <v>2023</v>
      </c>
      <c r="B109" s="8">
        <v>1</v>
      </c>
      <c r="C109" s="8">
        <v>1</v>
      </c>
      <c r="D109" s="8">
        <v>19</v>
      </c>
      <c r="E109" s="8" t="s">
        <v>228</v>
      </c>
      <c r="F109" s="8" t="s">
        <v>57</v>
      </c>
      <c r="G109" s="8">
        <v>2016</v>
      </c>
      <c r="H109" s="8">
        <v>12</v>
      </c>
      <c r="I109" s="8" t="s">
        <v>521</v>
      </c>
      <c r="J109" s="8" t="s">
        <v>228</v>
      </c>
      <c r="K109" s="8">
        <v>1983</v>
      </c>
      <c r="L109" s="17">
        <v>1</v>
      </c>
      <c r="M109" s="8">
        <v>1</v>
      </c>
      <c r="N109" s="8" t="s">
        <v>48</v>
      </c>
      <c r="O109" s="8" t="s">
        <v>283</v>
      </c>
      <c r="P109" s="8" t="s">
        <v>217</v>
      </c>
      <c r="Q109" s="8">
        <v>3000</v>
      </c>
      <c r="R109" s="8" t="s">
        <v>57</v>
      </c>
      <c r="S109" s="8" t="s">
        <v>52</v>
      </c>
      <c r="T109" s="8" t="s">
        <v>69</v>
      </c>
      <c r="U109" s="8" t="s">
        <v>228</v>
      </c>
      <c r="V109" s="8">
        <v>500</v>
      </c>
      <c r="W109" s="8" t="s">
        <v>328</v>
      </c>
      <c r="X109" s="8">
        <v>3000</v>
      </c>
      <c r="Y109" s="8" t="s">
        <v>271</v>
      </c>
      <c r="Z109" s="8">
        <v>85</v>
      </c>
      <c r="AA109" s="8" t="s">
        <v>278</v>
      </c>
      <c r="AB109" s="8" t="s">
        <v>228</v>
      </c>
      <c r="AC109" s="8" t="s">
        <v>228</v>
      </c>
      <c r="AD109" s="8" t="s">
        <v>228</v>
      </c>
      <c r="AE109" s="8" t="s">
        <v>228</v>
      </c>
      <c r="AF109" s="8" t="s">
        <v>228</v>
      </c>
      <c r="AG109" s="8" t="s">
        <v>228</v>
      </c>
      <c r="AH109" s="8" t="s">
        <v>228</v>
      </c>
      <c r="AI109" s="8" t="s">
        <v>228</v>
      </c>
      <c r="AJ109" t="s">
        <v>468</v>
      </c>
      <c r="AK109">
        <v>1</v>
      </c>
      <c r="AL109">
        <v>1</v>
      </c>
      <c r="AM109" t="s">
        <v>82</v>
      </c>
      <c r="AN109" t="s">
        <v>228</v>
      </c>
      <c r="AO109" t="s">
        <v>526</v>
      </c>
      <c r="AP109" t="s">
        <v>109</v>
      </c>
      <c r="AQ109">
        <v>12</v>
      </c>
      <c r="AR109" t="s">
        <v>521</v>
      </c>
      <c r="AS109" t="s">
        <v>228</v>
      </c>
      <c r="AT109" t="s">
        <v>140</v>
      </c>
      <c r="AU109">
        <v>1</v>
      </c>
      <c r="AV109">
        <v>1</v>
      </c>
      <c r="AW109" t="s">
        <v>406</v>
      </c>
      <c r="AX109" t="s">
        <v>283</v>
      </c>
      <c r="AY109" t="s">
        <v>217</v>
      </c>
      <c r="AZ109">
        <v>1</v>
      </c>
      <c r="BA109" t="s">
        <v>408</v>
      </c>
      <c r="BB109" t="s">
        <v>405</v>
      </c>
      <c r="BC109" t="s">
        <v>395</v>
      </c>
      <c r="BD109" t="s">
        <v>228</v>
      </c>
      <c r="BE109" t="s">
        <v>522</v>
      </c>
      <c r="BF109" t="s">
        <v>523</v>
      </c>
      <c r="BG109" t="s">
        <v>407</v>
      </c>
      <c r="BH109" t="s">
        <v>544</v>
      </c>
      <c r="BI109" t="s">
        <v>524</v>
      </c>
      <c r="BJ109" t="s">
        <v>228</v>
      </c>
      <c r="BK109" t="s">
        <v>228</v>
      </c>
      <c r="BL109" t="s">
        <v>228</v>
      </c>
      <c r="BM109" t="s">
        <v>228</v>
      </c>
      <c r="BN109" t="s">
        <v>228</v>
      </c>
      <c r="BO109" t="s">
        <v>228</v>
      </c>
      <c r="BP109" t="s">
        <v>228</v>
      </c>
      <c r="BQ109" t="s">
        <v>228</v>
      </c>
      <c r="BR109" t="s">
        <v>228</v>
      </c>
      <c r="BS109" t="s">
        <v>409</v>
      </c>
      <c r="BT109">
        <v>1</v>
      </c>
    </row>
    <row r="110" spans="1:72" x14ac:dyDescent="0.15">
      <c r="A110" s="43">
        <v>2023</v>
      </c>
      <c r="B110" s="8">
        <v>1</v>
      </c>
      <c r="C110" s="8">
        <v>1</v>
      </c>
      <c r="D110" s="8">
        <v>19</v>
      </c>
      <c r="E110" s="8" t="s">
        <v>228</v>
      </c>
      <c r="F110" s="8" t="s">
        <v>57</v>
      </c>
      <c r="G110" s="8">
        <v>2016</v>
      </c>
      <c r="H110" s="8">
        <v>12</v>
      </c>
      <c r="I110" s="8" t="s">
        <v>521</v>
      </c>
      <c r="J110" s="8" t="s">
        <v>228</v>
      </c>
      <c r="K110" s="8">
        <v>1983</v>
      </c>
      <c r="L110" s="17">
        <v>1</v>
      </c>
      <c r="M110" s="8">
        <v>1</v>
      </c>
      <c r="N110" s="8" t="s">
        <v>48</v>
      </c>
      <c r="O110" s="8" t="s">
        <v>283</v>
      </c>
      <c r="P110" s="8" t="s">
        <v>217</v>
      </c>
      <c r="Q110" s="8">
        <v>3000</v>
      </c>
      <c r="R110" s="8" t="s">
        <v>57</v>
      </c>
      <c r="S110" s="8" t="s">
        <v>54</v>
      </c>
      <c r="T110" s="8" t="s">
        <v>69</v>
      </c>
      <c r="U110" s="8" t="s">
        <v>228</v>
      </c>
      <c r="V110" s="8">
        <v>500</v>
      </c>
      <c r="W110" s="8" t="s">
        <v>328</v>
      </c>
      <c r="X110" s="8">
        <v>3000</v>
      </c>
      <c r="Y110" s="8" t="s">
        <v>271</v>
      </c>
      <c r="Z110" s="8">
        <v>85</v>
      </c>
      <c r="AA110" s="8" t="s">
        <v>278</v>
      </c>
      <c r="AB110" s="8" t="s">
        <v>247</v>
      </c>
      <c r="AC110" s="8" t="s">
        <v>228</v>
      </c>
      <c r="AD110" s="8" t="s">
        <v>228</v>
      </c>
      <c r="AE110" s="8" t="s">
        <v>228</v>
      </c>
      <c r="AF110" s="8" t="s">
        <v>228</v>
      </c>
      <c r="AG110" s="8" t="s">
        <v>228</v>
      </c>
      <c r="AH110" s="8" t="s">
        <v>228</v>
      </c>
      <c r="AI110" s="8" t="s">
        <v>228</v>
      </c>
      <c r="AJ110" t="s">
        <v>468</v>
      </c>
      <c r="AK110">
        <v>1</v>
      </c>
      <c r="AL110">
        <v>1</v>
      </c>
      <c r="AM110" t="s">
        <v>82</v>
      </c>
      <c r="AN110" t="s">
        <v>228</v>
      </c>
      <c r="AO110" t="s">
        <v>526</v>
      </c>
      <c r="AP110" t="s">
        <v>109</v>
      </c>
      <c r="AQ110">
        <v>12</v>
      </c>
      <c r="AR110" t="s">
        <v>521</v>
      </c>
      <c r="AS110" t="s">
        <v>228</v>
      </c>
      <c r="AT110" t="s">
        <v>140</v>
      </c>
      <c r="AU110">
        <v>1</v>
      </c>
      <c r="AV110">
        <v>1</v>
      </c>
      <c r="AW110" t="s">
        <v>406</v>
      </c>
      <c r="AX110" t="s">
        <v>283</v>
      </c>
      <c r="AY110" t="s">
        <v>217</v>
      </c>
      <c r="AZ110">
        <v>1</v>
      </c>
      <c r="BA110" t="s">
        <v>408</v>
      </c>
      <c r="BB110" t="s">
        <v>541</v>
      </c>
      <c r="BC110" t="s">
        <v>395</v>
      </c>
      <c r="BD110" t="s">
        <v>228</v>
      </c>
      <c r="BE110" t="s">
        <v>522</v>
      </c>
      <c r="BF110" t="s">
        <v>523</v>
      </c>
      <c r="BG110" t="s">
        <v>407</v>
      </c>
      <c r="BH110" t="s">
        <v>544</v>
      </c>
      <c r="BI110" t="s">
        <v>524</v>
      </c>
      <c r="BJ110" t="s">
        <v>228</v>
      </c>
      <c r="BK110" t="s">
        <v>543</v>
      </c>
      <c r="BL110" t="s">
        <v>228</v>
      </c>
      <c r="BM110" t="s">
        <v>228</v>
      </c>
      <c r="BN110" t="s">
        <v>228</v>
      </c>
      <c r="BO110" t="s">
        <v>228</v>
      </c>
      <c r="BP110" t="s">
        <v>228</v>
      </c>
      <c r="BQ110" t="s">
        <v>228</v>
      </c>
      <c r="BR110" t="s">
        <v>228</v>
      </c>
      <c r="BS110" t="s">
        <v>409</v>
      </c>
      <c r="BT110">
        <v>1</v>
      </c>
    </row>
    <row r="111" spans="1:72" x14ac:dyDescent="0.15">
      <c r="A111" s="43">
        <v>2023</v>
      </c>
      <c r="B111" s="8">
        <v>1</v>
      </c>
      <c r="C111" s="8">
        <v>1</v>
      </c>
      <c r="D111" s="8">
        <v>19</v>
      </c>
      <c r="E111" s="8" t="s">
        <v>228</v>
      </c>
      <c r="F111" s="8" t="s">
        <v>57</v>
      </c>
      <c r="G111" s="8">
        <v>2016</v>
      </c>
      <c r="H111" s="8">
        <v>12</v>
      </c>
      <c r="I111" s="8" t="s">
        <v>521</v>
      </c>
      <c r="J111" s="8" t="s">
        <v>228</v>
      </c>
      <c r="K111" s="8">
        <v>1983</v>
      </c>
      <c r="L111" s="17">
        <v>1</v>
      </c>
      <c r="M111" s="8">
        <v>1</v>
      </c>
      <c r="N111" s="8" t="s">
        <v>48</v>
      </c>
      <c r="O111" s="8" t="s">
        <v>283</v>
      </c>
      <c r="P111" s="8" t="s">
        <v>217</v>
      </c>
      <c r="Q111" s="8">
        <v>3000</v>
      </c>
      <c r="R111" s="8" t="s">
        <v>57</v>
      </c>
      <c r="S111" s="8" t="s">
        <v>53</v>
      </c>
      <c r="T111" s="8" t="s">
        <v>69</v>
      </c>
      <c r="U111" s="8" t="s">
        <v>228</v>
      </c>
      <c r="V111" s="8">
        <v>500</v>
      </c>
      <c r="W111" s="8" t="s">
        <v>328</v>
      </c>
      <c r="X111" s="8">
        <v>3000</v>
      </c>
      <c r="Y111" s="8" t="s">
        <v>271</v>
      </c>
      <c r="Z111" s="8">
        <v>85</v>
      </c>
      <c r="AA111" s="8" t="s">
        <v>278</v>
      </c>
      <c r="AB111" s="8" t="s">
        <v>247</v>
      </c>
      <c r="AC111" s="8" t="s">
        <v>228</v>
      </c>
      <c r="AD111" s="8" t="s">
        <v>228</v>
      </c>
      <c r="AE111" s="8" t="s">
        <v>228</v>
      </c>
      <c r="AF111" s="8" t="s">
        <v>228</v>
      </c>
      <c r="AG111" s="8" t="s">
        <v>228</v>
      </c>
      <c r="AH111" s="8" t="s">
        <v>228</v>
      </c>
      <c r="AI111" s="8" t="s">
        <v>228</v>
      </c>
      <c r="AJ111" t="s">
        <v>468</v>
      </c>
      <c r="AK111">
        <v>1</v>
      </c>
      <c r="AL111">
        <v>1</v>
      </c>
      <c r="AM111" t="s">
        <v>82</v>
      </c>
      <c r="AN111" t="s">
        <v>228</v>
      </c>
      <c r="AO111" t="s">
        <v>526</v>
      </c>
      <c r="AP111" t="s">
        <v>109</v>
      </c>
      <c r="AQ111">
        <v>12</v>
      </c>
      <c r="AR111" t="s">
        <v>521</v>
      </c>
      <c r="AS111" t="s">
        <v>228</v>
      </c>
      <c r="AT111" t="s">
        <v>140</v>
      </c>
      <c r="AU111">
        <v>1</v>
      </c>
      <c r="AV111">
        <v>1</v>
      </c>
      <c r="AW111" t="s">
        <v>406</v>
      </c>
      <c r="AX111" t="s">
        <v>283</v>
      </c>
      <c r="AY111" t="s">
        <v>217</v>
      </c>
      <c r="AZ111">
        <v>1</v>
      </c>
      <c r="BA111" t="s">
        <v>408</v>
      </c>
      <c r="BB111" t="s">
        <v>542</v>
      </c>
      <c r="BC111" t="s">
        <v>395</v>
      </c>
      <c r="BD111" t="s">
        <v>228</v>
      </c>
      <c r="BE111" t="s">
        <v>522</v>
      </c>
      <c r="BF111" t="s">
        <v>523</v>
      </c>
      <c r="BG111" t="s">
        <v>407</v>
      </c>
      <c r="BH111" t="s">
        <v>544</v>
      </c>
      <c r="BI111" t="s">
        <v>524</v>
      </c>
      <c r="BJ111" t="s">
        <v>228</v>
      </c>
      <c r="BK111" t="s">
        <v>543</v>
      </c>
      <c r="BL111" t="s">
        <v>228</v>
      </c>
      <c r="BM111" t="s">
        <v>228</v>
      </c>
      <c r="BN111" t="s">
        <v>228</v>
      </c>
      <c r="BO111" t="s">
        <v>228</v>
      </c>
      <c r="BP111" t="s">
        <v>228</v>
      </c>
      <c r="BQ111" t="s">
        <v>228</v>
      </c>
      <c r="BR111" t="s">
        <v>228</v>
      </c>
      <c r="BS111" t="s">
        <v>409</v>
      </c>
      <c r="BT111">
        <v>1</v>
      </c>
    </row>
    <row r="112" spans="1:72" x14ac:dyDescent="0.15">
      <c r="A112" s="43">
        <v>2023</v>
      </c>
      <c r="B112" s="8">
        <v>1</v>
      </c>
      <c r="C112" s="8">
        <v>1</v>
      </c>
      <c r="D112" s="8">
        <v>19</v>
      </c>
      <c r="E112" s="8" t="s">
        <v>228</v>
      </c>
      <c r="F112" s="8" t="s">
        <v>57</v>
      </c>
      <c r="G112" s="8">
        <v>2016</v>
      </c>
      <c r="H112" s="8">
        <v>12</v>
      </c>
      <c r="I112" s="8" t="s">
        <v>521</v>
      </c>
      <c r="J112" s="8" t="s">
        <v>228</v>
      </c>
      <c r="K112" s="8">
        <v>1983</v>
      </c>
      <c r="L112" s="17">
        <v>1</v>
      </c>
      <c r="M112" s="8">
        <v>1</v>
      </c>
      <c r="N112" s="8" t="s">
        <v>48</v>
      </c>
      <c r="O112" s="8" t="s">
        <v>283</v>
      </c>
      <c r="P112" s="8" t="s">
        <v>217</v>
      </c>
      <c r="Q112" s="8">
        <v>3000</v>
      </c>
      <c r="R112" s="8" t="s">
        <v>57</v>
      </c>
      <c r="S112" s="8" t="s">
        <v>52</v>
      </c>
      <c r="T112" s="8" t="s">
        <v>69</v>
      </c>
      <c r="U112" s="8" t="s">
        <v>228</v>
      </c>
      <c r="V112" s="8">
        <v>500</v>
      </c>
      <c r="W112" s="8" t="s">
        <v>328</v>
      </c>
      <c r="X112" s="8">
        <v>3000</v>
      </c>
      <c r="Y112" s="8" t="s">
        <v>271</v>
      </c>
      <c r="Z112" s="8">
        <v>85</v>
      </c>
      <c r="AA112" s="8" t="s">
        <v>278</v>
      </c>
      <c r="AB112" s="8" t="s">
        <v>247</v>
      </c>
      <c r="AC112" s="8" t="s">
        <v>228</v>
      </c>
      <c r="AD112" s="8" t="s">
        <v>228</v>
      </c>
      <c r="AE112" s="8" t="s">
        <v>228</v>
      </c>
      <c r="AF112" s="8" t="s">
        <v>228</v>
      </c>
      <c r="AG112" s="8" t="s">
        <v>228</v>
      </c>
      <c r="AH112" s="8" t="s">
        <v>228</v>
      </c>
      <c r="AI112" s="8" t="s">
        <v>228</v>
      </c>
      <c r="AJ112" t="s">
        <v>468</v>
      </c>
      <c r="AK112">
        <v>1</v>
      </c>
      <c r="AL112">
        <v>1</v>
      </c>
      <c r="AM112" t="s">
        <v>82</v>
      </c>
      <c r="AN112" t="s">
        <v>228</v>
      </c>
      <c r="AO112" t="s">
        <v>526</v>
      </c>
      <c r="AP112" t="s">
        <v>109</v>
      </c>
      <c r="AQ112">
        <v>12</v>
      </c>
      <c r="AR112" t="s">
        <v>521</v>
      </c>
      <c r="AS112" t="s">
        <v>228</v>
      </c>
      <c r="AT112" t="s">
        <v>140</v>
      </c>
      <c r="AU112">
        <v>1</v>
      </c>
      <c r="AV112">
        <v>1</v>
      </c>
      <c r="AW112" t="s">
        <v>406</v>
      </c>
      <c r="AX112" t="s">
        <v>283</v>
      </c>
      <c r="AY112" t="s">
        <v>217</v>
      </c>
      <c r="AZ112">
        <v>1</v>
      </c>
      <c r="BA112" t="s">
        <v>408</v>
      </c>
      <c r="BB112" t="s">
        <v>405</v>
      </c>
      <c r="BC112" t="s">
        <v>395</v>
      </c>
      <c r="BD112" t="s">
        <v>228</v>
      </c>
      <c r="BE112" t="s">
        <v>522</v>
      </c>
      <c r="BF112" t="s">
        <v>523</v>
      </c>
      <c r="BG112" t="s">
        <v>407</v>
      </c>
      <c r="BH112" t="s">
        <v>544</v>
      </c>
      <c r="BI112" t="s">
        <v>524</v>
      </c>
      <c r="BJ112" t="s">
        <v>228</v>
      </c>
      <c r="BK112" t="s">
        <v>543</v>
      </c>
      <c r="BL112" t="s">
        <v>228</v>
      </c>
      <c r="BM112" t="s">
        <v>228</v>
      </c>
      <c r="BN112" t="s">
        <v>228</v>
      </c>
      <c r="BO112" t="s">
        <v>228</v>
      </c>
      <c r="BP112" t="s">
        <v>228</v>
      </c>
      <c r="BQ112" t="s">
        <v>228</v>
      </c>
      <c r="BR112" t="s">
        <v>228</v>
      </c>
      <c r="BS112" t="s">
        <v>409</v>
      </c>
      <c r="BT112">
        <v>0</v>
      </c>
    </row>
    <row r="113" spans="1:72" x14ac:dyDescent="0.15">
      <c r="A113" s="43">
        <v>2023</v>
      </c>
      <c r="B113" s="8">
        <v>1</v>
      </c>
      <c r="C113" s="8">
        <v>1</v>
      </c>
      <c r="D113" s="8">
        <v>18</v>
      </c>
      <c r="E113" s="8" t="s">
        <v>228</v>
      </c>
      <c r="F113" s="8" t="s">
        <v>57</v>
      </c>
      <c r="G113" s="8">
        <v>2016</v>
      </c>
      <c r="H113" s="8">
        <v>12</v>
      </c>
      <c r="I113" s="8" t="s">
        <v>521</v>
      </c>
      <c r="J113" s="8" t="s">
        <v>228</v>
      </c>
      <c r="K113" s="8">
        <v>1983</v>
      </c>
      <c r="L113" s="17">
        <v>1</v>
      </c>
      <c r="M113" s="8">
        <v>1</v>
      </c>
      <c r="N113" s="8" t="s">
        <v>48</v>
      </c>
      <c r="O113" s="8" t="s">
        <v>283</v>
      </c>
      <c r="P113" s="8" t="s">
        <v>217</v>
      </c>
      <c r="Q113" s="8">
        <v>3000</v>
      </c>
      <c r="R113" s="8" t="s">
        <v>57</v>
      </c>
      <c r="S113" s="8" t="s">
        <v>54</v>
      </c>
      <c r="T113" s="8" t="s">
        <v>69</v>
      </c>
      <c r="U113" s="8" t="s">
        <v>228</v>
      </c>
      <c r="V113" s="8">
        <v>500</v>
      </c>
      <c r="W113" s="8" t="s">
        <v>328</v>
      </c>
      <c r="X113" s="8">
        <v>3000</v>
      </c>
      <c r="Y113" s="8" t="s">
        <v>268</v>
      </c>
      <c r="Z113" s="8">
        <v>85</v>
      </c>
      <c r="AA113" s="8" t="s">
        <v>278</v>
      </c>
      <c r="AB113" s="8" t="s">
        <v>228</v>
      </c>
      <c r="AC113" s="8" t="s">
        <v>228</v>
      </c>
      <c r="AD113" s="8" t="s">
        <v>228</v>
      </c>
      <c r="AE113" s="8" t="s">
        <v>228</v>
      </c>
      <c r="AF113" s="8" t="s">
        <v>228</v>
      </c>
      <c r="AG113" s="8" t="s">
        <v>228</v>
      </c>
      <c r="AH113" s="8" t="s">
        <v>228</v>
      </c>
      <c r="AI113" s="8" t="s">
        <v>228</v>
      </c>
      <c r="AJ113" t="s">
        <v>468</v>
      </c>
      <c r="AK113">
        <v>1</v>
      </c>
      <c r="AL113">
        <v>1</v>
      </c>
      <c r="AM113" t="s">
        <v>83</v>
      </c>
      <c r="AN113" t="s">
        <v>228</v>
      </c>
      <c r="AO113" t="s">
        <v>526</v>
      </c>
      <c r="AP113" t="s">
        <v>109</v>
      </c>
      <c r="AQ113">
        <v>12</v>
      </c>
      <c r="AR113" t="s">
        <v>521</v>
      </c>
      <c r="AS113" t="s">
        <v>228</v>
      </c>
      <c r="AT113" t="s">
        <v>140</v>
      </c>
      <c r="AU113">
        <v>1</v>
      </c>
      <c r="AV113">
        <v>1</v>
      </c>
      <c r="AW113" t="s">
        <v>406</v>
      </c>
      <c r="AX113" t="s">
        <v>283</v>
      </c>
      <c r="AY113" t="s">
        <v>217</v>
      </c>
      <c r="AZ113">
        <v>1</v>
      </c>
      <c r="BA113" t="s">
        <v>408</v>
      </c>
      <c r="BB113" t="s">
        <v>541</v>
      </c>
      <c r="BC113" t="s">
        <v>395</v>
      </c>
      <c r="BD113" t="s">
        <v>228</v>
      </c>
      <c r="BE113" t="s">
        <v>522</v>
      </c>
      <c r="BF113" t="s">
        <v>523</v>
      </c>
      <c r="BG113" t="s">
        <v>407</v>
      </c>
      <c r="BH113" t="s">
        <v>396</v>
      </c>
      <c r="BI113" t="s">
        <v>524</v>
      </c>
      <c r="BJ113" t="s">
        <v>228</v>
      </c>
      <c r="BK113" t="s">
        <v>228</v>
      </c>
      <c r="BL113" t="s">
        <v>228</v>
      </c>
      <c r="BM113" t="s">
        <v>228</v>
      </c>
      <c r="BN113" t="s">
        <v>228</v>
      </c>
      <c r="BO113" t="s">
        <v>228</v>
      </c>
      <c r="BP113" t="s">
        <v>228</v>
      </c>
      <c r="BQ113" t="s">
        <v>228</v>
      </c>
      <c r="BR113" t="s">
        <v>228</v>
      </c>
      <c r="BS113" t="s">
        <v>409</v>
      </c>
      <c r="BT113">
        <v>1</v>
      </c>
    </row>
    <row r="114" spans="1:72" x14ac:dyDescent="0.15">
      <c r="A114" s="43">
        <v>2023</v>
      </c>
      <c r="B114" s="8">
        <v>1</v>
      </c>
      <c r="C114" s="8">
        <v>1</v>
      </c>
      <c r="D114" s="8">
        <v>18</v>
      </c>
      <c r="E114" s="8" t="s">
        <v>228</v>
      </c>
      <c r="F114" s="8" t="s">
        <v>57</v>
      </c>
      <c r="G114" s="8">
        <v>2016</v>
      </c>
      <c r="H114" s="8">
        <v>12</v>
      </c>
      <c r="I114" s="8" t="s">
        <v>521</v>
      </c>
      <c r="J114" s="8" t="s">
        <v>228</v>
      </c>
      <c r="K114" s="8">
        <v>1983</v>
      </c>
      <c r="L114" s="17">
        <v>1</v>
      </c>
      <c r="M114" s="8">
        <v>1</v>
      </c>
      <c r="N114" s="8" t="s">
        <v>48</v>
      </c>
      <c r="O114" s="8" t="s">
        <v>283</v>
      </c>
      <c r="P114" s="8" t="s">
        <v>217</v>
      </c>
      <c r="Q114" s="8">
        <v>3000</v>
      </c>
      <c r="R114" s="8" t="s">
        <v>57</v>
      </c>
      <c r="S114" s="8" t="s">
        <v>53</v>
      </c>
      <c r="T114" s="8" t="s">
        <v>69</v>
      </c>
      <c r="U114" s="8" t="s">
        <v>228</v>
      </c>
      <c r="V114" s="8">
        <v>500</v>
      </c>
      <c r="W114" s="8" t="s">
        <v>328</v>
      </c>
      <c r="X114" s="8">
        <v>3000</v>
      </c>
      <c r="Y114" s="8" t="s">
        <v>268</v>
      </c>
      <c r="Z114" s="8">
        <v>85</v>
      </c>
      <c r="AA114" s="8" t="s">
        <v>278</v>
      </c>
      <c r="AB114" s="8" t="s">
        <v>228</v>
      </c>
      <c r="AC114" s="8" t="s">
        <v>228</v>
      </c>
      <c r="AD114" s="8" t="s">
        <v>228</v>
      </c>
      <c r="AE114" s="8" t="s">
        <v>228</v>
      </c>
      <c r="AF114" s="8" t="s">
        <v>228</v>
      </c>
      <c r="AG114" s="8" t="s">
        <v>228</v>
      </c>
      <c r="AH114" s="8" t="s">
        <v>228</v>
      </c>
      <c r="AI114" s="8" t="s">
        <v>228</v>
      </c>
      <c r="AJ114" t="s">
        <v>468</v>
      </c>
      <c r="AK114">
        <v>1</v>
      </c>
      <c r="AL114">
        <v>1</v>
      </c>
      <c r="AM114" t="s">
        <v>83</v>
      </c>
      <c r="AN114" t="s">
        <v>228</v>
      </c>
      <c r="AO114" t="s">
        <v>526</v>
      </c>
      <c r="AP114" t="s">
        <v>109</v>
      </c>
      <c r="AQ114">
        <v>12</v>
      </c>
      <c r="AR114" t="s">
        <v>521</v>
      </c>
      <c r="AS114" t="s">
        <v>228</v>
      </c>
      <c r="AT114" t="s">
        <v>140</v>
      </c>
      <c r="AU114">
        <v>1</v>
      </c>
      <c r="AV114">
        <v>1</v>
      </c>
      <c r="AW114" t="s">
        <v>406</v>
      </c>
      <c r="AX114" t="s">
        <v>283</v>
      </c>
      <c r="AY114" t="s">
        <v>217</v>
      </c>
      <c r="AZ114">
        <v>1</v>
      </c>
      <c r="BA114" t="s">
        <v>408</v>
      </c>
      <c r="BB114" t="s">
        <v>542</v>
      </c>
      <c r="BC114" t="s">
        <v>395</v>
      </c>
      <c r="BD114" t="s">
        <v>228</v>
      </c>
      <c r="BE114" t="s">
        <v>522</v>
      </c>
      <c r="BF114" t="s">
        <v>523</v>
      </c>
      <c r="BG114" t="s">
        <v>407</v>
      </c>
      <c r="BH114" t="s">
        <v>396</v>
      </c>
      <c r="BI114" t="s">
        <v>524</v>
      </c>
      <c r="BJ114" t="s">
        <v>228</v>
      </c>
      <c r="BK114" t="s">
        <v>228</v>
      </c>
      <c r="BL114" t="s">
        <v>228</v>
      </c>
      <c r="BM114" t="s">
        <v>228</v>
      </c>
      <c r="BN114" t="s">
        <v>228</v>
      </c>
      <c r="BO114" t="s">
        <v>228</v>
      </c>
      <c r="BP114" t="s">
        <v>228</v>
      </c>
      <c r="BQ114" t="s">
        <v>228</v>
      </c>
      <c r="BR114" t="s">
        <v>228</v>
      </c>
      <c r="BS114" t="s">
        <v>409</v>
      </c>
      <c r="BT114">
        <v>1</v>
      </c>
    </row>
    <row r="115" spans="1:72" x14ac:dyDescent="0.15">
      <c r="A115" s="43">
        <v>2023</v>
      </c>
      <c r="B115" s="8">
        <v>1</v>
      </c>
      <c r="C115" s="8">
        <v>1</v>
      </c>
      <c r="D115" s="8">
        <v>18</v>
      </c>
      <c r="E115" s="8" t="s">
        <v>228</v>
      </c>
      <c r="F115" s="8" t="s">
        <v>57</v>
      </c>
      <c r="G115" s="8">
        <v>2016</v>
      </c>
      <c r="H115" s="8">
        <v>12</v>
      </c>
      <c r="I115" s="8" t="s">
        <v>521</v>
      </c>
      <c r="J115" s="8" t="s">
        <v>228</v>
      </c>
      <c r="K115" s="8">
        <v>1983</v>
      </c>
      <c r="L115" s="17">
        <v>1</v>
      </c>
      <c r="M115" s="8">
        <v>1</v>
      </c>
      <c r="N115" s="8" t="s">
        <v>48</v>
      </c>
      <c r="O115" s="8" t="s">
        <v>283</v>
      </c>
      <c r="P115" s="8" t="s">
        <v>217</v>
      </c>
      <c r="Q115" s="8">
        <v>3000</v>
      </c>
      <c r="R115" s="8" t="s">
        <v>57</v>
      </c>
      <c r="S115" s="8" t="s">
        <v>52</v>
      </c>
      <c r="T115" s="8" t="s">
        <v>69</v>
      </c>
      <c r="U115" s="8" t="s">
        <v>228</v>
      </c>
      <c r="V115" s="8">
        <v>500</v>
      </c>
      <c r="W115" s="8" t="s">
        <v>328</v>
      </c>
      <c r="X115" s="8">
        <v>3000</v>
      </c>
      <c r="Y115" s="8" t="s">
        <v>268</v>
      </c>
      <c r="Z115" s="8">
        <v>85</v>
      </c>
      <c r="AA115" s="8" t="s">
        <v>278</v>
      </c>
      <c r="AB115" s="8" t="s">
        <v>228</v>
      </c>
      <c r="AC115" s="8" t="s">
        <v>228</v>
      </c>
      <c r="AD115" s="8" t="s">
        <v>228</v>
      </c>
      <c r="AE115" s="8" t="s">
        <v>228</v>
      </c>
      <c r="AF115" s="8" t="s">
        <v>228</v>
      </c>
      <c r="AG115" s="8" t="s">
        <v>228</v>
      </c>
      <c r="AH115" s="8" t="s">
        <v>228</v>
      </c>
      <c r="AI115" s="8" t="s">
        <v>228</v>
      </c>
      <c r="AJ115" t="s">
        <v>468</v>
      </c>
      <c r="AK115">
        <v>1</v>
      </c>
      <c r="AL115">
        <v>1</v>
      </c>
      <c r="AM115" t="s">
        <v>83</v>
      </c>
      <c r="AN115" t="s">
        <v>228</v>
      </c>
      <c r="AO115" t="s">
        <v>526</v>
      </c>
      <c r="AP115" t="s">
        <v>109</v>
      </c>
      <c r="AQ115">
        <v>12</v>
      </c>
      <c r="AR115" t="s">
        <v>521</v>
      </c>
      <c r="AS115" t="s">
        <v>228</v>
      </c>
      <c r="AT115" t="s">
        <v>140</v>
      </c>
      <c r="AU115">
        <v>1</v>
      </c>
      <c r="AV115">
        <v>1</v>
      </c>
      <c r="AW115" t="s">
        <v>406</v>
      </c>
      <c r="AX115" t="s">
        <v>283</v>
      </c>
      <c r="AY115" t="s">
        <v>217</v>
      </c>
      <c r="AZ115">
        <v>1</v>
      </c>
      <c r="BA115" t="s">
        <v>408</v>
      </c>
      <c r="BB115" t="s">
        <v>405</v>
      </c>
      <c r="BC115" t="s">
        <v>395</v>
      </c>
      <c r="BD115" t="s">
        <v>228</v>
      </c>
      <c r="BE115" t="s">
        <v>522</v>
      </c>
      <c r="BF115" t="s">
        <v>523</v>
      </c>
      <c r="BG115" t="s">
        <v>407</v>
      </c>
      <c r="BH115" t="s">
        <v>396</v>
      </c>
      <c r="BI115" t="s">
        <v>524</v>
      </c>
      <c r="BJ115" t="s">
        <v>228</v>
      </c>
      <c r="BK115" t="s">
        <v>228</v>
      </c>
      <c r="BL115" t="s">
        <v>228</v>
      </c>
      <c r="BM115" t="s">
        <v>228</v>
      </c>
      <c r="BN115" t="s">
        <v>228</v>
      </c>
      <c r="BO115" t="s">
        <v>228</v>
      </c>
      <c r="BP115" t="s">
        <v>228</v>
      </c>
      <c r="BQ115" t="s">
        <v>228</v>
      </c>
      <c r="BR115" t="s">
        <v>228</v>
      </c>
      <c r="BS115" t="s">
        <v>409</v>
      </c>
      <c r="BT115">
        <v>1</v>
      </c>
    </row>
    <row r="116" spans="1:72" x14ac:dyDescent="0.15">
      <c r="A116" s="43">
        <v>2023</v>
      </c>
      <c r="B116" s="8">
        <v>1</v>
      </c>
      <c r="C116" s="8">
        <v>1</v>
      </c>
      <c r="D116" s="8">
        <v>18</v>
      </c>
      <c r="E116" s="8" t="s">
        <v>228</v>
      </c>
      <c r="F116" s="8" t="s">
        <v>57</v>
      </c>
      <c r="G116" s="8">
        <v>2016</v>
      </c>
      <c r="H116" s="8">
        <v>12</v>
      </c>
      <c r="I116" s="8" t="s">
        <v>521</v>
      </c>
      <c r="J116" s="8" t="s">
        <v>228</v>
      </c>
      <c r="K116" s="8">
        <v>1983</v>
      </c>
      <c r="L116" s="17">
        <v>1</v>
      </c>
      <c r="M116" s="8">
        <v>1</v>
      </c>
      <c r="N116" s="8" t="s">
        <v>48</v>
      </c>
      <c r="O116" s="8" t="s">
        <v>283</v>
      </c>
      <c r="P116" s="8" t="s">
        <v>217</v>
      </c>
      <c r="Q116" s="8">
        <v>3000</v>
      </c>
      <c r="R116" s="8" t="s">
        <v>57</v>
      </c>
      <c r="S116" s="8" t="s">
        <v>54</v>
      </c>
      <c r="T116" s="8" t="s">
        <v>69</v>
      </c>
      <c r="U116" s="8" t="s">
        <v>228</v>
      </c>
      <c r="V116" s="8">
        <v>500</v>
      </c>
      <c r="W116" s="8" t="s">
        <v>328</v>
      </c>
      <c r="X116" s="8">
        <v>3000</v>
      </c>
      <c r="Y116" s="8" t="s">
        <v>268</v>
      </c>
      <c r="Z116" s="8">
        <v>85</v>
      </c>
      <c r="AA116" s="8" t="s">
        <v>278</v>
      </c>
      <c r="AB116" s="8" t="s">
        <v>247</v>
      </c>
      <c r="AC116" s="8" t="s">
        <v>228</v>
      </c>
      <c r="AD116" s="8" t="s">
        <v>228</v>
      </c>
      <c r="AE116" s="8" t="s">
        <v>228</v>
      </c>
      <c r="AF116" s="8" t="s">
        <v>228</v>
      </c>
      <c r="AG116" s="8" t="s">
        <v>228</v>
      </c>
      <c r="AH116" s="8" t="s">
        <v>228</v>
      </c>
      <c r="AI116" s="8" t="s">
        <v>228</v>
      </c>
      <c r="AJ116" t="s">
        <v>468</v>
      </c>
      <c r="AK116">
        <v>1</v>
      </c>
      <c r="AL116">
        <v>1</v>
      </c>
      <c r="AM116" t="s">
        <v>83</v>
      </c>
      <c r="AN116" t="s">
        <v>228</v>
      </c>
      <c r="AO116" t="s">
        <v>526</v>
      </c>
      <c r="AP116" t="s">
        <v>109</v>
      </c>
      <c r="AQ116">
        <v>12</v>
      </c>
      <c r="AR116" t="s">
        <v>521</v>
      </c>
      <c r="AS116" t="s">
        <v>228</v>
      </c>
      <c r="AT116" t="s">
        <v>140</v>
      </c>
      <c r="AU116">
        <v>1</v>
      </c>
      <c r="AV116">
        <v>1</v>
      </c>
      <c r="AW116" t="s">
        <v>406</v>
      </c>
      <c r="AX116" t="s">
        <v>283</v>
      </c>
      <c r="AY116" t="s">
        <v>217</v>
      </c>
      <c r="AZ116">
        <v>1</v>
      </c>
      <c r="BA116" t="s">
        <v>408</v>
      </c>
      <c r="BB116" t="s">
        <v>541</v>
      </c>
      <c r="BC116" t="s">
        <v>395</v>
      </c>
      <c r="BD116" t="s">
        <v>228</v>
      </c>
      <c r="BE116" t="s">
        <v>522</v>
      </c>
      <c r="BF116" t="s">
        <v>523</v>
      </c>
      <c r="BG116" t="s">
        <v>407</v>
      </c>
      <c r="BH116" t="s">
        <v>396</v>
      </c>
      <c r="BI116" t="s">
        <v>524</v>
      </c>
      <c r="BJ116" t="s">
        <v>228</v>
      </c>
      <c r="BK116" t="s">
        <v>543</v>
      </c>
      <c r="BL116" t="s">
        <v>228</v>
      </c>
      <c r="BM116" t="s">
        <v>228</v>
      </c>
      <c r="BN116" t="s">
        <v>228</v>
      </c>
      <c r="BO116" t="s">
        <v>228</v>
      </c>
      <c r="BP116" t="s">
        <v>228</v>
      </c>
      <c r="BQ116" t="s">
        <v>228</v>
      </c>
      <c r="BR116" t="s">
        <v>228</v>
      </c>
      <c r="BS116" t="s">
        <v>409</v>
      </c>
      <c r="BT116">
        <v>1</v>
      </c>
    </row>
    <row r="117" spans="1:72" x14ac:dyDescent="0.15">
      <c r="A117" s="43">
        <v>2023</v>
      </c>
      <c r="B117" s="8">
        <v>1</v>
      </c>
      <c r="C117" s="8">
        <v>1</v>
      </c>
      <c r="D117" s="8">
        <v>18</v>
      </c>
      <c r="E117" s="8" t="s">
        <v>228</v>
      </c>
      <c r="F117" s="8" t="s">
        <v>57</v>
      </c>
      <c r="G117" s="8">
        <v>2016</v>
      </c>
      <c r="H117" s="8">
        <v>12</v>
      </c>
      <c r="I117" s="8" t="s">
        <v>521</v>
      </c>
      <c r="J117" s="8" t="s">
        <v>228</v>
      </c>
      <c r="K117" s="8">
        <v>1983</v>
      </c>
      <c r="L117" s="17">
        <v>1</v>
      </c>
      <c r="M117" s="8">
        <v>1</v>
      </c>
      <c r="N117" s="8" t="s">
        <v>48</v>
      </c>
      <c r="O117" s="8" t="s">
        <v>283</v>
      </c>
      <c r="P117" s="8" t="s">
        <v>217</v>
      </c>
      <c r="Q117" s="8">
        <v>3000</v>
      </c>
      <c r="R117" s="8" t="s">
        <v>57</v>
      </c>
      <c r="S117" s="8" t="s">
        <v>53</v>
      </c>
      <c r="T117" s="8" t="s">
        <v>69</v>
      </c>
      <c r="U117" s="8" t="s">
        <v>228</v>
      </c>
      <c r="V117" s="8">
        <v>500</v>
      </c>
      <c r="W117" s="8" t="s">
        <v>328</v>
      </c>
      <c r="X117" s="8">
        <v>3000</v>
      </c>
      <c r="Y117" s="8" t="s">
        <v>268</v>
      </c>
      <c r="Z117" s="8">
        <v>85</v>
      </c>
      <c r="AA117" s="8" t="s">
        <v>278</v>
      </c>
      <c r="AB117" s="8" t="s">
        <v>247</v>
      </c>
      <c r="AC117" s="8" t="s">
        <v>228</v>
      </c>
      <c r="AD117" s="8" t="s">
        <v>228</v>
      </c>
      <c r="AE117" s="8" t="s">
        <v>228</v>
      </c>
      <c r="AF117" s="8" t="s">
        <v>228</v>
      </c>
      <c r="AG117" s="8" t="s">
        <v>228</v>
      </c>
      <c r="AH117" s="8" t="s">
        <v>228</v>
      </c>
      <c r="AI117" s="8" t="s">
        <v>228</v>
      </c>
      <c r="AJ117" t="s">
        <v>468</v>
      </c>
      <c r="AK117">
        <v>1</v>
      </c>
      <c r="AL117">
        <v>1</v>
      </c>
      <c r="AM117" t="s">
        <v>83</v>
      </c>
      <c r="AN117" t="s">
        <v>228</v>
      </c>
      <c r="AO117" t="s">
        <v>526</v>
      </c>
      <c r="AP117" t="s">
        <v>109</v>
      </c>
      <c r="AQ117">
        <v>12</v>
      </c>
      <c r="AR117" t="s">
        <v>521</v>
      </c>
      <c r="AS117" t="s">
        <v>228</v>
      </c>
      <c r="AT117" t="s">
        <v>140</v>
      </c>
      <c r="AU117">
        <v>1</v>
      </c>
      <c r="AV117">
        <v>1</v>
      </c>
      <c r="AW117" t="s">
        <v>406</v>
      </c>
      <c r="AX117" t="s">
        <v>283</v>
      </c>
      <c r="AY117" t="s">
        <v>217</v>
      </c>
      <c r="AZ117">
        <v>1</v>
      </c>
      <c r="BA117" t="s">
        <v>408</v>
      </c>
      <c r="BB117" t="s">
        <v>542</v>
      </c>
      <c r="BC117" t="s">
        <v>395</v>
      </c>
      <c r="BD117" t="s">
        <v>228</v>
      </c>
      <c r="BE117" t="s">
        <v>522</v>
      </c>
      <c r="BF117" t="s">
        <v>523</v>
      </c>
      <c r="BG117" t="s">
        <v>407</v>
      </c>
      <c r="BH117" t="s">
        <v>396</v>
      </c>
      <c r="BI117" t="s">
        <v>524</v>
      </c>
      <c r="BJ117" t="s">
        <v>228</v>
      </c>
      <c r="BK117" t="s">
        <v>543</v>
      </c>
      <c r="BL117" t="s">
        <v>228</v>
      </c>
      <c r="BM117" t="s">
        <v>228</v>
      </c>
      <c r="BN117" t="s">
        <v>228</v>
      </c>
      <c r="BO117" t="s">
        <v>228</v>
      </c>
      <c r="BP117" t="s">
        <v>228</v>
      </c>
      <c r="BQ117" t="s">
        <v>228</v>
      </c>
      <c r="BR117" t="s">
        <v>228</v>
      </c>
      <c r="BS117" t="s">
        <v>409</v>
      </c>
      <c r="BT117">
        <v>1</v>
      </c>
    </row>
    <row r="118" spans="1:72" x14ac:dyDescent="0.15">
      <c r="A118" s="43">
        <v>2023</v>
      </c>
      <c r="B118" s="8">
        <v>1</v>
      </c>
      <c r="C118" s="8">
        <v>1</v>
      </c>
      <c r="D118" s="8">
        <v>18</v>
      </c>
      <c r="E118" s="8" t="s">
        <v>228</v>
      </c>
      <c r="F118" s="8" t="s">
        <v>57</v>
      </c>
      <c r="G118" s="8">
        <v>2016</v>
      </c>
      <c r="H118" s="8">
        <v>12</v>
      </c>
      <c r="I118" s="8" t="s">
        <v>521</v>
      </c>
      <c r="J118" s="8" t="s">
        <v>228</v>
      </c>
      <c r="K118" s="8">
        <v>1983</v>
      </c>
      <c r="L118" s="17">
        <v>1</v>
      </c>
      <c r="M118" s="8">
        <v>1</v>
      </c>
      <c r="N118" s="8" t="s">
        <v>48</v>
      </c>
      <c r="O118" s="8" t="s">
        <v>283</v>
      </c>
      <c r="P118" s="8" t="s">
        <v>217</v>
      </c>
      <c r="Q118" s="8">
        <v>3000</v>
      </c>
      <c r="R118" s="8" t="s">
        <v>57</v>
      </c>
      <c r="S118" s="8" t="s">
        <v>52</v>
      </c>
      <c r="T118" s="8" t="s">
        <v>69</v>
      </c>
      <c r="U118" s="8" t="s">
        <v>228</v>
      </c>
      <c r="V118" s="8">
        <v>500</v>
      </c>
      <c r="W118" s="8" t="s">
        <v>328</v>
      </c>
      <c r="X118" s="8">
        <v>3000</v>
      </c>
      <c r="Y118" s="8" t="s">
        <v>268</v>
      </c>
      <c r="Z118" s="8">
        <v>85</v>
      </c>
      <c r="AA118" s="8" t="s">
        <v>278</v>
      </c>
      <c r="AB118" s="8" t="s">
        <v>247</v>
      </c>
      <c r="AC118" s="8" t="s">
        <v>228</v>
      </c>
      <c r="AD118" s="8" t="s">
        <v>228</v>
      </c>
      <c r="AE118" s="8" t="s">
        <v>228</v>
      </c>
      <c r="AF118" s="8" t="s">
        <v>228</v>
      </c>
      <c r="AG118" s="8" t="s">
        <v>228</v>
      </c>
      <c r="AH118" s="8" t="s">
        <v>228</v>
      </c>
      <c r="AI118" s="8" t="s">
        <v>228</v>
      </c>
      <c r="AJ118" t="s">
        <v>468</v>
      </c>
      <c r="AK118">
        <v>1</v>
      </c>
      <c r="AL118">
        <v>1</v>
      </c>
      <c r="AM118" t="s">
        <v>83</v>
      </c>
      <c r="AN118" t="s">
        <v>228</v>
      </c>
      <c r="AO118" t="s">
        <v>526</v>
      </c>
      <c r="AP118" t="s">
        <v>109</v>
      </c>
      <c r="AQ118">
        <v>12</v>
      </c>
      <c r="AR118" t="s">
        <v>521</v>
      </c>
      <c r="AS118" t="s">
        <v>228</v>
      </c>
      <c r="AT118" t="s">
        <v>140</v>
      </c>
      <c r="AU118">
        <v>1</v>
      </c>
      <c r="AV118">
        <v>1</v>
      </c>
      <c r="AW118" t="s">
        <v>406</v>
      </c>
      <c r="AX118" t="s">
        <v>283</v>
      </c>
      <c r="AY118" t="s">
        <v>217</v>
      </c>
      <c r="AZ118">
        <v>1</v>
      </c>
      <c r="BA118" t="s">
        <v>408</v>
      </c>
      <c r="BB118" t="s">
        <v>405</v>
      </c>
      <c r="BC118" t="s">
        <v>395</v>
      </c>
      <c r="BD118" t="s">
        <v>228</v>
      </c>
      <c r="BE118" t="s">
        <v>522</v>
      </c>
      <c r="BF118" t="s">
        <v>523</v>
      </c>
      <c r="BG118" t="s">
        <v>407</v>
      </c>
      <c r="BH118" t="s">
        <v>396</v>
      </c>
      <c r="BI118" t="s">
        <v>524</v>
      </c>
      <c r="BJ118" t="s">
        <v>228</v>
      </c>
      <c r="BK118" t="s">
        <v>543</v>
      </c>
      <c r="BL118" t="s">
        <v>228</v>
      </c>
      <c r="BM118" t="s">
        <v>228</v>
      </c>
      <c r="BN118" t="s">
        <v>228</v>
      </c>
      <c r="BO118" t="s">
        <v>228</v>
      </c>
      <c r="BP118" t="s">
        <v>228</v>
      </c>
      <c r="BQ118" t="s">
        <v>228</v>
      </c>
      <c r="BR118" t="s">
        <v>228</v>
      </c>
      <c r="BS118" t="s">
        <v>409</v>
      </c>
      <c r="BT118">
        <v>1</v>
      </c>
    </row>
    <row r="119" spans="1:72" x14ac:dyDescent="0.15">
      <c r="A119" s="43">
        <v>2023</v>
      </c>
      <c r="B119" s="8">
        <v>1</v>
      </c>
      <c r="C119" s="8">
        <v>1</v>
      </c>
      <c r="D119" s="8">
        <v>18</v>
      </c>
      <c r="E119" s="8" t="s">
        <v>228</v>
      </c>
      <c r="F119" s="8" t="s">
        <v>57</v>
      </c>
      <c r="G119" s="8">
        <v>2016</v>
      </c>
      <c r="H119" s="8">
        <v>12</v>
      </c>
      <c r="I119" s="8" t="s">
        <v>521</v>
      </c>
      <c r="J119" s="8" t="s">
        <v>228</v>
      </c>
      <c r="K119" s="8">
        <v>1983</v>
      </c>
      <c r="L119" s="17">
        <v>1</v>
      </c>
      <c r="M119" s="8">
        <v>1</v>
      </c>
      <c r="N119" s="8" t="s">
        <v>48</v>
      </c>
      <c r="O119" s="8" t="s">
        <v>283</v>
      </c>
      <c r="P119" s="8" t="s">
        <v>217</v>
      </c>
      <c r="Q119" s="8">
        <v>3000</v>
      </c>
      <c r="R119" s="8" t="s">
        <v>57</v>
      </c>
      <c r="S119" s="8" t="s">
        <v>54</v>
      </c>
      <c r="T119" s="8" t="s">
        <v>69</v>
      </c>
      <c r="U119" s="8" t="s">
        <v>228</v>
      </c>
      <c r="V119" s="8">
        <v>500</v>
      </c>
      <c r="W119" s="8" t="s">
        <v>328</v>
      </c>
      <c r="X119" s="8">
        <v>3000</v>
      </c>
      <c r="Y119" s="8" t="s">
        <v>271</v>
      </c>
      <c r="Z119" s="8">
        <v>85</v>
      </c>
      <c r="AA119" s="8" t="s">
        <v>278</v>
      </c>
      <c r="AB119" s="8" t="s">
        <v>228</v>
      </c>
      <c r="AC119" s="8" t="s">
        <v>228</v>
      </c>
      <c r="AD119" s="8" t="s">
        <v>228</v>
      </c>
      <c r="AE119" s="8" t="s">
        <v>228</v>
      </c>
      <c r="AF119" s="8" t="s">
        <v>228</v>
      </c>
      <c r="AG119" s="8" t="s">
        <v>228</v>
      </c>
      <c r="AH119" s="8" t="s">
        <v>228</v>
      </c>
      <c r="AI119" s="8" t="s">
        <v>228</v>
      </c>
      <c r="AJ119" t="s">
        <v>468</v>
      </c>
      <c r="AK119">
        <v>1</v>
      </c>
      <c r="AL119">
        <v>1</v>
      </c>
      <c r="AM119" t="s">
        <v>83</v>
      </c>
      <c r="AN119" t="s">
        <v>228</v>
      </c>
      <c r="AO119" t="s">
        <v>526</v>
      </c>
      <c r="AP119" t="s">
        <v>109</v>
      </c>
      <c r="AQ119">
        <v>12</v>
      </c>
      <c r="AR119" t="s">
        <v>521</v>
      </c>
      <c r="AS119" t="s">
        <v>228</v>
      </c>
      <c r="AT119" t="s">
        <v>140</v>
      </c>
      <c r="AU119">
        <v>1</v>
      </c>
      <c r="AV119">
        <v>1</v>
      </c>
      <c r="AW119" t="s">
        <v>406</v>
      </c>
      <c r="AX119" t="s">
        <v>283</v>
      </c>
      <c r="AY119" t="s">
        <v>217</v>
      </c>
      <c r="AZ119">
        <v>1</v>
      </c>
      <c r="BA119" t="s">
        <v>408</v>
      </c>
      <c r="BB119" t="s">
        <v>541</v>
      </c>
      <c r="BC119" t="s">
        <v>395</v>
      </c>
      <c r="BD119" t="s">
        <v>228</v>
      </c>
      <c r="BE119" t="s">
        <v>522</v>
      </c>
      <c r="BF119" t="s">
        <v>523</v>
      </c>
      <c r="BG119" t="s">
        <v>407</v>
      </c>
      <c r="BH119" t="s">
        <v>544</v>
      </c>
      <c r="BI119" t="s">
        <v>524</v>
      </c>
      <c r="BJ119" t="s">
        <v>228</v>
      </c>
      <c r="BK119" t="s">
        <v>228</v>
      </c>
      <c r="BL119" t="s">
        <v>228</v>
      </c>
      <c r="BM119" t="s">
        <v>228</v>
      </c>
      <c r="BN119" t="s">
        <v>228</v>
      </c>
      <c r="BO119" t="s">
        <v>228</v>
      </c>
      <c r="BP119" t="s">
        <v>228</v>
      </c>
      <c r="BQ119" t="s">
        <v>228</v>
      </c>
      <c r="BR119" t="s">
        <v>228</v>
      </c>
      <c r="BS119" t="s">
        <v>409</v>
      </c>
      <c r="BT119">
        <v>1</v>
      </c>
    </row>
    <row r="120" spans="1:72" x14ac:dyDescent="0.15">
      <c r="A120" s="43">
        <v>2023</v>
      </c>
      <c r="B120" s="8">
        <v>1</v>
      </c>
      <c r="C120" s="8">
        <v>1</v>
      </c>
      <c r="D120" s="8">
        <v>18</v>
      </c>
      <c r="E120" s="8" t="s">
        <v>228</v>
      </c>
      <c r="F120" s="8" t="s">
        <v>57</v>
      </c>
      <c r="G120" s="8">
        <v>2016</v>
      </c>
      <c r="H120" s="8">
        <v>12</v>
      </c>
      <c r="I120" s="8" t="s">
        <v>521</v>
      </c>
      <c r="J120" s="8" t="s">
        <v>228</v>
      </c>
      <c r="K120" s="8">
        <v>1983</v>
      </c>
      <c r="L120" s="17">
        <v>1</v>
      </c>
      <c r="M120" s="8">
        <v>1</v>
      </c>
      <c r="N120" s="8" t="s">
        <v>48</v>
      </c>
      <c r="O120" s="8" t="s">
        <v>283</v>
      </c>
      <c r="P120" s="8" t="s">
        <v>217</v>
      </c>
      <c r="Q120" s="8">
        <v>3000</v>
      </c>
      <c r="R120" s="8" t="s">
        <v>57</v>
      </c>
      <c r="S120" s="8" t="s">
        <v>53</v>
      </c>
      <c r="T120" s="8" t="s">
        <v>69</v>
      </c>
      <c r="U120" s="8" t="s">
        <v>228</v>
      </c>
      <c r="V120" s="8">
        <v>500</v>
      </c>
      <c r="W120" s="8" t="s">
        <v>328</v>
      </c>
      <c r="X120" s="8">
        <v>3000</v>
      </c>
      <c r="Y120" s="8" t="s">
        <v>271</v>
      </c>
      <c r="Z120" s="8">
        <v>85</v>
      </c>
      <c r="AA120" s="8" t="s">
        <v>278</v>
      </c>
      <c r="AB120" s="8" t="s">
        <v>228</v>
      </c>
      <c r="AC120" s="8" t="s">
        <v>228</v>
      </c>
      <c r="AD120" s="8" t="s">
        <v>228</v>
      </c>
      <c r="AE120" s="8" t="s">
        <v>228</v>
      </c>
      <c r="AF120" s="8" t="s">
        <v>228</v>
      </c>
      <c r="AG120" s="8" t="s">
        <v>228</v>
      </c>
      <c r="AH120" s="8" t="s">
        <v>228</v>
      </c>
      <c r="AI120" s="8" t="s">
        <v>228</v>
      </c>
      <c r="AJ120" t="s">
        <v>468</v>
      </c>
      <c r="AK120">
        <v>1</v>
      </c>
      <c r="AL120">
        <v>1</v>
      </c>
      <c r="AM120" t="s">
        <v>83</v>
      </c>
      <c r="AN120" t="s">
        <v>228</v>
      </c>
      <c r="AO120" t="s">
        <v>526</v>
      </c>
      <c r="AP120" t="s">
        <v>109</v>
      </c>
      <c r="AQ120">
        <v>12</v>
      </c>
      <c r="AR120" t="s">
        <v>521</v>
      </c>
      <c r="AS120" t="s">
        <v>228</v>
      </c>
      <c r="AT120" t="s">
        <v>140</v>
      </c>
      <c r="AU120">
        <v>1</v>
      </c>
      <c r="AV120">
        <v>1</v>
      </c>
      <c r="AW120" t="s">
        <v>406</v>
      </c>
      <c r="AX120" t="s">
        <v>283</v>
      </c>
      <c r="AY120" t="s">
        <v>217</v>
      </c>
      <c r="AZ120">
        <v>1</v>
      </c>
      <c r="BA120" t="s">
        <v>408</v>
      </c>
      <c r="BB120" t="s">
        <v>542</v>
      </c>
      <c r="BC120" t="s">
        <v>395</v>
      </c>
      <c r="BD120" t="s">
        <v>228</v>
      </c>
      <c r="BE120" t="s">
        <v>522</v>
      </c>
      <c r="BF120" t="s">
        <v>523</v>
      </c>
      <c r="BG120" t="s">
        <v>407</v>
      </c>
      <c r="BH120" t="s">
        <v>544</v>
      </c>
      <c r="BI120" t="s">
        <v>524</v>
      </c>
      <c r="BJ120" t="s">
        <v>228</v>
      </c>
      <c r="BK120" t="s">
        <v>228</v>
      </c>
      <c r="BL120" t="s">
        <v>228</v>
      </c>
      <c r="BM120" t="s">
        <v>228</v>
      </c>
      <c r="BN120" t="s">
        <v>228</v>
      </c>
      <c r="BO120" t="s">
        <v>228</v>
      </c>
      <c r="BP120" t="s">
        <v>228</v>
      </c>
      <c r="BQ120" t="s">
        <v>228</v>
      </c>
      <c r="BR120" t="s">
        <v>228</v>
      </c>
      <c r="BS120" t="s">
        <v>409</v>
      </c>
      <c r="BT120">
        <v>1</v>
      </c>
    </row>
    <row r="121" spans="1:72" x14ac:dyDescent="0.15">
      <c r="A121" s="43">
        <v>2023</v>
      </c>
      <c r="B121" s="8">
        <v>1</v>
      </c>
      <c r="C121" s="8">
        <v>1</v>
      </c>
      <c r="D121" s="8">
        <v>18</v>
      </c>
      <c r="E121" s="8" t="s">
        <v>228</v>
      </c>
      <c r="F121" s="8" t="s">
        <v>57</v>
      </c>
      <c r="G121" s="8">
        <v>2016</v>
      </c>
      <c r="H121" s="8">
        <v>12</v>
      </c>
      <c r="I121" s="8" t="s">
        <v>521</v>
      </c>
      <c r="J121" s="8" t="s">
        <v>228</v>
      </c>
      <c r="K121" s="8">
        <v>1983</v>
      </c>
      <c r="L121" s="17">
        <v>1</v>
      </c>
      <c r="M121" s="8">
        <v>1</v>
      </c>
      <c r="N121" s="8" t="s">
        <v>48</v>
      </c>
      <c r="O121" s="8" t="s">
        <v>283</v>
      </c>
      <c r="P121" s="8" t="s">
        <v>217</v>
      </c>
      <c r="Q121" s="8">
        <v>3000</v>
      </c>
      <c r="R121" s="8" t="s">
        <v>57</v>
      </c>
      <c r="S121" s="8" t="s">
        <v>52</v>
      </c>
      <c r="T121" s="8" t="s">
        <v>69</v>
      </c>
      <c r="U121" s="8" t="s">
        <v>228</v>
      </c>
      <c r="V121" s="8">
        <v>500</v>
      </c>
      <c r="W121" s="8" t="s">
        <v>328</v>
      </c>
      <c r="X121" s="8">
        <v>3000</v>
      </c>
      <c r="Y121" s="8" t="s">
        <v>271</v>
      </c>
      <c r="Z121" s="8">
        <v>85</v>
      </c>
      <c r="AA121" s="8" t="s">
        <v>278</v>
      </c>
      <c r="AB121" s="8" t="s">
        <v>228</v>
      </c>
      <c r="AC121" s="8" t="s">
        <v>228</v>
      </c>
      <c r="AD121" s="8" t="s">
        <v>228</v>
      </c>
      <c r="AE121" s="8" t="s">
        <v>228</v>
      </c>
      <c r="AF121" s="8" t="s">
        <v>228</v>
      </c>
      <c r="AG121" s="8" t="s">
        <v>228</v>
      </c>
      <c r="AH121" s="8" t="s">
        <v>228</v>
      </c>
      <c r="AI121" s="8" t="s">
        <v>228</v>
      </c>
      <c r="AJ121" t="s">
        <v>468</v>
      </c>
      <c r="AK121">
        <v>1</v>
      </c>
      <c r="AL121">
        <v>1</v>
      </c>
      <c r="AM121" t="s">
        <v>83</v>
      </c>
      <c r="AN121" t="s">
        <v>228</v>
      </c>
      <c r="AO121" t="s">
        <v>526</v>
      </c>
      <c r="AP121" t="s">
        <v>109</v>
      </c>
      <c r="AQ121">
        <v>12</v>
      </c>
      <c r="AR121" t="s">
        <v>521</v>
      </c>
      <c r="AS121" t="s">
        <v>228</v>
      </c>
      <c r="AT121" t="s">
        <v>140</v>
      </c>
      <c r="AU121">
        <v>1</v>
      </c>
      <c r="AV121">
        <v>1</v>
      </c>
      <c r="AW121" t="s">
        <v>406</v>
      </c>
      <c r="AX121" t="s">
        <v>283</v>
      </c>
      <c r="AY121" t="s">
        <v>217</v>
      </c>
      <c r="AZ121">
        <v>1</v>
      </c>
      <c r="BA121" t="s">
        <v>408</v>
      </c>
      <c r="BB121" t="s">
        <v>405</v>
      </c>
      <c r="BC121" t="s">
        <v>395</v>
      </c>
      <c r="BD121" t="s">
        <v>228</v>
      </c>
      <c r="BE121" t="s">
        <v>522</v>
      </c>
      <c r="BF121" t="s">
        <v>523</v>
      </c>
      <c r="BG121" t="s">
        <v>407</v>
      </c>
      <c r="BH121" t="s">
        <v>544</v>
      </c>
      <c r="BI121" t="s">
        <v>524</v>
      </c>
      <c r="BJ121" t="s">
        <v>228</v>
      </c>
      <c r="BK121" t="s">
        <v>228</v>
      </c>
      <c r="BL121" t="s">
        <v>228</v>
      </c>
      <c r="BM121" t="s">
        <v>228</v>
      </c>
      <c r="BN121" t="s">
        <v>228</v>
      </c>
      <c r="BO121" t="s">
        <v>228</v>
      </c>
      <c r="BP121" t="s">
        <v>228</v>
      </c>
      <c r="BQ121" t="s">
        <v>228</v>
      </c>
      <c r="BR121" t="s">
        <v>228</v>
      </c>
      <c r="BS121" t="s">
        <v>409</v>
      </c>
      <c r="BT121">
        <v>1</v>
      </c>
    </row>
    <row r="122" spans="1:72" x14ac:dyDescent="0.15">
      <c r="A122" s="43">
        <v>2023</v>
      </c>
      <c r="B122" s="8">
        <v>1</v>
      </c>
      <c r="C122" s="8">
        <v>1</v>
      </c>
      <c r="D122" s="8">
        <v>18</v>
      </c>
      <c r="E122" s="8" t="s">
        <v>228</v>
      </c>
      <c r="F122" s="8" t="s">
        <v>57</v>
      </c>
      <c r="G122" s="8">
        <v>2016</v>
      </c>
      <c r="H122" s="8">
        <v>12</v>
      </c>
      <c r="I122" s="8" t="s">
        <v>521</v>
      </c>
      <c r="J122" s="8" t="s">
        <v>228</v>
      </c>
      <c r="K122" s="8">
        <v>1983</v>
      </c>
      <c r="L122" s="17">
        <v>1</v>
      </c>
      <c r="M122" s="8">
        <v>1</v>
      </c>
      <c r="N122" s="8" t="s">
        <v>48</v>
      </c>
      <c r="O122" s="8" t="s">
        <v>283</v>
      </c>
      <c r="P122" s="8" t="s">
        <v>217</v>
      </c>
      <c r="Q122" s="8">
        <v>3000</v>
      </c>
      <c r="R122" s="8" t="s">
        <v>57</v>
      </c>
      <c r="S122" s="8" t="s">
        <v>54</v>
      </c>
      <c r="T122" s="8" t="s">
        <v>69</v>
      </c>
      <c r="U122" s="8" t="s">
        <v>228</v>
      </c>
      <c r="V122" s="8">
        <v>500</v>
      </c>
      <c r="W122" s="8" t="s">
        <v>328</v>
      </c>
      <c r="X122" s="8">
        <v>3000</v>
      </c>
      <c r="Y122" s="8" t="s">
        <v>271</v>
      </c>
      <c r="Z122" s="8">
        <v>85</v>
      </c>
      <c r="AA122" s="8" t="s">
        <v>278</v>
      </c>
      <c r="AB122" s="8" t="s">
        <v>247</v>
      </c>
      <c r="AC122" s="8" t="s">
        <v>228</v>
      </c>
      <c r="AD122" s="8" t="s">
        <v>228</v>
      </c>
      <c r="AE122" s="8" t="s">
        <v>228</v>
      </c>
      <c r="AF122" s="8" t="s">
        <v>228</v>
      </c>
      <c r="AG122" s="8" t="s">
        <v>228</v>
      </c>
      <c r="AH122" s="8" t="s">
        <v>228</v>
      </c>
      <c r="AI122" s="8" t="s">
        <v>228</v>
      </c>
      <c r="AJ122" t="s">
        <v>468</v>
      </c>
      <c r="AK122">
        <v>1</v>
      </c>
      <c r="AL122">
        <v>1</v>
      </c>
      <c r="AM122" t="s">
        <v>83</v>
      </c>
      <c r="AN122" t="s">
        <v>228</v>
      </c>
      <c r="AO122" t="s">
        <v>526</v>
      </c>
      <c r="AP122" t="s">
        <v>109</v>
      </c>
      <c r="AQ122">
        <v>12</v>
      </c>
      <c r="AR122" t="s">
        <v>521</v>
      </c>
      <c r="AS122" t="s">
        <v>228</v>
      </c>
      <c r="AT122" t="s">
        <v>140</v>
      </c>
      <c r="AU122">
        <v>1</v>
      </c>
      <c r="AV122">
        <v>1</v>
      </c>
      <c r="AW122" t="s">
        <v>406</v>
      </c>
      <c r="AX122" t="s">
        <v>283</v>
      </c>
      <c r="AY122" t="s">
        <v>217</v>
      </c>
      <c r="AZ122">
        <v>1</v>
      </c>
      <c r="BA122" t="s">
        <v>408</v>
      </c>
      <c r="BB122" t="s">
        <v>541</v>
      </c>
      <c r="BC122" t="s">
        <v>395</v>
      </c>
      <c r="BD122" t="s">
        <v>228</v>
      </c>
      <c r="BE122" t="s">
        <v>522</v>
      </c>
      <c r="BF122" t="s">
        <v>523</v>
      </c>
      <c r="BG122" t="s">
        <v>407</v>
      </c>
      <c r="BH122" t="s">
        <v>544</v>
      </c>
      <c r="BI122" t="s">
        <v>524</v>
      </c>
      <c r="BJ122" t="s">
        <v>228</v>
      </c>
      <c r="BK122" t="s">
        <v>543</v>
      </c>
      <c r="BL122" t="s">
        <v>228</v>
      </c>
      <c r="BM122" t="s">
        <v>228</v>
      </c>
      <c r="BN122" t="s">
        <v>228</v>
      </c>
      <c r="BO122" t="s">
        <v>228</v>
      </c>
      <c r="BP122" t="s">
        <v>228</v>
      </c>
      <c r="BQ122" t="s">
        <v>228</v>
      </c>
      <c r="BR122" t="s">
        <v>228</v>
      </c>
      <c r="BS122" t="s">
        <v>409</v>
      </c>
      <c r="BT122">
        <v>1</v>
      </c>
    </row>
    <row r="123" spans="1:72" x14ac:dyDescent="0.15">
      <c r="A123" s="43">
        <v>2023</v>
      </c>
      <c r="B123" s="8">
        <v>1</v>
      </c>
      <c r="C123" s="8">
        <v>1</v>
      </c>
      <c r="D123" s="8">
        <v>18</v>
      </c>
      <c r="E123" s="8" t="s">
        <v>228</v>
      </c>
      <c r="F123" s="8" t="s">
        <v>57</v>
      </c>
      <c r="G123" s="8">
        <v>2016</v>
      </c>
      <c r="H123" s="8">
        <v>12</v>
      </c>
      <c r="I123" s="8" t="s">
        <v>521</v>
      </c>
      <c r="J123" s="8" t="s">
        <v>228</v>
      </c>
      <c r="K123" s="8">
        <v>1983</v>
      </c>
      <c r="L123" s="17">
        <v>1</v>
      </c>
      <c r="M123" s="8">
        <v>1</v>
      </c>
      <c r="N123" s="8" t="s">
        <v>48</v>
      </c>
      <c r="O123" s="8" t="s">
        <v>283</v>
      </c>
      <c r="P123" s="8" t="s">
        <v>217</v>
      </c>
      <c r="Q123" s="8">
        <v>3000</v>
      </c>
      <c r="R123" s="8" t="s">
        <v>57</v>
      </c>
      <c r="S123" s="8" t="s">
        <v>53</v>
      </c>
      <c r="T123" s="8" t="s">
        <v>69</v>
      </c>
      <c r="U123" s="8" t="s">
        <v>228</v>
      </c>
      <c r="V123" s="8">
        <v>500</v>
      </c>
      <c r="W123" s="8" t="s">
        <v>328</v>
      </c>
      <c r="X123" s="8">
        <v>3000</v>
      </c>
      <c r="Y123" s="8" t="s">
        <v>271</v>
      </c>
      <c r="Z123" s="8">
        <v>85</v>
      </c>
      <c r="AA123" s="8" t="s">
        <v>278</v>
      </c>
      <c r="AB123" s="8" t="s">
        <v>247</v>
      </c>
      <c r="AC123" s="8" t="s">
        <v>228</v>
      </c>
      <c r="AD123" s="8" t="s">
        <v>228</v>
      </c>
      <c r="AE123" s="8" t="s">
        <v>228</v>
      </c>
      <c r="AF123" s="8" t="s">
        <v>228</v>
      </c>
      <c r="AG123" s="8" t="s">
        <v>228</v>
      </c>
      <c r="AH123" s="8" t="s">
        <v>228</v>
      </c>
      <c r="AI123" s="8" t="s">
        <v>228</v>
      </c>
      <c r="AJ123" t="s">
        <v>468</v>
      </c>
      <c r="AK123">
        <v>1</v>
      </c>
      <c r="AL123">
        <v>1</v>
      </c>
      <c r="AM123" t="s">
        <v>83</v>
      </c>
      <c r="AN123" t="s">
        <v>228</v>
      </c>
      <c r="AO123" t="s">
        <v>526</v>
      </c>
      <c r="AP123" t="s">
        <v>109</v>
      </c>
      <c r="AQ123">
        <v>12</v>
      </c>
      <c r="AR123" t="s">
        <v>521</v>
      </c>
      <c r="AS123" t="s">
        <v>228</v>
      </c>
      <c r="AT123" t="s">
        <v>140</v>
      </c>
      <c r="AU123">
        <v>1</v>
      </c>
      <c r="AV123">
        <v>1</v>
      </c>
      <c r="AW123" t="s">
        <v>406</v>
      </c>
      <c r="AX123" t="s">
        <v>283</v>
      </c>
      <c r="AY123" t="s">
        <v>217</v>
      </c>
      <c r="AZ123">
        <v>1</v>
      </c>
      <c r="BA123" t="s">
        <v>408</v>
      </c>
      <c r="BB123" t="s">
        <v>542</v>
      </c>
      <c r="BC123" t="s">
        <v>395</v>
      </c>
      <c r="BD123" t="s">
        <v>228</v>
      </c>
      <c r="BE123" t="s">
        <v>522</v>
      </c>
      <c r="BF123" t="s">
        <v>523</v>
      </c>
      <c r="BG123" t="s">
        <v>407</v>
      </c>
      <c r="BH123" t="s">
        <v>544</v>
      </c>
      <c r="BI123" t="s">
        <v>524</v>
      </c>
      <c r="BJ123" t="s">
        <v>228</v>
      </c>
      <c r="BK123" t="s">
        <v>543</v>
      </c>
      <c r="BL123" t="s">
        <v>228</v>
      </c>
      <c r="BM123" t="s">
        <v>228</v>
      </c>
      <c r="BN123" t="s">
        <v>228</v>
      </c>
      <c r="BO123" t="s">
        <v>228</v>
      </c>
      <c r="BP123" t="s">
        <v>228</v>
      </c>
      <c r="BQ123" t="s">
        <v>228</v>
      </c>
      <c r="BR123" t="s">
        <v>228</v>
      </c>
      <c r="BS123" t="s">
        <v>409</v>
      </c>
      <c r="BT123">
        <v>1</v>
      </c>
    </row>
    <row r="124" spans="1:72" x14ac:dyDescent="0.15">
      <c r="A124" s="43">
        <v>2023</v>
      </c>
      <c r="B124" s="8">
        <v>1</v>
      </c>
      <c r="C124" s="8">
        <v>1</v>
      </c>
      <c r="D124" s="8">
        <v>18</v>
      </c>
      <c r="E124" s="8" t="s">
        <v>228</v>
      </c>
      <c r="F124" s="8" t="s">
        <v>57</v>
      </c>
      <c r="G124" s="8">
        <v>2016</v>
      </c>
      <c r="H124" s="8">
        <v>12</v>
      </c>
      <c r="I124" s="8" t="s">
        <v>521</v>
      </c>
      <c r="J124" s="8" t="s">
        <v>228</v>
      </c>
      <c r="K124" s="8">
        <v>1983</v>
      </c>
      <c r="L124" s="17">
        <v>1</v>
      </c>
      <c r="M124" s="8">
        <v>1</v>
      </c>
      <c r="N124" s="8" t="s">
        <v>48</v>
      </c>
      <c r="O124" s="8" t="s">
        <v>283</v>
      </c>
      <c r="P124" s="8" t="s">
        <v>217</v>
      </c>
      <c r="Q124" s="8">
        <v>3000</v>
      </c>
      <c r="R124" s="8" t="s">
        <v>57</v>
      </c>
      <c r="S124" s="8" t="s">
        <v>52</v>
      </c>
      <c r="T124" s="8" t="s">
        <v>69</v>
      </c>
      <c r="U124" s="8" t="s">
        <v>228</v>
      </c>
      <c r="V124" s="8">
        <v>500</v>
      </c>
      <c r="W124" s="8" t="s">
        <v>328</v>
      </c>
      <c r="X124" s="8">
        <v>3000</v>
      </c>
      <c r="Y124" s="8" t="s">
        <v>271</v>
      </c>
      <c r="Z124" s="8">
        <v>85</v>
      </c>
      <c r="AA124" s="8" t="s">
        <v>278</v>
      </c>
      <c r="AB124" s="8" t="s">
        <v>247</v>
      </c>
      <c r="AC124" s="8" t="s">
        <v>228</v>
      </c>
      <c r="AD124" s="8" t="s">
        <v>228</v>
      </c>
      <c r="AE124" s="8" t="s">
        <v>228</v>
      </c>
      <c r="AF124" s="8" t="s">
        <v>228</v>
      </c>
      <c r="AG124" s="8" t="s">
        <v>228</v>
      </c>
      <c r="AH124" s="8" t="s">
        <v>228</v>
      </c>
      <c r="AI124" s="8" t="s">
        <v>228</v>
      </c>
      <c r="AJ124" t="s">
        <v>468</v>
      </c>
      <c r="AK124">
        <v>1</v>
      </c>
      <c r="AL124">
        <v>1</v>
      </c>
      <c r="AM124" t="s">
        <v>83</v>
      </c>
      <c r="AN124" t="s">
        <v>228</v>
      </c>
      <c r="AO124" t="s">
        <v>526</v>
      </c>
      <c r="AP124" t="s">
        <v>109</v>
      </c>
      <c r="AQ124">
        <v>12</v>
      </c>
      <c r="AR124" t="s">
        <v>521</v>
      </c>
      <c r="AS124" t="s">
        <v>228</v>
      </c>
      <c r="AT124" t="s">
        <v>140</v>
      </c>
      <c r="AU124">
        <v>1</v>
      </c>
      <c r="AV124">
        <v>1</v>
      </c>
      <c r="AW124" t="s">
        <v>406</v>
      </c>
      <c r="AX124" t="s">
        <v>283</v>
      </c>
      <c r="AY124" t="s">
        <v>217</v>
      </c>
      <c r="AZ124">
        <v>1</v>
      </c>
      <c r="BA124" t="s">
        <v>408</v>
      </c>
      <c r="BB124" t="s">
        <v>405</v>
      </c>
      <c r="BC124" t="s">
        <v>395</v>
      </c>
      <c r="BD124" t="s">
        <v>228</v>
      </c>
      <c r="BE124" t="s">
        <v>522</v>
      </c>
      <c r="BF124" t="s">
        <v>523</v>
      </c>
      <c r="BG124" t="s">
        <v>407</v>
      </c>
      <c r="BH124" t="s">
        <v>544</v>
      </c>
      <c r="BI124" t="s">
        <v>524</v>
      </c>
      <c r="BJ124" t="s">
        <v>228</v>
      </c>
      <c r="BK124" t="s">
        <v>543</v>
      </c>
      <c r="BL124" t="s">
        <v>228</v>
      </c>
      <c r="BM124" t="s">
        <v>228</v>
      </c>
      <c r="BN124" t="s">
        <v>228</v>
      </c>
      <c r="BO124" t="s">
        <v>228</v>
      </c>
      <c r="BP124" t="s">
        <v>228</v>
      </c>
      <c r="BQ124" t="s">
        <v>228</v>
      </c>
      <c r="BR124" t="s">
        <v>228</v>
      </c>
      <c r="BS124" t="s">
        <v>409</v>
      </c>
      <c r="BT124">
        <v>0</v>
      </c>
    </row>
    <row r="125" spans="1:72" x14ac:dyDescent="0.15">
      <c r="A125" s="43">
        <v>2023</v>
      </c>
      <c r="B125" s="8">
        <v>1</v>
      </c>
      <c r="C125" s="8">
        <v>1</v>
      </c>
      <c r="D125" s="8">
        <v>17</v>
      </c>
      <c r="E125" s="8" t="s">
        <v>228</v>
      </c>
      <c r="F125" s="8" t="s">
        <v>57</v>
      </c>
      <c r="G125" s="8">
        <v>2016</v>
      </c>
      <c r="H125" s="8">
        <v>12</v>
      </c>
      <c r="I125" s="8" t="s">
        <v>521</v>
      </c>
      <c r="J125" s="8" t="s">
        <v>228</v>
      </c>
      <c r="K125" s="8">
        <v>1983</v>
      </c>
      <c r="L125" s="17">
        <v>1</v>
      </c>
      <c r="M125" s="8">
        <v>1</v>
      </c>
      <c r="N125" s="8" t="s">
        <v>48</v>
      </c>
      <c r="O125" s="8" t="s">
        <v>283</v>
      </c>
      <c r="P125" s="8" t="s">
        <v>217</v>
      </c>
      <c r="Q125" s="8">
        <v>3000</v>
      </c>
      <c r="R125" s="8" t="s">
        <v>57</v>
      </c>
      <c r="S125" s="8" t="s">
        <v>54</v>
      </c>
      <c r="T125" s="8" t="s">
        <v>69</v>
      </c>
      <c r="U125" s="8" t="s">
        <v>228</v>
      </c>
      <c r="V125" s="8">
        <v>500</v>
      </c>
      <c r="W125" s="8" t="s">
        <v>328</v>
      </c>
      <c r="X125" s="8">
        <v>3000</v>
      </c>
      <c r="Y125" s="8" t="s">
        <v>268</v>
      </c>
      <c r="Z125" s="8">
        <v>85</v>
      </c>
      <c r="AA125" s="8" t="s">
        <v>278</v>
      </c>
      <c r="AB125" s="8" t="s">
        <v>228</v>
      </c>
      <c r="AC125" s="8" t="s">
        <v>228</v>
      </c>
      <c r="AD125" s="8" t="s">
        <v>228</v>
      </c>
      <c r="AE125" s="8" t="s">
        <v>228</v>
      </c>
      <c r="AF125" s="8" t="s">
        <v>228</v>
      </c>
      <c r="AG125" s="8" t="s">
        <v>228</v>
      </c>
      <c r="AH125" s="8" t="s">
        <v>228</v>
      </c>
      <c r="AI125" s="8" t="s">
        <v>228</v>
      </c>
      <c r="AJ125" t="s">
        <v>468</v>
      </c>
      <c r="AK125">
        <v>1</v>
      </c>
      <c r="AL125">
        <v>1</v>
      </c>
      <c r="AM125" t="s">
        <v>84</v>
      </c>
      <c r="AN125" t="s">
        <v>228</v>
      </c>
      <c r="AO125" t="s">
        <v>526</v>
      </c>
      <c r="AP125" t="s">
        <v>109</v>
      </c>
      <c r="AQ125">
        <v>12</v>
      </c>
      <c r="AR125" t="s">
        <v>521</v>
      </c>
      <c r="AS125" t="s">
        <v>228</v>
      </c>
      <c r="AT125" t="s">
        <v>140</v>
      </c>
      <c r="AU125">
        <v>1</v>
      </c>
      <c r="AV125">
        <v>1</v>
      </c>
      <c r="AW125" t="s">
        <v>406</v>
      </c>
      <c r="AX125" t="s">
        <v>283</v>
      </c>
      <c r="AY125" t="s">
        <v>217</v>
      </c>
      <c r="AZ125">
        <v>1</v>
      </c>
      <c r="BA125" t="s">
        <v>408</v>
      </c>
      <c r="BB125" t="s">
        <v>541</v>
      </c>
      <c r="BC125" t="s">
        <v>395</v>
      </c>
      <c r="BD125" t="s">
        <v>228</v>
      </c>
      <c r="BE125" t="s">
        <v>522</v>
      </c>
      <c r="BF125" t="s">
        <v>523</v>
      </c>
      <c r="BG125" t="s">
        <v>407</v>
      </c>
      <c r="BH125" t="s">
        <v>396</v>
      </c>
      <c r="BI125" t="s">
        <v>524</v>
      </c>
      <c r="BJ125" t="s">
        <v>228</v>
      </c>
      <c r="BK125" t="s">
        <v>228</v>
      </c>
      <c r="BL125" t="s">
        <v>228</v>
      </c>
      <c r="BM125" t="s">
        <v>228</v>
      </c>
      <c r="BN125" t="s">
        <v>228</v>
      </c>
      <c r="BO125" t="s">
        <v>228</v>
      </c>
      <c r="BP125" t="s">
        <v>228</v>
      </c>
      <c r="BQ125" t="s">
        <v>228</v>
      </c>
      <c r="BR125" t="s">
        <v>228</v>
      </c>
      <c r="BS125" t="s">
        <v>409</v>
      </c>
      <c r="BT125">
        <v>1</v>
      </c>
    </row>
    <row r="126" spans="1:72" x14ac:dyDescent="0.15">
      <c r="A126" s="43">
        <v>2023</v>
      </c>
      <c r="B126" s="8">
        <v>1</v>
      </c>
      <c r="C126" s="8">
        <v>1</v>
      </c>
      <c r="D126" s="8">
        <v>17</v>
      </c>
      <c r="E126" s="8" t="s">
        <v>228</v>
      </c>
      <c r="F126" s="8" t="s">
        <v>57</v>
      </c>
      <c r="G126" s="8">
        <v>2016</v>
      </c>
      <c r="H126" s="8">
        <v>12</v>
      </c>
      <c r="I126" s="8" t="s">
        <v>521</v>
      </c>
      <c r="J126" s="8" t="s">
        <v>228</v>
      </c>
      <c r="K126" s="8">
        <v>1983</v>
      </c>
      <c r="L126" s="17">
        <v>1</v>
      </c>
      <c r="M126" s="8">
        <v>1</v>
      </c>
      <c r="N126" s="8" t="s">
        <v>48</v>
      </c>
      <c r="O126" s="8" t="s">
        <v>283</v>
      </c>
      <c r="P126" s="8" t="s">
        <v>217</v>
      </c>
      <c r="Q126" s="8">
        <v>3000</v>
      </c>
      <c r="R126" s="8" t="s">
        <v>57</v>
      </c>
      <c r="S126" s="8" t="s">
        <v>53</v>
      </c>
      <c r="T126" s="8" t="s">
        <v>69</v>
      </c>
      <c r="U126" s="8" t="s">
        <v>228</v>
      </c>
      <c r="V126" s="8">
        <v>500</v>
      </c>
      <c r="W126" s="8" t="s">
        <v>328</v>
      </c>
      <c r="X126" s="8">
        <v>3000</v>
      </c>
      <c r="Y126" s="8" t="s">
        <v>268</v>
      </c>
      <c r="Z126" s="8">
        <v>85</v>
      </c>
      <c r="AA126" s="8" t="s">
        <v>278</v>
      </c>
      <c r="AB126" s="8" t="s">
        <v>228</v>
      </c>
      <c r="AC126" s="8" t="s">
        <v>228</v>
      </c>
      <c r="AD126" s="8" t="s">
        <v>228</v>
      </c>
      <c r="AE126" s="8" t="s">
        <v>228</v>
      </c>
      <c r="AF126" s="8" t="s">
        <v>228</v>
      </c>
      <c r="AG126" s="8" t="s">
        <v>228</v>
      </c>
      <c r="AH126" s="8" t="s">
        <v>228</v>
      </c>
      <c r="AI126" s="8" t="s">
        <v>228</v>
      </c>
      <c r="AJ126" t="s">
        <v>468</v>
      </c>
      <c r="AK126">
        <v>1</v>
      </c>
      <c r="AL126">
        <v>1</v>
      </c>
      <c r="AM126" t="s">
        <v>84</v>
      </c>
      <c r="AN126" t="s">
        <v>228</v>
      </c>
      <c r="AO126" t="s">
        <v>526</v>
      </c>
      <c r="AP126" t="s">
        <v>109</v>
      </c>
      <c r="AQ126">
        <v>12</v>
      </c>
      <c r="AR126" t="s">
        <v>521</v>
      </c>
      <c r="AS126" t="s">
        <v>228</v>
      </c>
      <c r="AT126" t="s">
        <v>140</v>
      </c>
      <c r="AU126">
        <v>1</v>
      </c>
      <c r="AV126">
        <v>1</v>
      </c>
      <c r="AW126" t="s">
        <v>406</v>
      </c>
      <c r="AX126" t="s">
        <v>283</v>
      </c>
      <c r="AY126" t="s">
        <v>217</v>
      </c>
      <c r="AZ126">
        <v>1</v>
      </c>
      <c r="BA126" t="s">
        <v>408</v>
      </c>
      <c r="BB126" t="s">
        <v>542</v>
      </c>
      <c r="BC126" t="s">
        <v>395</v>
      </c>
      <c r="BD126" t="s">
        <v>228</v>
      </c>
      <c r="BE126" t="s">
        <v>522</v>
      </c>
      <c r="BF126" t="s">
        <v>523</v>
      </c>
      <c r="BG126" t="s">
        <v>407</v>
      </c>
      <c r="BH126" t="s">
        <v>396</v>
      </c>
      <c r="BI126" t="s">
        <v>524</v>
      </c>
      <c r="BJ126" t="s">
        <v>228</v>
      </c>
      <c r="BK126" t="s">
        <v>228</v>
      </c>
      <c r="BL126" t="s">
        <v>228</v>
      </c>
      <c r="BM126" t="s">
        <v>228</v>
      </c>
      <c r="BN126" t="s">
        <v>228</v>
      </c>
      <c r="BO126" t="s">
        <v>228</v>
      </c>
      <c r="BP126" t="s">
        <v>228</v>
      </c>
      <c r="BQ126" t="s">
        <v>228</v>
      </c>
      <c r="BR126" t="s">
        <v>228</v>
      </c>
      <c r="BS126" t="s">
        <v>409</v>
      </c>
      <c r="BT126">
        <v>1</v>
      </c>
    </row>
    <row r="127" spans="1:72" x14ac:dyDescent="0.15">
      <c r="A127" s="43">
        <v>2023</v>
      </c>
      <c r="B127" s="8">
        <v>1</v>
      </c>
      <c r="C127" s="8">
        <v>1</v>
      </c>
      <c r="D127" s="8">
        <v>17</v>
      </c>
      <c r="E127" s="8" t="s">
        <v>228</v>
      </c>
      <c r="F127" s="8" t="s">
        <v>57</v>
      </c>
      <c r="G127" s="8">
        <v>2016</v>
      </c>
      <c r="H127" s="8">
        <v>12</v>
      </c>
      <c r="I127" s="8" t="s">
        <v>521</v>
      </c>
      <c r="J127" s="8" t="s">
        <v>228</v>
      </c>
      <c r="K127" s="8">
        <v>1983</v>
      </c>
      <c r="L127" s="17">
        <v>1</v>
      </c>
      <c r="M127" s="8">
        <v>1</v>
      </c>
      <c r="N127" s="8" t="s">
        <v>48</v>
      </c>
      <c r="O127" s="8" t="s">
        <v>283</v>
      </c>
      <c r="P127" s="8" t="s">
        <v>217</v>
      </c>
      <c r="Q127" s="8">
        <v>3000</v>
      </c>
      <c r="R127" s="8" t="s">
        <v>57</v>
      </c>
      <c r="S127" s="8" t="s">
        <v>52</v>
      </c>
      <c r="T127" s="8" t="s">
        <v>69</v>
      </c>
      <c r="U127" s="8" t="s">
        <v>228</v>
      </c>
      <c r="V127" s="8">
        <v>500</v>
      </c>
      <c r="W127" s="8" t="s">
        <v>328</v>
      </c>
      <c r="X127" s="8">
        <v>3000</v>
      </c>
      <c r="Y127" s="8" t="s">
        <v>268</v>
      </c>
      <c r="Z127" s="8">
        <v>85</v>
      </c>
      <c r="AA127" s="8" t="s">
        <v>278</v>
      </c>
      <c r="AB127" s="8" t="s">
        <v>228</v>
      </c>
      <c r="AC127" s="8" t="s">
        <v>228</v>
      </c>
      <c r="AD127" s="8" t="s">
        <v>228</v>
      </c>
      <c r="AE127" s="8" t="s">
        <v>228</v>
      </c>
      <c r="AF127" s="8" t="s">
        <v>228</v>
      </c>
      <c r="AG127" s="8" t="s">
        <v>228</v>
      </c>
      <c r="AH127" s="8" t="s">
        <v>228</v>
      </c>
      <c r="AI127" s="8" t="s">
        <v>228</v>
      </c>
      <c r="AJ127" t="s">
        <v>468</v>
      </c>
      <c r="AK127">
        <v>1</v>
      </c>
      <c r="AL127">
        <v>1</v>
      </c>
      <c r="AM127" t="s">
        <v>84</v>
      </c>
      <c r="AN127" t="s">
        <v>228</v>
      </c>
      <c r="AO127" t="s">
        <v>526</v>
      </c>
      <c r="AP127" t="s">
        <v>109</v>
      </c>
      <c r="AQ127">
        <v>12</v>
      </c>
      <c r="AR127" t="s">
        <v>521</v>
      </c>
      <c r="AS127" t="s">
        <v>228</v>
      </c>
      <c r="AT127" t="s">
        <v>140</v>
      </c>
      <c r="AU127">
        <v>1</v>
      </c>
      <c r="AV127">
        <v>1</v>
      </c>
      <c r="AW127" t="s">
        <v>406</v>
      </c>
      <c r="AX127" t="s">
        <v>283</v>
      </c>
      <c r="AY127" t="s">
        <v>217</v>
      </c>
      <c r="AZ127">
        <v>1</v>
      </c>
      <c r="BA127" t="s">
        <v>408</v>
      </c>
      <c r="BB127" t="s">
        <v>405</v>
      </c>
      <c r="BC127" t="s">
        <v>395</v>
      </c>
      <c r="BD127" t="s">
        <v>228</v>
      </c>
      <c r="BE127" t="s">
        <v>522</v>
      </c>
      <c r="BF127" t="s">
        <v>523</v>
      </c>
      <c r="BG127" t="s">
        <v>407</v>
      </c>
      <c r="BH127" t="s">
        <v>396</v>
      </c>
      <c r="BI127" t="s">
        <v>524</v>
      </c>
      <c r="BJ127" t="s">
        <v>228</v>
      </c>
      <c r="BK127" t="s">
        <v>228</v>
      </c>
      <c r="BL127" t="s">
        <v>228</v>
      </c>
      <c r="BM127" t="s">
        <v>228</v>
      </c>
      <c r="BN127" t="s">
        <v>228</v>
      </c>
      <c r="BO127" t="s">
        <v>228</v>
      </c>
      <c r="BP127" t="s">
        <v>228</v>
      </c>
      <c r="BQ127" t="s">
        <v>228</v>
      </c>
      <c r="BR127" t="s">
        <v>228</v>
      </c>
      <c r="BS127" t="s">
        <v>409</v>
      </c>
      <c r="BT127">
        <v>1</v>
      </c>
    </row>
    <row r="128" spans="1:72" x14ac:dyDescent="0.15">
      <c r="A128" s="43">
        <v>2023</v>
      </c>
      <c r="B128" s="8">
        <v>1</v>
      </c>
      <c r="C128" s="8">
        <v>1</v>
      </c>
      <c r="D128" s="8">
        <v>17</v>
      </c>
      <c r="E128" s="8" t="s">
        <v>228</v>
      </c>
      <c r="F128" s="8" t="s">
        <v>57</v>
      </c>
      <c r="G128" s="8">
        <v>2016</v>
      </c>
      <c r="H128" s="8">
        <v>12</v>
      </c>
      <c r="I128" s="8" t="s">
        <v>521</v>
      </c>
      <c r="J128" s="8" t="s">
        <v>228</v>
      </c>
      <c r="K128" s="8">
        <v>1983</v>
      </c>
      <c r="L128" s="17">
        <v>1</v>
      </c>
      <c r="M128" s="8">
        <v>1</v>
      </c>
      <c r="N128" s="8" t="s">
        <v>48</v>
      </c>
      <c r="O128" s="8" t="s">
        <v>283</v>
      </c>
      <c r="P128" s="8" t="s">
        <v>217</v>
      </c>
      <c r="Q128" s="8">
        <v>3000</v>
      </c>
      <c r="R128" s="8" t="s">
        <v>57</v>
      </c>
      <c r="S128" s="8" t="s">
        <v>54</v>
      </c>
      <c r="T128" s="8" t="s">
        <v>69</v>
      </c>
      <c r="U128" s="8" t="s">
        <v>228</v>
      </c>
      <c r="V128" s="8">
        <v>500</v>
      </c>
      <c r="W128" s="8" t="s">
        <v>328</v>
      </c>
      <c r="X128" s="8">
        <v>3000</v>
      </c>
      <c r="Y128" s="8" t="s">
        <v>268</v>
      </c>
      <c r="Z128" s="8">
        <v>85</v>
      </c>
      <c r="AA128" s="8" t="s">
        <v>278</v>
      </c>
      <c r="AB128" s="8" t="s">
        <v>247</v>
      </c>
      <c r="AC128" s="8" t="s">
        <v>228</v>
      </c>
      <c r="AD128" s="8" t="s">
        <v>228</v>
      </c>
      <c r="AE128" s="8" t="s">
        <v>228</v>
      </c>
      <c r="AF128" s="8" t="s">
        <v>228</v>
      </c>
      <c r="AG128" s="8" t="s">
        <v>228</v>
      </c>
      <c r="AH128" s="8" t="s">
        <v>228</v>
      </c>
      <c r="AI128" s="8" t="s">
        <v>228</v>
      </c>
      <c r="AJ128" t="s">
        <v>468</v>
      </c>
      <c r="AK128">
        <v>1</v>
      </c>
      <c r="AL128">
        <v>1</v>
      </c>
      <c r="AM128" t="s">
        <v>84</v>
      </c>
      <c r="AN128" t="s">
        <v>228</v>
      </c>
      <c r="AO128" t="s">
        <v>526</v>
      </c>
      <c r="AP128" t="s">
        <v>109</v>
      </c>
      <c r="AQ128">
        <v>12</v>
      </c>
      <c r="AR128" t="s">
        <v>521</v>
      </c>
      <c r="AS128" t="s">
        <v>228</v>
      </c>
      <c r="AT128" t="s">
        <v>140</v>
      </c>
      <c r="AU128">
        <v>1</v>
      </c>
      <c r="AV128">
        <v>1</v>
      </c>
      <c r="AW128" t="s">
        <v>406</v>
      </c>
      <c r="AX128" t="s">
        <v>283</v>
      </c>
      <c r="AY128" t="s">
        <v>217</v>
      </c>
      <c r="AZ128">
        <v>1</v>
      </c>
      <c r="BA128" t="s">
        <v>408</v>
      </c>
      <c r="BB128" t="s">
        <v>541</v>
      </c>
      <c r="BC128" t="s">
        <v>395</v>
      </c>
      <c r="BD128" t="s">
        <v>228</v>
      </c>
      <c r="BE128" t="s">
        <v>522</v>
      </c>
      <c r="BF128" t="s">
        <v>523</v>
      </c>
      <c r="BG128" t="s">
        <v>407</v>
      </c>
      <c r="BH128" t="s">
        <v>396</v>
      </c>
      <c r="BI128" t="s">
        <v>524</v>
      </c>
      <c r="BJ128" t="s">
        <v>228</v>
      </c>
      <c r="BK128" t="s">
        <v>543</v>
      </c>
      <c r="BL128" t="s">
        <v>228</v>
      </c>
      <c r="BM128" t="s">
        <v>228</v>
      </c>
      <c r="BN128" t="s">
        <v>228</v>
      </c>
      <c r="BO128" t="s">
        <v>228</v>
      </c>
      <c r="BP128" t="s">
        <v>228</v>
      </c>
      <c r="BQ128" t="s">
        <v>228</v>
      </c>
      <c r="BR128" t="s">
        <v>228</v>
      </c>
      <c r="BS128" t="s">
        <v>409</v>
      </c>
      <c r="BT128">
        <v>1</v>
      </c>
    </row>
    <row r="129" spans="1:72" x14ac:dyDescent="0.15">
      <c r="A129" s="43">
        <v>2023</v>
      </c>
      <c r="B129" s="8">
        <v>1</v>
      </c>
      <c r="C129" s="8">
        <v>1</v>
      </c>
      <c r="D129" s="8">
        <v>17</v>
      </c>
      <c r="E129" s="8" t="s">
        <v>228</v>
      </c>
      <c r="F129" s="8" t="s">
        <v>57</v>
      </c>
      <c r="G129" s="8">
        <v>2016</v>
      </c>
      <c r="H129" s="8">
        <v>12</v>
      </c>
      <c r="I129" s="8" t="s">
        <v>521</v>
      </c>
      <c r="J129" s="8" t="s">
        <v>228</v>
      </c>
      <c r="K129" s="8">
        <v>1983</v>
      </c>
      <c r="L129" s="17">
        <v>1</v>
      </c>
      <c r="M129" s="8">
        <v>1</v>
      </c>
      <c r="N129" s="8" t="s">
        <v>48</v>
      </c>
      <c r="O129" s="8" t="s">
        <v>283</v>
      </c>
      <c r="P129" s="8" t="s">
        <v>217</v>
      </c>
      <c r="Q129" s="8">
        <v>3000</v>
      </c>
      <c r="R129" s="8" t="s">
        <v>57</v>
      </c>
      <c r="S129" s="8" t="s">
        <v>53</v>
      </c>
      <c r="T129" s="8" t="s">
        <v>69</v>
      </c>
      <c r="U129" s="8" t="s">
        <v>228</v>
      </c>
      <c r="V129" s="8">
        <v>500</v>
      </c>
      <c r="W129" s="8" t="s">
        <v>328</v>
      </c>
      <c r="X129" s="8">
        <v>3000</v>
      </c>
      <c r="Y129" s="8" t="s">
        <v>268</v>
      </c>
      <c r="Z129" s="8">
        <v>85</v>
      </c>
      <c r="AA129" s="8" t="s">
        <v>278</v>
      </c>
      <c r="AB129" s="8" t="s">
        <v>247</v>
      </c>
      <c r="AC129" s="8" t="s">
        <v>228</v>
      </c>
      <c r="AD129" s="8" t="s">
        <v>228</v>
      </c>
      <c r="AE129" s="8" t="s">
        <v>228</v>
      </c>
      <c r="AF129" s="8" t="s">
        <v>228</v>
      </c>
      <c r="AG129" s="8" t="s">
        <v>228</v>
      </c>
      <c r="AH129" s="8" t="s">
        <v>228</v>
      </c>
      <c r="AI129" s="8" t="s">
        <v>228</v>
      </c>
      <c r="AJ129" t="s">
        <v>468</v>
      </c>
      <c r="AK129">
        <v>1</v>
      </c>
      <c r="AL129">
        <v>1</v>
      </c>
      <c r="AM129" t="s">
        <v>84</v>
      </c>
      <c r="AN129" t="s">
        <v>228</v>
      </c>
      <c r="AO129" t="s">
        <v>526</v>
      </c>
      <c r="AP129" t="s">
        <v>109</v>
      </c>
      <c r="AQ129">
        <v>12</v>
      </c>
      <c r="AR129" t="s">
        <v>521</v>
      </c>
      <c r="AS129" t="s">
        <v>228</v>
      </c>
      <c r="AT129" t="s">
        <v>140</v>
      </c>
      <c r="AU129">
        <v>1</v>
      </c>
      <c r="AV129">
        <v>1</v>
      </c>
      <c r="AW129" t="s">
        <v>406</v>
      </c>
      <c r="AX129" t="s">
        <v>283</v>
      </c>
      <c r="AY129" t="s">
        <v>217</v>
      </c>
      <c r="AZ129">
        <v>1</v>
      </c>
      <c r="BA129" t="s">
        <v>408</v>
      </c>
      <c r="BB129" t="s">
        <v>542</v>
      </c>
      <c r="BC129" t="s">
        <v>395</v>
      </c>
      <c r="BD129" t="s">
        <v>228</v>
      </c>
      <c r="BE129" t="s">
        <v>522</v>
      </c>
      <c r="BF129" t="s">
        <v>523</v>
      </c>
      <c r="BG129" t="s">
        <v>407</v>
      </c>
      <c r="BH129" t="s">
        <v>396</v>
      </c>
      <c r="BI129" t="s">
        <v>524</v>
      </c>
      <c r="BJ129" t="s">
        <v>228</v>
      </c>
      <c r="BK129" t="s">
        <v>543</v>
      </c>
      <c r="BL129" t="s">
        <v>228</v>
      </c>
      <c r="BM129" t="s">
        <v>228</v>
      </c>
      <c r="BN129" t="s">
        <v>228</v>
      </c>
      <c r="BO129" t="s">
        <v>228</v>
      </c>
      <c r="BP129" t="s">
        <v>228</v>
      </c>
      <c r="BQ129" t="s">
        <v>228</v>
      </c>
      <c r="BR129" t="s">
        <v>228</v>
      </c>
      <c r="BS129" t="s">
        <v>409</v>
      </c>
      <c r="BT129">
        <v>1</v>
      </c>
    </row>
    <row r="130" spans="1:72" x14ac:dyDescent="0.15">
      <c r="A130" s="43">
        <v>2023</v>
      </c>
      <c r="B130" s="8">
        <v>1</v>
      </c>
      <c r="C130" s="8">
        <v>1</v>
      </c>
      <c r="D130" s="8">
        <v>17</v>
      </c>
      <c r="E130" s="8" t="s">
        <v>228</v>
      </c>
      <c r="F130" s="8" t="s">
        <v>57</v>
      </c>
      <c r="G130" s="8">
        <v>2016</v>
      </c>
      <c r="H130" s="8">
        <v>12</v>
      </c>
      <c r="I130" s="8" t="s">
        <v>521</v>
      </c>
      <c r="J130" s="8" t="s">
        <v>228</v>
      </c>
      <c r="K130" s="8">
        <v>1983</v>
      </c>
      <c r="L130" s="17">
        <v>1</v>
      </c>
      <c r="M130" s="8">
        <v>1</v>
      </c>
      <c r="N130" s="8" t="s">
        <v>48</v>
      </c>
      <c r="O130" s="8" t="s">
        <v>283</v>
      </c>
      <c r="P130" s="8" t="s">
        <v>217</v>
      </c>
      <c r="Q130" s="8">
        <v>3000</v>
      </c>
      <c r="R130" s="8" t="s">
        <v>57</v>
      </c>
      <c r="S130" s="8" t="s">
        <v>52</v>
      </c>
      <c r="T130" s="8" t="s">
        <v>69</v>
      </c>
      <c r="U130" s="8" t="s">
        <v>228</v>
      </c>
      <c r="V130" s="8">
        <v>500</v>
      </c>
      <c r="W130" s="8" t="s">
        <v>328</v>
      </c>
      <c r="X130" s="8">
        <v>3000</v>
      </c>
      <c r="Y130" s="8" t="s">
        <v>268</v>
      </c>
      <c r="Z130" s="8">
        <v>85</v>
      </c>
      <c r="AA130" s="8" t="s">
        <v>278</v>
      </c>
      <c r="AB130" s="8" t="s">
        <v>247</v>
      </c>
      <c r="AC130" s="8" t="s">
        <v>228</v>
      </c>
      <c r="AD130" s="8" t="s">
        <v>228</v>
      </c>
      <c r="AE130" s="8" t="s">
        <v>228</v>
      </c>
      <c r="AF130" s="8" t="s">
        <v>228</v>
      </c>
      <c r="AG130" s="8" t="s">
        <v>228</v>
      </c>
      <c r="AH130" s="8" t="s">
        <v>228</v>
      </c>
      <c r="AI130" s="8" t="s">
        <v>228</v>
      </c>
      <c r="AJ130" t="s">
        <v>468</v>
      </c>
      <c r="AK130">
        <v>1</v>
      </c>
      <c r="AL130">
        <v>1</v>
      </c>
      <c r="AM130" t="s">
        <v>84</v>
      </c>
      <c r="AN130" t="s">
        <v>228</v>
      </c>
      <c r="AO130" t="s">
        <v>526</v>
      </c>
      <c r="AP130" t="s">
        <v>109</v>
      </c>
      <c r="AQ130">
        <v>12</v>
      </c>
      <c r="AR130" t="s">
        <v>521</v>
      </c>
      <c r="AS130" t="s">
        <v>228</v>
      </c>
      <c r="AT130" t="s">
        <v>140</v>
      </c>
      <c r="AU130">
        <v>1</v>
      </c>
      <c r="AV130">
        <v>1</v>
      </c>
      <c r="AW130" t="s">
        <v>406</v>
      </c>
      <c r="AX130" t="s">
        <v>283</v>
      </c>
      <c r="AY130" t="s">
        <v>217</v>
      </c>
      <c r="AZ130">
        <v>1</v>
      </c>
      <c r="BA130" t="s">
        <v>408</v>
      </c>
      <c r="BB130" t="s">
        <v>405</v>
      </c>
      <c r="BC130" t="s">
        <v>395</v>
      </c>
      <c r="BD130" t="s">
        <v>228</v>
      </c>
      <c r="BE130" t="s">
        <v>522</v>
      </c>
      <c r="BF130" t="s">
        <v>523</v>
      </c>
      <c r="BG130" t="s">
        <v>407</v>
      </c>
      <c r="BH130" t="s">
        <v>396</v>
      </c>
      <c r="BI130" t="s">
        <v>524</v>
      </c>
      <c r="BJ130" t="s">
        <v>228</v>
      </c>
      <c r="BK130" t="s">
        <v>543</v>
      </c>
      <c r="BL130" t="s">
        <v>228</v>
      </c>
      <c r="BM130" t="s">
        <v>228</v>
      </c>
      <c r="BN130" t="s">
        <v>228</v>
      </c>
      <c r="BO130" t="s">
        <v>228</v>
      </c>
      <c r="BP130" t="s">
        <v>228</v>
      </c>
      <c r="BQ130" t="s">
        <v>228</v>
      </c>
      <c r="BR130" t="s">
        <v>228</v>
      </c>
      <c r="BS130" t="s">
        <v>409</v>
      </c>
      <c r="BT130">
        <v>1</v>
      </c>
    </row>
    <row r="131" spans="1:72" x14ac:dyDescent="0.15">
      <c r="A131" s="43">
        <v>2023</v>
      </c>
      <c r="B131" s="8">
        <v>1</v>
      </c>
      <c r="C131" s="8">
        <v>1</v>
      </c>
      <c r="D131" s="8">
        <v>17</v>
      </c>
      <c r="E131" s="8" t="s">
        <v>228</v>
      </c>
      <c r="F131" s="8" t="s">
        <v>57</v>
      </c>
      <c r="G131" s="8">
        <v>2016</v>
      </c>
      <c r="H131" s="8">
        <v>12</v>
      </c>
      <c r="I131" s="8" t="s">
        <v>521</v>
      </c>
      <c r="J131" s="8" t="s">
        <v>228</v>
      </c>
      <c r="K131" s="8">
        <v>1983</v>
      </c>
      <c r="L131" s="17">
        <v>1</v>
      </c>
      <c r="M131" s="8">
        <v>1</v>
      </c>
      <c r="N131" s="8" t="s">
        <v>48</v>
      </c>
      <c r="O131" s="8" t="s">
        <v>283</v>
      </c>
      <c r="P131" s="8" t="s">
        <v>217</v>
      </c>
      <c r="Q131" s="8">
        <v>3000</v>
      </c>
      <c r="R131" s="8" t="s">
        <v>57</v>
      </c>
      <c r="S131" s="8" t="s">
        <v>54</v>
      </c>
      <c r="T131" s="8" t="s">
        <v>69</v>
      </c>
      <c r="U131" s="8" t="s">
        <v>228</v>
      </c>
      <c r="V131" s="8">
        <v>500</v>
      </c>
      <c r="W131" s="8" t="s">
        <v>328</v>
      </c>
      <c r="X131" s="8">
        <v>3000</v>
      </c>
      <c r="Y131" s="8" t="s">
        <v>271</v>
      </c>
      <c r="Z131" s="8">
        <v>85</v>
      </c>
      <c r="AA131" s="8" t="s">
        <v>278</v>
      </c>
      <c r="AB131" s="8" t="s">
        <v>228</v>
      </c>
      <c r="AC131" s="8" t="s">
        <v>228</v>
      </c>
      <c r="AD131" s="8" t="s">
        <v>228</v>
      </c>
      <c r="AE131" s="8" t="s">
        <v>228</v>
      </c>
      <c r="AF131" s="8" t="s">
        <v>228</v>
      </c>
      <c r="AG131" s="8" t="s">
        <v>228</v>
      </c>
      <c r="AH131" s="8" t="s">
        <v>228</v>
      </c>
      <c r="AI131" s="8" t="s">
        <v>228</v>
      </c>
      <c r="AJ131" t="s">
        <v>468</v>
      </c>
      <c r="AK131">
        <v>1</v>
      </c>
      <c r="AL131">
        <v>1</v>
      </c>
      <c r="AM131" t="s">
        <v>84</v>
      </c>
      <c r="AN131" t="s">
        <v>228</v>
      </c>
      <c r="AO131" t="s">
        <v>526</v>
      </c>
      <c r="AP131" t="s">
        <v>109</v>
      </c>
      <c r="AQ131">
        <v>12</v>
      </c>
      <c r="AR131" t="s">
        <v>521</v>
      </c>
      <c r="AS131" t="s">
        <v>228</v>
      </c>
      <c r="AT131" t="s">
        <v>140</v>
      </c>
      <c r="AU131">
        <v>1</v>
      </c>
      <c r="AV131">
        <v>1</v>
      </c>
      <c r="AW131" t="s">
        <v>406</v>
      </c>
      <c r="AX131" t="s">
        <v>283</v>
      </c>
      <c r="AY131" t="s">
        <v>217</v>
      </c>
      <c r="AZ131">
        <v>1</v>
      </c>
      <c r="BA131" t="s">
        <v>408</v>
      </c>
      <c r="BB131" t="s">
        <v>541</v>
      </c>
      <c r="BC131" t="s">
        <v>395</v>
      </c>
      <c r="BD131" t="s">
        <v>228</v>
      </c>
      <c r="BE131" t="s">
        <v>522</v>
      </c>
      <c r="BF131" t="s">
        <v>523</v>
      </c>
      <c r="BG131" t="s">
        <v>407</v>
      </c>
      <c r="BH131" t="s">
        <v>544</v>
      </c>
      <c r="BI131" t="s">
        <v>524</v>
      </c>
      <c r="BJ131" t="s">
        <v>228</v>
      </c>
      <c r="BK131" t="s">
        <v>228</v>
      </c>
      <c r="BL131" t="s">
        <v>228</v>
      </c>
      <c r="BM131" t="s">
        <v>228</v>
      </c>
      <c r="BN131" t="s">
        <v>228</v>
      </c>
      <c r="BO131" t="s">
        <v>228</v>
      </c>
      <c r="BP131" t="s">
        <v>228</v>
      </c>
      <c r="BQ131" t="s">
        <v>228</v>
      </c>
      <c r="BR131" t="s">
        <v>228</v>
      </c>
      <c r="BS131" t="s">
        <v>409</v>
      </c>
      <c r="BT131">
        <v>1</v>
      </c>
    </row>
    <row r="132" spans="1:72" x14ac:dyDescent="0.15">
      <c r="A132" s="43">
        <v>2023</v>
      </c>
      <c r="B132" s="8">
        <v>1</v>
      </c>
      <c r="C132" s="8">
        <v>1</v>
      </c>
      <c r="D132" s="8">
        <v>17</v>
      </c>
      <c r="E132" s="8" t="s">
        <v>228</v>
      </c>
      <c r="F132" s="8" t="s">
        <v>57</v>
      </c>
      <c r="G132" s="8">
        <v>2016</v>
      </c>
      <c r="H132" s="8">
        <v>12</v>
      </c>
      <c r="I132" s="8" t="s">
        <v>521</v>
      </c>
      <c r="J132" s="8" t="s">
        <v>228</v>
      </c>
      <c r="K132" s="8">
        <v>1983</v>
      </c>
      <c r="L132" s="17">
        <v>1</v>
      </c>
      <c r="M132" s="8">
        <v>1</v>
      </c>
      <c r="N132" s="8" t="s">
        <v>48</v>
      </c>
      <c r="O132" s="8" t="s">
        <v>283</v>
      </c>
      <c r="P132" s="8" t="s">
        <v>217</v>
      </c>
      <c r="Q132" s="8">
        <v>3000</v>
      </c>
      <c r="R132" s="8" t="s">
        <v>57</v>
      </c>
      <c r="S132" s="8" t="s">
        <v>53</v>
      </c>
      <c r="T132" s="8" t="s">
        <v>69</v>
      </c>
      <c r="U132" s="8" t="s">
        <v>228</v>
      </c>
      <c r="V132" s="8">
        <v>500</v>
      </c>
      <c r="W132" s="8" t="s">
        <v>328</v>
      </c>
      <c r="X132" s="8">
        <v>3000</v>
      </c>
      <c r="Y132" s="8" t="s">
        <v>271</v>
      </c>
      <c r="Z132" s="8">
        <v>85</v>
      </c>
      <c r="AA132" s="8" t="s">
        <v>278</v>
      </c>
      <c r="AB132" s="8" t="s">
        <v>228</v>
      </c>
      <c r="AC132" s="8" t="s">
        <v>228</v>
      </c>
      <c r="AD132" s="8" t="s">
        <v>228</v>
      </c>
      <c r="AE132" s="8" t="s">
        <v>228</v>
      </c>
      <c r="AF132" s="8" t="s">
        <v>228</v>
      </c>
      <c r="AG132" s="8" t="s">
        <v>228</v>
      </c>
      <c r="AH132" s="8" t="s">
        <v>228</v>
      </c>
      <c r="AI132" s="8" t="s">
        <v>228</v>
      </c>
      <c r="AJ132" t="s">
        <v>468</v>
      </c>
      <c r="AK132">
        <v>1</v>
      </c>
      <c r="AL132">
        <v>1</v>
      </c>
      <c r="AM132" t="s">
        <v>84</v>
      </c>
      <c r="AN132" t="s">
        <v>228</v>
      </c>
      <c r="AO132" t="s">
        <v>526</v>
      </c>
      <c r="AP132" t="s">
        <v>109</v>
      </c>
      <c r="AQ132">
        <v>12</v>
      </c>
      <c r="AR132" t="s">
        <v>521</v>
      </c>
      <c r="AS132" t="s">
        <v>228</v>
      </c>
      <c r="AT132" t="s">
        <v>140</v>
      </c>
      <c r="AU132">
        <v>1</v>
      </c>
      <c r="AV132">
        <v>1</v>
      </c>
      <c r="AW132" t="s">
        <v>406</v>
      </c>
      <c r="AX132" t="s">
        <v>283</v>
      </c>
      <c r="AY132" t="s">
        <v>217</v>
      </c>
      <c r="AZ132">
        <v>1</v>
      </c>
      <c r="BA132" t="s">
        <v>408</v>
      </c>
      <c r="BB132" t="s">
        <v>542</v>
      </c>
      <c r="BC132" t="s">
        <v>395</v>
      </c>
      <c r="BD132" t="s">
        <v>228</v>
      </c>
      <c r="BE132" t="s">
        <v>522</v>
      </c>
      <c r="BF132" t="s">
        <v>523</v>
      </c>
      <c r="BG132" t="s">
        <v>407</v>
      </c>
      <c r="BH132" t="s">
        <v>544</v>
      </c>
      <c r="BI132" t="s">
        <v>524</v>
      </c>
      <c r="BJ132" t="s">
        <v>228</v>
      </c>
      <c r="BK132" t="s">
        <v>228</v>
      </c>
      <c r="BL132" t="s">
        <v>228</v>
      </c>
      <c r="BM132" t="s">
        <v>228</v>
      </c>
      <c r="BN132" t="s">
        <v>228</v>
      </c>
      <c r="BO132" t="s">
        <v>228</v>
      </c>
      <c r="BP132" t="s">
        <v>228</v>
      </c>
      <c r="BQ132" t="s">
        <v>228</v>
      </c>
      <c r="BR132" t="s">
        <v>228</v>
      </c>
      <c r="BS132" t="s">
        <v>409</v>
      </c>
      <c r="BT132">
        <v>1</v>
      </c>
    </row>
    <row r="133" spans="1:72" x14ac:dyDescent="0.15">
      <c r="A133" s="43">
        <v>2023</v>
      </c>
      <c r="B133" s="8">
        <v>1</v>
      </c>
      <c r="C133" s="8">
        <v>1</v>
      </c>
      <c r="D133" s="8">
        <v>17</v>
      </c>
      <c r="E133" s="8" t="s">
        <v>228</v>
      </c>
      <c r="F133" s="8" t="s">
        <v>57</v>
      </c>
      <c r="G133" s="8">
        <v>2016</v>
      </c>
      <c r="H133" s="8">
        <v>12</v>
      </c>
      <c r="I133" s="8" t="s">
        <v>521</v>
      </c>
      <c r="J133" s="8" t="s">
        <v>228</v>
      </c>
      <c r="K133" s="8">
        <v>1983</v>
      </c>
      <c r="L133" s="17">
        <v>1</v>
      </c>
      <c r="M133" s="8">
        <v>1</v>
      </c>
      <c r="N133" s="8" t="s">
        <v>48</v>
      </c>
      <c r="O133" s="8" t="s">
        <v>283</v>
      </c>
      <c r="P133" s="8" t="s">
        <v>217</v>
      </c>
      <c r="Q133" s="8">
        <v>3000</v>
      </c>
      <c r="R133" s="8" t="s">
        <v>57</v>
      </c>
      <c r="S133" s="8" t="s">
        <v>52</v>
      </c>
      <c r="T133" s="8" t="s">
        <v>69</v>
      </c>
      <c r="U133" s="8" t="s">
        <v>228</v>
      </c>
      <c r="V133" s="8">
        <v>500</v>
      </c>
      <c r="W133" s="8" t="s">
        <v>328</v>
      </c>
      <c r="X133" s="8">
        <v>3000</v>
      </c>
      <c r="Y133" s="8" t="s">
        <v>271</v>
      </c>
      <c r="Z133" s="8">
        <v>85</v>
      </c>
      <c r="AA133" s="8" t="s">
        <v>278</v>
      </c>
      <c r="AB133" s="8" t="s">
        <v>228</v>
      </c>
      <c r="AC133" s="8" t="s">
        <v>228</v>
      </c>
      <c r="AD133" s="8" t="s">
        <v>228</v>
      </c>
      <c r="AE133" s="8" t="s">
        <v>228</v>
      </c>
      <c r="AF133" s="8" t="s">
        <v>228</v>
      </c>
      <c r="AG133" s="8" t="s">
        <v>228</v>
      </c>
      <c r="AH133" s="8" t="s">
        <v>228</v>
      </c>
      <c r="AI133" s="8" t="s">
        <v>228</v>
      </c>
      <c r="AJ133" t="s">
        <v>468</v>
      </c>
      <c r="AK133">
        <v>1</v>
      </c>
      <c r="AL133">
        <v>1</v>
      </c>
      <c r="AM133" t="s">
        <v>84</v>
      </c>
      <c r="AN133" t="s">
        <v>228</v>
      </c>
      <c r="AO133" t="s">
        <v>526</v>
      </c>
      <c r="AP133" t="s">
        <v>109</v>
      </c>
      <c r="AQ133">
        <v>12</v>
      </c>
      <c r="AR133" t="s">
        <v>521</v>
      </c>
      <c r="AS133" t="s">
        <v>228</v>
      </c>
      <c r="AT133" t="s">
        <v>140</v>
      </c>
      <c r="AU133">
        <v>1</v>
      </c>
      <c r="AV133">
        <v>1</v>
      </c>
      <c r="AW133" t="s">
        <v>406</v>
      </c>
      <c r="AX133" t="s">
        <v>283</v>
      </c>
      <c r="AY133" t="s">
        <v>217</v>
      </c>
      <c r="AZ133">
        <v>1</v>
      </c>
      <c r="BA133" t="s">
        <v>408</v>
      </c>
      <c r="BB133" t="s">
        <v>405</v>
      </c>
      <c r="BC133" t="s">
        <v>395</v>
      </c>
      <c r="BD133" t="s">
        <v>228</v>
      </c>
      <c r="BE133" t="s">
        <v>522</v>
      </c>
      <c r="BF133" t="s">
        <v>523</v>
      </c>
      <c r="BG133" t="s">
        <v>407</v>
      </c>
      <c r="BH133" t="s">
        <v>544</v>
      </c>
      <c r="BI133" t="s">
        <v>524</v>
      </c>
      <c r="BJ133" t="s">
        <v>228</v>
      </c>
      <c r="BK133" t="s">
        <v>228</v>
      </c>
      <c r="BL133" t="s">
        <v>228</v>
      </c>
      <c r="BM133" t="s">
        <v>228</v>
      </c>
      <c r="BN133" t="s">
        <v>228</v>
      </c>
      <c r="BO133" t="s">
        <v>228</v>
      </c>
      <c r="BP133" t="s">
        <v>228</v>
      </c>
      <c r="BQ133" t="s">
        <v>228</v>
      </c>
      <c r="BR133" t="s">
        <v>228</v>
      </c>
      <c r="BS133" t="s">
        <v>409</v>
      </c>
      <c r="BT133">
        <v>1</v>
      </c>
    </row>
    <row r="134" spans="1:72" x14ac:dyDescent="0.15">
      <c r="A134" s="43">
        <v>2023</v>
      </c>
      <c r="B134" s="8">
        <v>1</v>
      </c>
      <c r="C134" s="8">
        <v>1</v>
      </c>
      <c r="D134" s="8">
        <v>17</v>
      </c>
      <c r="E134" s="8" t="s">
        <v>228</v>
      </c>
      <c r="F134" s="8" t="s">
        <v>57</v>
      </c>
      <c r="G134" s="8">
        <v>2016</v>
      </c>
      <c r="H134" s="8">
        <v>12</v>
      </c>
      <c r="I134" s="8" t="s">
        <v>521</v>
      </c>
      <c r="J134" s="8" t="s">
        <v>228</v>
      </c>
      <c r="K134" s="8">
        <v>1983</v>
      </c>
      <c r="L134" s="17">
        <v>1</v>
      </c>
      <c r="M134" s="8">
        <v>1</v>
      </c>
      <c r="N134" s="8" t="s">
        <v>48</v>
      </c>
      <c r="O134" s="8" t="s">
        <v>283</v>
      </c>
      <c r="P134" s="8" t="s">
        <v>217</v>
      </c>
      <c r="Q134" s="8">
        <v>3000</v>
      </c>
      <c r="R134" s="8" t="s">
        <v>57</v>
      </c>
      <c r="S134" s="8" t="s">
        <v>54</v>
      </c>
      <c r="T134" s="8" t="s">
        <v>69</v>
      </c>
      <c r="U134" s="8" t="s">
        <v>228</v>
      </c>
      <c r="V134" s="8">
        <v>500</v>
      </c>
      <c r="W134" s="8" t="s">
        <v>328</v>
      </c>
      <c r="X134" s="8">
        <v>3000</v>
      </c>
      <c r="Y134" s="8" t="s">
        <v>271</v>
      </c>
      <c r="Z134" s="8">
        <v>85</v>
      </c>
      <c r="AA134" s="8" t="s">
        <v>278</v>
      </c>
      <c r="AB134" s="8" t="s">
        <v>247</v>
      </c>
      <c r="AC134" s="8" t="s">
        <v>228</v>
      </c>
      <c r="AD134" s="8" t="s">
        <v>228</v>
      </c>
      <c r="AE134" s="8" t="s">
        <v>228</v>
      </c>
      <c r="AF134" s="8" t="s">
        <v>228</v>
      </c>
      <c r="AG134" s="8" t="s">
        <v>228</v>
      </c>
      <c r="AH134" s="8" t="s">
        <v>228</v>
      </c>
      <c r="AI134" s="8" t="s">
        <v>228</v>
      </c>
      <c r="AJ134" t="s">
        <v>468</v>
      </c>
      <c r="AK134">
        <v>1</v>
      </c>
      <c r="AL134">
        <v>1</v>
      </c>
      <c r="AM134" t="s">
        <v>84</v>
      </c>
      <c r="AN134" t="s">
        <v>228</v>
      </c>
      <c r="AO134" t="s">
        <v>526</v>
      </c>
      <c r="AP134" t="s">
        <v>109</v>
      </c>
      <c r="AQ134">
        <v>12</v>
      </c>
      <c r="AR134" t="s">
        <v>521</v>
      </c>
      <c r="AS134" t="s">
        <v>228</v>
      </c>
      <c r="AT134" t="s">
        <v>140</v>
      </c>
      <c r="AU134">
        <v>1</v>
      </c>
      <c r="AV134">
        <v>1</v>
      </c>
      <c r="AW134" t="s">
        <v>406</v>
      </c>
      <c r="AX134" t="s">
        <v>283</v>
      </c>
      <c r="AY134" t="s">
        <v>217</v>
      </c>
      <c r="AZ134">
        <v>1</v>
      </c>
      <c r="BA134" t="s">
        <v>408</v>
      </c>
      <c r="BB134" t="s">
        <v>541</v>
      </c>
      <c r="BC134" t="s">
        <v>395</v>
      </c>
      <c r="BD134" t="s">
        <v>228</v>
      </c>
      <c r="BE134" t="s">
        <v>522</v>
      </c>
      <c r="BF134" t="s">
        <v>523</v>
      </c>
      <c r="BG134" t="s">
        <v>407</v>
      </c>
      <c r="BH134" t="s">
        <v>544</v>
      </c>
      <c r="BI134" t="s">
        <v>524</v>
      </c>
      <c r="BJ134" t="s">
        <v>228</v>
      </c>
      <c r="BK134" t="s">
        <v>543</v>
      </c>
      <c r="BL134" t="s">
        <v>228</v>
      </c>
      <c r="BM134" t="s">
        <v>228</v>
      </c>
      <c r="BN134" t="s">
        <v>228</v>
      </c>
      <c r="BO134" t="s">
        <v>228</v>
      </c>
      <c r="BP134" t="s">
        <v>228</v>
      </c>
      <c r="BQ134" t="s">
        <v>228</v>
      </c>
      <c r="BR134" t="s">
        <v>228</v>
      </c>
      <c r="BS134" t="s">
        <v>409</v>
      </c>
      <c r="BT134">
        <v>1</v>
      </c>
    </row>
    <row r="135" spans="1:72" x14ac:dyDescent="0.15">
      <c r="A135" s="43">
        <v>2023</v>
      </c>
      <c r="B135" s="8">
        <v>1</v>
      </c>
      <c r="C135" s="8">
        <v>1</v>
      </c>
      <c r="D135" s="8">
        <v>17</v>
      </c>
      <c r="E135" s="8" t="s">
        <v>228</v>
      </c>
      <c r="F135" s="8" t="s">
        <v>57</v>
      </c>
      <c r="G135" s="8">
        <v>2016</v>
      </c>
      <c r="H135" s="8">
        <v>12</v>
      </c>
      <c r="I135" s="8" t="s">
        <v>521</v>
      </c>
      <c r="J135" s="8" t="s">
        <v>228</v>
      </c>
      <c r="K135" s="8">
        <v>1983</v>
      </c>
      <c r="L135" s="17">
        <v>1</v>
      </c>
      <c r="M135" s="8">
        <v>1</v>
      </c>
      <c r="N135" s="8" t="s">
        <v>48</v>
      </c>
      <c r="O135" s="8" t="s">
        <v>283</v>
      </c>
      <c r="P135" s="8" t="s">
        <v>217</v>
      </c>
      <c r="Q135" s="8">
        <v>3000</v>
      </c>
      <c r="R135" s="8" t="s">
        <v>57</v>
      </c>
      <c r="S135" s="8" t="s">
        <v>53</v>
      </c>
      <c r="T135" s="8" t="s">
        <v>69</v>
      </c>
      <c r="U135" s="8" t="s">
        <v>228</v>
      </c>
      <c r="V135" s="8">
        <v>500</v>
      </c>
      <c r="W135" s="8" t="s">
        <v>328</v>
      </c>
      <c r="X135" s="8">
        <v>3000</v>
      </c>
      <c r="Y135" s="8" t="s">
        <v>271</v>
      </c>
      <c r="Z135" s="8">
        <v>85</v>
      </c>
      <c r="AA135" s="8" t="s">
        <v>278</v>
      </c>
      <c r="AB135" s="8" t="s">
        <v>247</v>
      </c>
      <c r="AC135" s="8" t="s">
        <v>228</v>
      </c>
      <c r="AD135" s="8" t="s">
        <v>228</v>
      </c>
      <c r="AE135" s="8" t="s">
        <v>228</v>
      </c>
      <c r="AF135" s="8" t="s">
        <v>228</v>
      </c>
      <c r="AG135" s="8" t="s">
        <v>228</v>
      </c>
      <c r="AH135" s="8" t="s">
        <v>228</v>
      </c>
      <c r="AI135" s="8" t="s">
        <v>228</v>
      </c>
      <c r="AJ135" t="s">
        <v>468</v>
      </c>
      <c r="AK135">
        <v>1</v>
      </c>
      <c r="AL135">
        <v>1</v>
      </c>
      <c r="AM135" t="s">
        <v>84</v>
      </c>
      <c r="AN135" t="s">
        <v>228</v>
      </c>
      <c r="AO135" t="s">
        <v>526</v>
      </c>
      <c r="AP135" t="s">
        <v>109</v>
      </c>
      <c r="AQ135">
        <v>12</v>
      </c>
      <c r="AR135" t="s">
        <v>521</v>
      </c>
      <c r="AS135" t="s">
        <v>228</v>
      </c>
      <c r="AT135" t="s">
        <v>140</v>
      </c>
      <c r="AU135">
        <v>1</v>
      </c>
      <c r="AV135">
        <v>1</v>
      </c>
      <c r="AW135" t="s">
        <v>406</v>
      </c>
      <c r="AX135" t="s">
        <v>283</v>
      </c>
      <c r="AY135" t="s">
        <v>217</v>
      </c>
      <c r="AZ135">
        <v>1</v>
      </c>
      <c r="BA135" t="s">
        <v>408</v>
      </c>
      <c r="BB135" t="s">
        <v>542</v>
      </c>
      <c r="BC135" t="s">
        <v>395</v>
      </c>
      <c r="BD135" t="s">
        <v>228</v>
      </c>
      <c r="BE135" t="s">
        <v>522</v>
      </c>
      <c r="BF135" t="s">
        <v>523</v>
      </c>
      <c r="BG135" t="s">
        <v>407</v>
      </c>
      <c r="BH135" t="s">
        <v>544</v>
      </c>
      <c r="BI135" t="s">
        <v>524</v>
      </c>
      <c r="BJ135" t="s">
        <v>228</v>
      </c>
      <c r="BK135" t="s">
        <v>543</v>
      </c>
      <c r="BL135" t="s">
        <v>228</v>
      </c>
      <c r="BM135" t="s">
        <v>228</v>
      </c>
      <c r="BN135" t="s">
        <v>228</v>
      </c>
      <c r="BO135" t="s">
        <v>228</v>
      </c>
      <c r="BP135" t="s">
        <v>228</v>
      </c>
      <c r="BQ135" t="s">
        <v>228</v>
      </c>
      <c r="BR135" t="s">
        <v>228</v>
      </c>
      <c r="BS135" t="s">
        <v>409</v>
      </c>
      <c r="BT135">
        <v>1</v>
      </c>
    </row>
    <row r="136" spans="1:72" x14ac:dyDescent="0.15">
      <c r="A136" s="43">
        <v>2023</v>
      </c>
      <c r="B136" s="8">
        <v>1</v>
      </c>
      <c r="C136" s="8">
        <v>1</v>
      </c>
      <c r="D136" s="8">
        <v>17</v>
      </c>
      <c r="E136" s="8" t="s">
        <v>228</v>
      </c>
      <c r="F136" s="8" t="s">
        <v>57</v>
      </c>
      <c r="G136" s="8">
        <v>2016</v>
      </c>
      <c r="H136" s="8">
        <v>12</v>
      </c>
      <c r="I136" s="8" t="s">
        <v>521</v>
      </c>
      <c r="J136" s="8" t="s">
        <v>228</v>
      </c>
      <c r="K136" s="8">
        <v>1983</v>
      </c>
      <c r="L136" s="17">
        <v>1</v>
      </c>
      <c r="M136" s="8">
        <v>1</v>
      </c>
      <c r="N136" s="8" t="s">
        <v>48</v>
      </c>
      <c r="O136" s="8" t="s">
        <v>283</v>
      </c>
      <c r="P136" s="8" t="s">
        <v>217</v>
      </c>
      <c r="Q136" s="8">
        <v>3000</v>
      </c>
      <c r="R136" s="8" t="s">
        <v>57</v>
      </c>
      <c r="S136" s="8" t="s">
        <v>52</v>
      </c>
      <c r="T136" s="8" t="s">
        <v>69</v>
      </c>
      <c r="U136" s="8" t="s">
        <v>228</v>
      </c>
      <c r="V136" s="8">
        <v>500</v>
      </c>
      <c r="W136" s="8" t="s">
        <v>328</v>
      </c>
      <c r="X136" s="8">
        <v>3000</v>
      </c>
      <c r="Y136" s="8" t="s">
        <v>271</v>
      </c>
      <c r="Z136" s="8">
        <v>85</v>
      </c>
      <c r="AA136" s="8" t="s">
        <v>278</v>
      </c>
      <c r="AB136" s="8" t="s">
        <v>247</v>
      </c>
      <c r="AC136" s="8" t="s">
        <v>228</v>
      </c>
      <c r="AD136" s="8" t="s">
        <v>228</v>
      </c>
      <c r="AE136" s="8" t="s">
        <v>228</v>
      </c>
      <c r="AF136" s="8" t="s">
        <v>228</v>
      </c>
      <c r="AG136" s="8" t="s">
        <v>228</v>
      </c>
      <c r="AH136" s="8" t="s">
        <v>228</v>
      </c>
      <c r="AI136" s="8" t="s">
        <v>228</v>
      </c>
      <c r="AJ136" t="s">
        <v>468</v>
      </c>
      <c r="AK136">
        <v>1</v>
      </c>
      <c r="AL136">
        <v>1</v>
      </c>
      <c r="AM136" t="s">
        <v>84</v>
      </c>
      <c r="AN136" t="s">
        <v>228</v>
      </c>
      <c r="AO136" t="s">
        <v>526</v>
      </c>
      <c r="AP136" t="s">
        <v>109</v>
      </c>
      <c r="AQ136">
        <v>12</v>
      </c>
      <c r="AR136" t="s">
        <v>521</v>
      </c>
      <c r="AS136" t="s">
        <v>228</v>
      </c>
      <c r="AT136" t="s">
        <v>140</v>
      </c>
      <c r="AU136">
        <v>1</v>
      </c>
      <c r="AV136">
        <v>1</v>
      </c>
      <c r="AW136" t="s">
        <v>406</v>
      </c>
      <c r="AX136" t="s">
        <v>283</v>
      </c>
      <c r="AY136" t="s">
        <v>217</v>
      </c>
      <c r="AZ136">
        <v>1</v>
      </c>
      <c r="BA136" t="s">
        <v>408</v>
      </c>
      <c r="BB136" t="s">
        <v>405</v>
      </c>
      <c r="BC136" t="s">
        <v>395</v>
      </c>
      <c r="BD136" t="s">
        <v>228</v>
      </c>
      <c r="BE136" t="s">
        <v>522</v>
      </c>
      <c r="BF136" t="s">
        <v>523</v>
      </c>
      <c r="BG136" t="s">
        <v>407</v>
      </c>
      <c r="BH136" t="s">
        <v>544</v>
      </c>
      <c r="BI136" t="s">
        <v>524</v>
      </c>
      <c r="BJ136" t="s">
        <v>228</v>
      </c>
      <c r="BK136" t="s">
        <v>543</v>
      </c>
      <c r="BL136" t="s">
        <v>228</v>
      </c>
      <c r="BM136" t="s">
        <v>228</v>
      </c>
      <c r="BN136" t="s">
        <v>228</v>
      </c>
      <c r="BO136" t="s">
        <v>228</v>
      </c>
      <c r="BP136" t="s">
        <v>228</v>
      </c>
      <c r="BQ136" t="s">
        <v>228</v>
      </c>
      <c r="BR136" t="s">
        <v>228</v>
      </c>
      <c r="BS136" t="s">
        <v>409</v>
      </c>
      <c r="BT136">
        <v>0</v>
      </c>
    </row>
    <row r="137" spans="1:72" x14ac:dyDescent="0.15">
      <c r="A137" s="43">
        <v>2023</v>
      </c>
      <c r="B137" s="8">
        <v>1</v>
      </c>
      <c r="C137" s="8">
        <v>1</v>
      </c>
      <c r="D137" s="8">
        <v>16</v>
      </c>
      <c r="E137" s="8" t="s">
        <v>228</v>
      </c>
      <c r="F137" s="8" t="s">
        <v>57</v>
      </c>
      <c r="G137" s="8">
        <v>2016</v>
      </c>
      <c r="H137" s="8">
        <v>12</v>
      </c>
      <c r="I137" s="8" t="s">
        <v>521</v>
      </c>
      <c r="J137" s="8" t="s">
        <v>228</v>
      </c>
      <c r="K137" s="8">
        <v>1983</v>
      </c>
      <c r="L137" s="17">
        <v>1</v>
      </c>
      <c r="M137" s="8">
        <v>1</v>
      </c>
      <c r="N137" s="8" t="s">
        <v>48</v>
      </c>
      <c r="O137" s="8" t="s">
        <v>283</v>
      </c>
      <c r="P137" s="8" t="s">
        <v>217</v>
      </c>
      <c r="Q137" s="8">
        <v>3000</v>
      </c>
      <c r="R137" s="8" t="s">
        <v>57</v>
      </c>
      <c r="S137" s="8" t="s">
        <v>54</v>
      </c>
      <c r="T137" s="8" t="s">
        <v>69</v>
      </c>
      <c r="U137" s="8" t="s">
        <v>228</v>
      </c>
      <c r="V137" s="8">
        <v>500</v>
      </c>
      <c r="W137" s="8" t="s">
        <v>328</v>
      </c>
      <c r="X137" s="8">
        <v>3000</v>
      </c>
      <c r="Y137" s="8" t="s">
        <v>268</v>
      </c>
      <c r="Z137" s="8">
        <v>85</v>
      </c>
      <c r="AA137" s="8" t="s">
        <v>278</v>
      </c>
      <c r="AB137" s="8" t="s">
        <v>228</v>
      </c>
      <c r="AC137" s="8" t="s">
        <v>228</v>
      </c>
      <c r="AD137" s="8" t="s">
        <v>228</v>
      </c>
      <c r="AE137" s="8" t="s">
        <v>228</v>
      </c>
      <c r="AF137" s="8" t="s">
        <v>228</v>
      </c>
      <c r="AG137" s="8" t="s">
        <v>228</v>
      </c>
      <c r="AH137" s="8" t="s">
        <v>228</v>
      </c>
      <c r="AI137" s="8" t="s">
        <v>228</v>
      </c>
      <c r="AJ137" t="s">
        <v>468</v>
      </c>
      <c r="AK137">
        <v>1</v>
      </c>
      <c r="AL137">
        <v>1</v>
      </c>
      <c r="AM137" t="s">
        <v>85</v>
      </c>
      <c r="AN137" t="s">
        <v>228</v>
      </c>
      <c r="AO137" t="s">
        <v>526</v>
      </c>
      <c r="AP137" t="s">
        <v>109</v>
      </c>
      <c r="AQ137">
        <v>12</v>
      </c>
      <c r="AR137" t="s">
        <v>521</v>
      </c>
      <c r="AS137" t="s">
        <v>228</v>
      </c>
      <c r="AT137" t="s">
        <v>140</v>
      </c>
      <c r="AU137">
        <v>1</v>
      </c>
      <c r="AV137">
        <v>1</v>
      </c>
      <c r="AW137" t="s">
        <v>406</v>
      </c>
      <c r="AX137" t="s">
        <v>283</v>
      </c>
      <c r="AY137" t="s">
        <v>217</v>
      </c>
      <c r="AZ137">
        <v>1</v>
      </c>
      <c r="BA137" t="s">
        <v>408</v>
      </c>
      <c r="BB137" t="s">
        <v>541</v>
      </c>
      <c r="BC137" t="s">
        <v>395</v>
      </c>
      <c r="BD137" t="s">
        <v>228</v>
      </c>
      <c r="BE137" t="s">
        <v>522</v>
      </c>
      <c r="BF137" t="s">
        <v>523</v>
      </c>
      <c r="BG137" t="s">
        <v>407</v>
      </c>
      <c r="BH137" t="s">
        <v>396</v>
      </c>
      <c r="BI137" t="s">
        <v>524</v>
      </c>
      <c r="BJ137" t="s">
        <v>228</v>
      </c>
      <c r="BK137" t="s">
        <v>228</v>
      </c>
      <c r="BL137" t="s">
        <v>228</v>
      </c>
      <c r="BM137" t="s">
        <v>228</v>
      </c>
      <c r="BN137" t="s">
        <v>228</v>
      </c>
      <c r="BO137" t="s">
        <v>228</v>
      </c>
      <c r="BP137" t="s">
        <v>228</v>
      </c>
      <c r="BQ137" t="s">
        <v>228</v>
      </c>
      <c r="BR137" t="s">
        <v>228</v>
      </c>
      <c r="BS137" t="s">
        <v>409</v>
      </c>
      <c r="BT137">
        <v>1</v>
      </c>
    </row>
    <row r="138" spans="1:72" x14ac:dyDescent="0.15">
      <c r="A138" s="43">
        <v>2023</v>
      </c>
      <c r="B138" s="8">
        <v>1</v>
      </c>
      <c r="C138" s="8">
        <v>1</v>
      </c>
      <c r="D138" s="8">
        <v>16</v>
      </c>
      <c r="E138" s="8" t="s">
        <v>228</v>
      </c>
      <c r="F138" s="8" t="s">
        <v>57</v>
      </c>
      <c r="G138" s="8">
        <v>2016</v>
      </c>
      <c r="H138" s="8">
        <v>12</v>
      </c>
      <c r="I138" s="8" t="s">
        <v>521</v>
      </c>
      <c r="J138" s="8" t="s">
        <v>228</v>
      </c>
      <c r="K138" s="8">
        <v>1983</v>
      </c>
      <c r="L138" s="17">
        <v>1</v>
      </c>
      <c r="M138" s="8">
        <v>1</v>
      </c>
      <c r="N138" s="8" t="s">
        <v>48</v>
      </c>
      <c r="O138" s="8" t="s">
        <v>283</v>
      </c>
      <c r="P138" s="8" t="s">
        <v>217</v>
      </c>
      <c r="Q138" s="8">
        <v>3000</v>
      </c>
      <c r="R138" s="8" t="s">
        <v>57</v>
      </c>
      <c r="S138" s="8" t="s">
        <v>53</v>
      </c>
      <c r="T138" s="8" t="s">
        <v>69</v>
      </c>
      <c r="U138" s="8" t="s">
        <v>228</v>
      </c>
      <c r="V138" s="8">
        <v>500</v>
      </c>
      <c r="W138" s="8" t="s">
        <v>328</v>
      </c>
      <c r="X138" s="8">
        <v>3000</v>
      </c>
      <c r="Y138" s="8" t="s">
        <v>268</v>
      </c>
      <c r="Z138" s="8">
        <v>85</v>
      </c>
      <c r="AA138" s="8" t="s">
        <v>278</v>
      </c>
      <c r="AB138" s="8" t="s">
        <v>228</v>
      </c>
      <c r="AC138" s="8" t="s">
        <v>228</v>
      </c>
      <c r="AD138" s="8" t="s">
        <v>228</v>
      </c>
      <c r="AE138" s="8" t="s">
        <v>228</v>
      </c>
      <c r="AF138" s="8" t="s">
        <v>228</v>
      </c>
      <c r="AG138" s="8" t="s">
        <v>228</v>
      </c>
      <c r="AH138" s="8" t="s">
        <v>228</v>
      </c>
      <c r="AI138" s="8" t="s">
        <v>228</v>
      </c>
      <c r="AJ138" t="s">
        <v>468</v>
      </c>
      <c r="AK138">
        <v>1</v>
      </c>
      <c r="AL138">
        <v>1</v>
      </c>
      <c r="AM138" t="s">
        <v>85</v>
      </c>
      <c r="AN138" t="s">
        <v>228</v>
      </c>
      <c r="AO138" t="s">
        <v>526</v>
      </c>
      <c r="AP138" t="s">
        <v>109</v>
      </c>
      <c r="AQ138">
        <v>12</v>
      </c>
      <c r="AR138" t="s">
        <v>521</v>
      </c>
      <c r="AS138" t="s">
        <v>228</v>
      </c>
      <c r="AT138" t="s">
        <v>140</v>
      </c>
      <c r="AU138">
        <v>1</v>
      </c>
      <c r="AV138">
        <v>1</v>
      </c>
      <c r="AW138" t="s">
        <v>406</v>
      </c>
      <c r="AX138" t="s">
        <v>283</v>
      </c>
      <c r="AY138" t="s">
        <v>217</v>
      </c>
      <c r="AZ138">
        <v>1</v>
      </c>
      <c r="BA138" t="s">
        <v>408</v>
      </c>
      <c r="BB138" t="s">
        <v>542</v>
      </c>
      <c r="BC138" t="s">
        <v>395</v>
      </c>
      <c r="BD138" t="s">
        <v>228</v>
      </c>
      <c r="BE138" t="s">
        <v>522</v>
      </c>
      <c r="BF138" t="s">
        <v>523</v>
      </c>
      <c r="BG138" t="s">
        <v>407</v>
      </c>
      <c r="BH138" t="s">
        <v>396</v>
      </c>
      <c r="BI138" t="s">
        <v>524</v>
      </c>
      <c r="BJ138" t="s">
        <v>228</v>
      </c>
      <c r="BK138" t="s">
        <v>228</v>
      </c>
      <c r="BL138" t="s">
        <v>228</v>
      </c>
      <c r="BM138" t="s">
        <v>228</v>
      </c>
      <c r="BN138" t="s">
        <v>228</v>
      </c>
      <c r="BO138" t="s">
        <v>228</v>
      </c>
      <c r="BP138" t="s">
        <v>228</v>
      </c>
      <c r="BQ138" t="s">
        <v>228</v>
      </c>
      <c r="BR138" t="s">
        <v>228</v>
      </c>
      <c r="BS138" t="s">
        <v>409</v>
      </c>
      <c r="BT138">
        <v>1</v>
      </c>
    </row>
    <row r="139" spans="1:72" x14ac:dyDescent="0.15">
      <c r="A139" s="43">
        <v>2023</v>
      </c>
      <c r="B139" s="8">
        <v>1</v>
      </c>
      <c r="C139" s="8">
        <v>1</v>
      </c>
      <c r="D139" s="8">
        <v>16</v>
      </c>
      <c r="E139" s="8" t="s">
        <v>228</v>
      </c>
      <c r="F139" s="8" t="s">
        <v>57</v>
      </c>
      <c r="G139" s="8">
        <v>2016</v>
      </c>
      <c r="H139" s="8">
        <v>12</v>
      </c>
      <c r="I139" s="8" t="s">
        <v>521</v>
      </c>
      <c r="J139" s="8" t="s">
        <v>228</v>
      </c>
      <c r="K139" s="8">
        <v>1983</v>
      </c>
      <c r="L139" s="17">
        <v>1</v>
      </c>
      <c r="M139" s="8">
        <v>1</v>
      </c>
      <c r="N139" s="8" t="s">
        <v>48</v>
      </c>
      <c r="O139" s="8" t="s">
        <v>283</v>
      </c>
      <c r="P139" s="8" t="s">
        <v>217</v>
      </c>
      <c r="Q139" s="8">
        <v>3000</v>
      </c>
      <c r="R139" s="8" t="s">
        <v>57</v>
      </c>
      <c r="S139" s="8" t="s">
        <v>52</v>
      </c>
      <c r="T139" s="8" t="s">
        <v>69</v>
      </c>
      <c r="U139" s="8" t="s">
        <v>228</v>
      </c>
      <c r="V139" s="8">
        <v>500</v>
      </c>
      <c r="W139" s="8" t="s">
        <v>328</v>
      </c>
      <c r="X139" s="8">
        <v>3000</v>
      </c>
      <c r="Y139" s="8" t="s">
        <v>268</v>
      </c>
      <c r="Z139" s="8">
        <v>85</v>
      </c>
      <c r="AA139" s="8" t="s">
        <v>278</v>
      </c>
      <c r="AB139" s="8" t="s">
        <v>228</v>
      </c>
      <c r="AC139" s="8" t="s">
        <v>228</v>
      </c>
      <c r="AD139" s="8" t="s">
        <v>228</v>
      </c>
      <c r="AE139" s="8" t="s">
        <v>228</v>
      </c>
      <c r="AF139" s="8" t="s">
        <v>228</v>
      </c>
      <c r="AG139" s="8" t="s">
        <v>228</v>
      </c>
      <c r="AH139" s="8" t="s">
        <v>228</v>
      </c>
      <c r="AI139" s="8" t="s">
        <v>228</v>
      </c>
      <c r="AJ139" t="s">
        <v>468</v>
      </c>
      <c r="AK139">
        <v>1</v>
      </c>
      <c r="AL139">
        <v>1</v>
      </c>
      <c r="AM139" t="s">
        <v>85</v>
      </c>
      <c r="AN139" t="s">
        <v>228</v>
      </c>
      <c r="AO139" t="s">
        <v>526</v>
      </c>
      <c r="AP139" t="s">
        <v>109</v>
      </c>
      <c r="AQ139">
        <v>12</v>
      </c>
      <c r="AR139" t="s">
        <v>521</v>
      </c>
      <c r="AS139" t="s">
        <v>228</v>
      </c>
      <c r="AT139" t="s">
        <v>140</v>
      </c>
      <c r="AU139">
        <v>1</v>
      </c>
      <c r="AV139">
        <v>1</v>
      </c>
      <c r="AW139" t="s">
        <v>406</v>
      </c>
      <c r="AX139" t="s">
        <v>283</v>
      </c>
      <c r="AY139" t="s">
        <v>217</v>
      </c>
      <c r="AZ139">
        <v>1</v>
      </c>
      <c r="BA139" t="s">
        <v>408</v>
      </c>
      <c r="BB139" t="s">
        <v>405</v>
      </c>
      <c r="BC139" t="s">
        <v>395</v>
      </c>
      <c r="BD139" t="s">
        <v>228</v>
      </c>
      <c r="BE139" t="s">
        <v>522</v>
      </c>
      <c r="BF139" t="s">
        <v>523</v>
      </c>
      <c r="BG139" t="s">
        <v>407</v>
      </c>
      <c r="BH139" t="s">
        <v>396</v>
      </c>
      <c r="BI139" t="s">
        <v>524</v>
      </c>
      <c r="BJ139" t="s">
        <v>228</v>
      </c>
      <c r="BK139" t="s">
        <v>228</v>
      </c>
      <c r="BL139" t="s">
        <v>228</v>
      </c>
      <c r="BM139" t="s">
        <v>228</v>
      </c>
      <c r="BN139" t="s">
        <v>228</v>
      </c>
      <c r="BO139" t="s">
        <v>228</v>
      </c>
      <c r="BP139" t="s">
        <v>228</v>
      </c>
      <c r="BQ139" t="s">
        <v>228</v>
      </c>
      <c r="BR139" t="s">
        <v>228</v>
      </c>
      <c r="BS139" t="s">
        <v>409</v>
      </c>
      <c r="BT139">
        <v>1</v>
      </c>
    </row>
    <row r="140" spans="1:72" x14ac:dyDescent="0.15">
      <c r="A140" s="43">
        <v>2023</v>
      </c>
      <c r="B140" s="8">
        <v>1</v>
      </c>
      <c r="C140" s="8">
        <v>1</v>
      </c>
      <c r="D140" s="8">
        <v>16</v>
      </c>
      <c r="E140" s="8" t="s">
        <v>228</v>
      </c>
      <c r="F140" s="8" t="s">
        <v>57</v>
      </c>
      <c r="G140" s="8">
        <v>2016</v>
      </c>
      <c r="H140" s="8">
        <v>12</v>
      </c>
      <c r="I140" s="8" t="s">
        <v>521</v>
      </c>
      <c r="J140" s="8" t="s">
        <v>228</v>
      </c>
      <c r="K140" s="8">
        <v>1983</v>
      </c>
      <c r="L140" s="17">
        <v>1</v>
      </c>
      <c r="M140" s="8">
        <v>1</v>
      </c>
      <c r="N140" s="8" t="s">
        <v>48</v>
      </c>
      <c r="O140" s="8" t="s">
        <v>283</v>
      </c>
      <c r="P140" s="8" t="s">
        <v>217</v>
      </c>
      <c r="Q140" s="8">
        <v>3000</v>
      </c>
      <c r="R140" s="8" t="s">
        <v>57</v>
      </c>
      <c r="S140" s="8" t="s">
        <v>54</v>
      </c>
      <c r="T140" s="8" t="s">
        <v>69</v>
      </c>
      <c r="U140" s="8" t="s">
        <v>228</v>
      </c>
      <c r="V140" s="8">
        <v>500</v>
      </c>
      <c r="W140" s="8" t="s">
        <v>328</v>
      </c>
      <c r="X140" s="8">
        <v>3000</v>
      </c>
      <c r="Y140" s="8" t="s">
        <v>268</v>
      </c>
      <c r="Z140" s="8">
        <v>85</v>
      </c>
      <c r="AA140" s="8" t="s">
        <v>278</v>
      </c>
      <c r="AB140" s="8" t="s">
        <v>247</v>
      </c>
      <c r="AC140" s="8" t="s">
        <v>228</v>
      </c>
      <c r="AD140" s="8" t="s">
        <v>228</v>
      </c>
      <c r="AE140" s="8" t="s">
        <v>228</v>
      </c>
      <c r="AF140" s="8" t="s">
        <v>228</v>
      </c>
      <c r="AG140" s="8" t="s">
        <v>228</v>
      </c>
      <c r="AH140" s="8" t="s">
        <v>228</v>
      </c>
      <c r="AI140" s="8" t="s">
        <v>228</v>
      </c>
      <c r="AJ140" t="s">
        <v>468</v>
      </c>
      <c r="AK140">
        <v>1</v>
      </c>
      <c r="AL140">
        <v>1</v>
      </c>
      <c r="AM140" t="s">
        <v>85</v>
      </c>
      <c r="AN140" t="s">
        <v>228</v>
      </c>
      <c r="AO140" t="s">
        <v>526</v>
      </c>
      <c r="AP140" t="s">
        <v>109</v>
      </c>
      <c r="AQ140">
        <v>12</v>
      </c>
      <c r="AR140" t="s">
        <v>521</v>
      </c>
      <c r="AS140" t="s">
        <v>228</v>
      </c>
      <c r="AT140" t="s">
        <v>140</v>
      </c>
      <c r="AU140">
        <v>1</v>
      </c>
      <c r="AV140">
        <v>1</v>
      </c>
      <c r="AW140" t="s">
        <v>406</v>
      </c>
      <c r="AX140" t="s">
        <v>283</v>
      </c>
      <c r="AY140" t="s">
        <v>217</v>
      </c>
      <c r="AZ140">
        <v>1</v>
      </c>
      <c r="BA140" t="s">
        <v>408</v>
      </c>
      <c r="BB140" t="s">
        <v>541</v>
      </c>
      <c r="BC140" t="s">
        <v>395</v>
      </c>
      <c r="BD140" t="s">
        <v>228</v>
      </c>
      <c r="BE140" t="s">
        <v>522</v>
      </c>
      <c r="BF140" t="s">
        <v>523</v>
      </c>
      <c r="BG140" t="s">
        <v>407</v>
      </c>
      <c r="BH140" t="s">
        <v>396</v>
      </c>
      <c r="BI140" t="s">
        <v>524</v>
      </c>
      <c r="BJ140" t="s">
        <v>228</v>
      </c>
      <c r="BK140" t="s">
        <v>543</v>
      </c>
      <c r="BL140" t="s">
        <v>228</v>
      </c>
      <c r="BM140" t="s">
        <v>228</v>
      </c>
      <c r="BN140" t="s">
        <v>228</v>
      </c>
      <c r="BO140" t="s">
        <v>228</v>
      </c>
      <c r="BP140" t="s">
        <v>228</v>
      </c>
      <c r="BQ140" t="s">
        <v>228</v>
      </c>
      <c r="BR140" t="s">
        <v>228</v>
      </c>
      <c r="BS140" t="s">
        <v>409</v>
      </c>
      <c r="BT140">
        <v>1</v>
      </c>
    </row>
    <row r="141" spans="1:72" x14ac:dyDescent="0.15">
      <c r="A141" s="43">
        <v>2023</v>
      </c>
      <c r="B141" s="8">
        <v>1</v>
      </c>
      <c r="C141" s="8">
        <v>1</v>
      </c>
      <c r="D141" s="8">
        <v>16</v>
      </c>
      <c r="E141" s="8" t="s">
        <v>228</v>
      </c>
      <c r="F141" s="8" t="s">
        <v>57</v>
      </c>
      <c r="G141" s="8">
        <v>2016</v>
      </c>
      <c r="H141" s="8">
        <v>12</v>
      </c>
      <c r="I141" s="8" t="s">
        <v>521</v>
      </c>
      <c r="J141" s="8" t="s">
        <v>228</v>
      </c>
      <c r="K141" s="8">
        <v>1983</v>
      </c>
      <c r="L141" s="17">
        <v>1</v>
      </c>
      <c r="M141" s="8">
        <v>1</v>
      </c>
      <c r="N141" s="8" t="s">
        <v>48</v>
      </c>
      <c r="O141" s="8" t="s">
        <v>283</v>
      </c>
      <c r="P141" s="8" t="s">
        <v>217</v>
      </c>
      <c r="Q141" s="8">
        <v>3000</v>
      </c>
      <c r="R141" s="8" t="s">
        <v>57</v>
      </c>
      <c r="S141" s="8" t="s">
        <v>53</v>
      </c>
      <c r="T141" s="8" t="s">
        <v>69</v>
      </c>
      <c r="U141" s="8" t="s">
        <v>228</v>
      </c>
      <c r="V141" s="8">
        <v>500</v>
      </c>
      <c r="W141" s="8" t="s">
        <v>328</v>
      </c>
      <c r="X141" s="8">
        <v>3000</v>
      </c>
      <c r="Y141" s="8" t="s">
        <v>268</v>
      </c>
      <c r="Z141" s="8">
        <v>85</v>
      </c>
      <c r="AA141" s="8" t="s">
        <v>278</v>
      </c>
      <c r="AB141" s="8" t="s">
        <v>247</v>
      </c>
      <c r="AC141" s="8" t="s">
        <v>228</v>
      </c>
      <c r="AD141" s="8" t="s">
        <v>228</v>
      </c>
      <c r="AE141" s="8" t="s">
        <v>228</v>
      </c>
      <c r="AF141" s="8" t="s">
        <v>228</v>
      </c>
      <c r="AG141" s="8" t="s">
        <v>228</v>
      </c>
      <c r="AH141" s="8" t="s">
        <v>228</v>
      </c>
      <c r="AI141" s="8" t="s">
        <v>228</v>
      </c>
      <c r="AJ141" t="s">
        <v>468</v>
      </c>
      <c r="AK141">
        <v>1</v>
      </c>
      <c r="AL141">
        <v>1</v>
      </c>
      <c r="AM141" t="s">
        <v>85</v>
      </c>
      <c r="AN141" t="s">
        <v>228</v>
      </c>
      <c r="AO141" t="s">
        <v>526</v>
      </c>
      <c r="AP141" t="s">
        <v>109</v>
      </c>
      <c r="AQ141">
        <v>12</v>
      </c>
      <c r="AR141" t="s">
        <v>521</v>
      </c>
      <c r="AS141" t="s">
        <v>228</v>
      </c>
      <c r="AT141" t="s">
        <v>140</v>
      </c>
      <c r="AU141">
        <v>1</v>
      </c>
      <c r="AV141">
        <v>1</v>
      </c>
      <c r="AW141" t="s">
        <v>406</v>
      </c>
      <c r="AX141" t="s">
        <v>283</v>
      </c>
      <c r="AY141" t="s">
        <v>217</v>
      </c>
      <c r="AZ141">
        <v>1</v>
      </c>
      <c r="BA141" t="s">
        <v>408</v>
      </c>
      <c r="BB141" t="s">
        <v>542</v>
      </c>
      <c r="BC141" t="s">
        <v>395</v>
      </c>
      <c r="BD141" t="s">
        <v>228</v>
      </c>
      <c r="BE141" t="s">
        <v>522</v>
      </c>
      <c r="BF141" t="s">
        <v>523</v>
      </c>
      <c r="BG141" t="s">
        <v>407</v>
      </c>
      <c r="BH141" t="s">
        <v>396</v>
      </c>
      <c r="BI141" t="s">
        <v>524</v>
      </c>
      <c r="BJ141" t="s">
        <v>228</v>
      </c>
      <c r="BK141" t="s">
        <v>543</v>
      </c>
      <c r="BL141" t="s">
        <v>228</v>
      </c>
      <c r="BM141" t="s">
        <v>228</v>
      </c>
      <c r="BN141" t="s">
        <v>228</v>
      </c>
      <c r="BO141" t="s">
        <v>228</v>
      </c>
      <c r="BP141" t="s">
        <v>228</v>
      </c>
      <c r="BQ141" t="s">
        <v>228</v>
      </c>
      <c r="BR141" t="s">
        <v>228</v>
      </c>
      <c r="BS141" t="s">
        <v>409</v>
      </c>
      <c r="BT141">
        <v>1</v>
      </c>
    </row>
    <row r="142" spans="1:72" x14ac:dyDescent="0.15">
      <c r="A142" s="43">
        <v>2023</v>
      </c>
      <c r="B142" s="8">
        <v>1</v>
      </c>
      <c r="C142" s="8">
        <v>1</v>
      </c>
      <c r="D142" s="8">
        <v>16</v>
      </c>
      <c r="E142" s="8" t="s">
        <v>228</v>
      </c>
      <c r="F142" s="8" t="s">
        <v>57</v>
      </c>
      <c r="G142" s="8">
        <v>2016</v>
      </c>
      <c r="H142" s="8">
        <v>12</v>
      </c>
      <c r="I142" s="8" t="s">
        <v>521</v>
      </c>
      <c r="J142" s="8" t="s">
        <v>228</v>
      </c>
      <c r="K142" s="8">
        <v>1983</v>
      </c>
      <c r="L142" s="17">
        <v>1</v>
      </c>
      <c r="M142" s="8">
        <v>1</v>
      </c>
      <c r="N142" s="8" t="s">
        <v>48</v>
      </c>
      <c r="O142" s="8" t="s">
        <v>283</v>
      </c>
      <c r="P142" s="8" t="s">
        <v>217</v>
      </c>
      <c r="Q142" s="8">
        <v>3000</v>
      </c>
      <c r="R142" s="8" t="s">
        <v>57</v>
      </c>
      <c r="S142" s="8" t="s">
        <v>52</v>
      </c>
      <c r="T142" s="8" t="s">
        <v>69</v>
      </c>
      <c r="U142" s="8" t="s">
        <v>228</v>
      </c>
      <c r="V142" s="8">
        <v>500</v>
      </c>
      <c r="W142" s="8" t="s">
        <v>328</v>
      </c>
      <c r="X142" s="8">
        <v>3000</v>
      </c>
      <c r="Y142" s="8" t="s">
        <v>268</v>
      </c>
      <c r="Z142" s="8">
        <v>85</v>
      </c>
      <c r="AA142" s="8" t="s">
        <v>278</v>
      </c>
      <c r="AB142" s="8" t="s">
        <v>247</v>
      </c>
      <c r="AC142" s="8" t="s">
        <v>228</v>
      </c>
      <c r="AD142" s="8" t="s">
        <v>228</v>
      </c>
      <c r="AE142" s="8" t="s">
        <v>228</v>
      </c>
      <c r="AF142" s="8" t="s">
        <v>228</v>
      </c>
      <c r="AG142" s="8" t="s">
        <v>228</v>
      </c>
      <c r="AH142" s="8" t="s">
        <v>228</v>
      </c>
      <c r="AI142" s="8" t="s">
        <v>228</v>
      </c>
      <c r="AJ142" t="s">
        <v>468</v>
      </c>
      <c r="AK142">
        <v>1</v>
      </c>
      <c r="AL142">
        <v>1</v>
      </c>
      <c r="AM142" t="s">
        <v>85</v>
      </c>
      <c r="AN142" t="s">
        <v>228</v>
      </c>
      <c r="AO142" t="s">
        <v>526</v>
      </c>
      <c r="AP142" t="s">
        <v>109</v>
      </c>
      <c r="AQ142">
        <v>12</v>
      </c>
      <c r="AR142" t="s">
        <v>521</v>
      </c>
      <c r="AS142" t="s">
        <v>228</v>
      </c>
      <c r="AT142" t="s">
        <v>140</v>
      </c>
      <c r="AU142">
        <v>1</v>
      </c>
      <c r="AV142">
        <v>1</v>
      </c>
      <c r="AW142" t="s">
        <v>406</v>
      </c>
      <c r="AX142" t="s">
        <v>283</v>
      </c>
      <c r="AY142" t="s">
        <v>217</v>
      </c>
      <c r="AZ142">
        <v>1</v>
      </c>
      <c r="BA142" t="s">
        <v>408</v>
      </c>
      <c r="BB142" t="s">
        <v>405</v>
      </c>
      <c r="BC142" t="s">
        <v>395</v>
      </c>
      <c r="BD142" t="s">
        <v>228</v>
      </c>
      <c r="BE142" t="s">
        <v>522</v>
      </c>
      <c r="BF142" t="s">
        <v>523</v>
      </c>
      <c r="BG142" t="s">
        <v>407</v>
      </c>
      <c r="BH142" t="s">
        <v>396</v>
      </c>
      <c r="BI142" t="s">
        <v>524</v>
      </c>
      <c r="BJ142" t="s">
        <v>228</v>
      </c>
      <c r="BK142" t="s">
        <v>543</v>
      </c>
      <c r="BL142" t="s">
        <v>228</v>
      </c>
      <c r="BM142" t="s">
        <v>228</v>
      </c>
      <c r="BN142" t="s">
        <v>228</v>
      </c>
      <c r="BO142" t="s">
        <v>228</v>
      </c>
      <c r="BP142" t="s">
        <v>228</v>
      </c>
      <c r="BQ142" t="s">
        <v>228</v>
      </c>
      <c r="BR142" t="s">
        <v>228</v>
      </c>
      <c r="BS142" t="s">
        <v>409</v>
      </c>
      <c r="BT142">
        <v>1</v>
      </c>
    </row>
    <row r="143" spans="1:72" x14ac:dyDescent="0.15">
      <c r="A143" s="43">
        <v>2023</v>
      </c>
      <c r="B143" s="8">
        <v>1</v>
      </c>
      <c r="C143" s="8">
        <v>1</v>
      </c>
      <c r="D143" s="8">
        <v>16</v>
      </c>
      <c r="E143" s="8" t="s">
        <v>228</v>
      </c>
      <c r="F143" s="8" t="s">
        <v>57</v>
      </c>
      <c r="G143" s="8">
        <v>2016</v>
      </c>
      <c r="H143" s="8">
        <v>12</v>
      </c>
      <c r="I143" s="8" t="s">
        <v>521</v>
      </c>
      <c r="J143" s="8" t="s">
        <v>228</v>
      </c>
      <c r="K143" s="8">
        <v>1983</v>
      </c>
      <c r="L143" s="17">
        <v>1</v>
      </c>
      <c r="M143" s="8">
        <v>1</v>
      </c>
      <c r="N143" s="8" t="s">
        <v>48</v>
      </c>
      <c r="O143" s="8" t="s">
        <v>283</v>
      </c>
      <c r="P143" s="8" t="s">
        <v>217</v>
      </c>
      <c r="Q143" s="8">
        <v>3000</v>
      </c>
      <c r="R143" s="8" t="s">
        <v>57</v>
      </c>
      <c r="S143" s="8" t="s">
        <v>54</v>
      </c>
      <c r="T143" s="8" t="s">
        <v>69</v>
      </c>
      <c r="U143" s="8" t="s">
        <v>228</v>
      </c>
      <c r="V143" s="8">
        <v>500</v>
      </c>
      <c r="W143" s="8" t="s">
        <v>328</v>
      </c>
      <c r="X143" s="8">
        <v>3000</v>
      </c>
      <c r="Y143" s="8" t="s">
        <v>271</v>
      </c>
      <c r="Z143" s="8">
        <v>85</v>
      </c>
      <c r="AA143" s="8" t="s">
        <v>278</v>
      </c>
      <c r="AB143" s="8" t="s">
        <v>228</v>
      </c>
      <c r="AC143" s="8" t="s">
        <v>228</v>
      </c>
      <c r="AD143" s="8" t="s">
        <v>228</v>
      </c>
      <c r="AE143" s="8" t="s">
        <v>228</v>
      </c>
      <c r="AF143" s="8" t="s">
        <v>228</v>
      </c>
      <c r="AG143" s="8" t="s">
        <v>228</v>
      </c>
      <c r="AH143" s="8" t="s">
        <v>228</v>
      </c>
      <c r="AI143" s="8" t="s">
        <v>228</v>
      </c>
      <c r="AJ143" t="s">
        <v>468</v>
      </c>
      <c r="AK143">
        <v>1</v>
      </c>
      <c r="AL143">
        <v>1</v>
      </c>
      <c r="AM143" t="s">
        <v>85</v>
      </c>
      <c r="AN143" t="s">
        <v>228</v>
      </c>
      <c r="AO143" t="s">
        <v>526</v>
      </c>
      <c r="AP143" t="s">
        <v>109</v>
      </c>
      <c r="AQ143">
        <v>12</v>
      </c>
      <c r="AR143" t="s">
        <v>521</v>
      </c>
      <c r="AS143" t="s">
        <v>228</v>
      </c>
      <c r="AT143" t="s">
        <v>140</v>
      </c>
      <c r="AU143">
        <v>1</v>
      </c>
      <c r="AV143">
        <v>1</v>
      </c>
      <c r="AW143" t="s">
        <v>406</v>
      </c>
      <c r="AX143" t="s">
        <v>283</v>
      </c>
      <c r="AY143" t="s">
        <v>217</v>
      </c>
      <c r="AZ143">
        <v>1</v>
      </c>
      <c r="BA143" t="s">
        <v>408</v>
      </c>
      <c r="BB143" t="s">
        <v>541</v>
      </c>
      <c r="BC143" t="s">
        <v>395</v>
      </c>
      <c r="BD143" t="s">
        <v>228</v>
      </c>
      <c r="BE143" t="s">
        <v>522</v>
      </c>
      <c r="BF143" t="s">
        <v>523</v>
      </c>
      <c r="BG143" t="s">
        <v>407</v>
      </c>
      <c r="BH143" t="s">
        <v>544</v>
      </c>
      <c r="BI143" t="s">
        <v>524</v>
      </c>
      <c r="BJ143" t="s">
        <v>228</v>
      </c>
      <c r="BK143" t="s">
        <v>228</v>
      </c>
      <c r="BL143" t="s">
        <v>228</v>
      </c>
      <c r="BM143" t="s">
        <v>228</v>
      </c>
      <c r="BN143" t="s">
        <v>228</v>
      </c>
      <c r="BO143" t="s">
        <v>228</v>
      </c>
      <c r="BP143" t="s">
        <v>228</v>
      </c>
      <c r="BQ143" t="s">
        <v>228</v>
      </c>
      <c r="BR143" t="s">
        <v>228</v>
      </c>
      <c r="BS143" t="s">
        <v>409</v>
      </c>
      <c r="BT143">
        <v>1</v>
      </c>
    </row>
    <row r="144" spans="1:72" x14ac:dyDescent="0.15">
      <c r="A144" s="43">
        <v>2023</v>
      </c>
      <c r="B144" s="8">
        <v>1</v>
      </c>
      <c r="C144" s="8">
        <v>1</v>
      </c>
      <c r="D144" s="8">
        <v>16</v>
      </c>
      <c r="E144" s="8" t="s">
        <v>228</v>
      </c>
      <c r="F144" s="8" t="s">
        <v>57</v>
      </c>
      <c r="G144" s="8">
        <v>2016</v>
      </c>
      <c r="H144" s="8">
        <v>12</v>
      </c>
      <c r="I144" s="8" t="s">
        <v>521</v>
      </c>
      <c r="J144" s="8" t="s">
        <v>228</v>
      </c>
      <c r="K144" s="8">
        <v>1983</v>
      </c>
      <c r="L144" s="17">
        <v>1</v>
      </c>
      <c r="M144" s="8">
        <v>1</v>
      </c>
      <c r="N144" s="8" t="s">
        <v>48</v>
      </c>
      <c r="O144" s="8" t="s">
        <v>283</v>
      </c>
      <c r="P144" s="8" t="s">
        <v>217</v>
      </c>
      <c r="Q144" s="8">
        <v>3000</v>
      </c>
      <c r="R144" s="8" t="s">
        <v>57</v>
      </c>
      <c r="S144" s="8" t="s">
        <v>53</v>
      </c>
      <c r="T144" s="8" t="s">
        <v>69</v>
      </c>
      <c r="U144" s="8" t="s">
        <v>228</v>
      </c>
      <c r="V144" s="8">
        <v>500</v>
      </c>
      <c r="W144" s="8" t="s">
        <v>328</v>
      </c>
      <c r="X144" s="8">
        <v>3000</v>
      </c>
      <c r="Y144" s="8" t="s">
        <v>271</v>
      </c>
      <c r="Z144" s="8">
        <v>85</v>
      </c>
      <c r="AA144" s="8" t="s">
        <v>278</v>
      </c>
      <c r="AB144" s="8" t="s">
        <v>228</v>
      </c>
      <c r="AC144" s="8" t="s">
        <v>228</v>
      </c>
      <c r="AD144" s="8" t="s">
        <v>228</v>
      </c>
      <c r="AE144" s="8" t="s">
        <v>228</v>
      </c>
      <c r="AF144" s="8" t="s">
        <v>228</v>
      </c>
      <c r="AG144" s="8" t="s">
        <v>228</v>
      </c>
      <c r="AH144" s="8" t="s">
        <v>228</v>
      </c>
      <c r="AI144" s="8" t="s">
        <v>228</v>
      </c>
      <c r="AJ144" t="s">
        <v>468</v>
      </c>
      <c r="AK144">
        <v>1</v>
      </c>
      <c r="AL144">
        <v>1</v>
      </c>
      <c r="AM144" t="s">
        <v>85</v>
      </c>
      <c r="AN144" t="s">
        <v>228</v>
      </c>
      <c r="AO144" t="s">
        <v>526</v>
      </c>
      <c r="AP144" t="s">
        <v>109</v>
      </c>
      <c r="AQ144">
        <v>12</v>
      </c>
      <c r="AR144" t="s">
        <v>521</v>
      </c>
      <c r="AS144" t="s">
        <v>228</v>
      </c>
      <c r="AT144" t="s">
        <v>140</v>
      </c>
      <c r="AU144">
        <v>1</v>
      </c>
      <c r="AV144">
        <v>1</v>
      </c>
      <c r="AW144" t="s">
        <v>406</v>
      </c>
      <c r="AX144" t="s">
        <v>283</v>
      </c>
      <c r="AY144" t="s">
        <v>217</v>
      </c>
      <c r="AZ144">
        <v>1</v>
      </c>
      <c r="BA144" t="s">
        <v>408</v>
      </c>
      <c r="BB144" t="s">
        <v>542</v>
      </c>
      <c r="BC144" t="s">
        <v>395</v>
      </c>
      <c r="BD144" t="s">
        <v>228</v>
      </c>
      <c r="BE144" t="s">
        <v>522</v>
      </c>
      <c r="BF144" t="s">
        <v>523</v>
      </c>
      <c r="BG144" t="s">
        <v>407</v>
      </c>
      <c r="BH144" t="s">
        <v>544</v>
      </c>
      <c r="BI144" t="s">
        <v>524</v>
      </c>
      <c r="BJ144" t="s">
        <v>228</v>
      </c>
      <c r="BK144" t="s">
        <v>228</v>
      </c>
      <c r="BL144" t="s">
        <v>228</v>
      </c>
      <c r="BM144" t="s">
        <v>228</v>
      </c>
      <c r="BN144" t="s">
        <v>228</v>
      </c>
      <c r="BO144" t="s">
        <v>228</v>
      </c>
      <c r="BP144" t="s">
        <v>228</v>
      </c>
      <c r="BQ144" t="s">
        <v>228</v>
      </c>
      <c r="BR144" t="s">
        <v>228</v>
      </c>
      <c r="BS144" t="s">
        <v>409</v>
      </c>
      <c r="BT144">
        <v>1</v>
      </c>
    </row>
    <row r="145" spans="1:72" x14ac:dyDescent="0.15">
      <c r="A145" s="43">
        <v>2023</v>
      </c>
      <c r="B145" s="8">
        <v>1</v>
      </c>
      <c r="C145" s="8">
        <v>1</v>
      </c>
      <c r="D145" s="8">
        <v>16</v>
      </c>
      <c r="E145" s="8" t="s">
        <v>228</v>
      </c>
      <c r="F145" s="8" t="s">
        <v>57</v>
      </c>
      <c r="G145" s="8">
        <v>2016</v>
      </c>
      <c r="H145" s="8">
        <v>12</v>
      </c>
      <c r="I145" s="8" t="s">
        <v>521</v>
      </c>
      <c r="J145" s="8" t="s">
        <v>228</v>
      </c>
      <c r="K145" s="8">
        <v>1983</v>
      </c>
      <c r="L145" s="17">
        <v>1</v>
      </c>
      <c r="M145" s="8">
        <v>1</v>
      </c>
      <c r="N145" s="8" t="s">
        <v>48</v>
      </c>
      <c r="O145" s="8" t="s">
        <v>283</v>
      </c>
      <c r="P145" s="8" t="s">
        <v>217</v>
      </c>
      <c r="Q145" s="8">
        <v>3000</v>
      </c>
      <c r="R145" s="8" t="s">
        <v>57</v>
      </c>
      <c r="S145" s="8" t="s">
        <v>52</v>
      </c>
      <c r="T145" s="8" t="s">
        <v>69</v>
      </c>
      <c r="U145" s="8" t="s">
        <v>228</v>
      </c>
      <c r="V145" s="8">
        <v>500</v>
      </c>
      <c r="W145" s="8" t="s">
        <v>328</v>
      </c>
      <c r="X145" s="8">
        <v>3000</v>
      </c>
      <c r="Y145" s="8" t="s">
        <v>271</v>
      </c>
      <c r="Z145" s="8">
        <v>85</v>
      </c>
      <c r="AA145" s="8" t="s">
        <v>278</v>
      </c>
      <c r="AB145" s="8" t="s">
        <v>228</v>
      </c>
      <c r="AC145" s="8" t="s">
        <v>228</v>
      </c>
      <c r="AD145" s="8" t="s">
        <v>228</v>
      </c>
      <c r="AE145" s="8" t="s">
        <v>228</v>
      </c>
      <c r="AF145" s="8" t="s">
        <v>228</v>
      </c>
      <c r="AG145" s="8" t="s">
        <v>228</v>
      </c>
      <c r="AH145" s="8" t="s">
        <v>228</v>
      </c>
      <c r="AI145" s="8" t="s">
        <v>228</v>
      </c>
      <c r="AJ145" t="s">
        <v>468</v>
      </c>
      <c r="AK145">
        <v>1</v>
      </c>
      <c r="AL145">
        <v>1</v>
      </c>
      <c r="AM145" t="s">
        <v>85</v>
      </c>
      <c r="AN145" t="s">
        <v>228</v>
      </c>
      <c r="AO145" t="s">
        <v>526</v>
      </c>
      <c r="AP145" t="s">
        <v>109</v>
      </c>
      <c r="AQ145">
        <v>12</v>
      </c>
      <c r="AR145" t="s">
        <v>521</v>
      </c>
      <c r="AS145" t="s">
        <v>228</v>
      </c>
      <c r="AT145" t="s">
        <v>140</v>
      </c>
      <c r="AU145">
        <v>1</v>
      </c>
      <c r="AV145">
        <v>1</v>
      </c>
      <c r="AW145" t="s">
        <v>406</v>
      </c>
      <c r="AX145" t="s">
        <v>283</v>
      </c>
      <c r="AY145" t="s">
        <v>217</v>
      </c>
      <c r="AZ145">
        <v>1</v>
      </c>
      <c r="BA145" t="s">
        <v>408</v>
      </c>
      <c r="BB145" t="s">
        <v>405</v>
      </c>
      <c r="BC145" t="s">
        <v>395</v>
      </c>
      <c r="BD145" t="s">
        <v>228</v>
      </c>
      <c r="BE145" t="s">
        <v>522</v>
      </c>
      <c r="BF145" t="s">
        <v>523</v>
      </c>
      <c r="BG145" t="s">
        <v>407</v>
      </c>
      <c r="BH145" t="s">
        <v>544</v>
      </c>
      <c r="BI145" t="s">
        <v>524</v>
      </c>
      <c r="BJ145" t="s">
        <v>228</v>
      </c>
      <c r="BK145" t="s">
        <v>228</v>
      </c>
      <c r="BL145" t="s">
        <v>228</v>
      </c>
      <c r="BM145" t="s">
        <v>228</v>
      </c>
      <c r="BN145" t="s">
        <v>228</v>
      </c>
      <c r="BO145" t="s">
        <v>228</v>
      </c>
      <c r="BP145" t="s">
        <v>228</v>
      </c>
      <c r="BQ145" t="s">
        <v>228</v>
      </c>
      <c r="BR145" t="s">
        <v>228</v>
      </c>
      <c r="BS145" t="s">
        <v>409</v>
      </c>
      <c r="BT145">
        <v>1</v>
      </c>
    </row>
    <row r="146" spans="1:72" x14ac:dyDescent="0.15">
      <c r="A146" s="43">
        <v>2023</v>
      </c>
      <c r="B146" s="8">
        <v>1</v>
      </c>
      <c r="C146" s="8">
        <v>1</v>
      </c>
      <c r="D146" s="8">
        <v>16</v>
      </c>
      <c r="E146" s="8" t="s">
        <v>228</v>
      </c>
      <c r="F146" s="8" t="s">
        <v>57</v>
      </c>
      <c r="G146" s="8">
        <v>2016</v>
      </c>
      <c r="H146" s="8">
        <v>12</v>
      </c>
      <c r="I146" s="8" t="s">
        <v>521</v>
      </c>
      <c r="J146" s="8" t="s">
        <v>228</v>
      </c>
      <c r="K146" s="8">
        <v>1983</v>
      </c>
      <c r="L146" s="17">
        <v>1</v>
      </c>
      <c r="M146" s="8">
        <v>1</v>
      </c>
      <c r="N146" s="8" t="s">
        <v>48</v>
      </c>
      <c r="O146" s="8" t="s">
        <v>283</v>
      </c>
      <c r="P146" s="8" t="s">
        <v>217</v>
      </c>
      <c r="Q146" s="8">
        <v>3000</v>
      </c>
      <c r="R146" s="8" t="s">
        <v>57</v>
      </c>
      <c r="S146" s="8" t="s">
        <v>54</v>
      </c>
      <c r="T146" s="8" t="s">
        <v>69</v>
      </c>
      <c r="U146" s="8" t="s">
        <v>228</v>
      </c>
      <c r="V146" s="8">
        <v>500</v>
      </c>
      <c r="W146" s="8" t="s">
        <v>328</v>
      </c>
      <c r="X146" s="8">
        <v>3000</v>
      </c>
      <c r="Y146" s="8" t="s">
        <v>271</v>
      </c>
      <c r="Z146" s="8">
        <v>85</v>
      </c>
      <c r="AA146" s="8" t="s">
        <v>278</v>
      </c>
      <c r="AB146" s="8" t="s">
        <v>247</v>
      </c>
      <c r="AC146" s="8" t="s">
        <v>228</v>
      </c>
      <c r="AD146" s="8" t="s">
        <v>228</v>
      </c>
      <c r="AE146" s="8" t="s">
        <v>228</v>
      </c>
      <c r="AF146" s="8" t="s">
        <v>228</v>
      </c>
      <c r="AG146" s="8" t="s">
        <v>228</v>
      </c>
      <c r="AH146" s="8" t="s">
        <v>228</v>
      </c>
      <c r="AI146" s="8" t="s">
        <v>228</v>
      </c>
      <c r="AJ146" t="s">
        <v>468</v>
      </c>
      <c r="AK146">
        <v>1</v>
      </c>
      <c r="AL146">
        <v>1</v>
      </c>
      <c r="AM146" t="s">
        <v>85</v>
      </c>
      <c r="AN146" t="s">
        <v>228</v>
      </c>
      <c r="AO146" t="s">
        <v>526</v>
      </c>
      <c r="AP146" t="s">
        <v>109</v>
      </c>
      <c r="AQ146">
        <v>12</v>
      </c>
      <c r="AR146" t="s">
        <v>521</v>
      </c>
      <c r="AS146" t="s">
        <v>228</v>
      </c>
      <c r="AT146" t="s">
        <v>140</v>
      </c>
      <c r="AU146">
        <v>1</v>
      </c>
      <c r="AV146">
        <v>1</v>
      </c>
      <c r="AW146" t="s">
        <v>406</v>
      </c>
      <c r="AX146" t="s">
        <v>283</v>
      </c>
      <c r="AY146" t="s">
        <v>217</v>
      </c>
      <c r="AZ146">
        <v>1</v>
      </c>
      <c r="BA146" t="s">
        <v>408</v>
      </c>
      <c r="BB146" t="s">
        <v>541</v>
      </c>
      <c r="BC146" t="s">
        <v>395</v>
      </c>
      <c r="BD146" t="s">
        <v>228</v>
      </c>
      <c r="BE146" t="s">
        <v>522</v>
      </c>
      <c r="BF146" t="s">
        <v>523</v>
      </c>
      <c r="BG146" t="s">
        <v>407</v>
      </c>
      <c r="BH146" t="s">
        <v>544</v>
      </c>
      <c r="BI146" t="s">
        <v>524</v>
      </c>
      <c r="BJ146" t="s">
        <v>228</v>
      </c>
      <c r="BK146" t="s">
        <v>543</v>
      </c>
      <c r="BL146" t="s">
        <v>228</v>
      </c>
      <c r="BM146" t="s">
        <v>228</v>
      </c>
      <c r="BN146" t="s">
        <v>228</v>
      </c>
      <c r="BO146" t="s">
        <v>228</v>
      </c>
      <c r="BP146" t="s">
        <v>228</v>
      </c>
      <c r="BQ146" t="s">
        <v>228</v>
      </c>
      <c r="BR146" t="s">
        <v>228</v>
      </c>
      <c r="BS146" t="s">
        <v>409</v>
      </c>
      <c r="BT146">
        <v>1</v>
      </c>
    </row>
    <row r="147" spans="1:72" x14ac:dyDescent="0.15">
      <c r="A147" s="43">
        <v>2023</v>
      </c>
      <c r="B147" s="8">
        <v>1</v>
      </c>
      <c r="C147" s="8">
        <v>1</v>
      </c>
      <c r="D147" s="8">
        <v>16</v>
      </c>
      <c r="E147" s="8" t="s">
        <v>228</v>
      </c>
      <c r="F147" s="8" t="s">
        <v>57</v>
      </c>
      <c r="G147" s="8">
        <v>2016</v>
      </c>
      <c r="H147" s="8">
        <v>12</v>
      </c>
      <c r="I147" s="8" t="s">
        <v>521</v>
      </c>
      <c r="J147" s="8" t="s">
        <v>228</v>
      </c>
      <c r="K147" s="8">
        <v>1983</v>
      </c>
      <c r="L147" s="17">
        <v>1</v>
      </c>
      <c r="M147" s="8">
        <v>1</v>
      </c>
      <c r="N147" s="8" t="s">
        <v>48</v>
      </c>
      <c r="O147" s="8" t="s">
        <v>283</v>
      </c>
      <c r="P147" s="8" t="s">
        <v>217</v>
      </c>
      <c r="Q147" s="8">
        <v>3000</v>
      </c>
      <c r="R147" s="8" t="s">
        <v>57</v>
      </c>
      <c r="S147" s="8" t="s">
        <v>53</v>
      </c>
      <c r="T147" s="8" t="s">
        <v>69</v>
      </c>
      <c r="U147" s="8" t="s">
        <v>228</v>
      </c>
      <c r="V147" s="8">
        <v>500</v>
      </c>
      <c r="W147" s="8" t="s">
        <v>328</v>
      </c>
      <c r="X147" s="8">
        <v>3000</v>
      </c>
      <c r="Y147" s="8" t="s">
        <v>271</v>
      </c>
      <c r="Z147" s="8">
        <v>85</v>
      </c>
      <c r="AA147" s="8" t="s">
        <v>278</v>
      </c>
      <c r="AB147" s="8" t="s">
        <v>247</v>
      </c>
      <c r="AC147" s="8" t="s">
        <v>228</v>
      </c>
      <c r="AD147" s="8" t="s">
        <v>228</v>
      </c>
      <c r="AE147" s="8" t="s">
        <v>228</v>
      </c>
      <c r="AF147" s="8" t="s">
        <v>228</v>
      </c>
      <c r="AG147" s="8" t="s">
        <v>228</v>
      </c>
      <c r="AH147" s="8" t="s">
        <v>228</v>
      </c>
      <c r="AI147" s="8" t="s">
        <v>228</v>
      </c>
      <c r="AJ147" t="s">
        <v>468</v>
      </c>
      <c r="AK147">
        <v>1</v>
      </c>
      <c r="AL147">
        <v>1</v>
      </c>
      <c r="AM147" t="s">
        <v>85</v>
      </c>
      <c r="AN147" t="s">
        <v>228</v>
      </c>
      <c r="AO147" t="s">
        <v>526</v>
      </c>
      <c r="AP147" t="s">
        <v>109</v>
      </c>
      <c r="AQ147">
        <v>12</v>
      </c>
      <c r="AR147" t="s">
        <v>521</v>
      </c>
      <c r="AS147" t="s">
        <v>228</v>
      </c>
      <c r="AT147" t="s">
        <v>140</v>
      </c>
      <c r="AU147">
        <v>1</v>
      </c>
      <c r="AV147">
        <v>1</v>
      </c>
      <c r="AW147" t="s">
        <v>406</v>
      </c>
      <c r="AX147" t="s">
        <v>283</v>
      </c>
      <c r="AY147" t="s">
        <v>217</v>
      </c>
      <c r="AZ147">
        <v>1</v>
      </c>
      <c r="BA147" t="s">
        <v>408</v>
      </c>
      <c r="BB147" t="s">
        <v>542</v>
      </c>
      <c r="BC147" t="s">
        <v>395</v>
      </c>
      <c r="BD147" t="s">
        <v>228</v>
      </c>
      <c r="BE147" t="s">
        <v>522</v>
      </c>
      <c r="BF147" t="s">
        <v>523</v>
      </c>
      <c r="BG147" t="s">
        <v>407</v>
      </c>
      <c r="BH147" t="s">
        <v>544</v>
      </c>
      <c r="BI147" t="s">
        <v>524</v>
      </c>
      <c r="BJ147" t="s">
        <v>228</v>
      </c>
      <c r="BK147" t="s">
        <v>543</v>
      </c>
      <c r="BL147" t="s">
        <v>228</v>
      </c>
      <c r="BM147" t="s">
        <v>228</v>
      </c>
      <c r="BN147" t="s">
        <v>228</v>
      </c>
      <c r="BO147" t="s">
        <v>228</v>
      </c>
      <c r="BP147" t="s">
        <v>228</v>
      </c>
      <c r="BQ147" t="s">
        <v>228</v>
      </c>
      <c r="BR147" t="s">
        <v>228</v>
      </c>
      <c r="BS147" t="s">
        <v>409</v>
      </c>
      <c r="BT147">
        <v>1</v>
      </c>
    </row>
    <row r="148" spans="1:72" x14ac:dyDescent="0.15">
      <c r="A148" s="43">
        <v>2023</v>
      </c>
      <c r="B148" s="8">
        <v>1</v>
      </c>
      <c r="C148" s="8">
        <v>1</v>
      </c>
      <c r="D148" s="8">
        <v>16</v>
      </c>
      <c r="E148" s="8" t="s">
        <v>228</v>
      </c>
      <c r="F148" s="8" t="s">
        <v>57</v>
      </c>
      <c r="G148" s="8">
        <v>2016</v>
      </c>
      <c r="H148" s="8">
        <v>12</v>
      </c>
      <c r="I148" s="8" t="s">
        <v>521</v>
      </c>
      <c r="J148" s="8" t="s">
        <v>228</v>
      </c>
      <c r="K148" s="8">
        <v>1983</v>
      </c>
      <c r="L148" s="17">
        <v>1</v>
      </c>
      <c r="M148" s="8">
        <v>1</v>
      </c>
      <c r="N148" s="8" t="s">
        <v>48</v>
      </c>
      <c r="O148" s="8" t="s">
        <v>283</v>
      </c>
      <c r="P148" s="8" t="s">
        <v>217</v>
      </c>
      <c r="Q148" s="8">
        <v>3000</v>
      </c>
      <c r="R148" s="8" t="s">
        <v>57</v>
      </c>
      <c r="S148" s="8" t="s">
        <v>52</v>
      </c>
      <c r="T148" s="8" t="s">
        <v>69</v>
      </c>
      <c r="U148" s="8" t="s">
        <v>228</v>
      </c>
      <c r="V148" s="8">
        <v>500</v>
      </c>
      <c r="W148" s="8" t="s">
        <v>328</v>
      </c>
      <c r="X148" s="8">
        <v>3000</v>
      </c>
      <c r="Y148" s="8" t="s">
        <v>271</v>
      </c>
      <c r="Z148" s="8">
        <v>85</v>
      </c>
      <c r="AA148" s="8" t="s">
        <v>278</v>
      </c>
      <c r="AB148" s="8" t="s">
        <v>247</v>
      </c>
      <c r="AC148" s="8" t="s">
        <v>228</v>
      </c>
      <c r="AD148" s="8" t="s">
        <v>228</v>
      </c>
      <c r="AE148" s="8" t="s">
        <v>228</v>
      </c>
      <c r="AF148" s="8" t="s">
        <v>228</v>
      </c>
      <c r="AG148" s="8" t="s">
        <v>228</v>
      </c>
      <c r="AH148" s="8" t="s">
        <v>228</v>
      </c>
      <c r="AI148" s="8" t="s">
        <v>228</v>
      </c>
      <c r="AJ148" t="s">
        <v>468</v>
      </c>
      <c r="AK148">
        <v>1</v>
      </c>
      <c r="AL148">
        <v>1</v>
      </c>
      <c r="AM148" t="s">
        <v>85</v>
      </c>
      <c r="AN148" t="s">
        <v>228</v>
      </c>
      <c r="AO148" t="s">
        <v>526</v>
      </c>
      <c r="AP148" t="s">
        <v>109</v>
      </c>
      <c r="AQ148">
        <v>12</v>
      </c>
      <c r="AR148" t="s">
        <v>521</v>
      </c>
      <c r="AS148" t="s">
        <v>228</v>
      </c>
      <c r="AT148" t="s">
        <v>140</v>
      </c>
      <c r="AU148">
        <v>1</v>
      </c>
      <c r="AV148">
        <v>1</v>
      </c>
      <c r="AW148" t="s">
        <v>406</v>
      </c>
      <c r="AX148" t="s">
        <v>283</v>
      </c>
      <c r="AY148" t="s">
        <v>217</v>
      </c>
      <c r="AZ148">
        <v>1</v>
      </c>
      <c r="BA148" t="s">
        <v>408</v>
      </c>
      <c r="BB148" t="s">
        <v>405</v>
      </c>
      <c r="BC148" t="s">
        <v>395</v>
      </c>
      <c r="BD148" t="s">
        <v>228</v>
      </c>
      <c r="BE148" t="s">
        <v>522</v>
      </c>
      <c r="BF148" t="s">
        <v>523</v>
      </c>
      <c r="BG148" t="s">
        <v>407</v>
      </c>
      <c r="BH148" t="s">
        <v>544</v>
      </c>
      <c r="BI148" t="s">
        <v>524</v>
      </c>
      <c r="BJ148" t="s">
        <v>228</v>
      </c>
      <c r="BK148" t="s">
        <v>543</v>
      </c>
      <c r="BL148" t="s">
        <v>228</v>
      </c>
      <c r="BM148" t="s">
        <v>228</v>
      </c>
      <c r="BN148" t="s">
        <v>228</v>
      </c>
      <c r="BO148" t="s">
        <v>228</v>
      </c>
      <c r="BP148" t="s">
        <v>228</v>
      </c>
      <c r="BQ148" t="s">
        <v>228</v>
      </c>
      <c r="BR148" t="s">
        <v>228</v>
      </c>
      <c r="BS148" t="s">
        <v>409</v>
      </c>
      <c r="BT148">
        <v>0</v>
      </c>
    </row>
    <row r="149" spans="1:72" x14ac:dyDescent="0.15">
      <c r="A149" s="43">
        <v>2023</v>
      </c>
      <c r="B149" s="8">
        <v>1</v>
      </c>
      <c r="C149" s="8">
        <v>1</v>
      </c>
      <c r="D149" s="8">
        <v>15</v>
      </c>
      <c r="E149" s="8" t="s">
        <v>228</v>
      </c>
      <c r="F149" s="8" t="s">
        <v>57</v>
      </c>
      <c r="G149" s="8">
        <v>2016</v>
      </c>
      <c r="H149" s="8">
        <v>12</v>
      </c>
      <c r="I149" s="8" t="s">
        <v>521</v>
      </c>
      <c r="J149" s="8" t="s">
        <v>228</v>
      </c>
      <c r="K149" s="8">
        <v>1983</v>
      </c>
      <c r="L149" s="17">
        <v>1</v>
      </c>
      <c r="M149" s="8">
        <v>1</v>
      </c>
      <c r="N149" s="8" t="s">
        <v>48</v>
      </c>
      <c r="O149" s="8" t="s">
        <v>283</v>
      </c>
      <c r="P149" s="8" t="s">
        <v>217</v>
      </c>
      <c r="Q149" s="8">
        <v>3000</v>
      </c>
      <c r="R149" s="8" t="s">
        <v>57</v>
      </c>
      <c r="S149" s="8" t="s">
        <v>54</v>
      </c>
      <c r="T149" s="8" t="s">
        <v>69</v>
      </c>
      <c r="U149" s="8" t="s">
        <v>228</v>
      </c>
      <c r="V149" s="8">
        <v>500</v>
      </c>
      <c r="W149" s="8" t="s">
        <v>328</v>
      </c>
      <c r="X149" s="8">
        <v>3000</v>
      </c>
      <c r="Y149" s="8" t="s">
        <v>268</v>
      </c>
      <c r="Z149" s="8">
        <v>85</v>
      </c>
      <c r="AA149" s="8" t="s">
        <v>278</v>
      </c>
      <c r="AB149" s="8" t="s">
        <v>228</v>
      </c>
      <c r="AC149" s="8" t="s">
        <v>228</v>
      </c>
      <c r="AD149" s="8" t="s">
        <v>228</v>
      </c>
      <c r="AE149" s="8" t="s">
        <v>228</v>
      </c>
      <c r="AF149" s="8" t="s">
        <v>228</v>
      </c>
      <c r="AG149" s="8" t="s">
        <v>228</v>
      </c>
      <c r="AH149" s="8" t="s">
        <v>228</v>
      </c>
      <c r="AI149" s="8" t="s">
        <v>228</v>
      </c>
      <c r="AJ149" t="s">
        <v>468</v>
      </c>
      <c r="AK149">
        <v>1</v>
      </c>
      <c r="AL149">
        <v>1</v>
      </c>
      <c r="AM149" t="s">
        <v>86</v>
      </c>
      <c r="AN149" t="s">
        <v>228</v>
      </c>
      <c r="AO149" t="s">
        <v>526</v>
      </c>
      <c r="AP149" t="s">
        <v>109</v>
      </c>
      <c r="AQ149">
        <v>12</v>
      </c>
      <c r="AR149" t="s">
        <v>521</v>
      </c>
      <c r="AS149" t="s">
        <v>228</v>
      </c>
      <c r="AT149" t="s">
        <v>140</v>
      </c>
      <c r="AU149">
        <v>1</v>
      </c>
      <c r="AV149">
        <v>1</v>
      </c>
      <c r="AW149" t="s">
        <v>406</v>
      </c>
      <c r="AX149" t="s">
        <v>283</v>
      </c>
      <c r="AY149" t="s">
        <v>217</v>
      </c>
      <c r="AZ149">
        <v>1</v>
      </c>
      <c r="BA149" t="s">
        <v>408</v>
      </c>
      <c r="BB149" t="s">
        <v>541</v>
      </c>
      <c r="BC149" t="s">
        <v>395</v>
      </c>
      <c r="BD149" t="s">
        <v>228</v>
      </c>
      <c r="BE149" t="s">
        <v>522</v>
      </c>
      <c r="BF149" t="s">
        <v>523</v>
      </c>
      <c r="BG149" t="s">
        <v>407</v>
      </c>
      <c r="BH149" t="s">
        <v>396</v>
      </c>
      <c r="BI149" t="s">
        <v>524</v>
      </c>
      <c r="BJ149" t="s">
        <v>228</v>
      </c>
      <c r="BK149" t="s">
        <v>228</v>
      </c>
      <c r="BL149" t="s">
        <v>228</v>
      </c>
      <c r="BM149" t="s">
        <v>228</v>
      </c>
      <c r="BN149" t="s">
        <v>228</v>
      </c>
      <c r="BO149" t="s">
        <v>228</v>
      </c>
      <c r="BP149" t="s">
        <v>228</v>
      </c>
      <c r="BQ149" t="s">
        <v>228</v>
      </c>
      <c r="BR149" t="s">
        <v>228</v>
      </c>
      <c r="BS149" t="s">
        <v>409</v>
      </c>
      <c r="BT149">
        <v>1</v>
      </c>
    </row>
    <row r="150" spans="1:72" x14ac:dyDescent="0.15">
      <c r="A150" s="43">
        <v>2023</v>
      </c>
      <c r="B150" s="8">
        <v>1</v>
      </c>
      <c r="C150" s="8">
        <v>1</v>
      </c>
      <c r="D150" s="8">
        <v>15</v>
      </c>
      <c r="E150" s="8" t="s">
        <v>228</v>
      </c>
      <c r="F150" s="8" t="s">
        <v>57</v>
      </c>
      <c r="G150" s="8">
        <v>2016</v>
      </c>
      <c r="H150" s="8">
        <v>12</v>
      </c>
      <c r="I150" s="8" t="s">
        <v>521</v>
      </c>
      <c r="J150" s="8" t="s">
        <v>228</v>
      </c>
      <c r="K150" s="8">
        <v>1983</v>
      </c>
      <c r="L150" s="17">
        <v>1</v>
      </c>
      <c r="M150" s="8">
        <v>1</v>
      </c>
      <c r="N150" s="8" t="s">
        <v>48</v>
      </c>
      <c r="O150" s="8" t="s">
        <v>283</v>
      </c>
      <c r="P150" s="8" t="s">
        <v>217</v>
      </c>
      <c r="Q150" s="8">
        <v>3000</v>
      </c>
      <c r="R150" s="8" t="s">
        <v>57</v>
      </c>
      <c r="S150" s="8" t="s">
        <v>53</v>
      </c>
      <c r="T150" s="8" t="s">
        <v>69</v>
      </c>
      <c r="U150" s="8" t="s">
        <v>228</v>
      </c>
      <c r="V150" s="8">
        <v>500</v>
      </c>
      <c r="W150" s="8" t="s">
        <v>328</v>
      </c>
      <c r="X150" s="8">
        <v>3000</v>
      </c>
      <c r="Y150" s="8" t="s">
        <v>268</v>
      </c>
      <c r="Z150" s="8">
        <v>85</v>
      </c>
      <c r="AA150" s="8" t="s">
        <v>278</v>
      </c>
      <c r="AB150" s="8" t="s">
        <v>228</v>
      </c>
      <c r="AC150" s="8" t="s">
        <v>228</v>
      </c>
      <c r="AD150" s="8" t="s">
        <v>228</v>
      </c>
      <c r="AE150" s="8" t="s">
        <v>228</v>
      </c>
      <c r="AF150" s="8" t="s">
        <v>228</v>
      </c>
      <c r="AG150" s="8" t="s">
        <v>228</v>
      </c>
      <c r="AH150" s="8" t="s">
        <v>228</v>
      </c>
      <c r="AI150" s="8" t="s">
        <v>228</v>
      </c>
      <c r="AJ150" t="s">
        <v>468</v>
      </c>
      <c r="AK150">
        <v>1</v>
      </c>
      <c r="AL150">
        <v>1</v>
      </c>
      <c r="AM150" t="s">
        <v>86</v>
      </c>
      <c r="AN150" t="s">
        <v>228</v>
      </c>
      <c r="AO150" t="s">
        <v>526</v>
      </c>
      <c r="AP150" t="s">
        <v>109</v>
      </c>
      <c r="AQ150">
        <v>12</v>
      </c>
      <c r="AR150" t="s">
        <v>521</v>
      </c>
      <c r="AS150" t="s">
        <v>228</v>
      </c>
      <c r="AT150" t="s">
        <v>140</v>
      </c>
      <c r="AU150">
        <v>1</v>
      </c>
      <c r="AV150">
        <v>1</v>
      </c>
      <c r="AW150" t="s">
        <v>406</v>
      </c>
      <c r="AX150" t="s">
        <v>283</v>
      </c>
      <c r="AY150" t="s">
        <v>217</v>
      </c>
      <c r="AZ150">
        <v>1</v>
      </c>
      <c r="BA150" t="s">
        <v>408</v>
      </c>
      <c r="BB150" t="s">
        <v>542</v>
      </c>
      <c r="BC150" t="s">
        <v>395</v>
      </c>
      <c r="BD150" t="s">
        <v>228</v>
      </c>
      <c r="BE150" t="s">
        <v>522</v>
      </c>
      <c r="BF150" t="s">
        <v>523</v>
      </c>
      <c r="BG150" t="s">
        <v>407</v>
      </c>
      <c r="BH150" t="s">
        <v>396</v>
      </c>
      <c r="BI150" t="s">
        <v>524</v>
      </c>
      <c r="BJ150" t="s">
        <v>228</v>
      </c>
      <c r="BK150" t="s">
        <v>228</v>
      </c>
      <c r="BL150" t="s">
        <v>228</v>
      </c>
      <c r="BM150" t="s">
        <v>228</v>
      </c>
      <c r="BN150" t="s">
        <v>228</v>
      </c>
      <c r="BO150" t="s">
        <v>228</v>
      </c>
      <c r="BP150" t="s">
        <v>228</v>
      </c>
      <c r="BQ150" t="s">
        <v>228</v>
      </c>
      <c r="BR150" t="s">
        <v>228</v>
      </c>
      <c r="BS150" t="s">
        <v>409</v>
      </c>
      <c r="BT150">
        <v>1</v>
      </c>
    </row>
    <row r="151" spans="1:72" x14ac:dyDescent="0.15">
      <c r="A151" s="43">
        <v>2023</v>
      </c>
      <c r="B151" s="8">
        <v>1</v>
      </c>
      <c r="C151" s="8">
        <v>1</v>
      </c>
      <c r="D151" s="8">
        <v>15</v>
      </c>
      <c r="E151" s="8" t="s">
        <v>228</v>
      </c>
      <c r="F151" s="8" t="s">
        <v>57</v>
      </c>
      <c r="G151" s="8">
        <v>2016</v>
      </c>
      <c r="H151" s="8">
        <v>12</v>
      </c>
      <c r="I151" s="8" t="s">
        <v>521</v>
      </c>
      <c r="J151" s="8" t="s">
        <v>228</v>
      </c>
      <c r="K151" s="8">
        <v>1983</v>
      </c>
      <c r="L151" s="17">
        <v>1</v>
      </c>
      <c r="M151" s="8">
        <v>1</v>
      </c>
      <c r="N151" s="8" t="s">
        <v>48</v>
      </c>
      <c r="O151" s="8" t="s">
        <v>283</v>
      </c>
      <c r="P151" s="8" t="s">
        <v>217</v>
      </c>
      <c r="Q151" s="8">
        <v>3000</v>
      </c>
      <c r="R151" s="8" t="s">
        <v>57</v>
      </c>
      <c r="S151" s="8" t="s">
        <v>52</v>
      </c>
      <c r="T151" s="8" t="s">
        <v>69</v>
      </c>
      <c r="U151" s="8" t="s">
        <v>228</v>
      </c>
      <c r="V151" s="8">
        <v>500</v>
      </c>
      <c r="W151" s="8" t="s">
        <v>328</v>
      </c>
      <c r="X151" s="8">
        <v>3000</v>
      </c>
      <c r="Y151" s="8" t="s">
        <v>268</v>
      </c>
      <c r="Z151" s="8">
        <v>85</v>
      </c>
      <c r="AA151" s="8" t="s">
        <v>278</v>
      </c>
      <c r="AB151" s="8" t="s">
        <v>228</v>
      </c>
      <c r="AC151" s="8" t="s">
        <v>228</v>
      </c>
      <c r="AD151" s="8" t="s">
        <v>228</v>
      </c>
      <c r="AE151" s="8" t="s">
        <v>228</v>
      </c>
      <c r="AF151" s="8" t="s">
        <v>228</v>
      </c>
      <c r="AG151" s="8" t="s">
        <v>228</v>
      </c>
      <c r="AH151" s="8" t="s">
        <v>228</v>
      </c>
      <c r="AI151" s="8" t="s">
        <v>228</v>
      </c>
      <c r="AJ151" t="s">
        <v>468</v>
      </c>
      <c r="AK151">
        <v>1</v>
      </c>
      <c r="AL151">
        <v>1</v>
      </c>
      <c r="AM151" t="s">
        <v>86</v>
      </c>
      <c r="AN151" t="s">
        <v>228</v>
      </c>
      <c r="AO151" t="s">
        <v>526</v>
      </c>
      <c r="AP151" t="s">
        <v>109</v>
      </c>
      <c r="AQ151">
        <v>12</v>
      </c>
      <c r="AR151" t="s">
        <v>521</v>
      </c>
      <c r="AS151" t="s">
        <v>228</v>
      </c>
      <c r="AT151" t="s">
        <v>140</v>
      </c>
      <c r="AU151">
        <v>1</v>
      </c>
      <c r="AV151">
        <v>1</v>
      </c>
      <c r="AW151" t="s">
        <v>406</v>
      </c>
      <c r="AX151" t="s">
        <v>283</v>
      </c>
      <c r="AY151" t="s">
        <v>217</v>
      </c>
      <c r="AZ151">
        <v>1</v>
      </c>
      <c r="BA151" t="s">
        <v>408</v>
      </c>
      <c r="BB151" t="s">
        <v>405</v>
      </c>
      <c r="BC151" t="s">
        <v>395</v>
      </c>
      <c r="BD151" t="s">
        <v>228</v>
      </c>
      <c r="BE151" t="s">
        <v>522</v>
      </c>
      <c r="BF151" t="s">
        <v>523</v>
      </c>
      <c r="BG151" t="s">
        <v>407</v>
      </c>
      <c r="BH151" t="s">
        <v>396</v>
      </c>
      <c r="BI151" t="s">
        <v>524</v>
      </c>
      <c r="BJ151" t="s">
        <v>228</v>
      </c>
      <c r="BK151" t="s">
        <v>228</v>
      </c>
      <c r="BL151" t="s">
        <v>228</v>
      </c>
      <c r="BM151" t="s">
        <v>228</v>
      </c>
      <c r="BN151" t="s">
        <v>228</v>
      </c>
      <c r="BO151" t="s">
        <v>228</v>
      </c>
      <c r="BP151" t="s">
        <v>228</v>
      </c>
      <c r="BQ151" t="s">
        <v>228</v>
      </c>
      <c r="BR151" t="s">
        <v>228</v>
      </c>
      <c r="BS151" t="s">
        <v>409</v>
      </c>
      <c r="BT151">
        <v>1</v>
      </c>
    </row>
    <row r="152" spans="1:72" x14ac:dyDescent="0.15">
      <c r="A152" s="43">
        <v>2023</v>
      </c>
      <c r="B152" s="8">
        <v>1</v>
      </c>
      <c r="C152" s="8">
        <v>1</v>
      </c>
      <c r="D152" s="8">
        <v>15</v>
      </c>
      <c r="E152" s="8" t="s">
        <v>228</v>
      </c>
      <c r="F152" s="8" t="s">
        <v>57</v>
      </c>
      <c r="G152" s="8">
        <v>2016</v>
      </c>
      <c r="H152" s="8">
        <v>12</v>
      </c>
      <c r="I152" s="8" t="s">
        <v>521</v>
      </c>
      <c r="J152" s="8" t="s">
        <v>228</v>
      </c>
      <c r="K152" s="8">
        <v>1983</v>
      </c>
      <c r="L152" s="17">
        <v>1</v>
      </c>
      <c r="M152" s="8">
        <v>1</v>
      </c>
      <c r="N152" s="8" t="s">
        <v>48</v>
      </c>
      <c r="O152" s="8" t="s">
        <v>283</v>
      </c>
      <c r="P152" s="8" t="s">
        <v>217</v>
      </c>
      <c r="Q152" s="8">
        <v>3000</v>
      </c>
      <c r="R152" s="8" t="s">
        <v>57</v>
      </c>
      <c r="S152" s="8" t="s">
        <v>54</v>
      </c>
      <c r="T152" s="8" t="s">
        <v>69</v>
      </c>
      <c r="U152" s="8" t="s">
        <v>228</v>
      </c>
      <c r="V152" s="8">
        <v>500</v>
      </c>
      <c r="W152" s="8" t="s">
        <v>328</v>
      </c>
      <c r="X152" s="8">
        <v>3000</v>
      </c>
      <c r="Y152" s="8" t="s">
        <v>268</v>
      </c>
      <c r="Z152" s="8">
        <v>85</v>
      </c>
      <c r="AA152" s="8" t="s">
        <v>278</v>
      </c>
      <c r="AB152" s="8" t="s">
        <v>247</v>
      </c>
      <c r="AC152" s="8" t="s">
        <v>228</v>
      </c>
      <c r="AD152" s="8" t="s">
        <v>228</v>
      </c>
      <c r="AE152" s="8" t="s">
        <v>228</v>
      </c>
      <c r="AF152" s="8" t="s">
        <v>228</v>
      </c>
      <c r="AG152" s="8" t="s">
        <v>228</v>
      </c>
      <c r="AH152" s="8" t="s">
        <v>228</v>
      </c>
      <c r="AI152" s="8" t="s">
        <v>228</v>
      </c>
      <c r="AJ152" t="s">
        <v>468</v>
      </c>
      <c r="AK152">
        <v>1</v>
      </c>
      <c r="AL152">
        <v>1</v>
      </c>
      <c r="AM152" t="s">
        <v>86</v>
      </c>
      <c r="AN152" t="s">
        <v>228</v>
      </c>
      <c r="AO152" t="s">
        <v>526</v>
      </c>
      <c r="AP152" t="s">
        <v>109</v>
      </c>
      <c r="AQ152">
        <v>12</v>
      </c>
      <c r="AR152" t="s">
        <v>521</v>
      </c>
      <c r="AS152" t="s">
        <v>228</v>
      </c>
      <c r="AT152" t="s">
        <v>140</v>
      </c>
      <c r="AU152">
        <v>1</v>
      </c>
      <c r="AV152">
        <v>1</v>
      </c>
      <c r="AW152" t="s">
        <v>406</v>
      </c>
      <c r="AX152" t="s">
        <v>283</v>
      </c>
      <c r="AY152" t="s">
        <v>217</v>
      </c>
      <c r="AZ152">
        <v>1</v>
      </c>
      <c r="BA152" t="s">
        <v>408</v>
      </c>
      <c r="BB152" t="s">
        <v>541</v>
      </c>
      <c r="BC152" t="s">
        <v>395</v>
      </c>
      <c r="BD152" t="s">
        <v>228</v>
      </c>
      <c r="BE152" t="s">
        <v>522</v>
      </c>
      <c r="BF152" t="s">
        <v>523</v>
      </c>
      <c r="BG152" t="s">
        <v>407</v>
      </c>
      <c r="BH152" t="s">
        <v>396</v>
      </c>
      <c r="BI152" t="s">
        <v>524</v>
      </c>
      <c r="BJ152" t="s">
        <v>228</v>
      </c>
      <c r="BK152" t="s">
        <v>543</v>
      </c>
      <c r="BL152" t="s">
        <v>228</v>
      </c>
      <c r="BM152" t="s">
        <v>228</v>
      </c>
      <c r="BN152" t="s">
        <v>228</v>
      </c>
      <c r="BO152" t="s">
        <v>228</v>
      </c>
      <c r="BP152" t="s">
        <v>228</v>
      </c>
      <c r="BQ152" t="s">
        <v>228</v>
      </c>
      <c r="BR152" t="s">
        <v>228</v>
      </c>
      <c r="BS152" t="s">
        <v>409</v>
      </c>
      <c r="BT152">
        <v>1</v>
      </c>
    </row>
    <row r="153" spans="1:72" x14ac:dyDescent="0.15">
      <c r="A153" s="43">
        <v>2023</v>
      </c>
      <c r="B153" s="8">
        <v>1</v>
      </c>
      <c r="C153" s="8">
        <v>1</v>
      </c>
      <c r="D153" s="8">
        <v>15</v>
      </c>
      <c r="E153" s="8" t="s">
        <v>228</v>
      </c>
      <c r="F153" s="8" t="s">
        <v>57</v>
      </c>
      <c r="G153" s="8">
        <v>2016</v>
      </c>
      <c r="H153" s="8">
        <v>12</v>
      </c>
      <c r="I153" s="8" t="s">
        <v>521</v>
      </c>
      <c r="J153" s="8" t="s">
        <v>228</v>
      </c>
      <c r="K153" s="8">
        <v>1983</v>
      </c>
      <c r="L153" s="17">
        <v>1</v>
      </c>
      <c r="M153" s="8">
        <v>1</v>
      </c>
      <c r="N153" s="8" t="s">
        <v>48</v>
      </c>
      <c r="O153" s="8" t="s">
        <v>283</v>
      </c>
      <c r="P153" s="8" t="s">
        <v>217</v>
      </c>
      <c r="Q153" s="8">
        <v>3000</v>
      </c>
      <c r="R153" s="8" t="s">
        <v>57</v>
      </c>
      <c r="S153" s="8" t="s">
        <v>53</v>
      </c>
      <c r="T153" s="8" t="s">
        <v>69</v>
      </c>
      <c r="U153" s="8" t="s">
        <v>228</v>
      </c>
      <c r="V153" s="8">
        <v>500</v>
      </c>
      <c r="W153" s="8" t="s">
        <v>328</v>
      </c>
      <c r="X153" s="8">
        <v>3000</v>
      </c>
      <c r="Y153" s="8" t="s">
        <v>268</v>
      </c>
      <c r="Z153" s="8">
        <v>85</v>
      </c>
      <c r="AA153" s="8" t="s">
        <v>278</v>
      </c>
      <c r="AB153" s="8" t="s">
        <v>247</v>
      </c>
      <c r="AC153" s="8" t="s">
        <v>228</v>
      </c>
      <c r="AD153" s="8" t="s">
        <v>228</v>
      </c>
      <c r="AE153" s="8" t="s">
        <v>228</v>
      </c>
      <c r="AF153" s="8" t="s">
        <v>228</v>
      </c>
      <c r="AG153" s="8" t="s">
        <v>228</v>
      </c>
      <c r="AH153" s="8" t="s">
        <v>228</v>
      </c>
      <c r="AI153" s="8" t="s">
        <v>228</v>
      </c>
      <c r="AJ153" t="s">
        <v>468</v>
      </c>
      <c r="AK153">
        <v>1</v>
      </c>
      <c r="AL153">
        <v>1</v>
      </c>
      <c r="AM153" t="s">
        <v>86</v>
      </c>
      <c r="AN153" t="s">
        <v>228</v>
      </c>
      <c r="AO153" t="s">
        <v>526</v>
      </c>
      <c r="AP153" t="s">
        <v>109</v>
      </c>
      <c r="AQ153">
        <v>12</v>
      </c>
      <c r="AR153" t="s">
        <v>521</v>
      </c>
      <c r="AS153" t="s">
        <v>228</v>
      </c>
      <c r="AT153" t="s">
        <v>140</v>
      </c>
      <c r="AU153">
        <v>1</v>
      </c>
      <c r="AV153">
        <v>1</v>
      </c>
      <c r="AW153" t="s">
        <v>406</v>
      </c>
      <c r="AX153" t="s">
        <v>283</v>
      </c>
      <c r="AY153" t="s">
        <v>217</v>
      </c>
      <c r="AZ153">
        <v>1</v>
      </c>
      <c r="BA153" t="s">
        <v>408</v>
      </c>
      <c r="BB153" t="s">
        <v>542</v>
      </c>
      <c r="BC153" t="s">
        <v>395</v>
      </c>
      <c r="BD153" t="s">
        <v>228</v>
      </c>
      <c r="BE153" t="s">
        <v>522</v>
      </c>
      <c r="BF153" t="s">
        <v>523</v>
      </c>
      <c r="BG153" t="s">
        <v>407</v>
      </c>
      <c r="BH153" t="s">
        <v>396</v>
      </c>
      <c r="BI153" t="s">
        <v>524</v>
      </c>
      <c r="BJ153" t="s">
        <v>228</v>
      </c>
      <c r="BK153" t="s">
        <v>543</v>
      </c>
      <c r="BL153" t="s">
        <v>228</v>
      </c>
      <c r="BM153" t="s">
        <v>228</v>
      </c>
      <c r="BN153" t="s">
        <v>228</v>
      </c>
      <c r="BO153" t="s">
        <v>228</v>
      </c>
      <c r="BP153" t="s">
        <v>228</v>
      </c>
      <c r="BQ153" t="s">
        <v>228</v>
      </c>
      <c r="BR153" t="s">
        <v>228</v>
      </c>
      <c r="BS153" t="s">
        <v>409</v>
      </c>
      <c r="BT153">
        <v>1</v>
      </c>
    </row>
    <row r="154" spans="1:72" x14ac:dyDescent="0.15">
      <c r="A154" s="43">
        <v>2023</v>
      </c>
      <c r="B154" s="8">
        <v>1</v>
      </c>
      <c r="C154" s="8">
        <v>1</v>
      </c>
      <c r="D154" s="8">
        <v>15</v>
      </c>
      <c r="E154" s="8" t="s">
        <v>228</v>
      </c>
      <c r="F154" s="8" t="s">
        <v>57</v>
      </c>
      <c r="G154" s="8">
        <v>2016</v>
      </c>
      <c r="H154" s="8">
        <v>12</v>
      </c>
      <c r="I154" s="8" t="s">
        <v>521</v>
      </c>
      <c r="J154" s="8" t="s">
        <v>228</v>
      </c>
      <c r="K154" s="8">
        <v>1983</v>
      </c>
      <c r="L154" s="17">
        <v>1</v>
      </c>
      <c r="M154" s="8">
        <v>1</v>
      </c>
      <c r="N154" s="8" t="s">
        <v>48</v>
      </c>
      <c r="O154" s="8" t="s">
        <v>283</v>
      </c>
      <c r="P154" s="8" t="s">
        <v>217</v>
      </c>
      <c r="Q154" s="8">
        <v>3000</v>
      </c>
      <c r="R154" s="8" t="s">
        <v>57</v>
      </c>
      <c r="S154" s="8" t="s">
        <v>52</v>
      </c>
      <c r="T154" s="8" t="s">
        <v>69</v>
      </c>
      <c r="U154" s="8" t="s">
        <v>228</v>
      </c>
      <c r="V154" s="8">
        <v>500</v>
      </c>
      <c r="W154" s="8" t="s">
        <v>328</v>
      </c>
      <c r="X154" s="8">
        <v>3000</v>
      </c>
      <c r="Y154" s="8" t="s">
        <v>268</v>
      </c>
      <c r="Z154" s="8">
        <v>85</v>
      </c>
      <c r="AA154" s="8" t="s">
        <v>278</v>
      </c>
      <c r="AB154" s="8" t="s">
        <v>247</v>
      </c>
      <c r="AC154" s="8" t="s">
        <v>228</v>
      </c>
      <c r="AD154" s="8" t="s">
        <v>228</v>
      </c>
      <c r="AE154" s="8" t="s">
        <v>228</v>
      </c>
      <c r="AF154" s="8" t="s">
        <v>228</v>
      </c>
      <c r="AG154" s="8" t="s">
        <v>228</v>
      </c>
      <c r="AH154" s="8" t="s">
        <v>228</v>
      </c>
      <c r="AI154" s="8" t="s">
        <v>228</v>
      </c>
      <c r="AJ154" t="s">
        <v>468</v>
      </c>
      <c r="AK154">
        <v>1</v>
      </c>
      <c r="AL154">
        <v>1</v>
      </c>
      <c r="AM154" t="s">
        <v>86</v>
      </c>
      <c r="AN154" t="s">
        <v>228</v>
      </c>
      <c r="AO154" t="s">
        <v>526</v>
      </c>
      <c r="AP154" t="s">
        <v>109</v>
      </c>
      <c r="AQ154">
        <v>12</v>
      </c>
      <c r="AR154" t="s">
        <v>521</v>
      </c>
      <c r="AS154" t="s">
        <v>228</v>
      </c>
      <c r="AT154" t="s">
        <v>140</v>
      </c>
      <c r="AU154">
        <v>1</v>
      </c>
      <c r="AV154">
        <v>1</v>
      </c>
      <c r="AW154" t="s">
        <v>406</v>
      </c>
      <c r="AX154" t="s">
        <v>283</v>
      </c>
      <c r="AY154" t="s">
        <v>217</v>
      </c>
      <c r="AZ154">
        <v>1</v>
      </c>
      <c r="BA154" t="s">
        <v>408</v>
      </c>
      <c r="BB154" t="s">
        <v>405</v>
      </c>
      <c r="BC154" t="s">
        <v>395</v>
      </c>
      <c r="BD154" t="s">
        <v>228</v>
      </c>
      <c r="BE154" t="s">
        <v>522</v>
      </c>
      <c r="BF154" t="s">
        <v>523</v>
      </c>
      <c r="BG154" t="s">
        <v>407</v>
      </c>
      <c r="BH154" t="s">
        <v>396</v>
      </c>
      <c r="BI154" t="s">
        <v>524</v>
      </c>
      <c r="BJ154" t="s">
        <v>228</v>
      </c>
      <c r="BK154" t="s">
        <v>543</v>
      </c>
      <c r="BL154" t="s">
        <v>228</v>
      </c>
      <c r="BM154" t="s">
        <v>228</v>
      </c>
      <c r="BN154" t="s">
        <v>228</v>
      </c>
      <c r="BO154" t="s">
        <v>228</v>
      </c>
      <c r="BP154" t="s">
        <v>228</v>
      </c>
      <c r="BQ154" t="s">
        <v>228</v>
      </c>
      <c r="BR154" t="s">
        <v>228</v>
      </c>
      <c r="BS154" t="s">
        <v>409</v>
      </c>
      <c r="BT154">
        <v>1</v>
      </c>
    </row>
    <row r="155" spans="1:72" x14ac:dyDescent="0.15">
      <c r="A155" s="43">
        <v>2023</v>
      </c>
      <c r="B155" s="8">
        <v>1</v>
      </c>
      <c r="C155" s="8">
        <v>1</v>
      </c>
      <c r="D155" s="8">
        <v>15</v>
      </c>
      <c r="E155" s="8" t="s">
        <v>228</v>
      </c>
      <c r="F155" s="8" t="s">
        <v>57</v>
      </c>
      <c r="G155" s="8">
        <v>2016</v>
      </c>
      <c r="H155" s="8">
        <v>12</v>
      </c>
      <c r="I155" s="8" t="s">
        <v>521</v>
      </c>
      <c r="J155" s="8" t="s">
        <v>228</v>
      </c>
      <c r="K155" s="8">
        <v>1983</v>
      </c>
      <c r="L155" s="17">
        <v>1</v>
      </c>
      <c r="M155" s="8">
        <v>1</v>
      </c>
      <c r="N155" s="8" t="s">
        <v>48</v>
      </c>
      <c r="O155" s="8" t="s">
        <v>283</v>
      </c>
      <c r="P155" s="8" t="s">
        <v>217</v>
      </c>
      <c r="Q155" s="8">
        <v>3000</v>
      </c>
      <c r="R155" s="8" t="s">
        <v>57</v>
      </c>
      <c r="S155" s="8" t="s">
        <v>54</v>
      </c>
      <c r="T155" s="8" t="s">
        <v>69</v>
      </c>
      <c r="U155" s="8" t="s">
        <v>228</v>
      </c>
      <c r="V155" s="8">
        <v>500</v>
      </c>
      <c r="W155" s="8" t="s">
        <v>328</v>
      </c>
      <c r="X155" s="8">
        <v>3000</v>
      </c>
      <c r="Y155" s="8" t="s">
        <v>271</v>
      </c>
      <c r="Z155" s="8">
        <v>85</v>
      </c>
      <c r="AA155" s="8" t="s">
        <v>278</v>
      </c>
      <c r="AB155" s="8" t="s">
        <v>228</v>
      </c>
      <c r="AC155" s="8" t="s">
        <v>228</v>
      </c>
      <c r="AD155" s="8" t="s">
        <v>228</v>
      </c>
      <c r="AE155" s="8" t="s">
        <v>228</v>
      </c>
      <c r="AF155" s="8" t="s">
        <v>228</v>
      </c>
      <c r="AG155" s="8" t="s">
        <v>228</v>
      </c>
      <c r="AH155" s="8" t="s">
        <v>228</v>
      </c>
      <c r="AI155" s="8" t="s">
        <v>228</v>
      </c>
      <c r="AJ155" t="s">
        <v>468</v>
      </c>
      <c r="AK155">
        <v>1</v>
      </c>
      <c r="AL155">
        <v>1</v>
      </c>
      <c r="AM155" t="s">
        <v>86</v>
      </c>
      <c r="AN155" t="s">
        <v>228</v>
      </c>
      <c r="AO155" t="s">
        <v>526</v>
      </c>
      <c r="AP155" t="s">
        <v>109</v>
      </c>
      <c r="AQ155">
        <v>12</v>
      </c>
      <c r="AR155" t="s">
        <v>521</v>
      </c>
      <c r="AS155" t="s">
        <v>228</v>
      </c>
      <c r="AT155" t="s">
        <v>140</v>
      </c>
      <c r="AU155">
        <v>1</v>
      </c>
      <c r="AV155">
        <v>1</v>
      </c>
      <c r="AW155" t="s">
        <v>406</v>
      </c>
      <c r="AX155" t="s">
        <v>283</v>
      </c>
      <c r="AY155" t="s">
        <v>217</v>
      </c>
      <c r="AZ155">
        <v>1</v>
      </c>
      <c r="BA155" t="s">
        <v>408</v>
      </c>
      <c r="BB155" t="s">
        <v>541</v>
      </c>
      <c r="BC155" t="s">
        <v>395</v>
      </c>
      <c r="BD155" t="s">
        <v>228</v>
      </c>
      <c r="BE155" t="s">
        <v>522</v>
      </c>
      <c r="BF155" t="s">
        <v>523</v>
      </c>
      <c r="BG155" t="s">
        <v>407</v>
      </c>
      <c r="BH155" t="s">
        <v>544</v>
      </c>
      <c r="BI155" t="s">
        <v>524</v>
      </c>
      <c r="BJ155" t="s">
        <v>228</v>
      </c>
      <c r="BK155" t="s">
        <v>228</v>
      </c>
      <c r="BL155" t="s">
        <v>228</v>
      </c>
      <c r="BM155" t="s">
        <v>228</v>
      </c>
      <c r="BN155" t="s">
        <v>228</v>
      </c>
      <c r="BO155" t="s">
        <v>228</v>
      </c>
      <c r="BP155" t="s">
        <v>228</v>
      </c>
      <c r="BQ155" t="s">
        <v>228</v>
      </c>
      <c r="BR155" t="s">
        <v>228</v>
      </c>
      <c r="BS155" t="s">
        <v>409</v>
      </c>
      <c r="BT155">
        <v>1</v>
      </c>
    </row>
    <row r="156" spans="1:72" x14ac:dyDescent="0.15">
      <c r="A156" s="43">
        <v>2023</v>
      </c>
      <c r="B156" s="8">
        <v>1</v>
      </c>
      <c r="C156" s="8">
        <v>1</v>
      </c>
      <c r="D156" s="8">
        <v>15</v>
      </c>
      <c r="E156" s="8" t="s">
        <v>228</v>
      </c>
      <c r="F156" s="8" t="s">
        <v>57</v>
      </c>
      <c r="G156" s="8">
        <v>2016</v>
      </c>
      <c r="H156" s="8">
        <v>12</v>
      </c>
      <c r="I156" s="8" t="s">
        <v>521</v>
      </c>
      <c r="J156" s="8" t="s">
        <v>228</v>
      </c>
      <c r="K156" s="8">
        <v>1983</v>
      </c>
      <c r="L156" s="17">
        <v>1</v>
      </c>
      <c r="M156" s="8">
        <v>1</v>
      </c>
      <c r="N156" s="8" t="s">
        <v>48</v>
      </c>
      <c r="O156" s="8" t="s">
        <v>283</v>
      </c>
      <c r="P156" s="8" t="s">
        <v>217</v>
      </c>
      <c r="Q156" s="8">
        <v>3000</v>
      </c>
      <c r="R156" s="8" t="s">
        <v>57</v>
      </c>
      <c r="S156" s="8" t="s">
        <v>53</v>
      </c>
      <c r="T156" s="8" t="s">
        <v>69</v>
      </c>
      <c r="U156" s="8" t="s">
        <v>228</v>
      </c>
      <c r="V156" s="8">
        <v>500</v>
      </c>
      <c r="W156" s="8" t="s">
        <v>328</v>
      </c>
      <c r="X156" s="8">
        <v>3000</v>
      </c>
      <c r="Y156" s="8" t="s">
        <v>271</v>
      </c>
      <c r="Z156" s="8">
        <v>85</v>
      </c>
      <c r="AA156" s="8" t="s">
        <v>278</v>
      </c>
      <c r="AB156" s="8" t="s">
        <v>228</v>
      </c>
      <c r="AC156" s="8" t="s">
        <v>228</v>
      </c>
      <c r="AD156" s="8" t="s">
        <v>228</v>
      </c>
      <c r="AE156" s="8" t="s">
        <v>228</v>
      </c>
      <c r="AF156" s="8" t="s">
        <v>228</v>
      </c>
      <c r="AG156" s="8" t="s">
        <v>228</v>
      </c>
      <c r="AH156" s="8" t="s">
        <v>228</v>
      </c>
      <c r="AI156" s="8" t="s">
        <v>228</v>
      </c>
      <c r="AJ156" t="s">
        <v>468</v>
      </c>
      <c r="AK156">
        <v>1</v>
      </c>
      <c r="AL156">
        <v>1</v>
      </c>
      <c r="AM156" t="s">
        <v>86</v>
      </c>
      <c r="AN156" t="s">
        <v>228</v>
      </c>
      <c r="AO156" t="s">
        <v>526</v>
      </c>
      <c r="AP156" t="s">
        <v>109</v>
      </c>
      <c r="AQ156">
        <v>12</v>
      </c>
      <c r="AR156" t="s">
        <v>521</v>
      </c>
      <c r="AS156" t="s">
        <v>228</v>
      </c>
      <c r="AT156" t="s">
        <v>140</v>
      </c>
      <c r="AU156">
        <v>1</v>
      </c>
      <c r="AV156">
        <v>1</v>
      </c>
      <c r="AW156" t="s">
        <v>406</v>
      </c>
      <c r="AX156" t="s">
        <v>283</v>
      </c>
      <c r="AY156" t="s">
        <v>217</v>
      </c>
      <c r="AZ156">
        <v>1</v>
      </c>
      <c r="BA156" t="s">
        <v>408</v>
      </c>
      <c r="BB156" t="s">
        <v>542</v>
      </c>
      <c r="BC156" t="s">
        <v>395</v>
      </c>
      <c r="BD156" t="s">
        <v>228</v>
      </c>
      <c r="BE156" t="s">
        <v>522</v>
      </c>
      <c r="BF156" t="s">
        <v>523</v>
      </c>
      <c r="BG156" t="s">
        <v>407</v>
      </c>
      <c r="BH156" t="s">
        <v>544</v>
      </c>
      <c r="BI156" t="s">
        <v>524</v>
      </c>
      <c r="BJ156" t="s">
        <v>228</v>
      </c>
      <c r="BK156" t="s">
        <v>228</v>
      </c>
      <c r="BL156" t="s">
        <v>228</v>
      </c>
      <c r="BM156" t="s">
        <v>228</v>
      </c>
      <c r="BN156" t="s">
        <v>228</v>
      </c>
      <c r="BO156" t="s">
        <v>228</v>
      </c>
      <c r="BP156" t="s">
        <v>228</v>
      </c>
      <c r="BQ156" t="s">
        <v>228</v>
      </c>
      <c r="BR156" t="s">
        <v>228</v>
      </c>
      <c r="BS156" t="s">
        <v>409</v>
      </c>
      <c r="BT156">
        <v>1</v>
      </c>
    </row>
    <row r="157" spans="1:72" x14ac:dyDescent="0.15">
      <c r="A157" s="43">
        <v>2023</v>
      </c>
      <c r="B157" s="8">
        <v>1</v>
      </c>
      <c r="C157" s="8">
        <v>1</v>
      </c>
      <c r="D157" s="8">
        <v>15</v>
      </c>
      <c r="E157" s="8" t="s">
        <v>228</v>
      </c>
      <c r="F157" s="8" t="s">
        <v>57</v>
      </c>
      <c r="G157" s="8">
        <v>2016</v>
      </c>
      <c r="H157" s="8">
        <v>12</v>
      </c>
      <c r="I157" s="8" t="s">
        <v>521</v>
      </c>
      <c r="J157" s="8" t="s">
        <v>228</v>
      </c>
      <c r="K157" s="8">
        <v>1983</v>
      </c>
      <c r="L157" s="17">
        <v>1</v>
      </c>
      <c r="M157" s="8">
        <v>1</v>
      </c>
      <c r="N157" s="8" t="s">
        <v>48</v>
      </c>
      <c r="O157" s="8" t="s">
        <v>283</v>
      </c>
      <c r="P157" s="8" t="s">
        <v>217</v>
      </c>
      <c r="Q157" s="8">
        <v>3000</v>
      </c>
      <c r="R157" s="8" t="s">
        <v>57</v>
      </c>
      <c r="S157" s="8" t="s">
        <v>52</v>
      </c>
      <c r="T157" s="8" t="s">
        <v>69</v>
      </c>
      <c r="U157" s="8" t="s">
        <v>228</v>
      </c>
      <c r="V157" s="8">
        <v>500</v>
      </c>
      <c r="W157" s="8" t="s">
        <v>328</v>
      </c>
      <c r="X157" s="8">
        <v>3000</v>
      </c>
      <c r="Y157" s="8" t="s">
        <v>271</v>
      </c>
      <c r="Z157" s="8">
        <v>85</v>
      </c>
      <c r="AA157" s="8" t="s">
        <v>278</v>
      </c>
      <c r="AB157" s="8" t="s">
        <v>228</v>
      </c>
      <c r="AC157" s="8" t="s">
        <v>228</v>
      </c>
      <c r="AD157" s="8" t="s">
        <v>228</v>
      </c>
      <c r="AE157" s="8" t="s">
        <v>228</v>
      </c>
      <c r="AF157" s="8" t="s">
        <v>228</v>
      </c>
      <c r="AG157" s="8" t="s">
        <v>228</v>
      </c>
      <c r="AH157" s="8" t="s">
        <v>228</v>
      </c>
      <c r="AI157" s="8" t="s">
        <v>228</v>
      </c>
      <c r="AJ157" t="s">
        <v>468</v>
      </c>
      <c r="AK157">
        <v>1</v>
      </c>
      <c r="AL157">
        <v>1</v>
      </c>
      <c r="AM157" t="s">
        <v>86</v>
      </c>
      <c r="AN157" t="s">
        <v>228</v>
      </c>
      <c r="AO157" t="s">
        <v>526</v>
      </c>
      <c r="AP157" t="s">
        <v>109</v>
      </c>
      <c r="AQ157">
        <v>12</v>
      </c>
      <c r="AR157" t="s">
        <v>521</v>
      </c>
      <c r="AS157" t="s">
        <v>228</v>
      </c>
      <c r="AT157" t="s">
        <v>140</v>
      </c>
      <c r="AU157">
        <v>1</v>
      </c>
      <c r="AV157">
        <v>1</v>
      </c>
      <c r="AW157" t="s">
        <v>406</v>
      </c>
      <c r="AX157" t="s">
        <v>283</v>
      </c>
      <c r="AY157" t="s">
        <v>217</v>
      </c>
      <c r="AZ157">
        <v>1</v>
      </c>
      <c r="BA157" t="s">
        <v>408</v>
      </c>
      <c r="BB157" t="s">
        <v>405</v>
      </c>
      <c r="BC157" t="s">
        <v>395</v>
      </c>
      <c r="BD157" t="s">
        <v>228</v>
      </c>
      <c r="BE157" t="s">
        <v>522</v>
      </c>
      <c r="BF157" t="s">
        <v>523</v>
      </c>
      <c r="BG157" t="s">
        <v>407</v>
      </c>
      <c r="BH157" t="s">
        <v>544</v>
      </c>
      <c r="BI157" t="s">
        <v>524</v>
      </c>
      <c r="BJ157" t="s">
        <v>228</v>
      </c>
      <c r="BK157" t="s">
        <v>228</v>
      </c>
      <c r="BL157" t="s">
        <v>228</v>
      </c>
      <c r="BM157" t="s">
        <v>228</v>
      </c>
      <c r="BN157" t="s">
        <v>228</v>
      </c>
      <c r="BO157" t="s">
        <v>228</v>
      </c>
      <c r="BP157" t="s">
        <v>228</v>
      </c>
      <c r="BQ157" t="s">
        <v>228</v>
      </c>
      <c r="BR157" t="s">
        <v>228</v>
      </c>
      <c r="BS157" t="s">
        <v>409</v>
      </c>
      <c r="BT157">
        <v>1</v>
      </c>
    </row>
    <row r="158" spans="1:72" x14ac:dyDescent="0.15">
      <c r="A158" s="43">
        <v>2023</v>
      </c>
      <c r="B158" s="8">
        <v>1</v>
      </c>
      <c r="C158" s="8">
        <v>1</v>
      </c>
      <c r="D158" s="8">
        <v>15</v>
      </c>
      <c r="E158" s="8" t="s">
        <v>228</v>
      </c>
      <c r="F158" s="8" t="s">
        <v>57</v>
      </c>
      <c r="G158" s="8">
        <v>2016</v>
      </c>
      <c r="H158" s="8">
        <v>12</v>
      </c>
      <c r="I158" s="8" t="s">
        <v>521</v>
      </c>
      <c r="J158" s="8" t="s">
        <v>228</v>
      </c>
      <c r="K158" s="8">
        <v>1983</v>
      </c>
      <c r="L158" s="17">
        <v>1</v>
      </c>
      <c r="M158" s="8">
        <v>1</v>
      </c>
      <c r="N158" s="8" t="s">
        <v>48</v>
      </c>
      <c r="O158" s="8" t="s">
        <v>283</v>
      </c>
      <c r="P158" s="8" t="s">
        <v>217</v>
      </c>
      <c r="Q158" s="8">
        <v>3000</v>
      </c>
      <c r="R158" s="8" t="s">
        <v>57</v>
      </c>
      <c r="S158" s="8" t="s">
        <v>54</v>
      </c>
      <c r="T158" s="8" t="s">
        <v>69</v>
      </c>
      <c r="U158" s="8" t="s">
        <v>228</v>
      </c>
      <c r="V158" s="8">
        <v>500</v>
      </c>
      <c r="W158" s="8" t="s">
        <v>328</v>
      </c>
      <c r="X158" s="8">
        <v>3000</v>
      </c>
      <c r="Y158" s="8" t="s">
        <v>271</v>
      </c>
      <c r="Z158" s="8">
        <v>85</v>
      </c>
      <c r="AA158" s="8" t="s">
        <v>278</v>
      </c>
      <c r="AB158" s="8" t="s">
        <v>247</v>
      </c>
      <c r="AC158" s="8" t="s">
        <v>228</v>
      </c>
      <c r="AD158" s="8" t="s">
        <v>228</v>
      </c>
      <c r="AE158" s="8" t="s">
        <v>228</v>
      </c>
      <c r="AF158" s="8" t="s">
        <v>228</v>
      </c>
      <c r="AG158" s="8" t="s">
        <v>228</v>
      </c>
      <c r="AH158" s="8" t="s">
        <v>228</v>
      </c>
      <c r="AI158" s="8" t="s">
        <v>228</v>
      </c>
      <c r="AJ158" t="s">
        <v>468</v>
      </c>
      <c r="AK158">
        <v>1</v>
      </c>
      <c r="AL158">
        <v>1</v>
      </c>
      <c r="AM158" t="s">
        <v>86</v>
      </c>
      <c r="AN158" t="s">
        <v>228</v>
      </c>
      <c r="AO158" t="s">
        <v>526</v>
      </c>
      <c r="AP158" t="s">
        <v>109</v>
      </c>
      <c r="AQ158">
        <v>12</v>
      </c>
      <c r="AR158" t="s">
        <v>521</v>
      </c>
      <c r="AS158" t="s">
        <v>228</v>
      </c>
      <c r="AT158" t="s">
        <v>140</v>
      </c>
      <c r="AU158">
        <v>1</v>
      </c>
      <c r="AV158">
        <v>1</v>
      </c>
      <c r="AW158" t="s">
        <v>406</v>
      </c>
      <c r="AX158" t="s">
        <v>283</v>
      </c>
      <c r="AY158" t="s">
        <v>217</v>
      </c>
      <c r="AZ158">
        <v>1</v>
      </c>
      <c r="BA158" t="s">
        <v>408</v>
      </c>
      <c r="BB158" t="s">
        <v>541</v>
      </c>
      <c r="BC158" t="s">
        <v>395</v>
      </c>
      <c r="BD158" t="s">
        <v>228</v>
      </c>
      <c r="BE158" t="s">
        <v>522</v>
      </c>
      <c r="BF158" t="s">
        <v>523</v>
      </c>
      <c r="BG158" t="s">
        <v>407</v>
      </c>
      <c r="BH158" t="s">
        <v>544</v>
      </c>
      <c r="BI158" t="s">
        <v>524</v>
      </c>
      <c r="BJ158" t="s">
        <v>228</v>
      </c>
      <c r="BK158" t="s">
        <v>543</v>
      </c>
      <c r="BL158" t="s">
        <v>228</v>
      </c>
      <c r="BM158" t="s">
        <v>228</v>
      </c>
      <c r="BN158" t="s">
        <v>228</v>
      </c>
      <c r="BO158" t="s">
        <v>228</v>
      </c>
      <c r="BP158" t="s">
        <v>228</v>
      </c>
      <c r="BQ158" t="s">
        <v>228</v>
      </c>
      <c r="BR158" t="s">
        <v>228</v>
      </c>
      <c r="BS158" t="s">
        <v>409</v>
      </c>
      <c r="BT158">
        <v>1</v>
      </c>
    </row>
    <row r="159" spans="1:72" x14ac:dyDescent="0.15">
      <c r="A159" s="43">
        <v>2023</v>
      </c>
      <c r="B159" s="8">
        <v>1</v>
      </c>
      <c r="C159" s="8">
        <v>1</v>
      </c>
      <c r="D159" s="8">
        <v>15</v>
      </c>
      <c r="E159" s="8" t="s">
        <v>228</v>
      </c>
      <c r="F159" s="8" t="s">
        <v>57</v>
      </c>
      <c r="G159" s="8">
        <v>2016</v>
      </c>
      <c r="H159" s="8">
        <v>12</v>
      </c>
      <c r="I159" s="8" t="s">
        <v>521</v>
      </c>
      <c r="J159" s="8" t="s">
        <v>228</v>
      </c>
      <c r="K159" s="8">
        <v>1983</v>
      </c>
      <c r="L159" s="17">
        <v>1</v>
      </c>
      <c r="M159" s="8">
        <v>1</v>
      </c>
      <c r="N159" s="8" t="s">
        <v>48</v>
      </c>
      <c r="O159" s="8" t="s">
        <v>283</v>
      </c>
      <c r="P159" s="8" t="s">
        <v>217</v>
      </c>
      <c r="Q159" s="8">
        <v>3000</v>
      </c>
      <c r="R159" s="8" t="s">
        <v>57</v>
      </c>
      <c r="S159" s="8" t="s">
        <v>53</v>
      </c>
      <c r="T159" s="8" t="s">
        <v>69</v>
      </c>
      <c r="U159" s="8" t="s">
        <v>228</v>
      </c>
      <c r="V159" s="8">
        <v>500</v>
      </c>
      <c r="W159" s="8" t="s">
        <v>328</v>
      </c>
      <c r="X159" s="8">
        <v>3000</v>
      </c>
      <c r="Y159" s="8" t="s">
        <v>271</v>
      </c>
      <c r="Z159" s="8">
        <v>85</v>
      </c>
      <c r="AA159" s="8" t="s">
        <v>278</v>
      </c>
      <c r="AB159" s="8" t="s">
        <v>247</v>
      </c>
      <c r="AC159" s="8" t="s">
        <v>228</v>
      </c>
      <c r="AD159" s="8" t="s">
        <v>228</v>
      </c>
      <c r="AE159" s="8" t="s">
        <v>228</v>
      </c>
      <c r="AF159" s="8" t="s">
        <v>228</v>
      </c>
      <c r="AG159" s="8" t="s">
        <v>228</v>
      </c>
      <c r="AH159" s="8" t="s">
        <v>228</v>
      </c>
      <c r="AI159" s="8" t="s">
        <v>228</v>
      </c>
      <c r="AJ159" t="s">
        <v>468</v>
      </c>
      <c r="AK159">
        <v>1</v>
      </c>
      <c r="AL159">
        <v>1</v>
      </c>
      <c r="AM159" t="s">
        <v>86</v>
      </c>
      <c r="AN159" t="s">
        <v>228</v>
      </c>
      <c r="AO159" t="s">
        <v>526</v>
      </c>
      <c r="AP159" t="s">
        <v>109</v>
      </c>
      <c r="AQ159">
        <v>12</v>
      </c>
      <c r="AR159" t="s">
        <v>521</v>
      </c>
      <c r="AS159" t="s">
        <v>228</v>
      </c>
      <c r="AT159" t="s">
        <v>140</v>
      </c>
      <c r="AU159">
        <v>1</v>
      </c>
      <c r="AV159">
        <v>1</v>
      </c>
      <c r="AW159" t="s">
        <v>406</v>
      </c>
      <c r="AX159" t="s">
        <v>283</v>
      </c>
      <c r="AY159" t="s">
        <v>217</v>
      </c>
      <c r="AZ159">
        <v>1</v>
      </c>
      <c r="BA159" t="s">
        <v>408</v>
      </c>
      <c r="BB159" t="s">
        <v>542</v>
      </c>
      <c r="BC159" t="s">
        <v>395</v>
      </c>
      <c r="BD159" t="s">
        <v>228</v>
      </c>
      <c r="BE159" t="s">
        <v>522</v>
      </c>
      <c r="BF159" t="s">
        <v>523</v>
      </c>
      <c r="BG159" t="s">
        <v>407</v>
      </c>
      <c r="BH159" t="s">
        <v>544</v>
      </c>
      <c r="BI159" t="s">
        <v>524</v>
      </c>
      <c r="BJ159" t="s">
        <v>228</v>
      </c>
      <c r="BK159" t="s">
        <v>543</v>
      </c>
      <c r="BL159" t="s">
        <v>228</v>
      </c>
      <c r="BM159" t="s">
        <v>228</v>
      </c>
      <c r="BN159" t="s">
        <v>228</v>
      </c>
      <c r="BO159" t="s">
        <v>228</v>
      </c>
      <c r="BP159" t="s">
        <v>228</v>
      </c>
      <c r="BQ159" t="s">
        <v>228</v>
      </c>
      <c r="BR159" t="s">
        <v>228</v>
      </c>
      <c r="BS159" t="s">
        <v>409</v>
      </c>
      <c r="BT159">
        <v>1</v>
      </c>
    </row>
    <row r="160" spans="1:72" x14ac:dyDescent="0.15">
      <c r="A160" s="43">
        <v>2023</v>
      </c>
      <c r="B160" s="8">
        <v>1</v>
      </c>
      <c r="C160" s="8">
        <v>1</v>
      </c>
      <c r="D160" s="8">
        <v>15</v>
      </c>
      <c r="E160" s="8" t="s">
        <v>228</v>
      </c>
      <c r="F160" s="8" t="s">
        <v>57</v>
      </c>
      <c r="G160" s="8">
        <v>2016</v>
      </c>
      <c r="H160" s="8">
        <v>12</v>
      </c>
      <c r="I160" s="8" t="s">
        <v>521</v>
      </c>
      <c r="J160" s="8" t="s">
        <v>228</v>
      </c>
      <c r="K160" s="8">
        <v>1983</v>
      </c>
      <c r="L160" s="17">
        <v>1</v>
      </c>
      <c r="M160" s="8">
        <v>1</v>
      </c>
      <c r="N160" s="8" t="s">
        <v>48</v>
      </c>
      <c r="O160" s="8" t="s">
        <v>283</v>
      </c>
      <c r="P160" s="8" t="s">
        <v>217</v>
      </c>
      <c r="Q160" s="8">
        <v>3000</v>
      </c>
      <c r="R160" s="8" t="s">
        <v>57</v>
      </c>
      <c r="S160" s="8" t="s">
        <v>52</v>
      </c>
      <c r="T160" s="8" t="s">
        <v>69</v>
      </c>
      <c r="U160" s="8" t="s">
        <v>228</v>
      </c>
      <c r="V160" s="8">
        <v>500</v>
      </c>
      <c r="W160" s="8" t="s">
        <v>328</v>
      </c>
      <c r="X160" s="8">
        <v>3000</v>
      </c>
      <c r="Y160" s="8" t="s">
        <v>271</v>
      </c>
      <c r="Z160" s="8">
        <v>85</v>
      </c>
      <c r="AA160" s="8" t="s">
        <v>278</v>
      </c>
      <c r="AB160" s="8" t="s">
        <v>247</v>
      </c>
      <c r="AC160" s="8" t="s">
        <v>228</v>
      </c>
      <c r="AD160" s="8" t="s">
        <v>228</v>
      </c>
      <c r="AE160" s="8" t="s">
        <v>228</v>
      </c>
      <c r="AF160" s="8" t="s">
        <v>228</v>
      </c>
      <c r="AG160" s="8" t="s">
        <v>228</v>
      </c>
      <c r="AH160" s="8" t="s">
        <v>228</v>
      </c>
      <c r="AI160" s="8" t="s">
        <v>228</v>
      </c>
      <c r="AJ160" t="s">
        <v>468</v>
      </c>
      <c r="AK160">
        <v>1</v>
      </c>
      <c r="AL160">
        <v>1</v>
      </c>
      <c r="AM160" t="s">
        <v>86</v>
      </c>
      <c r="AN160" t="s">
        <v>228</v>
      </c>
      <c r="AO160" t="s">
        <v>526</v>
      </c>
      <c r="AP160" t="s">
        <v>109</v>
      </c>
      <c r="AQ160">
        <v>12</v>
      </c>
      <c r="AR160" t="s">
        <v>521</v>
      </c>
      <c r="AS160" t="s">
        <v>228</v>
      </c>
      <c r="AT160" t="s">
        <v>140</v>
      </c>
      <c r="AU160">
        <v>1</v>
      </c>
      <c r="AV160">
        <v>1</v>
      </c>
      <c r="AW160" t="s">
        <v>406</v>
      </c>
      <c r="AX160" t="s">
        <v>283</v>
      </c>
      <c r="AY160" t="s">
        <v>217</v>
      </c>
      <c r="AZ160">
        <v>1</v>
      </c>
      <c r="BA160" t="s">
        <v>408</v>
      </c>
      <c r="BB160" t="s">
        <v>405</v>
      </c>
      <c r="BC160" t="s">
        <v>395</v>
      </c>
      <c r="BD160" t="s">
        <v>228</v>
      </c>
      <c r="BE160" t="s">
        <v>522</v>
      </c>
      <c r="BF160" t="s">
        <v>523</v>
      </c>
      <c r="BG160" t="s">
        <v>407</v>
      </c>
      <c r="BH160" t="s">
        <v>544</v>
      </c>
      <c r="BI160" t="s">
        <v>524</v>
      </c>
      <c r="BJ160" t="s">
        <v>228</v>
      </c>
      <c r="BK160" t="s">
        <v>543</v>
      </c>
      <c r="BL160" t="s">
        <v>228</v>
      </c>
      <c r="BM160" t="s">
        <v>228</v>
      </c>
      <c r="BN160" t="s">
        <v>228</v>
      </c>
      <c r="BO160" t="s">
        <v>228</v>
      </c>
      <c r="BP160" t="s">
        <v>228</v>
      </c>
      <c r="BQ160" t="s">
        <v>228</v>
      </c>
      <c r="BR160" t="s">
        <v>228</v>
      </c>
      <c r="BS160" t="s">
        <v>409</v>
      </c>
      <c r="BT160">
        <v>0</v>
      </c>
    </row>
    <row r="161" spans="1:72" x14ac:dyDescent="0.15">
      <c r="A161" s="43">
        <v>2023</v>
      </c>
      <c r="B161" s="8">
        <v>1</v>
      </c>
      <c r="C161" s="8">
        <v>1</v>
      </c>
      <c r="D161" s="8">
        <v>14</v>
      </c>
      <c r="E161" s="8" t="s">
        <v>228</v>
      </c>
      <c r="F161" s="8" t="s">
        <v>57</v>
      </c>
      <c r="G161" s="8">
        <v>2016</v>
      </c>
      <c r="H161" s="8">
        <v>12</v>
      </c>
      <c r="I161" s="8" t="s">
        <v>521</v>
      </c>
      <c r="J161" s="8" t="s">
        <v>228</v>
      </c>
      <c r="K161" s="8">
        <v>1983</v>
      </c>
      <c r="L161" s="17">
        <v>1</v>
      </c>
      <c r="M161" s="8">
        <v>1</v>
      </c>
      <c r="N161" s="8" t="s">
        <v>48</v>
      </c>
      <c r="O161" s="8" t="s">
        <v>283</v>
      </c>
      <c r="P161" s="8" t="s">
        <v>217</v>
      </c>
      <c r="Q161" s="8">
        <v>3000</v>
      </c>
      <c r="R161" s="8" t="s">
        <v>57</v>
      </c>
      <c r="S161" s="8" t="s">
        <v>54</v>
      </c>
      <c r="T161" s="8" t="s">
        <v>69</v>
      </c>
      <c r="U161" s="8" t="s">
        <v>228</v>
      </c>
      <c r="V161" s="8">
        <v>500</v>
      </c>
      <c r="W161" s="8" t="s">
        <v>328</v>
      </c>
      <c r="X161" s="8">
        <v>3000</v>
      </c>
      <c r="Y161" s="8" t="s">
        <v>268</v>
      </c>
      <c r="Z161" s="8">
        <v>85</v>
      </c>
      <c r="AA161" s="8" t="s">
        <v>278</v>
      </c>
      <c r="AB161" s="8" t="s">
        <v>228</v>
      </c>
      <c r="AC161" s="8" t="s">
        <v>228</v>
      </c>
      <c r="AD161" s="8" t="s">
        <v>228</v>
      </c>
      <c r="AE161" s="8" t="s">
        <v>228</v>
      </c>
      <c r="AF161" s="8" t="s">
        <v>228</v>
      </c>
      <c r="AG161" s="8" t="s">
        <v>228</v>
      </c>
      <c r="AH161" s="8" t="s">
        <v>228</v>
      </c>
      <c r="AI161" s="8" t="s">
        <v>228</v>
      </c>
      <c r="AJ161" t="s">
        <v>468</v>
      </c>
      <c r="AK161">
        <v>1</v>
      </c>
      <c r="AL161">
        <v>1</v>
      </c>
      <c r="AM161" t="s">
        <v>87</v>
      </c>
      <c r="AN161" t="s">
        <v>228</v>
      </c>
      <c r="AO161" t="s">
        <v>526</v>
      </c>
      <c r="AP161" t="s">
        <v>109</v>
      </c>
      <c r="AQ161">
        <v>12</v>
      </c>
      <c r="AR161" t="s">
        <v>521</v>
      </c>
      <c r="AS161" t="s">
        <v>228</v>
      </c>
      <c r="AT161" t="s">
        <v>140</v>
      </c>
      <c r="AU161">
        <v>1</v>
      </c>
      <c r="AV161">
        <v>1</v>
      </c>
      <c r="AW161" t="s">
        <v>406</v>
      </c>
      <c r="AX161" t="s">
        <v>283</v>
      </c>
      <c r="AY161" t="s">
        <v>217</v>
      </c>
      <c r="AZ161">
        <v>1</v>
      </c>
      <c r="BA161" t="s">
        <v>408</v>
      </c>
      <c r="BB161" t="s">
        <v>541</v>
      </c>
      <c r="BC161" t="s">
        <v>395</v>
      </c>
      <c r="BD161" t="s">
        <v>228</v>
      </c>
      <c r="BE161" t="s">
        <v>522</v>
      </c>
      <c r="BF161" t="s">
        <v>523</v>
      </c>
      <c r="BG161" t="s">
        <v>407</v>
      </c>
      <c r="BH161" t="s">
        <v>396</v>
      </c>
      <c r="BI161" t="s">
        <v>524</v>
      </c>
      <c r="BJ161" t="s">
        <v>228</v>
      </c>
      <c r="BK161" t="s">
        <v>228</v>
      </c>
      <c r="BL161" t="s">
        <v>228</v>
      </c>
      <c r="BM161" t="s">
        <v>228</v>
      </c>
      <c r="BN161" t="s">
        <v>228</v>
      </c>
      <c r="BO161" t="s">
        <v>228</v>
      </c>
      <c r="BP161" t="s">
        <v>228</v>
      </c>
      <c r="BQ161" t="s">
        <v>228</v>
      </c>
      <c r="BR161" t="s">
        <v>228</v>
      </c>
      <c r="BS161" t="s">
        <v>409</v>
      </c>
      <c r="BT161">
        <v>1</v>
      </c>
    </row>
    <row r="162" spans="1:72" x14ac:dyDescent="0.15">
      <c r="A162" s="43">
        <v>2023</v>
      </c>
      <c r="B162" s="8">
        <v>1</v>
      </c>
      <c r="C162" s="8">
        <v>1</v>
      </c>
      <c r="D162" s="8">
        <v>14</v>
      </c>
      <c r="E162" s="8" t="s">
        <v>228</v>
      </c>
      <c r="F162" s="8" t="s">
        <v>57</v>
      </c>
      <c r="G162" s="8">
        <v>2016</v>
      </c>
      <c r="H162" s="8">
        <v>12</v>
      </c>
      <c r="I162" s="8" t="s">
        <v>521</v>
      </c>
      <c r="J162" s="8" t="s">
        <v>228</v>
      </c>
      <c r="K162" s="8">
        <v>1983</v>
      </c>
      <c r="L162" s="17">
        <v>1</v>
      </c>
      <c r="M162" s="8">
        <v>1</v>
      </c>
      <c r="N162" s="8" t="s">
        <v>48</v>
      </c>
      <c r="O162" s="8" t="s">
        <v>283</v>
      </c>
      <c r="P162" s="8" t="s">
        <v>217</v>
      </c>
      <c r="Q162" s="8">
        <v>3000</v>
      </c>
      <c r="R162" s="8" t="s">
        <v>57</v>
      </c>
      <c r="S162" s="8" t="s">
        <v>53</v>
      </c>
      <c r="T162" s="8" t="s">
        <v>69</v>
      </c>
      <c r="U162" s="8" t="s">
        <v>228</v>
      </c>
      <c r="V162" s="8">
        <v>500</v>
      </c>
      <c r="W162" s="8" t="s">
        <v>328</v>
      </c>
      <c r="X162" s="8">
        <v>3000</v>
      </c>
      <c r="Y162" s="8" t="s">
        <v>268</v>
      </c>
      <c r="Z162" s="8">
        <v>85</v>
      </c>
      <c r="AA162" s="8" t="s">
        <v>278</v>
      </c>
      <c r="AB162" s="8" t="s">
        <v>228</v>
      </c>
      <c r="AC162" s="8" t="s">
        <v>228</v>
      </c>
      <c r="AD162" s="8" t="s">
        <v>228</v>
      </c>
      <c r="AE162" s="8" t="s">
        <v>228</v>
      </c>
      <c r="AF162" s="8" t="s">
        <v>228</v>
      </c>
      <c r="AG162" s="8" t="s">
        <v>228</v>
      </c>
      <c r="AH162" s="8" t="s">
        <v>228</v>
      </c>
      <c r="AI162" s="8" t="s">
        <v>228</v>
      </c>
      <c r="AJ162" t="s">
        <v>468</v>
      </c>
      <c r="AK162">
        <v>1</v>
      </c>
      <c r="AL162">
        <v>1</v>
      </c>
      <c r="AM162" t="s">
        <v>87</v>
      </c>
      <c r="AN162" t="s">
        <v>228</v>
      </c>
      <c r="AO162" t="s">
        <v>526</v>
      </c>
      <c r="AP162" t="s">
        <v>109</v>
      </c>
      <c r="AQ162">
        <v>12</v>
      </c>
      <c r="AR162" t="s">
        <v>521</v>
      </c>
      <c r="AS162" t="s">
        <v>228</v>
      </c>
      <c r="AT162" t="s">
        <v>140</v>
      </c>
      <c r="AU162">
        <v>1</v>
      </c>
      <c r="AV162">
        <v>1</v>
      </c>
      <c r="AW162" t="s">
        <v>406</v>
      </c>
      <c r="AX162" t="s">
        <v>283</v>
      </c>
      <c r="AY162" t="s">
        <v>217</v>
      </c>
      <c r="AZ162">
        <v>1</v>
      </c>
      <c r="BA162" t="s">
        <v>408</v>
      </c>
      <c r="BB162" t="s">
        <v>542</v>
      </c>
      <c r="BC162" t="s">
        <v>395</v>
      </c>
      <c r="BD162" t="s">
        <v>228</v>
      </c>
      <c r="BE162" t="s">
        <v>522</v>
      </c>
      <c r="BF162" t="s">
        <v>523</v>
      </c>
      <c r="BG162" t="s">
        <v>407</v>
      </c>
      <c r="BH162" t="s">
        <v>396</v>
      </c>
      <c r="BI162" t="s">
        <v>524</v>
      </c>
      <c r="BJ162" t="s">
        <v>228</v>
      </c>
      <c r="BK162" t="s">
        <v>228</v>
      </c>
      <c r="BL162" t="s">
        <v>228</v>
      </c>
      <c r="BM162" t="s">
        <v>228</v>
      </c>
      <c r="BN162" t="s">
        <v>228</v>
      </c>
      <c r="BO162" t="s">
        <v>228</v>
      </c>
      <c r="BP162" t="s">
        <v>228</v>
      </c>
      <c r="BQ162" t="s">
        <v>228</v>
      </c>
      <c r="BR162" t="s">
        <v>228</v>
      </c>
      <c r="BS162" t="s">
        <v>409</v>
      </c>
      <c r="BT162">
        <v>1</v>
      </c>
    </row>
    <row r="163" spans="1:72" x14ac:dyDescent="0.15">
      <c r="A163" s="43">
        <v>2023</v>
      </c>
      <c r="B163" s="8">
        <v>1</v>
      </c>
      <c r="C163" s="8">
        <v>1</v>
      </c>
      <c r="D163" s="8">
        <v>14</v>
      </c>
      <c r="E163" s="8" t="s">
        <v>228</v>
      </c>
      <c r="F163" s="8" t="s">
        <v>57</v>
      </c>
      <c r="G163" s="8">
        <v>2016</v>
      </c>
      <c r="H163" s="8">
        <v>12</v>
      </c>
      <c r="I163" s="8" t="s">
        <v>521</v>
      </c>
      <c r="J163" s="8" t="s">
        <v>228</v>
      </c>
      <c r="K163" s="8">
        <v>1983</v>
      </c>
      <c r="L163" s="17">
        <v>1</v>
      </c>
      <c r="M163" s="8">
        <v>1</v>
      </c>
      <c r="N163" s="8" t="s">
        <v>48</v>
      </c>
      <c r="O163" s="8" t="s">
        <v>283</v>
      </c>
      <c r="P163" s="8" t="s">
        <v>217</v>
      </c>
      <c r="Q163" s="8">
        <v>3000</v>
      </c>
      <c r="R163" s="8" t="s">
        <v>57</v>
      </c>
      <c r="S163" s="8" t="s">
        <v>52</v>
      </c>
      <c r="T163" s="8" t="s">
        <v>69</v>
      </c>
      <c r="U163" s="8" t="s">
        <v>228</v>
      </c>
      <c r="V163" s="8">
        <v>500</v>
      </c>
      <c r="W163" s="8" t="s">
        <v>328</v>
      </c>
      <c r="X163" s="8">
        <v>3000</v>
      </c>
      <c r="Y163" s="8" t="s">
        <v>268</v>
      </c>
      <c r="Z163" s="8">
        <v>85</v>
      </c>
      <c r="AA163" s="8" t="s">
        <v>278</v>
      </c>
      <c r="AB163" s="8" t="s">
        <v>228</v>
      </c>
      <c r="AC163" s="8" t="s">
        <v>228</v>
      </c>
      <c r="AD163" s="8" t="s">
        <v>228</v>
      </c>
      <c r="AE163" s="8" t="s">
        <v>228</v>
      </c>
      <c r="AF163" s="8" t="s">
        <v>228</v>
      </c>
      <c r="AG163" s="8" t="s">
        <v>228</v>
      </c>
      <c r="AH163" s="8" t="s">
        <v>228</v>
      </c>
      <c r="AI163" s="8" t="s">
        <v>228</v>
      </c>
      <c r="AJ163" t="s">
        <v>468</v>
      </c>
      <c r="AK163">
        <v>1</v>
      </c>
      <c r="AL163">
        <v>1</v>
      </c>
      <c r="AM163" t="s">
        <v>87</v>
      </c>
      <c r="AN163" t="s">
        <v>228</v>
      </c>
      <c r="AO163" t="s">
        <v>526</v>
      </c>
      <c r="AP163" t="s">
        <v>109</v>
      </c>
      <c r="AQ163">
        <v>12</v>
      </c>
      <c r="AR163" t="s">
        <v>521</v>
      </c>
      <c r="AS163" t="s">
        <v>228</v>
      </c>
      <c r="AT163" t="s">
        <v>140</v>
      </c>
      <c r="AU163">
        <v>1</v>
      </c>
      <c r="AV163">
        <v>1</v>
      </c>
      <c r="AW163" t="s">
        <v>406</v>
      </c>
      <c r="AX163" t="s">
        <v>283</v>
      </c>
      <c r="AY163" t="s">
        <v>217</v>
      </c>
      <c r="AZ163">
        <v>1</v>
      </c>
      <c r="BA163" t="s">
        <v>408</v>
      </c>
      <c r="BB163" t="s">
        <v>405</v>
      </c>
      <c r="BC163" t="s">
        <v>395</v>
      </c>
      <c r="BD163" t="s">
        <v>228</v>
      </c>
      <c r="BE163" t="s">
        <v>522</v>
      </c>
      <c r="BF163" t="s">
        <v>523</v>
      </c>
      <c r="BG163" t="s">
        <v>407</v>
      </c>
      <c r="BH163" t="s">
        <v>396</v>
      </c>
      <c r="BI163" t="s">
        <v>524</v>
      </c>
      <c r="BJ163" t="s">
        <v>228</v>
      </c>
      <c r="BK163" t="s">
        <v>228</v>
      </c>
      <c r="BL163" t="s">
        <v>228</v>
      </c>
      <c r="BM163" t="s">
        <v>228</v>
      </c>
      <c r="BN163" t="s">
        <v>228</v>
      </c>
      <c r="BO163" t="s">
        <v>228</v>
      </c>
      <c r="BP163" t="s">
        <v>228</v>
      </c>
      <c r="BQ163" t="s">
        <v>228</v>
      </c>
      <c r="BR163" t="s">
        <v>228</v>
      </c>
      <c r="BS163" t="s">
        <v>409</v>
      </c>
      <c r="BT163">
        <v>1</v>
      </c>
    </row>
    <row r="164" spans="1:72" x14ac:dyDescent="0.15">
      <c r="A164" s="43">
        <v>2023</v>
      </c>
      <c r="B164" s="8">
        <v>1</v>
      </c>
      <c r="C164" s="8">
        <v>1</v>
      </c>
      <c r="D164" s="8">
        <v>14</v>
      </c>
      <c r="E164" s="8" t="s">
        <v>228</v>
      </c>
      <c r="F164" s="8" t="s">
        <v>57</v>
      </c>
      <c r="G164" s="8">
        <v>2016</v>
      </c>
      <c r="H164" s="8">
        <v>12</v>
      </c>
      <c r="I164" s="8" t="s">
        <v>521</v>
      </c>
      <c r="J164" s="8" t="s">
        <v>228</v>
      </c>
      <c r="K164" s="8">
        <v>1983</v>
      </c>
      <c r="L164" s="17">
        <v>1</v>
      </c>
      <c r="M164" s="8">
        <v>1</v>
      </c>
      <c r="N164" s="8" t="s">
        <v>48</v>
      </c>
      <c r="O164" s="8" t="s">
        <v>283</v>
      </c>
      <c r="P164" s="8" t="s">
        <v>217</v>
      </c>
      <c r="Q164" s="8">
        <v>3000</v>
      </c>
      <c r="R164" s="8" t="s">
        <v>57</v>
      </c>
      <c r="S164" s="8" t="s">
        <v>54</v>
      </c>
      <c r="T164" s="8" t="s">
        <v>69</v>
      </c>
      <c r="U164" s="8" t="s">
        <v>228</v>
      </c>
      <c r="V164" s="8">
        <v>500</v>
      </c>
      <c r="W164" s="8" t="s">
        <v>328</v>
      </c>
      <c r="X164" s="8">
        <v>3000</v>
      </c>
      <c r="Y164" s="8" t="s">
        <v>268</v>
      </c>
      <c r="Z164" s="8">
        <v>85</v>
      </c>
      <c r="AA164" s="8" t="s">
        <v>278</v>
      </c>
      <c r="AB164" s="8" t="s">
        <v>247</v>
      </c>
      <c r="AC164" s="8" t="s">
        <v>228</v>
      </c>
      <c r="AD164" s="8" t="s">
        <v>228</v>
      </c>
      <c r="AE164" s="8" t="s">
        <v>228</v>
      </c>
      <c r="AF164" s="8" t="s">
        <v>228</v>
      </c>
      <c r="AG164" s="8" t="s">
        <v>228</v>
      </c>
      <c r="AH164" s="8" t="s">
        <v>228</v>
      </c>
      <c r="AI164" s="8" t="s">
        <v>228</v>
      </c>
      <c r="AJ164" t="s">
        <v>468</v>
      </c>
      <c r="AK164">
        <v>1</v>
      </c>
      <c r="AL164">
        <v>1</v>
      </c>
      <c r="AM164" t="s">
        <v>87</v>
      </c>
      <c r="AN164" t="s">
        <v>228</v>
      </c>
      <c r="AO164" t="s">
        <v>526</v>
      </c>
      <c r="AP164" t="s">
        <v>109</v>
      </c>
      <c r="AQ164">
        <v>12</v>
      </c>
      <c r="AR164" t="s">
        <v>521</v>
      </c>
      <c r="AS164" t="s">
        <v>228</v>
      </c>
      <c r="AT164" t="s">
        <v>140</v>
      </c>
      <c r="AU164">
        <v>1</v>
      </c>
      <c r="AV164">
        <v>1</v>
      </c>
      <c r="AW164" t="s">
        <v>406</v>
      </c>
      <c r="AX164" t="s">
        <v>283</v>
      </c>
      <c r="AY164" t="s">
        <v>217</v>
      </c>
      <c r="AZ164">
        <v>1</v>
      </c>
      <c r="BA164" t="s">
        <v>408</v>
      </c>
      <c r="BB164" t="s">
        <v>541</v>
      </c>
      <c r="BC164" t="s">
        <v>395</v>
      </c>
      <c r="BD164" t="s">
        <v>228</v>
      </c>
      <c r="BE164" t="s">
        <v>522</v>
      </c>
      <c r="BF164" t="s">
        <v>523</v>
      </c>
      <c r="BG164" t="s">
        <v>407</v>
      </c>
      <c r="BH164" t="s">
        <v>396</v>
      </c>
      <c r="BI164" t="s">
        <v>524</v>
      </c>
      <c r="BJ164" t="s">
        <v>228</v>
      </c>
      <c r="BK164" t="s">
        <v>543</v>
      </c>
      <c r="BL164" t="s">
        <v>228</v>
      </c>
      <c r="BM164" t="s">
        <v>228</v>
      </c>
      <c r="BN164" t="s">
        <v>228</v>
      </c>
      <c r="BO164" t="s">
        <v>228</v>
      </c>
      <c r="BP164" t="s">
        <v>228</v>
      </c>
      <c r="BQ164" t="s">
        <v>228</v>
      </c>
      <c r="BR164" t="s">
        <v>228</v>
      </c>
      <c r="BS164" t="s">
        <v>409</v>
      </c>
      <c r="BT164">
        <v>1</v>
      </c>
    </row>
    <row r="165" spans="1:72" x14ac:dyDescent="0.15">
      <c r="A165" s="43">
        <v>2023</v>
      </c>
      <c r="B165" s="8">
        <v>1</v>
      </c>
      <c r="C165" s="8">
        <v>1</v>
      </c>
      <c r="D165" s="8">
        <v>14</v>
      </c>
      <c r="E165" s="8" t="s">
        <v>228</v>
      </c>
      <c r="F165" s="8" t="s">
        <v>57</v>
      </c>
      <c r="G165" s="8">
        <v>2016</v>
      </c>
      <c r="H165" s="8">
        <v>12</v>
      </c>
      <c r="I165" s="8" t="s">
        <v>521</v>
      </c>
      <c r="J165" s="8" t="s">
        <v>228</v>
      </c>
      <c r="K165" s="8">
        <v>1983</v>
      </c>
      <c r="L165" s="17">
        <v>1</v>
      </c>
      <c r="M165" s="8">
        <v>1</v>
      </c>
      <c r="N165" s="8" t="s">
        <v>48</v>
      </c>
      <c r="O165" s="8" t="s">
        <v>283</v>
      </c>
      <c r="P165" s="8" t="s">
        <v>217</v>
      </c>
      <c r="Q165" s="8">
        <v>3000</v>
      </c>
      <c r="R165" s="8" t="s">
        <v>57</v>
      </c>
      <c r="S165" s="8" t="s">
        <v>53</v>
      </c>
      <c r="T165" s="8" t="s">
        <v>69</v>
      </c>
      <c r="U165" s="8" t="s">
        <v>228</v>
      </c>
      <c r="V165" s="8">
        <v>500</v>
      </c>
      <c r="W165" s="8" t="s">
        <v>328</v>
      </c>
      <c r="X165" s="8">
        <v>3000</v>
      </c>
      <c r="Y165" s="8" t="s">
        <v>268</v>
      </c>
      <c r="Z165" s="8">
        <v>85</v>
      </c>
      <c r="AA165" s="8" t="s">
        <v>278</v>
      </c>
      <c r="AB165" s="8" t="s">
        <v>247</v>
      </c>
      <c r="AC165" s="8" t="s">
        <v>228</v>
      </c>
      <c r="AD165" s="8" t="s">
        <v>228</v>
      </c>
      <c r="AE165" s="8" t="s">
        <v>228</v>
      </c>
      <c r="AF165" s="8" t="s">
        <v>228</v>
      </c>
      <c r="AG165" s="8" t="s">
        <v>228</v>
      </c>
      <c r="AH165" s="8" t="s">
        <v>228</v>
      </c>
      <c r="AI165" s="8" t="s">
        <v>228</v>
      </c>
      <c r="AJ165" t="s">
        <v>468</v>
      </c>
      <c r="AK165">
        <v>1</v>
      </c>
      <c r="AL165">
        <v>1</v>
      </c>
      <c r="AM165" t="s">
        <v>87</v>
      </c>
      <c r="AN165" t="s">
        <v>228</v>
      </c>
      <c r="AO165" t="s">
        <v>526</v>
      </c>
      <c r="AP165" t="s">
        <v>109</v>
      </c>
      <c r="AQ165">
        <v>12</v>
      </c>
      <c r="AR165" t="s">
        <v>521</v>
      </c>
      <c r="AS165" t="s">
        <v>228</v>
      </c>
      <c r="AT165" t="s">
        <v>140</v>
      </c>
      <c r="AU165">
        <v>1</v>
      </c>
      <c r="AV165">
        <v>1</v>
      </c>
      <c r="AW165" t="s">
        <v>406</v>
      </c>
      <c r="AX165" t="s">
        <v>283</v>
      </c>
      <c r="AY165" t="s">
        <v>217</v>
      </c>
      <c r="AZ165">
        <v>1</v>
      </c>
      <c r="BA165" t="s">
        <v>408</v>
      </c>
      <c r="BB165" t="s">
        <v>542</v>
      </c>
      <c r="BC165" t="s">
        <v>395</v>
      </c>
      <c r="BD165" t="s">
        <v>228</v>
      </c>
      <c r="BE165" t="s">
        <v>522</v>
      </c>
      <c r="BF165" t="s">
        <v>523</v>
      </c>
      <c r="BG165" t="s">
        <v>407</v>
      </c>
      <c r="BH165" t="s">
        <v>396</v>
      </c>
      <c r="BI165" t="s">
        <v>524</v>
      </c>
      <c r="BJ165" t="s">
        <v>228</v>
      </c>
      <c r="BK165" t="s">
        <v>543</v>
      </c>
      <c r="BL165" t="s">
        <v>228</v>
      </c>
      <c r="BM165" t="s">
        <v>228</v>
      </c>
      <c r="BN165" t="s">
        <v>228</v>
      </c>
      <c r="BO165" t="s">
        <v>228</v>
      </c>
      <c r="BP165" t="s">
        <v>228</v>
      </c>
      <c r="BQ165" t="s">
        <v>228</v>
      </c>
      <c r="BR165" t="s">
        <v>228</v>
      </c>
      <c r="BS165" t="s">
        <v>409</v>
      </c>
      <c r="BT165">
        <v>1</v>
      </c>
    </row>
    <row r="166" spans="1:72" x14ac:dyDescent="0.15">
      <c r="A166" s="43">
        <v>2023</v>
      </c>
      <c r="B166" s="8">
        <v>1</v>
      </c>
      <c r="C166" s="8">
        <v>1</v>
      </c>
      <c r="D166" s="8">
        <v>14</v>
      </c>
      <c r="E166" s="8" t="s">
        <v>228</v>
      </c>
      <c r="F166" s="8" t="s">
        <v>57</v>
      </c>
      <c r="G166" s="8">
        <v>2016</v>
      </c>
      <c r="H166" s="8">
        <v>12</v>
      </c>
      <c r="I166" s="8" t="s">
        <v>521</v>
      </c>
      <c r="J166" s="8" t="s">
        <v>228</v>
      </c>
      <c r="K166" s="8">
        <v>1983</v>
      </c>
      <c r="L166" s="17">
        <v>1</v>
      </c>
      <c r="M166" s="8">
        <v>1</v>
      </c>
      <c r="N166" s="8" t="s">
        <v>48</v>
      </c>
      <c r="O166" s="8" t="s">
        <v>283</v>
      </c>
      <c r="P166" s="8" t="s">
        <v>217</v>
      </c>
      <c r="Q166" s="8">
        <v>3000</v>
      </c>
      <c r="R166" s="8" t="s">
        <v>57</v>
      </c>
      <c r="S166" s="8" t="s">
        <v>52</v>
      </c>
      <c r="T166" s="8" t="s">
        <v>69</v>
      </c>
      <c r="U166" s="8" t="s">
        <v>228</v>
      </c>
      <c r="V166" s="8">
        <v>500</v>
      </c>
      <c r="W166" s="8" t="s">
        <v>328</v>
      </c>
      <c r="X166" s="8">
        <v>3000</v>
      </c>
      <c r="Y166" s="8" t="s">
        <v>268</v>
      </c>
      <c r="Z166" s="8">
        <v>85</v>
      </c>
      <c r="AA166" s="8" t="s">
        <v>278</v>
      </c>
      <c r="AB166" s="8" t="s">
        <v>247</v>
      </c>
      <c r="AC166" s="8" t="s">
        <v>228</v>
      </c>
      <c r="AD166" s="8" t="s">
        <v>228</v>
      </c>
      <c r="AE166" s="8" t="s">
        <v>228</v>
      </c>
      <c r="AF166" s="8" t="s">
        <v>228</v>
      </c>
      <c r="AG166" s="8" t="s">
        <v>228</v>
      </c>
      <c r="AH166" s="8" t="s">
        <v>228</v>
      </c>
      <c r="AI166" s="8" t="s">
        <v>228</v>
      </c>
      <c r="AJ166" t="s">
        <v>468</v>
      </c>
      <c r="AK166">
        <v>1</v>
      </c>
      <c r="AL166">
        <v>1</v>
      </c>
      <c r="AM166" t="s">
        <v>87</v>
      </c>
      <c r="AN166" t="s">
        <v>228</v>
      </c>
      <c r="AO166" t="s">
        <v>526</v>
      </c>
      <c r="AP166" t="s">
        <v>109</v>
      </c>
      <c r="AQ166">
        <v>12</v>
      </c>
      <c r="AR166" t="s">
        <v>521</v>
      </c>
      <c r="AS166" t="s">
        <v>228</v>
      </c>
      <c r="AT166" t="s">
        <v>140</v>
      </c>
      <c r="AU166">
        <v>1</v>
      </c>
      <c r="AV166">
        <v>1</v>
      </c>
      <c r="AW166" t="s">
        <v>406</v>
      </c>
      <c r="AX166" t="s">
        <v>283</v>
      </c>
      <c r="AY166" t="s">
        <v>217</v>
      </c>
      <c r="AZ166">
        <v>1</v>
      </c>
      <c r="BA166" t="s">
        <v>408</v>
      </c>
      <c r="BB166" t="s">
        <v>405</v>
      </c>
      <c r="BC166" t="s">
        <v>395</v>
      </c>
      <c r="BD166" t="s">
        <v>228</v>
      </c>
      <c r="BE166" t="s">
        <v>522</v>
      </c>
      <c r="BF166" t="s">
        <v>523</v>
      </c>
      <c r="BG166" t="s">
        <v>407</v>
      </c>
      <c r="BH166" t="s">
        <v>396</v>
      </c>
      <c r="BI166" t="s">
        <v>524</v>
      </c>
      <c r="BJ166" t="s">
        <v>228</v>
      </c>
      <c r="BK166" t="s">
        <v>543</v>
      </c>
      <c r="BL166" t="s">
        <v>228</v>
      </c>
      <c r="BM166" t="s">
        <v>228</v>
      </c>
      <c r="BN166" t="s">
        <v>228</v>
      </c>
      <c r="BO166" t="s">
        <v>228</v>
      </c>
      <c r="BP166" t="s">
        <v>228</v>
      </c>
      <c r="BQ166" t="s">
        <v>228</v>
      </c>
      <c r="BR166" t="s">
        <v>228</v>
      </c>
      <c r="BS166" t="s">
        <v>409</v>
      </c>
      <c r="BT166">
        <v>1</v>
      </c>
    </row>
    <row r="167" spans="1:72" x14ac:dyDescent="0.15">
      <c r="A167" s="43">
        <v>2023</v>
      </c>
      <c r="B167" s="8">
        <v>1</v>
      </c>
      <c r="C167" s="8">
        <v>1</v>
      </c>
      <c r="D167" s="8">
        <v>14</v>
      </c>
      <c r="E167" s="8" t="s">
        <v>228</v>
      </c>
      <c r="F167" s="8" t="s">
        <v>57</v>
      </c>
      <c r="G167" s="8">
        <v>2016</v>
      </c>
      <c r="H167" s="8">
        <v>12</v>
      </c>
      <c r="I167" s="8" t="s">
        <v>521</v>
      </c>
      <c r="J167" s="8" t="s">
        <v>228</v>
      </c>
      <c r="K167" s="8">
        <v>1983</v>
      </c>
      <c r="L167" s="17">
        <v>1</v>
      </c>
      <c r="M167" s="8">
        <v>1</v>
      </c>
      <c r="N167" s="8" t="s">
        <v>48</v>
      </c>
      <c r="O167" s="8" t="s">
        <v>283</v>
      </c>
      <c r="P167" s="8" t="s">
        <v>217</v>
      </c>
      <c r="Q167" s="8">
        <v>3000</v>
      </c>
      <c r="R167" s="8" t="s">
        <v>57</v>
      </c>
      <c r="S167" s="8" t="s">
        <v>54</v>
      </c>
      <c r="T167" s="8" t="s">
        <v>69</v>
      </c>
      <c r="U167" s="8" t="s">
        <v>228</v>
      </c>
      <c r="V167" s="8">
        <v>500</v>
      </c>
      <c r="W167" s="8" t="s">
        <v>328</v>
      </c>
      <c r="X167" s="8">
        <v>3000</v>
      </c>
      <c r="Y167" s="8" t="s">
        <v>271</v>
      </c>
      <c r="Z167" s="8">
        <v>85</v>
      </c>
      <c r="AA167" s="8" t="s">
        <v>278</v>
      </c>
      <c r="AB167" s="8" t="s">
        <v>228</v>
      </c>
      <c r="AC167" s="8" t="s">
        <v>228</v>
      </c>
      <c r="AD167" s="8" t="s">
        <v>228</v>
      </c>
      <c r="AE167" s="8" t="s">
        <v>228</v>
      </c>
      <c r="AF167" s="8" t="s">
        <v>228</v>
      </c>
      <c r="AG167" s="8" t="s">
        <v>228</v>
      </c>
      <c r="AH167" s="8" t="s">
        <v>228</v>
      </c>
      <c r="AI167" s="8" t="s">
        <v>228</v>
      </c>
      <c r="AJ167" t="s">
        <v>468</v>
      </c>
      <c r="AK167">
        <v>1</v>
      </c>
      <c r="AL167">
        <v>1</v>
      </c>
      <c r="AM167" t="s">
        <v>87</v>
      </c>
      <c r="AN167" t="s">
        <v>228</v>
      </c>
      <c r="AO167" t="s">
        <v>526</v>
      </c>
      <c r="AP167" t="s">
        <v>109</v>
      </c>
      <c r="AQ167">
        <v>12</v>
      </c>
      <c r="AR167" t="s">
        <v>521</v>
      </c>
      <c r="AS167" t="s">
        <v>228</v>
      </c>
      <c r="AT167" t="s">
        <v>140</v>
      </c>
      <c r="AU167">
        <v>1</v>
      </c>
      <c r="AV167">
        <v>1</v>
      </c>
      <c r="AW167" t="s">
        <v>406</v>
      </c>
      <c r="AX167" t="s">
        <v>283</v>
      </c>
      <c r="AY167" t="s">
        <v>217</v>
      </c>
      <c r="AZ167">
        <v>1</v>
      </c>
      <c r="BA167" t="s">
        <v>408</v>
      </c>
      <c r="BB167" t="s">
        <v>541</v>
      </c>
      <c r="BC167" t="s">
        <v>395</v>
      </c>
      <c r="BD167" t="s">
        <v>228</v>
      </c>
      <c r="BE167" t="s">
        <v>522</v>
      </c>
      <c r="BF167" t="s">
        <v>523</v>
      </c>
      <c r="BG167" t="s">
        <v>407</v>
      </c>
      <c r="BH167" t="s">
        <v>544</v>
      </c>
      <c r="BI167" t="s">
        <v>524</v>
      </c>
      <c r="BJ167" t="s">
        <v>228</v>
      </c>
      <c r="BK167" t="s">
        <v>228</v>
      </c>
      <c r="BL167" t="s">
        <v>228</v>
      </c>
      <c r="BM167" t="s">
        <v>228</v>
      </c>
      <c r="BN167" t="s">
        <v>228</v>
      </c>
      <c r="BO167" t="s">
        <v>228</v>
      </c>
      <c r="BP167" t="s">
        <v>228</v>
      </c>
      <c r="BQ167" t="s">
        <v>228</v>
      </c>
      <c r="BR167" t="s">
        <v>228</v>
      </c>
      <c r="BS167" t="s">
        <v>409</v>
      </c>
      <c r="BT167">
        <v>1</v>
      </c>
    </row>
    <row r="168" spans="1:72" x14ac:dyDescent="0.15">
      <c r="A168" s="43">
        <v>2023</v>
      </c>
      <c r="B168" s="8">
        <v>1</v>
      </c>
      <c r="C168" s="8">
        <v>1</v>
      </c>
      <c r="D168" s="8">
        <v>14</v>
      </c>
      <c r="E168" s="8" t="s">
        <v>228</v>
      </c>
      <c r="F168" s="8" t="s">
        <v>57</v>
      </c>
      <c r="G168" s="8">
        <v>2016</v>
      </c>
      <c r="H168" s="8">
        <v>12</v>
      </c>
      <c r="I168" s="8" t="s">
        <v>521</v>
      </c>
      <c r="J168" s="8" t="s">
        <v>228</v>
      </c>
      <c r="K168" s="8">
        <v>1983</v>
      </c>
      <c r="L168" s="17">
        <v>1</v>
      </c>
      <c r="M168" s="8">
        <v>1</v>
      </c>
      <c r="N168" s="8" t="s">
        <v>48</v>
      </c>
      <c r="O168" s="8" t="s">
        <v>283</v>
      </c>
      <c r="P168" s="8" t="s">
        <v>217</v>
      </c>
      <c r="Q168" s="8">
        <v>3000</v>
      </c>
      <c r="R168" s="8" t="s">
        <v>57</v>
      </c>
      <c r="S168" s="8" t="s">
        <v>53</v>
      </c>
      <c r="T168" s="8" t="s">
        <v>69</v>
      </c>
      <c r="U168" s="8" t="s">
        <v>228</v>
      </c>
      <c r="V168" s="8">
        <v>500</v>
      </c>
      <c r="W168" s="8" t="s">
        <v>328</v>
      </c>
      <c r="X168" s="8">
        <v>3000</v>
      </c>
      <c r="Y168" s="8" t="s">
        <v>271</v>
      </c>
      <c r="Z168" s="8">
        <v>85</v>
      </c>
      <c r="AA168" s="8" t="s">
        <v>278</v>
      </c>
      <c r="AB168" s="8" t="s">
        <v>228</v>
      </c>
      <c r="AC168" s="8" t="s">
        <v>228</v>
      </c>
      <c r="AD168" s="8" t="s">
        <v>228</v>
      </c>
      <c r="AE168" s="8" t="s">
        <v>228</v>
      </c>
      <c r="AF168" s="8" t="s">
        <v>228</v>
      </c>
      <c r="AG168" s="8" t="s">
        <v>228</v>
      </c>
      <c r="AH168" s="8" t="s">
        <v>228</v>
      </c>
      <c r="AI168" s="8" t="s">
        <v>228</v>
      </c>
      <c r="AJ168" t="s">
        <v>468</v>
      </c>
      <c r="AK168">
        <v>1</v>
      </c>
      <c r="AL168">
        <v>1</v>
      </c>
      <c r="AM168" t="s">
        <v>87</v>
      </c>
      <c r="AN168" t="s">
        <v>228</v>
      </c>
      <c r="AO168" t="s">
        <v>526</v>
      </c>
      <c r="AP168" t="s">
        <v>109</v>
      </c>
      <c r="AQ168">
        <v>12</v>
      </c>
      <c r="AR168" t="s">
        <v>521</v>
      </c>
      <c r="AS168" t="s">
        <v>228</v>
      </c>
      <c r="AT168" t="s">
        <v>140</v>
      </c>
      <c r="AU168">
        <v>1</v>
      </c>
      <c r="AV168">
        <v>1</v>
      </c>
      <c r="AW168" t="s">
        <v>406</v>
      </c>
      <c r="AX168" t="s">
        <v>283</v>
      </c>
      <c r="AY168" t="s">
        <v>217</v>
      </c>
      <c r="AZ168">
        <v>1</v>
      </c>
      <c r="BA168" t="s">
        <v>408</v>
      </c>
      <c r="BB168" t="s">
        <v>542</v>
      </c>
      <c r="BC168" t="s">
        <v>395</v>
      </c>
      <c r="BD168" t="s">
        <v>228</v>
      </c>
      <c r="BE168" t="s">
        <v>522</v>
      </c>
      <c r="BF168" t="s">
        <v>523</v>
      </c>
      <c r="BG168" t="s">
        <v>407</v>
      </c>
      <c r="BH168" t="s">
        <v>544</v>
      </c>
      <c r="BI168" t="s">
        <v>524</v>
      </c>
      <c r="BJ168" t="s">
        <v>228</v>
      </c>
      <c r="BK168" t="s">
        <v>228</v>
      </c>
      <c r="BL168" t="s">
        <v>228</v>
      </c>
      <c r="BM168" t="s">
        <v>228</v>
      </c>
      <c r="BN168" t="s">
        <v>228</v>
      </c>
      <c r="BO168" t="s">
        <v>228</v>
      </c>
      <c r="BP168" t="s">
        <v>228</v>
      </c>
      <c r="BQ168" t="s">
        <v>228</v>
      </c>
      <c r="BR168" t="s">
        <v>228</v>
      </c>
      <c r="BS168" t="s">
        <v>409</v>
      </c>
      <c r="BT168">
        <v>1</v>
      </c>
    </row>
    <row r="169" spans="1:72" x14ac:dyDescent="0.15">
      <c r="A169" s="43">
        <v>2023</v>
      </c>
      <c r="B169" s="8">
        <v>1</v>
      </c>
      <c r="C169" s="8">
        <v>1</v>
      </c>
      <c r="D169" s="8">
        <v>14</v>
      </c>
      <c r="E169" s="8" t="s">
        <v>228</v>
      </c>
      <c r="F169" s="8" t="s">
        <v>57</v>
      </c>
      <c r="G169" s="8">
        <v>2016</v>
      </c>
      <c r="H169" s="8">
        <v>12</v>
      </c>
      <c r="I169" s="8" t="s">
        <v>521</v>
      </c>
      <c r="J169" s="8" t="s">
        <v>228</v>
      </c>
      <c r="K169" s="8">
        <v>1983</v>
      </c>
      <c r="L169" s="17">
        <v>1</v>
      </c>
      <c r="M169" s="8">
        <v>1</v>
      </c>
      <c r="N169" s="8" t="s">
        <v>48</v>
      </c>
      <c r="O169" s="8" t="s">
        <v>283</v>
      </c>
      <c r="P169" s="8" t="s">
        <v>217</v>
      </c>
      <c r="Q169" s="8">
        <v>3000</v>
      </c>
      <c r="R169" s="8" t="s">
        <v>57</v>
      </c>
      <c r="S169" s="8" t="s">
        <v>52</v>
      </c>
      <c r="T169" s="8" t="s">
        <v>69</v>
      </c>
      <c r="U169" s="8" t="s">
        <v>228</v>
      </c>
      <c r="V169" s="8">
        <v>500</v>
      </c>
      <c r="W169" s="8" t="s">
        <v>328</v>
      </c>
      <c r="X169" s="8">
        <v>3000</v>
      </c>
      <c r="Y169" s="8" t="s">
        <v>271</v>
      </c>
      <c r="Z169" s="8">
        <v>85</v>
      </c>
      <c r="AA169" s="8" t="s">
        <v>278</v>
      </c>
      <c r="AB169" s="8" t="s">
        <v>228</v>
      </c>
      <c r="AC169" s="8" t="s">
        <v>228</v>
      </c>
      <c r="AD169" s="8" t="s">
        <v>228</v>
      </c>
      <c r="AE169" s="8" t="s">
        <v>228</v>
      </c>
      <c r="AF169" s="8" t="s">
        <v>228</v>
      </c>
      <c r="AG169" s="8" t="s">
        <v>228</v>
      </c>
      <c r="AH169" s="8" t="s">
        <v>228</v>
      </c>
      <c r="AI169" s="8" t="s">
        <v>228</v>
      </c>
      <c r="AJ169" t="s">
        <v>468</v>
      </c>
      <c r="AK169">
        <v>1</v>
      </c>
      <c r="AL169">
        <v>1</v>
      </c>
      <c r="AM169" t="s">
        <v>87</v>
      </c>
      <c r="AN169" t="s">
        <v>228</v>
      </c>
      <c r="AO169" t="s">
        <v>526</v>
      </c>
      <c r="AP169" t="s">
        <v>109</v>
      </c>
      <c r="AQ169">
        <v>12</v>
      </c>
      <c r="AR169" t="s">
        <v>521</v>
      </c>
      <c r="AS169" t="s">
        <v>228</v>
      </c>
      <c r="AT169" t="s">
        <v>140</v>
      </c>
      <c r="AU169">
        <v>1</v>
      </c>
      <c r="AV169">
        <v>1</v>
      </c>
      <c r="AW169" t="s">
        <v>406</v>
      </c>
      <c r="AX169" t="s">
        <v>283</v>
      </c>
      <c r="AY169" t="s">
        <v>217</v>
      </c>
      <c r="AZ169">
        <v>1</v>
      </c>
      <c r="BA169" t="s">
        <v>408</v>
      </c>
      <c r="BB169" t="s">
        <v>405</v>
      </c>
      <c r="BC169" t="s">
        <v>395</v>
      </c>
      <c r="BD169" t="s">
        <v>228</v>
      </c>
      <c r="BE169" t="s">
        <v>522</v>
      </c>
      <c r="BF169" t="s">
        <v>523</v>
      </c>
      <c r="BG169" t="s">
        <v>407</v>
      </c>
      <c r="BH169" t="s">
        <v>544</v>
      </c>
      <c r="BI169" t="s">
        <v>524</v>
      </c>
      <c r="BJ169" t="s">
        <v>228</v>
      </c>
      <c r="BK169" t="s">
        <v>228</v>
      </c>
      <c r="BL169" t="s">
        <v>228</v>
      </c>
      <c r="BM169" t="s">
        <v>228</v>
      </c>
      <c r="BN169" t="s">
        <v>228</v>
      </c>
      <c r="BO169" t="s">
        <v>228</v>
      </c>
      <c r="BP169" t="s">
        <v>228</v>
      </c>
      <c r="BQ169" t="s">
        <v>228</v>
      </c>
      <c r="BR169" t="s">
        <v>228</v>
      </c>
      <c r="BS169" t="s">
        <v>409</v>
      </c>
      <c r="BT169">
        <v>1</v>
      </c>
    </row>
    <row r="170" spans="1:72" x14ac:dyDescent="0.15">
      <c r="A170" s="43">
        <v>2023</v>
      </c>
      <c r="B170" s="8">
        <v>1</v>
      </c>
      <c r="C170" s="8">
        <v>1</v>
      </c>
      <c r="D170" s="8">
        <v>14</v>
      </c>
      <c r="E170" s="8" t="s">
        <v>228</v>
      </c>
      <c r="F170" s="8" t="s">
        <v>57</v>
      </c>
      <c r="G170" s="8">
        <v>2016</v>
      </c>
      <c r="H170" s="8">
        <v>12</v>
      </c>
      <c r="I170" s="8" t="s">
        <v>521</v>
      </c>
      <c r="J170" s="8" t="s">
        <v>228</v>
      </c>
      <c r="K170" s="8">
        <v>1983</v>
      </c>
      <c r="L170" s="17">
        <v>1</v>
      </c>
      <c r="M170" s="8">
        <v>1</v>
      </c>
      <c r="N170" s="8" t="s">
        <v>48</v>
      </c>
      <c r="O170" s="8" t="s">
        <v>283</v>
      </c>
      <c r="P170" s="8" t="s">
        <v>217</v>
      </c>
      <c r="Q170" s="8">
        <v>3000</v>
      </c>
      <c r="R170" s="8" t="s">
        <v>57</v>
      </c>
      <c r="S170" s="8" t="s">
        <v>54</v>
      </c>
      <c r="T170" s="8" t="s">
        <v>69</v>
      </c>
      <c r="U170" s="8" t="s">
        <v>228</v>
      </c>
      <c r="V170" s="8">
        <v>500</v>
      </c>
      <c r="W170" s="8" t="s">
        <v>328</v>
      </c>
      <c r="X170" s="8">
        <v>3000</v>
      </c>
      <c r="Y170" s="8" t="s">
        <v>271</v>
      </c>
      <c r="Z170" s="8">
        <v>85</v>
      </c>
      <c r="AA170" s="8" t="s">
        <v>278</v>
      </c>
      <c r="AB170" s="8" t="s">
        <v>247</v>
      </c>
      <c r="AC170" s="8" t="s">
        <v>228</v>
      </c>
      <c r="AD170" s="8" t="s">
        <v>228</v>
      </c>
      <c r="AE170" s="8" t="s">
        <v>228</v>
      </c>
      <c r="AF170" s="8" t="s">
        <v>228</v>
      </c>
      <c r="AG170" s="8" t="s">
        <v>228</v>
      </c>
      <c r="AH170" s="8" t="s">
        <v>228</v>
      </c>
      <c r="AI170" s="8" t="s">
        <v>228</v>
      </c>
      <c r="AJ170" t="s">
        <v>468</v>
      </c>
      <c r="AK170">
        <v>1</v>
      </c>
      <c r="AL170">
        <v>1</v>
      </c>
      <c r="AM170" t="s">
        <v>87</v>
      </c>
      <c r="AN170" t="s">
        <v>228</v>
      </c>
      <c r="AO170" t="s">
        <v>526</v>
      </c>
      <c r="AP170" t="s">
        <v>109</v>
      </c>
      <c r="AQ170">
        <v>12</v>
      </c>
      <c r="AR170" t="s">
        <v>521</v>
      </c>
      <c r="AS170" t="s">
        <v>228</v>
      </c>
      <c r="AT170" t="s">
        <v>140</v>
      </c>
      <c r="AU170">
        <v>1</v>
      </c>
      <c r="AV170">
        <v>1</v>
      </c>
      <c r="AW170" t="s">
        <v>406</v>
      </c>
      <c r="AX170" t="s">
        <v>283</v>
      </c>
      <c r="AY170" t="s">
        <v>217</v>
      </c>
      <c r="AZ170">
        <v>1</v>
      </c>
      <c r="BA170" t="s">
        <v>408</v>
      </c>
      <c r="BB170" t="s">
        <v>541</v>
      </c>
      <c r="BC170" t="s">
        <v>395</v>
      </c>
      <c r="BD170" t="s">
        <v>228</v>
      </c>
      <c r="BE170" t="s">
        <v>522</v>
      </c>
      <c r="BF170" t="s">
        <v>523</v>
      </c>
      <c r="BG170" t="s">
        <v>407</v>
      </c>
      <c r="BH170" t="s">
        <v>544</v>
      </c>
      <c r="BI170" t="s">
        <v>524</v>
      </c>
      <c r="BJ170" t="s">
        <v>228</v>
      </c>
      <c r="BK170" t="s">
        <v>543</v>
      </c>
      <c r="BL170" t="s">
        <v>228</v>
      </c>
      <c r="BM170" t="s">
        <v>228</v>
      </c>
      <c r="BN170" t="s">
        <v>228</v>
      </c>
      <c r="BO170" t="s">
        <v>228</v>
      </c>
      <c r="BP170" t="s">
        <v>228</v>
      </c>
      <c r="BQ170" t="s">
        <v>228</v>
      </c>
      <c r="BR170" t="s">
        <v>228</v>
      </c>
      <c r="BS170" t="s">
        <v>409</v>
      </c>
      <c r="BT170">
        <v>1</v>
      </c>
    </row>
    <row r="171" spans="1:72" x14ac:dyDescent="0.15">
      <c r="A171" s="43">
        <v>2023</v>
      </c>
      <c r="B171" s="8">
        <v>1</v>
      </c>
      <c r="C171" s="8">
        <v>1</v>
      </c>
      <c r="D171" s="8">
        <v>14</v>
      </c>
      <c r="E171" s="8" t="s">
        <v>228</v>
      </c>
      <c r="F171" s="8" t="s">
        <v>57</v>
      </c>
      <c r="G171" s="8">
        <v>2016</v>
      </c>
      <c r="H171" s="8">
        <v>12</v>
      </c>
      <c r="I171" s="8" t="s">
        <v>521</v>
      </c>
      <c r="J171" s="8" t="s">
        <v>228</v>
      </c>
      <c r="K171" s="8">
        <v>1983</v>
      </c>
      <c r="L171" s="17">
        <v>1</v>
      </c>
      <c r="M171" s="8">
        <v>1</v>
      </c>
      <c r="N171" s="8" t="s">
        <v>48</v>
      </c>
      <c r="O171" s="8" t="s">
        <v>283</v>
      </c>
      <c r="P171" s="8" t="s">
        <v>217</v>
      </c>
      <c r="Q171" s="8">
        <v>3000</v>
      </c>
      <c r="R171" s="8" t="s">
        <v>57</v>
      </c>
      <c r="S171" s="8" t="s">
        <v>53</v>
      </c>
      <c r="T171" s="8" t="s">
        <v>69</v>
      </c>
      <c r="U171" s="8" t="s">
        <v>228</v>
      </c>
      <c r="V171" s="8">
        <v>500</v>
      </c>
      <c r="W171" s="8" t="s">
        <v>328</v>
      </c>
      <c r="X171" s="8">
        <v>3000</v>
      </c>
      <c r="Y171" s="8" t="s">
        <v>271</v>
      </c>
      <c r="Z171" s="8">
        <v>85</v>
      </c>
      <c r="AA171" s="8" t="s">
        <v>278</v>
      </c>
      <c r="AB171" s="8" t="s">
        <v>247</v>
      </c>
      <c r="AC171" s="8" t="s">
        <v>228</v>
      </c>
      <c r="AD171" s="8" t="s">
        <v>228</v>
      </c>
      <c r="AE171" s="8" t="s">
        <v>228</v>
      </c>
      <c r="AF171" s="8" t="s">
        <v>228</v>
      </c>
      <c r="AG171" s="8" t="s">
        <v>228</v>
      </c>
      <c r="AH171" s="8" t="s">
        <v>228</v>
      </c>
      <c r="AI171" s="8" t="s">
        <v>228</v>
      </c>
      <c r="AJ171" t="s">
        <v>468</v>
      </c>
      <c r="AK171">
        <v>1</v>
      </c>
      <c r="AL171">
        <v>1</v>
      </c>
      <c r="AM171" t="s">
        <v>87</v>
      </c>
      <c r="AN171" t="s">
        <v>228</v>
      </c>
      <c r="AO171" t="s">
        <v>526</v>
      </c>
      <c r="AP171" t="s">
        <v>109</v>
      </c>
      <c r="AQ171">
        <v>12</v>
      </c>
      <c r="AR171" t="s">
        <v>521</v>
      </c>
      <c r="AS171" t="s">
        <v>228</v>
      </c>
      <c r="AT171" t="s">
        <v>140</v>
      </c>
      <c r="AU171">
        <v>1</v>
      </c>
      <c r="AV171">
        <v>1</v>
      </c>
      <c r="AW171" t="s">
        <v>406</v>
      </c>
      <c r="AX171" t="s">
        <v>283</v>
      </c>
      <c r="AY171" t="s">
        <v>217</v>
      </c>
      <c r="AZ171">
        <v>1</v>
      </c>
      <c r="BA171" t="s">
        <v>408</v>
      </c>
      <c r="BB171" t="s">
        <v>542</v>
      </c>
      <c r="BC171" t="s">
        <v>395</v>
      </c>
      <c r="BD171" t="s">
        <v>228</v>
      </c>
      <c r="BE171" t="s">
        <v>522</v>
      </c>
      <c r="BF171" t="s">
        <v>523</v>
      </c>
      <c r="BG171" t="s">
        <v>407</v>
      </c>
      <c r="BH171" t="s">
        <v>544</v>
      </c>
      <c r="BI171" t="s">
        <v>524</v>
      </c>
      <c r="BJ171" t="s">
        <v>228</v>
      </c>
      <c r="BK171" t="s">
        <v>543</v>
      </c>
      <c r="BL171" t="s">
        <v>228</v>
      </c>
      <c r="BM171" t="s">
        <v>228</v>
      </c>
      <c r="BN171" t="s">
        <v>228</v>
      </c>
      <c r="BO171" t="s">
        <v>228</v>
      </c>
      <c r="BP171" t="s">
        <v>228</v>
      </c>
      <c r="BQ171" t="s">
        <v>228</v>
      </c>
      <c r="BR171" t="s">
        <v>228</v>
      </c>
      <c r="BS171" t="s">
        <v>409</v>
      </c>
      <c r="BT171">
        <v>1</v>
      </c>
    </row>
    <row r="172" spans="1:72" x14ac:dyDescent="0.15">
      <c r="A172" s="43">
        <v>2023</v>
      </c>
      <c r="B172" s="8">
        <v>1</v>
      </c>
      <c r="C172" s="8">
        <v>1</v>
      </c>
      <c r="D172" s="8">
        <v>14</v>
      </c>
      <c r="E172" s="8" t="s">
        <v>228</v>
      </c>
      <c r="F172" s="8" t="s">
        <v>57</v>
      </c>
      <c r="G172" s="8">
        <v>2016</v>
      </c>
      <c r="H172" s="8">
        <v>12</v>
      </c>
      <c r="I172" s="8" t="s">
        <v>521</v>
      </c>
      <c r="J172" s="8" t="s">
        <v>228</v>
      </c>
      <c r="K172" s="8">
        <v>1983</v>
      </c>
      <c r="L172" s="17">
        <v>1</v>
      </c>
      <c r="M172" s="8">
        <v>1</v>
      </c>
      <c r="N172" s="8" t="s">
        <v>48</v>
      </c>
      <c r="O172" s="8" t="s">
        <v>283</v>
      </c>
      <c r="P172" s="8" t="s">
        <v>217</v>
      </c>
      <c r="Q172" s="8">
        <v>3000</v>
      </c>
      <c r="R172" s="8" t="s">
        <v>57</v>
      </c>
      <c r="S172" s="8" t="s">
        <v>52</v>
      </c>
      <c r="T172" s="8" t="s">
        <v>69</v>
      </c>
      <c r="U172" s="8" t="s">
        <v>228</v>
      </c>
      <c r="V172" s="8">
        <v>500</v>
      </c>
      <c r="W172" s="8" t="s">
        <v>328</v>
      </c>
      <c r="X172" s="8">
        <v>3000</v>
      </c>
      <c r="Y172" s="8" t="s">
        <v>271</v>
      </c>
      <c r="Z172" s="8">
        <v>85</v>
      </c>
      <c r="AA172" s="8" t="s">
        <v>278</v>
      </c>
      <c r="AB172" s="8" t="s">
        <v>247</v>
      </c>
      <c r="AC172" s="8" t="s">
        <v>228</v>
      </c>
      <c r="AD172" s="8" t="s">
        <v>228</v>
      </c>
      <c r="AE172" s="8" t="s">
        <v>228</v>
      </c>
      <c r="AF172" s="8" t="s">
        <v>228</v>
      </c>
      <c r="AG172" s="8" t="s">
        <v>228</v>
      </c>
      <c r="AH172" s="8" t="s">
        <v>228</v>
      </c>
      <c r="AI172" s="8" t="s">
        <v>228</v>
      </c>
      <c r="AJ172" t="s">
        <v>468</v>
      </c>
      <c r="AK172">
        <v>1</v>
      </c>
      <c r="AL172">
        <v>1</v>
      </c>
      <c r="AM172" t="s">
        <v>87</v>
      </c>
      <c r="AN172" t="s">
        <v>228</v>
      </c>
      <c r="AO172" t="s">
        <v>526</v>
      </c>
      <c r="AP172" t="s">
        <v>109</v>
      </c>
      <c r="AQ172">
        <v>12</v>
      </c>
      <c r="AR172" t="s">
        <v>521</v>
      </c>
      <c r="AS172" t="s">
        <v>228</v>
      </c>
      <c r="AT172" t="s">
        <v>140</v>
      </c>
      <c r="AU172">
        <v>1</v>
      </c>
      <c r="AV172">
        <v>1</v>
      </c>
      <c r="AW172" t="s">
        <v>406</v>
      </c>
      <c r="AX172" t="s">
        <v>283</v>
      </c>
      <c r="AY172" t="s">
        <v>217</v>
      </c>
      <c r="AZ172">
        <v>1</v>
      </c>
      <c r="BA172" t="s">
        <v>408</v>
      </c>
      <c r="BB172" t="s">
        <v>405</v>
      </c>
      <c r="BC172" t="s">
        <v>395</v>
      </c>
      <c r="BD172" t="s">
        <v>228</v>
      </c>
      <c r="BE172" t="s">
        <v>522</v>
      </c>
      <c r="BF172" t="s">
        <v>523</v>
      </c>
      <c r="BG172" t="s">
        <v>407</v>
      </c>
      <c r="BH172" t="s">
        <v>544</v>
      </c>
      <c r="BI172" t="s">
        <v>524</v>
      </c>
      <c r="BJ172" t="s">
        <v>228</v>
      </c>
      <c r="BK172" t="s">
        <v>543</v>
      </c>
      <c r="BL172" t="s">
        <v>228</v>
      </c>
      <c r="BM172" t="s">
        <v>228</v>
      </c>
      <c r="BN172" t="s">
        <v>228</v>
      </c>
      <c r="BO172" t="s">
        <v>228</v>
      </c>
      <c r="BP172" t="s">
        <v>228</v>
      </c>
      <c r="BQ172" t="s">
        <v>228</v>
      </c>
      <c r="BR172" t="s">
        <v>228</v>
      </c>
      <c r="BS172" t="s">
        <v>409</v>
      </c>
      <c r="BT172">
        <v>0</v>
      </c>
    </row>
    <row r="173" spans="1:72" x14ac:dyDescent="0.15">
      <c r="A173" s="43">
        <v>2023</v>
      </c>
      <c r="B173" s="8">
        <v>1</v>
      </c>
      <c r="C173" s="8">
        <v>1</v>
      </c>
      <c r="D173" s="8">
        <v>13</v>
      </c>
      <c r="E173" s="8" t="s">
        <v>228</v>
      </c>
      <c r="F173" s="8" t="s">
        <v>57</v>
      </c>
      <c r="G173" s="8">
        <v>2016</v>
      </c>
      <c r="H173" s="8">
        <v>12</v>
      </c>
      <c r="I173" s="8" t="s">
        <v>521</v>
      </c>
      <c r="J173" s="8" t="s">
        <v>228</v>
      </c>
      <c r="K173" s="8">
        <v>1983</v>
      </c>
      <c r="L173" s="17">
        <v>1</v>
      </c>
      <c r="M173" s="8">
        <v>1</v>
      </c>
      <c r="N173" s="8" t="s">
        <v>48</v>
      </c>
      <c r="O173" s="8" t="s">
        <v>283</v>
      </c>
      <c r="P173" s="8" t="s">
        <v>217</v>
      </c>
      <c r="Q173" s="8">
        <v>3000</v>
      </c>
      <c r="R173" s="8" t="s">
        <v>57</v>
      </c>
      <c r="S173" s="8" t="s">
        <v>54</v>
      </c>
      <c r="T173" s="8" t="s">
        <v>69</v>
      </c>
      <c r="U173" s="8" t="s">
        <v>228</v>
      </c>
      <c r="V173" s="8">
        <v>500</v>
      </c>
      <c r="W173" s="8" t="s">
        <v>328</v>
      </c>
      <c r="X173" s="8">
        <v>3000</v>
      </c>
      <c r="Y173" s="8" t="s">
        <v>268</v>
      </c>
      <c r="Z173" s="8">
        <v>85</v>
      </c>
      <c r="AA173" s="8" t="s">
        <v>278</v>
      </c>
      <c r="AB173" s="8" t="s">
        <v>228</v>
      </c>
      <c r="AC173" s="8" t="s">
        <v>228</v>
      </c>
      <c r="AD173" s="8" t="s">
        <v>228</v>
      </c>
      <c r="AE173" s="8" t="s">
        <v>228</v>
      </c>
      <c r="AF173" s="8" t="s">
        <v>228</v>
      </c>
      <c r="AG173" s="8" t="s">
        <v>228</v>
      </c>
      <c r="AH173" s="8" t="s">
        <v>228</v>
      </c>
      <c r="AI173" s="8" t="s">
        <v>228</v>
      </c>
      <c r="AJ173" t="s">
        <v>468</v>
      </c>
      <c r="AK173">
        <v>1</v>
      </c>
      <c r="AL173">
        <v>1</v>
      </c>
      <c r="AM173" t="s">
        <v>88</v>
      </c>
      <c r="AN173" t="s">
        <v>228</v>
      </c>
      <c r="AO173" t="s">
        <v>526</v>
      </c>
      <c r="AP173" t="s">
        <v>109</v>
      </c>
      <c r="AQ173">
        <v>12</v>
      </c>
      <c r="AR173" t="s">
        <v>521</v>
      </c>
      <c r="AS173" t="s">
        <v>228</v>
      </c>
      <c r="AT173" t="s">
        <v>140</v>
      </c>
      <c r="AU173">
        <v>1</v>
      </c>
      <c r="AV173">
        <v>1</v>
      </c>
      <c r="AW173" t="s">
        <v>406</v>
      </c>
      <c r="AX173" t="s">
        <v>283</v>
      </c>
      <c r="AY173" t="s">
        <v>217</v>
      </c>
      <c r="AZ173">
        <v>1</v>
      </c>
      <c r="BA173" t="s">
        <v>408</v>
      </c>
      <c r="BB173" t="s">
        <v>541</v>
      </c>
      <c r="BC173" t="s">
        <v>395</v>
      </c>
      <c r="BD173" t="s">
        <v>228</v>
      </c>
      <c r="BE173" t="s">
        <v>522</v>
      </c>
      <c r="BF173" t="s">
        <v>523</v>
      </c>
      <c r="BG173" t="s">
        <v>407</v>
      </c>
      <c r="BH173" t="s">
        <v>396</v>
      </c>
      <c r="BI173" t="s">
        <v>524</v>
      </c>
      <c r="BJ173" t="s">
        <v>228</v>
      </c>
      <c r="BK173" t="s">
        <v>228</v>
      </c>
      <c r="BL173" t="s">
        <v>228</v>
      </c>
      <c r="BM173" t="s">
        <v>228</v>
      </c>
      <c r="BN173" t="s">
        <v>228</v>
      </c>
      <c r="BO173" t="s">
        <v>228</v>
      </c>
      <c r="BP173" t="s">
        <v>228</v>
      </c>
      <c r="BQ173" t="s">
        <v>228</v>
      </c>
      <c r="BR173" t="s">
        <v>228</v>
      </c>
      <c r="BS173" t="s">
        <v>409</v>
      </c>
      <c r="BT173">
        <v>1</v>
      </c>
    </row>
    <row r="174" spans="1:72" x14ac:dyDescent="0.15">
      <c r="A174" s="43">
        <v>2023</v>
      </c>
      <c r="B174" s="8">
        <v>1</v>
      </c>
      <c r="C174" s="8">
        <v>1</v>
      </c>
      <c r="D174" s="8">
        <v>13</v>
      </c>
      <c r="E174" s="8" t="s">
        <v>228</v>
      </c>
      <c r="F174" s="8" t="s">
        <v>57</v>
      </c>
      <c r="G174" s="8">
        <v>2016</v>
      </c>
      <c r="H174" s="8">
        <v>12</v>
      </c>
      <c r="I174" s="8" t="s">
        <v>521</v>
      </c>
      <c r="J174" s="8" t="s">
        <v>228</v>
      </c>
      <c r="K174" s="8">
        <v>1983</v>
      </c>
      <c r="L174" s="17">
        <v>1</v>
      </c>
      <c r="M174" s="8">
        <v>1</v>
      </c>
      <c r="N174" s="8" t="s">
        <v>48</v>
      </c>
      <c r="O174" s="8" t="s">
        <v>283</v>
      </c>
      <c r="P174" s="8" t="s">
        <v>217</v>
      </c>
      <c r="Q174" s="8">
        <v>3000</v>
      </c>
      <c r="R174" s="8" t="s">
        <v>57</v>
      </c>
      <c r="S174" s="8" t="s">
        <v>53</v>
      </c>
      <c r="T174" s="8" t="s">
        <v>69</v>
      </c>
      <c r="U174" s="8" t="s">
        <v>228</v>
      </c>
      <c r="V174" s="8">
        <v>500</v>
      </c>
      <c r="W174" s="8" t="s">
        <v>328</v>
      </c>
      <c r="X174" s="8">
        <v>3000</v>
      </c>
      <c r="Y174" s="8" t="s">
        <v>268</v>
      </c>
      <c r="Z174" s="8">
        <v>85</v>
      </c>
      <c r="AA174" s="8" t="s">
        <v>278</v>
      </c>
      <c r="AB174" s="8" t="s">
        <v>228</v>
      </c>
      <c r="AC174" s="8" t="s">
        <v>228</v>
      </c>
      <c r="AD174" s="8" t="s">
        <v>228</v>
      </c>
      <c r="AE174" s="8" t="s">
        <v>228</v>
      </c>
      <c r="AF174" s="8" t="s">
        <v>228</v>
      </c>
      <c r="AG174" s="8" t="s">
        <v>228</v>
      </c>
      <c r="AH174" s="8" t="s">
        <v>228</v>
      </c>
      <c r="AI174" s="8" t="s">
        <v>228</v>
      </c>
      <c r="AJ174" t="s">
        <v>468</v>
      </c>
      <c r="AK174">
        <v>1</v>
      </c>
      <c r="AL174">
        <v>1</v>
      </c>
      <c r="AM174" t="s">
        <v>88</v>
      </c>
      <c r="AN174" t="s">
        <v>228</v>
      </c>
      <c r="AO174" t="s">
        <v>526</v>
      </c>
      <c r="AP174" t="s">
        <v>109</v>
      </c>
      <c r="AQ174">
        <v>12</v>
      </c>
      <c r="AR174" t="s">
        <v>521</v>
      </c>
      <c r="AS174" t="s">
        <v>228</v>
      </c>
      <c r="AT174" t="s">
        <v>140</v>
      </c>
      <c r="AU174">
        <v>1</v>
      </c>
      <c r="AV174">
        <v>1</v>
      </c>
      <c r="AW174" t="s">
        <v>406</v>
      </c>
      <c r="AX174" t="s">
        <v>283</v>
      </c>
      <c r="AY174" t="s">
        <v>217</v>
      </c>
      <c r="AZ174">
        <v>1</v>
      </c>
      <c r="BA174" t="s">
        <v>408</v>
      </c>
      <c r="BB174" t="s">
        <v>542</v>
      </c>
      <c r="BC174" t="s">
        <v>395</v>
      </c>
      <c r="BD174" t="s">
        <v>228</v>
      </c>
      <c r="BE174" t="s">
        <v>522</v>
      </c>
      <c r="BF174" t="s">
        <v>523</v>
      </c>
      <c r="BG174" t="s">
        <v>407</v>
      </c>
      <c r="BH174" t="s">
        <v>396</v>
      </c>
      <c r="BI174" t="s">
        <v>524</v>
      </c>
      <c r="BJ174" t="s">
        <v>228</v>
      </c>
      <c r="BK174" t="s">
        <v>228</v>
      </c>
      <c r="BL174" t="s">
        <v>228</v>
      </c>
      <c r="BM174" t="s">
        <v>228</v>
      </c>
      <c r="BN174" t="s">
        <v>228</v>
      </c>
      <c r="BO174" t="s">
        <v>228</v>
      </c>
      <c r="BP174" t="s">
        <v>228</v>
      </c>
      <c r="BQ174" t="s">
        <v>228</v>
      </c>
      <c r="BR174" t="s">
        <v>228</v>
      </c>
      <c r="BS174" t="s">
        <v>409</v>
      </c>
      <c r="BT174">
        <v>1</v>
      </c>
    </row>
    <row r="175" spans="1:72" x14ac:dyDescent="0.15">
      <c r="A175" s="43">
        <v>2023</v>
      </c>
      <c r="B175" s="8">
        <v>1</v>
      </c>
      <c r="C175" s="8">
        <v>1</v>
      </c>
      <c r="D175" s="8">
        <v>13</v>
      </c>
      <c r="E175" s="8" t="s">
        <v>228</v>
      </c>
      <c r="F175" s="8" t="s">
        <v>57</v>
      </c>
      <c r="G175" s="8">
        <v>2016</v>
      </c>
      <c r="H175" s="8">
        <v>12</v>
      </c>
      <c r="I175" s="8" t="s">
        <v>521</v>
      </c>
      <c r="J175" s="8" t="s">
        <v>228</v>
      </c>
      <c r="K175" s="8">
        <v>1983</v>
      </c>
      <c r="L175" s="17">
        <v>1</v>
      </c>
      <c r="M175" s="8">
        <v>1</v>
      </c>
      <c r="N175" s="8" t="s">
        <v>48</v>
      </c>
      <c r="O175" s="8" t="s">
        <v>283</v>
      </c>
      <c r="P175" s="8" t="s">
        <v>217</v>
      </c>
      <c r="Q175" s="8">
        <v>3000</v>
      </c>
      <c r="R175" s="8" t="s">
        <v>57</v>
      </c>
      <c r="S175" s="8" t="s">
        <v>52</v>
      </c>
      <c r="T175" s="8" t="s">
        <v>69</v>
      </c>
      <c r="U175" s="8" t="s">
        <v>228</v>
      </c>
      <c r="V175" s="8">
        <v>500</v>
      </c>
      <c r="W175" s="8" t="s">
        <v>328</v>
      </c>
      <c r="X175" s="8">
        <v>3000</v>
      </c>
      <c r="Y175" s="8" t="s">
        <v>268</v>
      </c>
      <c r="Z175" s="8">
        <v>85</v>
      </c>
      <c r="AA175" s="8" t="s">
        <v>278</v>
      </c>
      <c r="AB175" s="8" t="s">
        <v>228</v>
      </c>
      <c r="AC175" s="8" t="s">
        <v>228</v>
      </c>
      <c r="AD175" s="8" t="s">
        <v>228</v>
      </c>
      <c r="AE175" s="8" t="s">
        <v>228</v>
      </c>
      <c r="AF175" s="8" t="s">
        <v>228</v>
      </c>
      <c r="AG175" s="8" t="s">
        <v>228</v>
      </c>
      <c r="AH175" s="8" t="s">
        <v>228</v>
      </c>
      <c r="AI175" s="8" t="s">
        <v>228</v>
      </c>
      <c r="AJ175" t="s">
        <v>468</v>
      </c>
      <c r="AK175">
        <v>1</v>
      </c>
      <c r="AL175">
        <v>1</v>
      </c>
      <c r="AM175" t="s">
        <v>88</v>
      </c>
      <c r="AN175" t="s">
        <v>228</v>
      </c>
      <c r="AO175" t="s">
        <v>526</v>
      </c>
      <c r="AP175" t="s">
        <v>109</v>
      </c>
      <c r="AQ175">
        <v>12</v>
      </c>
      <c r="AR175" t="s">
        <v>521</v>
      </c>
      <c r="AS175" t="s">
        <v>228</v>
      </c>
      <c r="AT175" t="s">
        <v>140</v>
      </c>
      <c r="AU175">
        <v>1</v>
      </c>
      <c r="AV175">
        <v>1</v>
      </c>
      <c r="AW175" t="s">
        <v>406</v>
      </c>
      <c r="AX175" t="s">
        <v>283</v>
      </c>
      <c r="AY175" t="s">
        <v>217</v>
      </c>
      <c r="AZ175">
        <v>1</v>
      </c>
      <c r="BA175" t="s">
        <v>408</v>
      </c>
      <c r="BB175" t="s">
        <v>405</v>
      </c>
      <c r="BC175" t="s">
        <v>395</v>
      </c>
      <c r="BD175" t="s">
        <v>228</v>
      </c>
      <c r="BE175" t="s">
        <v>522</v>
      </c>
      <c r="BF175" t="s">
        <v>523</v>
      </c>
      <c r="BG175" t="s">
        <v>407</v>
      </c>
      <c r="BH175" t="s">
        <v>396</v>
      </c>
      <c r="BI175" t="s">
        <v>524</v>
      </c>
      <c r="BJ175" t="s">
        <v>228</v>
      </c>
      <c r="BK175" t="s">
        <v>228</v>
      </c>
      <c r="BL175" t="s">
        <v>228</v>
      </c>
      <c r="BM175" t="s">
        <v>228</v>
      </c>
      <c r="BN175" t="s">
        <v>228</v>
      </c>
      <c r="BO175" t="s">
        <v>228</v>
      </c>
      <c r="BP175" t="s">
        <v>228</v>
      </c>
      <c r="BQ175" t="s">
        <v>228</v>
      </c>
      <c r="BR175" t="s">
        <v>228</v>
      </c>
      <c r="BS175" t="s">
        <v>409</v>
      </c>
      <c r="BT175">
        <v>1</v>
      </c>
    </row>
    <row r="176" spans="1:72" x14ac:dyDescent="0.15">
      <c r="A176" s="43">
        <v>2023</v>
      </c>
      <c r="B176" s="8">
        <v>1</v>
      </c>
      <c r="C176" s="8">
        <v>1</v>
      </c>
      <c r="D176" s="8">
        <v>13</v>
      </c>
      <c r="E176" s="8" t="s">
        <v>228</v>
      </c>
      <c r="F176" s="8" t="s">
        <v>57</v>
      </c>
      <c r="G176" s="8">
        <v>2016</v>
      </c>
      <c r="H176" s="8">
        <v>12</v>
      </c>
      <c r="I176" s="8" t="s">
        <v>521</v>
      </c>
      <c r="J176" s="8" t="s">
        <v>228</v>
      </c>
      <c r="K176" s="8">
        <v>1983</v>
      </c>
      <c r="L176" s="17">
        <v>1</v>
      </c>
      <c r="M176" s="8">
        <v>1</v>
      </c>
      <c r="N176" s="8" t="s">
        <v>48</v>
      </c>
      <c r="O176" s="8" t="s">
        <v>283</v>
      </c>
      <c r="P176" s="8" t="s">
        <v>217</v>
      </c>
      <c r="Q176" s="8">
        <v>3000</v>
      </c>
      <c r="R176" s="8" t="s">
        <v>57</v>
      </c>
      <c r="S176" s="8" t="s">
        <v>54</v>
      </c>
      <c r="T176" s="8" t="s">
        <v>69</v>
      </c>
      <c r="U176" s="8" t="s">
        <v>228</v>
      </c>
      <c r="V176" s="8">
        <v>500</v>
      </c>
      <c r="W176" s="8" t="s">
        <v>328</v>
      </c>
      <c r="X176" s="8">
        <v>3000</v>
      </c>
      <c r="Y176" s="8" t="s">
        <v>268</v>
      </c>
      <c r="Z176" s="8">
        <v>85</v>
      </c>
      <c r="AA176" s="8" t="s">
        <v>278</v>
      </c>
      <c r="AB176" s="8" t="s">
        <v>247</v>
      </c>
      <c r="AC176" s="8" t="s">
        <v>228</v>
      </c>
      <c r="AD176" s="8" t="s">
        <v>228</v>
      </c>
      <c r="AE176" s="8" t="s">
        <v>228</v>
      </c>
      <c r="AF176" s="8" t="s">
        <v>228</v>
      </c>
      <c r="AG176" s="8" t="s">
        <v>228</v>
      </c>
      <c r="AH176" s="8" t="s">
        <v>228</v>
      </c>
      <c r="AI176" s="8" t="s">
        <v>228</v>
      </c>
      <c r="AJ176" t="s">
        <v>468</v>
      </c>
      <c r="AK176">
        <v>1</v>
      </c>
      <c r="AL176">
        <v>1</v>
      </c>
      <c r="AM176" t="s">
        <v>88</v>
      </c>
      <c r="AN176" t="s">
        <v>228</v>
      </c>
      <c r="AO176" t="s">
        <v>526</v>
      </c>
      <c r="AP176" t="s">
        <v>109</v>
      </c>
      <c r="AQ176">
        <v>12</v>
      </c>
      <c r="AR176" t="s">
        <v>521</v>
      </c>
      <c r="AS176" t="s">
        <v>228</v>
      </c>
      <c r="AT176" t="s">
        <v>140</v>
      </c>
      <c r="AU176">
        <v>1</v>
      </c>
      <c r="AV176">
        <v>1</v>
      </c>
      <c r="AW176" t="s">
        <v>406</v>
      </c>
      <c r="AX176" t="s">
        <v>283</v>
      </c>
      <c r="AY176" t="s">
        <v>217</v>
      </c>
      <c r="AZ176">
        <v>1</v>
      </c>
      <c r="BA176" t="s">
        <v>408</v>
      </c>
      <c r="BB176" t="s">
        <v>541</v>
      </c>
      <c r="BC176" t="s">
        <v>395</v>
      </c>
      <c r="BD176" t="s">
        <v>228</v>
      </c>
      <c r="BE176" t="s">
        <v>522</v>
      </c>
      <c r="BF176" t="s">
        <v>523</v>
      </c>
      <c r="BG176" t="s">
        <v>407</v>
      </c>
      <c r="BH176" t="s">
        <v>396</v>
      </c>
      <c r="BI176" t="s">
        <v>524</v>
      </c>
      <c r="BJ176" t="s">
        <v>228</v>
      </c>
      <c r="BK176" t="s">
        <v>543</v>
      </c>
      <c r="BL176" t="s">
        <v>228</v>
      </c>
      <c r="BM176" t="s">
        <v>228</v>
      </c>
      <c r="BN176" t="s">
        <v>228</v>
      </c>
      <c r="BO176" t="s">
        <v>228</v>
      </c>
      <c r="BP176" t="s">
        <v>228</v>
      </c>
      <c r="BQ176" t="s">
        <v>228</v>
      </c>
      <c r="BR176" t="s">
        <v>228</v>
      </c>
      <c r="BS176" t="s">
        <v>409</v>
      </c>
      <c r="BT176">
        <v>1</v>
      </c>
    </row>
    <row r="177" spans="1:72" x14ac:dyDescent="0.15">
      <c r="A177" s="43">
        <v>2023</v>
      </c>
      <c r="B177" s="8">
        <v>1</v>
      </c>
      <c r="C177" s="8">
        <v>1</v>
      </c>
      <c r="D177" s="8">
        <v>13</v>
      </c>
      <c r="E177" s="8" t="s">
        <v>228</v>
      </c>
      <c r="F177" s="8" t="s">
        <v>57</v>
      </c>
      <c r="G177" s="8">
        <v>2016</v>
      </c>
      <c r="H177" s="8">
        <v>12</v>
      </c>
      <c r="I177" s="8" t="s">
        <v>521</v>
      </c>
      <c r="J177" s="8" t="s">
        <v>228</v>
      </c>
      <c r="K177" s="8">
        <v>1983</v>
      </c>
      <c r="L177" s="17">
        <v>1</v>
      </c>
      <c r="M177" s="8">
        <v>1</v>
      </c>
      <c r="N177" s="8" t="s">
        <v>48</v>
      </c>
      <c r="O177" s="8" t="s">
        <v>283</v>
      </c>
      <c r="P177" s="8" t="s">
        <v>217</v>
      </c>
      <c r="Q177" s="8">
        <v>3000</v>
      </c>
      <c r="R177" s="8" t="s">
        <v>57</v>
      </c>
      <c r="S177" s="8" t="s">
        <v>53</v>
      </c>
      <c r="T177" s="8" t="s">
        <v>69</v>
      </c>
      <c r="U177" s="8" t="s">
        <v>228</v>
      </c>
      <c r="V177" s="8">
        <v>500</v>
      </c>
      <c r="W177" s="8" t="s">
        <v>328</v>
      </c>
      <c r="X177" s="8">
        <v>3000</v>
      </c>
      <c r="Y177" s="8" t="s">
        <v>268</v>
      </c>
      <c r="Z177" s="8">
        <v>85</v>
      </c>
      <c r="AA177" s="8" t="s">
        <v>278</v>
      </c>
      <c r="AB177" s="8" t="s">
        <v>247</v>
      </c>
      <c r="AC177" s="8" t="s">
        <v>228</v>
      </c>
      <c r="AD177" s="8" t="s">
        <v>228</v>
      </c>
      <c r="AE177" s="8" t="s">
        <v>228</v>
      </c>
      <c r="AF177" s="8" t="s">
        <v>228</v>
      </c>
      <c r="AG177" s="8" t="s">
        <v>228</v>
      </c>
      <c r="AH177" s="8" t="s">
        <v>228</v>
      </c>
      <c r="AI177" s="8" t="s">
        <v>228</v>
      </c>
      <c r="AJ177" t="s">
        <v>468</v>
      </c>
      <c r="AK177">
        <v>1</v>
      </c>
      <c r="AL177">
        <v>1</v>
      </c>
      <c r="AM177" t="s">
        <v>88</v>
      </c>
      <c r="AN177" t="s">
        <v>228</v>
      </c>
      <c r="AO177" t="s">
        <v>526</v>
      </c>
      <c r="AP177" t="s">
        <v>109</v>
      </c>
      <c r="AQ177">
        <v>12</v>
      </c>
      <c r="AR177" t="s">
        <v>521</v>
      </c>
      <c r="AS177" t="s">
        <v>228</v>
      </c>
      <c r="AT177" t="s">
        <v>140</v>
      </c>
      <c r="AU177">
        <v>1</v>
      </c>
      <c r="AV177">
        <v>1</v>
      </c>
      <c r="AW177" t="s">
        <v>406</v>
      </c>
      <c r="AX177" t="s">
        <v>283</v>
      </c>
      <c r="AY177" t="s">
        <v>217</v>
      </c>
      <c r="AZ177">
        <v>1</v>
      </c>
      <c r="BA177" t="s">
        <v>408</v>
      </c>
      <c r="BB177" t="s">
        <v>542</v>
      </c>
      <c r="BC177" t="s">
        <v>395</v>
      </c>
      <c r="BD177" t="s">
        <v>228</v>
      </c>
      <c r="BE177" t="s">
        <v>522</v>
      </c>
      <c r="BF177" t="s">
        <v>523</v>
      </c>
      <c r="BG177" t="s">
        <v>407</v>
      </c>
      <c r="BH177" t="s">
        <v>396</v>
      </c>
      <c r="BI177" t="s">
        <v>524</v>
      </c>
      <c r="BJ177" t="s">
        <v>228</v>
      </c>
      <c r="BK177" t="s">
        <v>543</v>
      </c>
      <c r="BL177" t="s">
        <v>228</v>
      </c>
      <c r="BM177" t="s">
        <v>228</v>
      </c>
      <c r="BN177" t="s">
        <v>228</v>
      </c>
      <c r="BO177" t="s">
        <v>228</v>
      </c>
      <c r="BP177" t="s">
        <v>228</v>
      </c>
      <c r="BQ177" t="s">
        <v>228</v>
      </c>
      <c r="BR177" t="s">
        <v>228</v>
      </c>
      <c r="BS177" t="s">
        <v>409</v>
      </c>
      <c r="BT177">
        <v>1</v>
      </c>
    </row>
    <row r="178" spans="1:72" x14ac:dyDescent="0.15">
      <c r="A178" s="43">
        <v>2023</v>
      </c>
      <c r="B178" s="8">
        <v>1</v>
      </c>
      <c r="C178" s="8">
        <v>1</v>
      </c>
      <c r="D178" s="8">
        <v>13</v>
      </c>
      <c r="E178" s="8" t="s">
        <v>228</v>
      </c>
      <c r="F178" s="8" t="s">
        <v>57</v>
      </c>
      <c r="G178" s="8">
        <v>2016</v>
      </c>
      <c r="H178" s="8">
        <v>12</v>
      </c>
      <c r="I178" s="8" t="s">
        <v>521</v>
      </c>
      <c r="J178" s="8" t="s">
        <v>228</v>
      </c>
      <c r="K178" s="8">
        <v>1983</v>
      </c>
      <c r="L178" s="17">
        <v>1</v>
      </c>
      <c r="M178" s="8">
        <v>1</v>
      </c>
      <c r="N178" s="8" t="s">
        <v>48</v>
      </c>
      <c r="O178" s="8" t="s">
        <v>283</v>
      </c>
      <c r="P178" s="8" t="s">
        <v>217</v>
      </c>
      <c r="Q178" s="8">
        <v>3000</v>
      </c>
      <c r="R178" s="8" t="s">
        <v>57</v>
      </c>
      <c r="S178" s="8" t="s">
        <v>52</v>
      </c>
      <c r="T178" s="8" t="s">
        <v>69</v>
      </c>
      <c r="U178" s="8" t="s">
        <v>228</v>
      </c>
      <c r="V178" s="8">
        <v>500</v>
      </c>
      <c r="W178" s="8" t="s">
        <v>328</v>
      </c>
      <c r="X178" s="8">
        <v>3000</v>
      </c>
      <c r="Y178" s="8" t="s">
        <v>268</v>
      </c>
      <c r="Z178" s="8">
        <v>85</v>
      </c>
      <c r="AA178" s="8" t="s">
        <v>278</v>
      </c>
      <c r="AB178" s="8" t="s">
        <v>247</v>
      </c>
      <c r="AC178" s="8" t="s">
        <v>228</v>
      </c>
      <c r="AD178" s="8" t="s">
        <v>228</v>
      </c>
      <c r="AE178" s="8" t="s">
        <v>228</v>
      </c>
      <c r="AF178" s="8" t="s">
        <v>228</v>
      </c>
      <c r="AG178" s="8" t="s">
        <v>228</v>
      </c>
      <c r="AH178" s="8" t="s">
        <v>228</v>
      </c>
      <c r="AI178" s="8" t="s">
        <v>228</v>
      </c>
      <c r="AJ178" t="s">
        <v>468</v>
      </c>
      <c r="AK178">
        <v>1</v>
      </c>
      <c r="AL178">
        <v>1</v>
      </c>
      <c r="AM178" t="s">
        <v>88</v>
      </c>
      <c r="AN178" t="s">
        <v>228</v>
      </c>
      <c r="AO178" t="s">
        <v>526</v>
      </c>
      <c r="AP178" t="s">
        <v>109</v>
      </c>
      <c r="AQ178">
        <v>12</v>
      </c>
      <c r="AR178" t="s">
        <v>521</v>
      </c>
      <c r="AS178" t="s">
        <v>228</v>
      </c>
      <c r="AT178" t="s">
        <v>140</v>
      </c>
      <c r="AU178">
        <v>1</v>
      </c>
      <c r="AV178">
        <v>1</v>
      </c>
      <c r="AW178" t="s">
        <v>406</v>
      </c>
      <c r="AX178" t="s">
        <v>283</v>
      </c>
      <c r="AY178" t="s">
        <v>217</v>
      </c>
      <c r="AZ178">
        <v>1</v>
      </c>
      <c r="BA178" t="s">
        <v>408</v>
      </c>
      <c r="BB178" t="s">
        <v>405</v>
      </c>
      <c r="BC178" t="s">
        <v>395</v>
      </c>
      <c r="BD178" t="s">
        <v>228</v>
      </c>
      <c r="BE178" t="s">
        <v>522</v>
      </c>
      <c r="BF178" t="s">
        <v>523</v>
      </c>
      <c r="BG178" t="s">
        <v>407</v>
      </c>
      <c r="BH178" t="s">
        <v>396</v>
      </c>
      <c r="BI178" t="s">
        <v>524</v>
      </c>
      <c r="BJ178" t="s">
        <v>228</v>
      </c>
      <c r="BK178" t="s">
        <v>543</v>
      </c>
      <c r="BL178" t="s">
        <v>228</v>
      </c>
      <c r="BM178" t="s">
        <v>228</v>
      </c>
      <c r="BN178" t="s">
        <v>228</v>
      </c>
      <c r="BO178" t="s">
        <v>228</v>
      </c>
      <c r="BP178" t="s">
        <v>228</v>
      </c>
      <c r="BQ178" t="s">
        <v>228</v>
      </c>
      <c r="BR178" t="s">
        <v>228</v>
      </c>
      <c r="BS178" t="s">
        <v>409</v>
      </c>
      <c r="BT178">
        <v>1</v>
      </c>
    </row>
    <row r="179" spans="1:72" x14ac:dyDescent="0.15">
      <c r="A179" s="43">
        <v>2023</v>
      </c>
      <c r="B179" s="8">
        <v>1</v>
      </c>
      <c r="C179" s="8">
        <v>1</v>
      </c>
      <c r="D179" s="8">
        <v>13</v>
      </c>
      <c r="E179" s="8" t="s">
        <v>228</v>
      </c>
      <c r="F179" s="8" t="s">
        <v>57</v>
      </c>
      <c r="G179" s="8">
        <v>2016</v>
      </c>
      <c r="H179" s="8">
        <v>12</v>
      </c>
      <c r="I179" s="8" t="s">
        <v>521</v>
      </c>
      <c r="J179" s="8" t="s">
        <v>228</v>
      </c>
      <c r="K179" s="8">
        <v>1983</v>
      </c>
      <c r="L179" s="17">
        <v>1</v>
      </c>
      <c r="M179" s="8">
        <v>1</v>
      </c>
      <c r="N179" s="8" t="s">
        <v>48</v>
      </c>
      <c r="O179" s="8" t="s">
        <v>283</v>
      </c>
      <c r="P179" s="8" t="s">
        <v>217</v>
      </c>
      <c r="Q179" s="8">
        <v>3000</v>
      </c>
      <c r="R179" s="8" t="s">
        <v>57</v>
      </c>
      <c r="S179" s="8" t="s">
        <v>54</v>
      </c>
      <c r="T179" s="8" t="s">
        <v>69</v>
      </c>
      <c r="U179" s="8" t="s">
        <v>228</v>
      </c>
      <c r="V179" s="8">
        <v>500</v>
      </c>
      <c r="W179" s="8" t="s">
        <v>328</v>
      </c>
      <c r="X179" s="8">
        <v>3000</v>
      </c>
      <c r="Y179" s="8" t="s">
        <v>271</v>
      </c>
      <c r="Z179" s="8">
        <v>85</v>
      </c>
      <c r="AA179" s="8" t="s">
        <v>278</v>
      </c>
      <c r="AB179" s="8" t="s">
        <v>228</v>
      </c>
      <c r="AC179" s="8" t="s">
        <v>228</v>
      </c>
      <c r="AD179" s="8" t="s">
        <v>228</v>
      </c>
      <c r="AE179" s="8" t="s">
        <v>228</v>
      </c>
      <c r="AF179" s="8" t="s">
        <v>228</v>
      </c>
      <c r="AG179" s="8" t="s">
        <v>228</v>
      </c>
      <c r="AH179" s="8" t="s">
        <v>228</v>
      </c>
      <c r="AI179" s="8" t="s">
        <v>228</v>
      </c>
      <c r="AJ179" t="s">
        <v>468</v>
      </c>
      <c r="AK179">
        <v>1</v>
      </c>
      <c r="AL179">
        <v>1</v>
      </c>
      <c r="AM179" t="s">
        <v>88</v>
      </c>
      <c r="AN179" t="s">
        <v>228</v>
      </c>
      <c r="AO179" t="s">
        <v>526</v>
      </c>
      <c r="AP179" t="s">
        <v>109</v>
      </c>
      <c r="AQ179">
        <v>12</v>
      </c>
      <c r="AR179" t="s">
        <v>521</v>
      </c>
      <c r="AS179" t="s">
        <v>228</v>
      </c>
      <c r="AT179" t="s">
        <v>140</v>
      </c>
      <c r="AU179">
        <v>1</v>
      </c>
      <c r="AV179">
        <v>1</v>
      </c>
      <c r="AW179" t="s">
        <v>406</v>
      </c>
      <c r="AX179" t="s">
        <v>283</v>
      </c>
      <c r="AY179" t="s">
        <v>217</v>
      </c>
      <c r="AZ179">
        <v>1</v>
      </c>
      <c r="BA179" t="s">
        <v>408</v>
      </c>
      <c r="BB179" t="s">
        <v>541</v>
      </c>
      <c r="BC179" t="s">
        <v>395</v>
      </c>
      <c r="BD179" t="s">
        <v>228</v>
      </c>
      <c r="BE179" t="s">
        <v>522</v>
      </c>
      <c r="BF179" t="s">
        <v>523</v>
      </c>
      <c r="BG179" t="s">
        <v>407</v>
      </c>
      <c r="BH179" t="s">
        <v>544</v>
      </c>
      <c r="BI179" t="s">
        <v>524</v>
      </c>
      <c r="BJ179" t="s">
        <v>228</v>
      </c>
      <c r="BK179" t="s">
        <v>228</v>
      </c>
      <c r="BL179" t="s">
        <v>228</v>
      </c>
      <c r="BM179" t="s">
        <v>228</v>
      </c>
      <c r="BN179" t="s">
        <v>228</v>
      </c>
      <c r="BO179" t="s">
        <v>228</v>
      </c>
      <c r="BP179" t="s">
        <v>228</v>
      </c>
      <c r="BQ179" t="s">
        <v>228</v>
      </c>
      <c r="BR179" t="s">
        <v>228</v>
      </c>
      <c r="BS179" t="s">
        <v>409</v>
      </c>
      <c r="BT179">
        <v>1</v>
      </c>
    </row>
    <row r="180" spans="1:72" x14ac:dyDescent="0.15">
      <c r="A180" s="43">
        <v>2023</v>
      </c>
      <c r="B180" s="8">
        <v>1</v>
      </c>
      <c r="C180" s="8">
        <v>1</v>
      </c>
      <c r="D180" s="8">
        <v>13</v>
      </c>
      <c r="E180" s="8" t="s">
        <v>228</v>
      </c>
      <c r="F180" s="8" t="s">
        <v>57</v>
      </c>
      <c r="G180" s="8">
        <v>2016</v>
      </c>
      <c r="H180" s="8">
        <v>12</v>
      </c>
      <c r="I180" s="8" t="s">
        <v>521</v>
      </c>
      <c r="J180" s="8" t="s">
        <v>228</v>
      </c>
      <c r="K180" s="8">
        <v>1983</v>
      </c>
      <c r="L180" s="17">
        <v>1</v>
      </c>
      <c r="M180" s="8">
        <v>1</v>
      </c>
      <c r="N180" s="8" t="s">
        <v>48</v>
      </c>
      <c r="O180" s="8" t="s">
        <v>283</v>
      </c>
      <c r="P180" s="8" t="s">
        <v>217</v>
      </c>
      <c r="Q180" s="8">
        <v>3000</v>
      </c>
      <c r="R180" s="8" t="s">
        <v>57</v>
      </c>
      <c r="S180" s="8" t="s">
        <v>53</v>
      </c>
      <c r="T180" s="8" t="s">
        <v>69</v>
      </c>
      <c r="U180" s="8" t="s">
        <v>228</v>
      </c>
      <c r="V180" s="8">
        <v>500</v>
      </c>
      <c r="W180" s="8" t="s">
        <v>328</v>
      </c>
      <c r="X180" s="8">
        <v>3000</v>
      </c>
      <c r="Y180" s="8" t="s">
        <v>271</v>
      </c>
      <c r="Z180" s="8">
        <v>85</v>
      </c>
      <c r="AA180" s="8" t="s">
        <v>278</v>
      </c>
      <c r="AB180" s="8" t="s">
        <v>228</v>
      </c>
      <c r="AC180" s="8" t="s">
        <v>228</v>
      </c>
      <c r="AD180" s="8" t="s">
        <v>228</v>
      </c>
      <c r="AE180" s="8" t="s">
        <v>228</v>
      </c>
      <c r="AF180" s="8" t="s">
        <v>228</v>
      </c>
      <c r="AG180" s="8" t="s">
        <v>228</v>
      </c>
      <c r="AH180" s="8" t="s">
        <v>228</v>
      </c>
      <c r="AI180" s="8" t="s">
        <v>228</v>
      </c>
      <c r="AJ180" t="s">
        <v>468</v>
      </c>
      <c r="AK180">
        <v>1</v>
      </c>
      <c r="AL180">
        <v>1</v>
      </c>
      <c r="AM180" t="s">
        <v>88</v>
      </c>
      <c r="AN180" t="s">
        <v>228</v>
      </c>
      <c r="AO180" t="s">
        <v>526</v>
      </c>
      <c r="AP180" t="s">
        <v>109</v>
      </c>
      <c r="AQ180">
        <v>12</v>
      </c>
      <c r="AR180" t="s">
        <v>521</v>
      </c>
      <c r="AS180" t="s">
        <v>228</v>
      </c>
      <c r="AT180" t="s">
        <v>140</v>
      </c>
      <c r="AU180">
        <v>1</v>
      </c>
      <c r="AV180">
        <v>1</v>
      </c>
      <c r="AW180" t="s">
        <v>406</v>
      </c>
      <c r="AX180" t="s">
        <v>283</v>
      </c>
      <c r="AY180" t="s">
        <v>217</v>
      </c>
      <c r="AZ180">
        <v>1</v>
      </c>
      <c r="BA180" t="s">
        <v>408</v>
      </c>
      <c r="BB180" t="s">
        <v>542</v>
      </c>
      <c r="BC180" t="s">
        <v>395</v>
      </c>
      <c r="BD180" t="s">
        <v>228</v>
      </c>
      <c r="BE180" t="s">
        <v>522</v>
      </c>
      <c r="BF180" t="s">
        <v>523</v>
      </c>
      <c r="BG180" t="s">
        <v>407</v>
      </c>
      <c r="BH180" t="s">
        <v>544</v>
      </c>
      <c r="BI180" t="s">
        <v>524</v>
      </c>
      <c r="BJ180" t="s">
        <v>228</v>
      </c>
      <c r="BK180" t="s">
        <v>228</v>
      </c>
      <c r="BL180" t="s">
        <v>228</v>
      </c>
      <c r="BM180" t="s">
        <v>228</v>
      </c>
      <c r="BN180" t="s">
        <v>228</v>
      </c>
      <c r="BO180" t="s">
        <v>228</v>
      </c>
      <c r="BP180" t="s">
        <v>228</v>
      </c>
      <c r="BQ180" t="s">
        <v>228</v>
      </c>
      <c r="BR180" t="s">
        <v>228</v>
      </c>
      <c r="BS180" t="s">
        <v>409</v>
      </c>
      <c r="BT180">
        <v>1</v>
      </c>
    </row>
    <row r="181" spans="1:72" x14ac:dyDescent="0.15">
      <c r="A181" s="43">
        <v>2023</v>
      </c>
      <c r="B181" s="8">
        <v>1</v>
      </c>
      <c r="C181" s="8">
        <v>1</v>
      </c>
      <c r="D181" s="8">
        <v>13</v>
      </c>
      <c r="E181" s="8" t="s">
        <v>228</v>
      </c>
      <c r="F181" s="8" t="s">
        <v>57</v>
      </c>
      <c r="G181" s="8">
        <v>2016</v>
      </c>
      <c r="H181" s="8">
        <v>12</v>
      </c>
      <c r="I181" s="8" t="s">
        <v>521</v>
      </c>
      <c r="J181" s="8" t="s">
        <v>228</v>
      </c>
      <c r="K181" s="8">
        <v>1983</v>
      </c>
      <c r="L181" s="17">
        <v>1</v>
      </c>
      <c r="M181" s="8">
        <v>1</v>
      </c>
      <c r="N181" s="8" t="s">
        <v>48</v>
      </c>
      <c r="O181" s="8" t="s">
        <v>283</v>
      </c>
      <c r="P181" s="8" t="s">
        <v>217</v>
      </c>
      <c r="Q181" s="8">
        <v>3000</v>
      </c>
      <c r="R181" s="8" t="s">
        <v>57</v>
      </c>
      <c r="S181" s="8" t="s">
        <v>52</v>
      </c>
      <c r="T181" s="8" t="s">
        <v>69</v>
      </c>
      <c r="U181" s="8" t="s">
        <v>228</v>
      </c>
      <c r="V181" s="8">
        <v>500</v>
      </c>
      <c r="W181" s="8" t="s">
        <v>328</v>
      </c>
      <c r="X181" s="8">
        <v>3000</v>
      </c>
      <c r="Y181" s="8" t="s">
        <v>271</v>
      </c>
      <c r="Z181" s="8">
        <v>85</v>
      </c>
      <c r="AA181" s="8" t="s">
        <v>278</v>
      </c>
      <c r="AB181" s="8" t="s">
        <v>228</v>
      </c>
      <c r="AC181" s="8" t="s">
        <v>228</v>
      </c>
      <c r="AD181" s="8" t="s">
        <v>228</v>
      </c>
      <c r="AE181" s="8" t="s">
        <v>228</v>
      </c>
      <c r="AF181" s="8" t="s">
        <v>228</v>
      </c>
      <c r="AG181" s="8" t="s">
        <v>228</v>
      </c>
      <c r="AH181" s="8" t="s">
        <v>228</v>
      </c>
      <c r="AI181" s="8" t="s">
        <v>228</v>
      </c>
      <c r="AJ181" t="s">
        <v>468</v>
      </c>
      <c r="AK181">
        <v>1</v>
      </c>
      <c r="AL181">
        <v>1</v>
      </c>
      <c r="AM181" t="s">
        <v>88</v>
      </c>
      <c r="AN181" t="s">
        <v>228</v>
      </c>
      <c r="AO181" t="s">
        <v>526</v>
      </c>
      <c r="AP181" t="s">
        <v>109</v>
      </c>
      <c r="AQ181">
        <v>12</v>
      </c>
      <c r="AR181" t="s">
        <v>521</v>
      </c>
      <c r="AS181" t="s">
        <v>228</v>
      </c>
      <c r="AT181" t="s">
        <v>140</v>
      </c>
      <c r="AU181">
        <v>1</v>
      </c>
      <c r="AV181">
        <v>1</v>
      </c>
      <c r="AW181" t="s">
        <v>406</v>
      </c>
      <c r="AX181" t="s">
        <v>283</v>
      </c>
      <c r="AY181" t="s">
        <v>217</v>
      </c>
      <c r="AZ181">
        <v>1</v>
      </c>
      <c r="BA181" t="s">
        <v>408</v>
      </c>
      <c r="BB181" t="s">
        <v>405</v>
      </c>
      <c r="BC181" t="s">
        <v>395</v>
      </c>
      <c r="BD181" t="s">
        <v>228</v>
      </c>
      <c r="BE181" t="s">
        <v>522</v>
      </c>
      <c r="BF181" t="s">
        <v>523</v>
      </c>
      <c r="BG181" t="s">
        <v>407</v>
      </c>
      <c r="BH181" t="s">
        <v>544</v>
      </c>
      <c r="BI181" t="s">
        <v>524</v>
      </c>
      <c r="BJ181" t="s">
        <v>228</v>
      </c>
      <c r="BK181" t="s">
        <v>228</v>
      </c>
      <c r="BL181" t="s">
        <v>228</v>
      </c>
      <c r="BM181" t="s">
        <v>228</v>
      </c>
      <c r="BN181" t="s">
        <v>228</v>
      </c>
      <c r="BO181" t="s">
        <v>228</v>
      </c>
      <c r="BP181" t="s">
        <v>228</v>
      </c>
      <c r="BQ181" t="s">
        <v>228</v>
      </c>
      <c r="BR181" t="s">
        <v>228</v>
      </c>
      <c r="BS181" t="s">
        <v>409</v>
      </c>
      <c r="BT181">
        <v>1</v>
      </c>
    </row>
    <row r="182" spans="1:72" x14ac:dyDescent="0.15">
      <c r="A182" s="43">
        <v>2023</v>
      </c>
      <c r="B182" s="8">
        <v>1</v>
      </c>
      <c r="C182" s="8">
        <v>1</v>
      </c>
      <c r="D182" s="8">
        <v>13</v>
      </c>
      <c r="E182" s="8" t="s">
        <v>228</v>
      </c>
      <c r="F182" s="8" t="s">
        <v>57</v>
      </c>
      <c r="G182" s="8">
        <v>2016</v>
      </c>
      <c r="H182" s="8">
        <v>12</v>
      </c>
      <c r="I182" s="8" t="s">
        <v>521</v>
      </c>
      <c r="J182" s="8" t="s">
        <v>228</v>
      </c>
      <c r="K182" s="8">
        <v>1983</v>
      </c>
      <c r="L182" s="17">
        <v>1</v>
      </c>
      <c r="M182" s="8">
        <v>1</v>
      </c>
      <c r="N182" s="8" t="s">
        <v>48</v>
      </c>
      <c r="O182" s="8" t="s">
        <v>283</v>
      </c>
      <c r="P182" s="8" t="s">
        <v>217</v>
      </c>
      <c r="Q182" s="8">
        <v>3000</v>
      </c>
      <c r="R182" s="8" t="s">
        <v>57</v>
      </c>
      <c r="S182" s="8" t="s">
        <v>54</v>
      </c>
      <c r="T182" s="8" t="s">
        <v>69</v>
      </c>
      <c r="U182" s="8" t="s">
        <v>228</v>
      </c>
      <c r="V182" s="8">
        <v>500</v>
      </c>
      <c r="W182" s="8" t="s">
        <v>328</v>
      </c>
      <c r="X182" s="8">
        <v>3000</v>
      </c>
      <c r="Y182" s="8" t="s">
        <v>271</v>
      </c>
      <c r="Z182" s="8">
        <v>85</v>
      </c>
      <c r="AA182" s="8" t="s">
        <v>278</v>
      </c>
      <c r="AB182" s="8" t="s">
        <v>247</v>
      </c>
      <c r="AC182" s="8" t="s">
        <v>228</v>
      </c>
      <c r="AD182" s="8" t="s">
        <v>228</v>
      </c>
      <c r="AE182" s="8" t="s">
        <v>228</v>
      </c>
      <c r="AF182" s="8" t="s">
        <v>228</v>
      </c>
      <c r="AG182" s="8" t="s">
        <v>228</v>
      </c>
      <c r="AH182" s="8" t="s">
        <v>228</v>
      </c>
      <c r="AI182" s="8" t="s">
        <v>228</v>
      </c>
      <c r="AJ182" t="s">
        <v>468</v>
      </c>
      <c r="AK182">
        <v>1</v>
      </c>
      <c r="AL182">
        <v>1</v>
      </c>
      <c r="AM182" t="s">
        <v>88</v>
      </c>
      <c r="AN182" t="s">
        <v>228</v>
      </c>
      <c r="AO182" t="s">
        <v>526</v>
      </c>
      <c r="AP182" t="s">
        <v>109</v>
      </c>
      <c r="AQ182">
        <v>12</v>
      </c>
      <c r="AR182" t="s">
        <v>521</v>
      </c>
      <c r="AS182" t="s">
        <v>228</v>
      </c>
      <c r="AT182" t="s">
        <v>140</v>
      </c>
      <c r="AU182">
        <v>1</v>
      </c>
      <c r="AV182">
        <v>1</v>
      </c>
      <c r="AW182" t="s">
        <v>406</v>
      </c>
      <c r="AX182" t="s">
        <v>283</v>
      </c>
      <c r="AY182" t="s">
        <v>217</v>
      </c>
      <c r="AZ182">
        <v>1</v>
      </c>
      <c r="BA182" t="s">
        <v>408</v>
      </c>
      <c r="BB182" t="s">
        <v>541</v>
      </c>
      <c r="BC182" t="s">
        <v>395</v>
      </c>
      <c r="BD182" t="s">
        <v>228</v>
      </c>
      <c r="BE182" t="s">
        <v>522</v>
      </c>
      <c r="BF182" t="s">
        <v>523</v>
      </c>
      <c r="BG182" t="s">
        <v>407</v>
      </c>
      <c r="BH182" t="s">
        <v>544</v>
      </c>
      <c r="BI182" t="s">
        <v>524</v>
      </c>
      <c r="BJ182" t="s">
        <v>228</v>
      </c>
      <c r="BK182" t="s">
        <v>543</v>
      </c>
      <c r="BL182" t="s">
        <v>228</v>
      </c>
      <c r="BM182" t="s">
        <v>228</v>
      </c>
      <c r="BN182" t="s">
        <v>228</v>
      </c>
      <c r="BO182" t="s">
        <v>228</v>
      </c>
      <c r="BP182" t="s">
        <v>228</v>
      </c>
      <c r="BQ182" t="s">
        <v>228</v>
      </c>
      <c r="BR182" t="s">
        <v>228</v>
      </c>
      <c r="BS182" t="s">
        <v>409</v>
      </c>
      <c r="BT182">
        <v>1</v>
      </c>
    </row>
    <row r="183" spans="1:72" x14ac:dyDescent="0.15">
      <c r="A183" s="43">
        <v>2023</v>
      </c>
      <c r="B183" s="8">
        <v>1</v>
      </c>
      <c r="C183" s="8">
        <v>1</v>
      </c>
      <c r="D183" s="8">
        <v>13</v>
      </c>
      <c r="E183" s="8" t="s">
        <v>228</v>
      </c>
      <c r="F183" s="8" t="s">
        <v>57</v>
      </c>
      <c r="G183" s="8">
        <v>2016</v>
      </c>
      <c r="H183" s="8">
        <v>12</v>
      </c>
      <c r="I183" s="8" t="s">
        <v>521</v>
      </c>
      <c r="J183" s="8" t="s">
        <v>228</v>
      </c>
      <c r="K183" s="8">
        <v>1983</v>
      </c>
      <c r="L183" s="17">
        <v>1</v>
      </c>
      <c r="M183" s="8">
        <v>1</v>
      </c>
      <c r="N183" s="8" t="s">
        <v>48</v>
      </c>
      <c r="O183" s="8" t="s">
        <v>283</v>
      </c>
      <c r="P183" s="8" t="s">
        <v>217</v>
      </c>
      <c r="Q183" s="8">
        <v>3000</v>
      </c>
      <c r="R183" s="8" t="s">
        <v>57</v>
      </c>
      <c r="S183" s="8" t="s">
        <v>53</v>
      </c>
      <c r="T183" s="8" t="s">
        <v>69</v>
      </c>
      <c r="U183" s="8" t="s">
        <v>228</v>
      </c>
      <c r="V183" s="8">
        <v>500</v>
      </c>
      <c r="W183" s="8" t="s">
        <v>328</v>
      </c>
      <c r="X183" s="8">
        <v>3000</v>
      </c>
      <c r="Y183" s="8" t="s">
        <v>271</v>
      </c>
      <c r="Z183" s="8">
        <v>85</v>
      </c>
      <c r="AA183" s="8" t="s">
        <v>278</v>
      </c>
      <c r="AB183" s="8" t="s">
        <v>247</v>
      </c>
      <c r="AC183" s="8" t="s">
        <v>228</v>
      </c>
      <c r="AD183" s="8" t="s">
        <v>228</v>
      </c>
      <c r="AE183" s="8" t="s">
        <v>228</v>
      </c>
      <c r="AF183" s="8" t="s">
        <v>228</v>
      </c>
      <c r="AG183" s="8" t="s">
        <v>228</v>
      </c>
      <c r="AH183" s="8" t="s">
        <v>228</v>
      </c>
      <c r="AI183" s="8" t="s">
        <v>228</v>
      </c>
      <c r="AJ183" t="s">
        <v>468</v>
      </c>
      <c r="AK183">
        <v>1</v>
      </c>
      <c r="AL183">
        <v>1</v>
      </c>
      <c r="AM183" t="s">
        <v>88</v>
      </c>
      <c r="AN183" t="s">
        <v>228</v>
      </c>
      <c r="AO183" t="s">
        <v>526</v>
      </c>
      <c r="AP183" t="s">
        <v>109</v>
      </c>
      <c r="AQ183">
        <v>12</v>
      </c>
      <c r="AR183" t="s">
        <v>521</v>
      </c>
      <c r="AS183" t="s">
        <v>228</v>
      </c>
      <c r="AT183" t="s">
        <v>140</v>
      </c>
      <c r="AU183">
        <v>1</v>
      </c>
      <c r="AV183">
        <v>1</v>
      </c>
      <c r="AW183" t="s">
        <v>406</v>
      </c>
      <c r="AX183" t="s">
        <v>283</v>
      </c>
      <c r="AY183" t="s">
        <v>217</v>
      </c>
      <c r="AZ183">
        <v>1</v>
      </c>
      <c r="BA183" t="s">
        <v>408</v>
      </c>
      <c r="BB183" t="s">
        <v>542</v>
      </c>
      <c r="BC183" t="s">
        <v>395</v>
      </c>
      <c r="BD183" t="s">
        <v>228</v>
      </c>
      <c r="BE183" t="s">
        <v>522</v>
      </c>
      <c r="BF183" t="s">
        <v>523</v>
      </c>
      <c r="BG183" t="s">
        <v>407</v>
      </c>
      <c r="BH183" t="s">
        <v>544</v>
      </c>
      <c r="BI183" t="s">
        <v>524</v>
      </c>
      <c r="BJ183" t="s">
        <v>228</v>
      </c>
      <c r="BK183" t="s">
        <v>543</v>
      </c>
      <c r="BL183" t="s">
        <v>228</v>
      </c>
      <c r="BM183" t="s">
        <v>228</v>
      </c>
      <c r="BN183" t="s">
        <v>228</v>
      </c>
      <c r="BO183" t="s">
        <v>228</v>
      </c>
      <c r="BP183" t="s">
        <v>228</v>
      </c>
      <c r="BQ183" t="s">
        <v>228</v>
      </c>
      <c r="BR183" t="s">
        <v>228</v>
      </c>
      <c r="BS183" t="s">
        <v>409</v>
      </c>
      <c r="BT183">
        <v>1</v>
      </c>
    </row>
    <row r="184" spans="1:72" x14ac:dyDescent="0.15">
      <c r="A184" s="43">
        <v>2023</v>
      </c>
      <c r="B184" s="8">
        <v>1</v>
      </c>
      <c r="C184" s="8">
        <v>1</v>
      </c>
      <c r="D184" s="8">
        <v>13</v>
      </c>
      <c r="E184" s="8" t="s">
        <v>228</v>
      </c>
      <c r="F184" s="8" t="s">
        <v>57</v>
      </c>
      <c r="G184" s="8">
        <v>2016</v>
      </c>
      <c r="H184" s="8">
        <v>12</v>
      </c>
      <c r="I184" s="8" t="s">
        <v>521</v>
      </c>
      <c r="J184" s="8" t="s">
        <v>228</v>
      </c>
      <c r="K184" s="8">
        <v>1983</v>
      </c>
      <c r="L184" s="17">
        <v>1</v>
      </c>
      <c r="M184" s="8">
        <v>1</v>
      </c>
      <c r="N184" s="8" t="s">
        <v>48</v>
      </c>
      <c r="O184" s="8" t="s">
        <v>283</v>
      </c>
      <c r="P184" s="8" t="s">
        <v>217</v>
      </c>
      <c r="Q184" s="8">
        <v>3000</v>
      </c>
      <c r="R184" s="8" t="s">
        <v>57</v>
      </c>
      <c r="S184" s="8" t="s">
        <v>52</v>
      </c>
      <c r="T184" s="8" t="s">
        <v>69</v>
      </c>
      <c r="U184" s="8" t="s">
        <v>228</v>
      </c>
      <c r="V184" s="8">
        <v>500</v>
      </c>
      <c r="W184" s="8" t="s">
        <v>328</v>
      </c>
      <c r="X184" s="8">
        <v>3000</v>
      </c>
      <c r="Y184" s="8" t="s">
        <v>271</v>
      </c>
      <c r="Z184" s="8">
        <v>85</v>
      </c>
      <c r="AA184" s="8" t="s">
        <v>278</v>
      </c>
      <c r="AB184" s="8" t="s">
        <v>247</v>
      </c>
      <c r="AC184" s="8" t="s">
        <v>228</v>
      </c>
      <c r="AD184" s="8" t="s">
        <v>228</v>
      </c>
      <c r="AE184" s="8" t="s">
        <v>228</v>
      </c>
      <c r="AF184" s="8" t="s">
        <v>228</v>
      </c>
      <c r="AG184" s="8" t="s">
        <v>228</v>
      </c>
      <c r="AH184" s="8" t="s">
        <v>228</v>
      </c>
      <c r="AI184" s="8" t="s">
        <v>228</v>
      </c>
      <c r="AJ184" t="s">
        <v>468</v>
      </c>
      <c r="AK184">
        <v>1</v>
      </c>
      <c r="AL184">
        <v>1</v>
      </c>
      <c r="AM184" t="s">
        <v>88</v>
      </c>
      <c r="AN184" t="s">
        <v>228</v>
      </c>
      <c r="AO184" t="s">
        <v>526</v>
      </c>
      <c r="AP184" t="s">
        <v>109</v>
      </c>
      <c r="AQ184">
        <v>12</v>
      </c>
      <c r="AR184" t="s">
        <v>521</v>
      </c>
      <c r="AS184" t="s">
        <v>228</v>
      </c>
      <c r="AT184" t="s">
        <v>140</v>
      </c>
      <c r="AU184">
        <v>1</v>
      </c>
      <c r="AV184">
        <v>1</v>
      </c>
      <c r="AW184" t="s">
        <v>406</v>
      </c>
      <c r="AX184" t="s">
        <v>283</v>
      </c>
      <c r="AY184" t="s">
        <v>217</v>
      </c>
      <c r="AZ184">
        <v>1</v>
      </c>
      <c r="BA184" t="s">
        <v>408</v>
      </c>
      <c r="BB184" t="s">
        <v>405</v>
      </c>
      <c r="BC184" t="s">
        <v>395</v>
      </c>
      <c r="BD184" t="s">
        <v>228</v>
      </c>
      <c r="BE184" t="s">
        <v>522</v>
      </c>
      <c r="BF184" t="s">
        <v>523</v>
      </c>
      <c r="BG184" t="s">
        <v>407</v>
      </c>
      <c r="BH184" t="s">
        <v>544</v>
      </c>
      <c r="BI184" t="s">
        <v>524</v>
      </c>
      <c r="BJ184" t="s">
        <v>228</v>
      </c>
      <c r="BK184" t="s">
        <v>543</v>
      </c>
      <c r="BL184" t="s">
        <v>228</v>
      </c>
      <c r="BM184" t="s">
        <v>228</v>
      </c>
      <c r="BN184" t="s">
        <v>228</v>
      </c>
      <c r="BO184" t="s">
        <v>228</v>
      </c>
      <c r="BP184" t="s">
        <v>228</v>
      </c>
      <c r="BQ184" t="s">
        <v>228</v>
      </c>
      <c r="BR184" t="s">
        <v>228</v>
      </c>
      <c r="BS184" t="s">
        <v>409</v>
      </c>
      <c r="BT184">
        <v>0</v>
      </c>
    </row>
    <row r="185" spans="1:72" x14ac:dyDescent="0.15">
      <c r="A185" s="43">
        <v>2023</v>
      </c>
      <c r="B185" s="8">
        <v>1</v>
      </c>
      <c r="C185" s="8">
        <v>1</v>
      </c>
      <c r="D185" s="8">
        <v>12</v>
      </c>
      <c r="E185" s="8" t="s">
        <v>228</v>
      </c>
      <c r="F185" s="8" t="s">
        <v>57</v>
      </c>
      <c r="G185" s="8">
        <v>2016</v>
      </c>
      <c r="H185" s="8">
        <v>12</v>
      </c>
      <c r="I185" s="8" t="s">
        <v>521</v>
      </c>
      <c r="J185" s="8" t="s">
        <v>228</v>
      </c>
      <c r="K185" s="8">
        <v>1983</v>
      </c>
      <c r="L185" s="17">
        <v>1</v>
      </c>
      <c r="M185" s="8">
        <v>1</v>
      </c>
      <c r="N185" s="8" t="s">
        <v>48</v>
      </c>
      <c r="O185" s="8" t="s">
        <v>283</v>
      </c>
      <c r="P185" s="8" t="s">
        <v>217</v>
      </c>
      <c r="Q185" s="8">
        <v>3000</v>
      </c>
      <c r="R185" s="8" t="s">
        <v>57</v>
      </c>
      <c r="S185" s="8" t="s">
        <v>54</v>
      </c>
      <c r="T185" s="8" t="s">
        <v>69</v>
      </c>
      <c r="U185" s="8" t="s">
        <v>228</v>
      </c>
      <c r="V185" s="8">
        <v>500</v>
      </c>
      <c r="W185" s="8" t="s">
        <v>328</v>
      </c>
      <c r="X185" s="8">
        <v>3000</v>
      </c>
      <c r="Y185" s="8" t="s">
        <v>268</v>
      </c>
      <c r="Z185" s="8">
        <v>85</v>
      </c>
      <c r="AA185" s="8" t="s">
        <v>278</v>
      </c>
      <c r="AB185" s="8" t="s">
        <v>228</v>
      </c>
      <c r="AC185" s="8" t="s">
        <v>228</v>
      </c>
      <c r="AD185" s="8" t="s">
        <v>228</v>
      </c>
      <c r="AE185" s="8" t="s">
        <v>228</v>
      </c>
      <c r="AF185" s="8" t="s">
        <v>228</v>
      </c>
      <c r="AG185" s="8" t="s">
        <v>228</v>
      </c>
      <c r="AH185" s="8" t="s">
        <v>228</v>
      </c>
      <c r="AI185" s="8" t="s">
        <v>228</v>
      </c>
      <c r="AJ185" t="s">
        <v>468</v>
      </c>
      <c r="AK185">
        <v>1</v>
      </c>
      <c r="AL185">
        <v>1</v>
      </c>
      <c r="AM185" t="s">
        <v>89</v>
      </c>
      <c r="AN185" t="s">
        <v>228</v>
      </c>
      <c r="AO185" t="s">
        <v>526</v>
      </c>
      <c r="AP185" t="s">
        <v>109</v>
      </c>
      <c r="AQ185">
        <v>12</v>
      </c>
      <c r="AR185" t="s">
        <v>521</v>
      </c>
      <c r="AS185" t="s">
        <v>228</v>
      </c>
      <c r="AT185" t="s">
        <v>140</v>
      </c>
      <c r="AU185">
        <v>1</v>
      </c>
      <c r="AV185">
        <v>1</v>
      </c>
      <c r="AW185" t="s">
        <v>406</v>
      </c>
      <c r="AX185" t="s">
        <v>283</v>
      </c>
      <c r="AY185" t="s">
        <v>217</v>
      </c>
      <c r="AZ185">
        <v>1</v>
      </c>
      <c r="BA185" t="s">
        <v>408</v>
      </c>
      <c r="BB185" t="s">
        <v>541</v>
      </c>
      <c r="BC185" t="s">
        <v>395</v>
      </c>
      <c r="BD185" t="s">
        <v>228</v>
      </c>
      <c r="BE185" t="s">
        <v>522</v>
      </c>
      <c r="BF185" t="s">
        <v>523</v>
      </c>
      <c r="BG185" t="s">
        <v>407</v>
      </c>
      <c r="BH185" t="s">
        <v>396</v>
      </c>
      <c r="BI185" t="s">
        <v>524</v>
      </c>
      <c r="BJ185" t="s">
        <v>228</v>
      </c>
      <c r="BK185" t="s">
        <v>228</v>
      </c>
      <c r="BL185" t="s">
        <v>228</v>
      </c>
      <c r="BM185" t="s">
        <v>228</v>
      </c>
      <c r="BN185" t="s">
        <v>228</v>
      </c>
      <c r="BO185" t="s">
        <v>228</v>
      </c>
      <c r="BP185" t="s">
        <v>228</v>
      </c>
      <c r="BQ185" t="s">
        <v>228</v>
      </c>
      <c r="BR185" t="s">
        <v>228</v>
      </c>
      <c r="BS185" t="s">
        <v>409</v>
      </c>
      <c r="BT185">
        <v>1</v>
      </c>
    </row>
    <row r="186" spans="1:72" x14ac:dyDescent="0.15">
      <c r="A186" s="43">
        <v>2023</v>
      </c>
      <c r="B186" s="8">
        <v>1</v>
      </c>
      <c r="C186" s="8">
        <v>1</v>
      </c>
      <c r="D186" s="8">
        <v>12</v>
      </c>
      <c r="E186" s="8" t="s">
        <v>228</v>
      </c>
      <c r="F186" s="8" t="s">
        <v>57</v>
      </c>
      <c r="G186" s="8">
        <v>2016</v>
      </c>
      <c r="H186" s="8">
        <v>12</v>
      </c>
      <c r="I186" s="8" t="s">
        <v>521</v>
      </c>
      <c r="J186" s="8" t="s">
        <v>228</v>
      </c>
      <c r="K186" s="8">
        <v>1983</v>
      </c>
      <c r="L186" s="17">
        <v>1</v>
      </c>
      <c r="M186" s="8">
        <v>1</v>
      </c>
      <c r="N186" s="8" t="s">
        <v>48</v>
      </c>
      <c r="O186" s="8" t="s">
        <v>283</v>
      </c>
      <c r="P186" s="8" t="s">
        <v>217</v>
      </c>
      <c r="Q186" s="8">
        <v>3000</v>
      </c>
      <c r="R186" s="8" t="s">
        <v>57</v>
      </c>
      <c r="S186" s="8" t="s">
        <v>53</v>
      </c>
      <c r="T186" s="8" t="s">
        <v>69</v>
      </c>
      <c r="U186" s="8" t="s">
        <v>228</v>
      </c>
      <c r="V186" s="8">
        <v>500</v>
      </c>
      <c r="W186" s="8" t="s">
        <v>328</v>
      </c>
      <c r="X186" s="8">
        <v>3000</v>
      </c>
      <c r="Y186" s="8" t="s">
        <v>268</v>
      </c>
      <c r="Z186" s="8">
        <v>85</v>
      </c>
      <c r="AA186" s="8" t="s">
        <v>278</v>
      </c>
      <c r="AB186" s="8" t="s">
        <v>228</v>
      </c>
      <c r="AC186" s="8" t="s">
        <v>228</v>
      </c>
      <c r="AD186" s="8" t="s">
        <v>228</v>
      </c>
      <c r="AE186" s="8" t="s">
        <v>228</v>
      </c>
      <c r="AF186" s="8" t="s">
        <v>228</v>
      </c>
      <c r="AG186" s="8" t="s">
        <v>228</v>
      </c>
      <c r="AH186" s="8" t="s">
        <v>228</v>
      </c>
      <c r="AI186" s="8" t="s">
        <v>228</v>
      </c>
      <c r="AJ186" t="s">
        <v>468</v>
      </c>
      <c r="AK186">
        <v>1</v>
      </c>
      <c r="AL186">
        <v>1</v>
      </c>
      <c r="AM186" t="s">
        <v>89</v>
      </c>
      <c r="AN186" t="s">
        <v>228</v>
      </c>
      <c r="AO186" t="s">
        <v>526</v>
      </c>
      <c r="AP186" t="s">
        <v>109</v>
      </c>
      <c r="AQ186">
        <v>12</v>
      </c>
      <c r="AR186" t="s">
        <v>521</v>
      </c>
      <c r="AS186" t="s">
        <v>228</v>
      </c>
      <c r="AT186" t="s">
        <v>140</v>
      </c>
      <c r="AU186">
        <v>1</v>
      </c>
      <c r="AV186">
        <v>1</v>
      </c>
      <c r="AW186" t="s">
        <v>406</v>
      </c>
      <c r="AX186" t="s">
        <v>283</v>
      </c>
      <c r="AY186" t="s">
        <v>217</v>
      </c>
      <c r="AZ186">
        <v>1</v>
      </c>
      <c r="BA186" t="s">
        <v>408</v>
      </c>
      <c r="BB186" t="s">
        <v>542</v>
      </c>
      <c r="BC186" t="s">
        <v>395</v>
      </c>
      <c r="BD186" t="s">
        <v>228</v>
      </c>
      <c r="BE186" t="s">
        <v>522</v>
      </c>
      <c r="BF186" t="s">
        <v>523</v>
      </c>
      <c r="BG186" t="s">
        <v>407</v>
      </c>
      <c r="BH186" t="s">
        <v>396</v>
      </c>
      <c r="BI186" t="s">
        <v>524</v>
      </c>
      <c r="BJ186" t="s">
        <v>228</v>
      </c>
      <c r="BK186" t="s">
        <v>228</v>
      </c>
      <c r="BL186" t="s">
        <v>228</v>
      </c>
      <c r="BM186" t="s">
        <v>228</v>
      </c>
      <c r="BN186" t="s">
        <v>228</v>
      </c>
      <c r="BO186" t="s">
        <v>228</v>
      </c>
      <c r="BP186" t="s">
        <v>228</v>
      </c>
      <c r="BQ186" t="s">
        <v>228</v>
      </c>
      <c r="BR186" t="s">
        <v>228</v>
      </c>
      <c r="BS186" t="s">
        <v>409</v>
      </c>
      <c r="BT186">
        <v>1</v>
      </c>
    </row>
    <row r="187" spans="1:72" x14ac:dyDescent="0.15">
      <c r="A187" s="43">
        <v>2023</v>
      </c>
      <c r="B187" s="8">
        <v>1</v>
      </c>
      <c r="C187" s="8">
        <v>1</v>
      </c>
      <c r="D187" s="8">
        <v>12</v>
      </c>
      <c r="E187" s="8" t="s">
        <v>228</v>
      </c>
      <c r="F187" s="8" t="s">
        <v>57</v>
      </c>
      <c r="G187" s="8">
        <v>2016</v>
      </c>
      <c r="H187" s="8">
        <v>12</v>
      </c>
      <c r="I187" s="8" t="s">
        <v>521</v>
      </c>
      <c r="J187" s="8" t="s">
        <v>228</v>
      </c>
      <c r="K187" s="8">
        <v>1983</v>
      </c>
      <c r="L187" s="17">
        <v>1</v>
      </c>
      <c r="M187" s="8">
        <v>1</v>
      </c>
      <c r="N187" s="8" t="s">
        <v>48</v>
      </c>
      <c r="O187" s="8" t="s">
        <v>283</v>
      </c>
      <c r="P187" s="8" t="s">
        <v>217</v>
      </c>
      <c r="Q187" s="8">
        <v>3000</v>
      </c>
      <c r="R187" s="8" t="s">
        <v>57</v>
      </c>
      <c r="S187" s="8" t="s">
        <v>52</v>
      </c>
      <c r="T187" s="8" t="s">
        <v>69</v>
      </c>
      <c r="U187" s="8" t="s">
        <v>228</v>
      </c>
      <c r="V187" s="8">
        <v>500</v>
      </c>
      <c r="W187" s="8" t="s">
        <v>328</v>
      </c>
      <c r="X187" s="8">
        <v>3000</v>
      </c>
      <c r="Y187" s="8" t="s">
        <v>268</v>
      </c>
      <c r="Z187" s="8">
        <v>85</v>
      </c>
      <c r="AA187" s="8" t="s">
        <v>278</v>
      </c>
      <c r="AB187" s="8" t="s">
        <v>228</v>
      </c>
      <c r="AC187" s="8" t="s">
        <v>228</v>
      </c>
      <c r="AD187" s="8" t="s">
        <v>228</v>
      </c>
      <c r="AE187" s="8" t="s">
        <v>228</v>
      </c>
      <c r="AF187" s="8" t="s">
        <v>228</v>
      </c>
      <c r="AG187" s="8" t="s">
        <v>228</v>
      </c>
      <c r="AH187" s="8" t="s">
        <v>228</v>
      </c>
      <c r="AI187" s="8" t="s">
        <v>228</v>
      </c>
      <c r="AJ187" t="s">
        <v>468</v>
      </c>
      <c r="AK187">
        <v>1</v>
      </c>
      <c r="AL187">
        <v>1</v>
      </c>
      <c r="AM187" t="s">
        <v>89</v>
      </c>
      <c r="AN187" t="s">
        <v>228</v>
      </c>
      <c r="AO187" t="s">
        <v>526</v>
      </c>
      <c r="AP187" t="s">
        <v>109</v>
      </c>
      <c r="AQ187">
        <v>12</v>
      </c>
      <c r="AR187" t="s">
        <v>521</v>
      </c>
      <c r="AS187" t="s">
        <v>228</v>
      </c>
      <c r="AT187" t="s">
        <v>140</v>
      </c>
      <c r="AU187">
        <v>1</v>
      </c>
      <c r="AV187">
        <v>1</v>
      </c>
      <c r="AW187" t="s">
        <v>406</v>
      </c>
      <c r="AX187" t="s">
        <v>283</v>
      </c>
      <c r="AY187" t="s">
        <v>217</v>
      </c>
      <c r="AZ187">
        <v>1</v>
      </c>
      <c r="BA187" t="s">
        <v>408</v>
      </c>
      <c r="BB187" t="s">
        <v>405</v>
      </c>
      <c r="BC187" t="s">
        <v>395</v>
      </c>
      <c r="BD187" t="s">
        <v>228</v>
      </c>
      <c r="BE187" t="s">
        <v>522</v>
      </c>
      <c r="BF187" t="s">
        <v>523</v>
      </c>
      <c r="BG187" t="s">
        <v>407</v>
      </c>
      <c r="BH187" t="s">
        <v>396</v>
      </c>
      <c r="BI187" t="s">
        <v>524</v>
      </c>
      <c r="BJ187" t="s">
        <v>228</v>
      </c>
      <c r="BK187" t="s">
        <v>228</v>
      </c>
      <c r="BL187" t="s">
        <v>228</v>
      </c>
      <c r="BM187" t="s">
        <v>228</v>
      </c>
      <c r="BN187" t="s">
        <v>228</v>
      </c>
      <c r="BO187" t="s">
        <v>228</v>
      </c>
      <c r="BP187" t="s">
        <v>228</v>
      </c>
      <c r="BQ187" t="s">
        <v>228</v>
      </c>
      <c r="BR187" t="s">
        <v>228</v>
      </c>
      <c r="BS187" t="s">
        <v>409</v>
      </c>
      <c r="BT187">
        <v>1</v>
      </c>
    </row>
    <row r="188" spans="1:72" x14ac:dyDescent="0.15">
      <c r="A188" s="43">
        <v>2023</v>
      </c>
      <c r="B188" s="8">
        <v>1</v>
      </c>
      <c r="C188" s="8">
        <v>1</v>
      </c>
      <c r="D188" s="8">
        <v>12</v>
      </c>
      <c r="E188" s="8" t="s">
        <v>228</v>
      </c>
      <c r="F188" s="8" t="s">
        <v>57</v>
      </c>
      <c r="G188" s="8">
        <v>2016</v>
      </c>
      <c r="H188" s="8">
        <v>12</v>
      </c>
      <c r="I188" s="8" t="s">
        <v>521</v>
      </c>
      <c r="J188" s="8" t="s">
        <v>228</v>
      </c>
      <c r="K188" s="8">
        <v>1983</v>
      </c>
      <c r="L188" s="17">
        <v>1</v>
      </c>
      <c r="M188" s="8">
        <v>1</v>
      </c>
      <c r="N188" s="8" t="s">
        <v>48</v>
      </c>
      <c r="O188" s="8" t="s">
        <v>283</v>
      </c>
      <c r="P188" s="8" t="s">
        <v>217</v>
      </c>
      <c r="Q188" s="8">
        <v>3000</v>
      </c>
      <c r="R188" s="8" t="s">
        <v>57</v>
      </c>
      <c r="S188" s="8" t="s">
        <v>54</v>
      </c>
      <c r="T188" s="8" t="s">
        <v>69</v>
      </c>
      <c r="U188" s="8" t="s">
        <v>228</v>
      </c>
      <c r="V188" s="8">
        <v>500</v>
      </c>
      <c r="W188" s="8" t="s">
        <v>328</v>
      </c>
      <c r="X188" s="8">
        <v>3000</v>
      </c>
      <c r="Y188" s="8" t="s">
        <v>268</v>
      </c>
      <c r="Z188" s="8">
        <v>85</v>
      </c>
      <c r="AA188" s="8" t="s">
        <v>278</v>
      </c>
      <c r="AB188" s="8" t="s">
        <v>247</v>
      </c>
      <c r="AC188" s="8" t="s">
        <v>228</v>
      </c>
      <c r="AD188" s="8" t="s">
        <v>228</v>
      </c>
      <c r="AE188" s="8" t="s">
        <v>228</v>
      </c>
      <c r="AF188" s="8" t="s">
        <v>228</v>
      </c>
      <c r="AG188" s="8" t="s">
        <v>228</v>
      </c>
      <c r="AH188" s="8" t="s">
        <v>228</v>
      </c>
      <c r="AI188" s="8" t="s">
        <v>228</v>
      </c>
      <c r="AJ188" t="s">
        <v>468</v>
      </c>
      <c r="AK188">
        <v>1</v>
      </c>
      <c r="AL188">
        <v>1</v>
      </c>
      <c r="AM188" t="s">
        <v>89</v>
      </c>
      <c r="AN188" t="s">
        <v>228</v>
      </c>
      <c r="AO188" t="s">
        <v>526</v>
      </c>
      <c r="AP188" t="s">
        <v>109</v>
      </c>
      <c r="AQ188">
        <v>12</v>
      </c>
      <c r="AR188" t="s">
        <v>521</v>
      </c>
      <c r="AS188" t="s">
        <v>228</v>
      </c>
      <c r="AT188" t="s">
        <v>140</v>
      </c>
      <c r="AU188">
        <v>1</v>
      </c>
      <c r="AV188">
        <v>1</v>
      </c>
      <c r="AW188" t="s">
        <v>406</v>
      </c>
      <c r="AX188" t="s">
        <v>283</v>
      </c>
      <c r="AY188" t="s">
        <v>217</v>
      </c>
      <c r="AZ188">
        <v>1</v>
      </c>
      <c r="BA188" t="s">
        <v>408</v>
      </c>
      <c r="BB188" t="s">
        <v>541</v>
      </c>
      <c r="BC188" t="s">
        <v>395</v>
      </c>
      <c r="BD188" t="s">
        <v>228</v>
      </c>
      <c r="BE188" t="s">
        <v>522</v>
      </c>
      <c r="BF188" t="s">
        <v>523</v>
      </c>
      <c r="BG188" t="s">
        <v>407</v>
      </c>
      <c r="BH188" t="s">
        <v>396</v>
      </c>
      <c r="BI188" t="s">
        <v>524</v>
      </c>
      <c r="BJ188" t="s">
        <v>228</v>
      </c>
      <c r="BK188" t="s">
        <v>543</v>
      </c>
      <c r="BL188" t="s">
        <v>228</v>
      </c>
      <c r="BM188" t="s">
        <v>228</v>
      </c>
      <c r="BN188" t="s">
        <v>228</v>
      </c>
      <c r="BO188" t="s">
        <v>228</v>
      </c>
      <c r="BP188" t="s">
        <v>228</v>
      </c>
      <c r="BQ188" t="s">
        <v>228</v>
      </c>
      <c r="BR188" t="s">
        <v>228</v>
      </c>
      <c r="BS188" t="s">
        <v>409</v>
      </c>
      <c r="BT188">
        <v>1</v>
      </c>
    </row>
    <row r="189" spans="1:72" x14ac:dyDescent="0.15">
      <c r="A189" s="43">
        <v>2023</v>
      </c>
      <c r="B189" s="8">
        <v>1</v>
      </c>
      <c r="C189" s="8">
        <v>1</v>
      </c>
      <c r="D189" s="8">
        <v>12</v>
      </c>
      <c r="E189" s="8" t="s">
        <v>228</v>
      </c>
      <c r="F189" s="8" t="s">
        <v>57</v>
      </c>
      <c r="G189" s="8">
        <v>2016</v>
      </c>
      <c r="H189" s="8">
        <v>12</v>
      </c>
      <c r="I189" s="8" t="s">
        <v>521</v>
      </c>
      <c r="J189" s="8" t="s">
        <v>228</v>
      </c>
      <c r="K189" s="8">
        <v>1983</v>
      </c>
      <c r="L189" s="17">
        <v>1</v>
      </c>
      <c r="M189" s="8">
        <v>1</v>
      </c>
      <c r="N189" s="8" t="s">
        <v>48</v>
      </c>
      <c r="O189" s="8" t="s">
        <v>283</v>
      </c>
      <c r="P189" s="8" t="s">
        <v>217</v>
      </c>
      <c r="Q189" s="8">
        <v>3000</v>
      </c>
      <c r="R189" s="8" t="s">
        <v>57</v>
      </c>
      <c r="S189" s="8" t="s">
        <v>53</v>
      </c>
      <c r="T189" s="8" t="s">
        <v>69</v>
      </c>
      <c r="U189" s="8" t="s">
        <v>228</v>
      </c>
      <c r="V189" s="8">
        <v>500</v>
      </c>
      <c r="W189" s="8" t="s">
        <v>328</v>
      </c>
      <c r="X189" s="8">
        <v>3000</v>
      </c>
      <c r="Y189" s="8" t="s">
        <v>268</v>
      </c>
      <c r="Z189" s="8">
        <v>85</v>
      </c>
      <c r="AA189" s="8" t="s">
        <v>278</v>
      </c>
      <c r="AB189" s="8" t="s">
        <v>247</v>
      </c>
      <c r="AC189" s="8" t="s">
        <v>228</v>
      </c>
      <c r="AD189" s="8" t="s">
        <v>228</v>
      </c>
      <c r="AE189" s="8" t="s">
        <v>228</v>
      </c>
      <c r="AF189" s="8" t="s">
        <v>228</v>
      </c>
      <c r="AG189" s="8" t="s">
        <v>228</v>
      </c>
      <c r="AH189" s="8" t="s">
        <v>228</v>
      </c>
      <c r="AI189" s="8" t="s">
        <v>228</v>
      </c>
      <c r="AJ189" t="s">
        <v>468</v>
      </c>
      <c r="AK189">
        <v>1</v>
      </c>
      <c r="AL189">
        <v>1</v>
      </c>
      <c r="AM189" t="s">
        <v>89</v>
      </c>
      <c r="AN189" t="s">
        <v>228</v>
      </c>
      <c r="AO189" t="s">
        <v>526</v>
      </c>
      <c r="AP189" t="s">
        <v>109</v>
      </c>
      <c r="AQ189">
        <v>12</v>
      </c>
      <c r="AR189" t="s">
        <v>521</v>
      </c>
      <c r="AS189" t="s">
        <v>228</v>
      </c>
      <c r="AT189" t="s">
        <v>140</v>
      </c>
      <c r="AU189">
        <v>1</v>
      </c>
      <c r="AV189">
        <v>1</v>
      </c>
      <c r="AW189" t="s">
        <v>406</v>
      </c>
      <c r="AX189" t="s">
        <v>283</v>
      </c>
      <c r="AY189" t="s">
        <v>217</v>
      </c>
      <c r="AZ189">
        <v>1</v>
      </c>
      <c r="BA189" t="s">
        <v>408</v>
      </c>
      <c r="BB189" t="s">
        <v>542</v>
      </c>
      <c r="BC189" t="s">
        <v>395</v>
      </c>
      <c r="BD189" t="s">
        <v>228</v>
      </c>
      <c r="BE189" t="s">
        <v>522</v>
      </c>
      <c r="BF189" t="s">
        <v>523</v>
      </c>
      <c r="BG189" t="s">
        <v>407</v>
      </c>
      <c r="BH189" t="s">
        <v>396</v>
      </c>
      <c r="BI189" t="s">
        <v>524</v>
      </c>
      <c r="BJ189" t="s">
        <v>228</v>
      </c>
      <c r="BK189" t="s">
        <v>543</v>
      </c>
      <c r="BL189" t="s">
        <v>228</v>
      </c>
      <c r="BM189" t="s">
        <v>228</v>
      </c>
      <c r="BN189" t="s">
        <v>228</v>
      </c>
      <c r="BO189" t="s">
        <v>228</v>
      </c>
      <c r="BP189" t="s">
        <v>228</v>
      </c>
      <c r="BQ189" t="s">
        <v>228</v>
      </c>
      <c r="BR189" t="s">
        <v>228</v>
      </c>
      <c r="BS189" t="s">
        <v>409</v>
      </c>
      <c r="BT189">
        <v>1</v>
      </c>
    </row>
    <row r="190" spans="1:72" x14ac:dyDescent="0.15">
      <c r="A190" s="43">
        <v>2023</v>
      </c>
      <c r="B190" s="8">
        <v>1</v>
      </c>
      <c r="C190" s="8">
        <v>1</v>
      </c>
      <c r="D190" s="8">
        <v>12</v>
      </c>
      <c r="E190" s="8" t="s">
        <v>228</v>
      </c>
      <c r="F190" s="8" t="s">
        <v>57</v>
      </c>
      <c r="G190" s="8">
        <v>2016</v>
      </c>
      <c r="H190" s="8">
        <v>12</v>
      </c>
      <c r="I190" s="8" t="s">
        <v>521</v>
      </c>
      <c r="J190" s="8" t="s">
        <v>228</v>
      </c>
      <c r="K190" s="8">
        <v>1983</v>
      </c>
      <c r="L190" s="17">
        <v>1</v>
      </c>
      <c r="M190" s="8">
        <v>1</v>
      </c>
      <c r="N190" s="8" t="s">
        <v>48</v>
      </c>
      <c r="O190" s="8" t="s">
        <v>283</v>
      </c>
      <c r="P190" s="8" t="s">
        <v>217</v>
      </c>
      <c r="Q190" s="8">
        <v>3000</v>
      </c>
      <c r="R190" s="8" t="s">
        <v>57</v>
      </c>
      <c r="S190" s="8" t="s">
        <v>52</v>
      </c>
      <c r="T190" s="8" t="s">
        <v>69</v>
      </c>
      <c r="U190" s="8" t="s">
        <v>228</v>
      </c>
      <c r="V190" s="8">
        <v>500</v>
      </c>
      <c r="W190" s="8" t="s">
        <v>328</v>
      </c>
      <c r="X190" s="8">
        <v>3000</v>
      </c>
      <c r="Y190" s="8" t="s">
        <v>268</v>
      </c>
      <c r="Z190" s="8">
        <v>85</v>
      </c>
      <c r="AA190" s="8" t="s">
        <v>278</v>
      </c>
      <c r="AB190" s="8" t="s">
        <v>247</v>
      </c>
      <c r="AC190" s="8" t="s">
        <v>228</v>
      </c>
      <c r="AD190" s="8" t="s">
        <v>228</v>
      </c>
      <c r="AE190" s="8" t="s">
        <v>228</v>
      </c>
      <c r="AF190" s="8" t="s">
        <v>228</v>
      </c>
      <c r="AG190" s="8" t="s">
        <v>228</v>
      </c>
      <c r="AH190" s="8" t="s">
        <v>228</v>
      </c>
      <c r="AI190" s="8" t="s">
        <v>228</v>
      </c>
      <c r="AJ190" t="s">
        <v>468</v>
      </c>
      <c r="AK190">
        <v>1</v>
      </c>
      <c r="AL190">
        <v>1</v>
      </c>
      <c r="AM190" t="s">
        <v>89</v>
      </c>
      <c r="AN190" t="s">
        <v>228</v>
      </c>
      <c r="AO190" t="s">
        <v>526</v>
      </c>
      <c r="AP190" t="s">
        <v>109</v>
      </c>
      <c r="AQ190">
        <v>12</v>
      </c>
      <c r="AR190" t="s">
        <v>521</v>
      </c>
      <c r="AS190" t="s">
        <v>228</v>
      </c>
      <c r="AT190" t="s">
        <v>140</v>
      </c>
      <c r="AU190">
        <v>1</v>
      </c>
      <c r="AV190">
        <v>1</v>
      </c>
      <c r="AW190" t="s">
        <v>406</v>
      </c>
      <c r="AX190" t="s">
        <v>283</v>
      </c>
      <c r="AY190" t="s">
        <v>217</v>
      </c>
      <c r="AZ190">
        <v>1</v>
      </c>
      <c r="BA190" t="s">
        <v>408</v>
      </c>
      <c r="BB190" t="s">
        <v>405</v>
      </c>
      <c r="BC190" t="s">
        <v>395</v>
      </c>
      <c r="BD190" t="s">
        <v>228</v>
      </c>
      <c r="BE190" t="s">
        <v>522</v>
      </c>
      <c r="BF190" t="s">
        <v>523</v>
      </c>
      <c r="BG190" t="s">
        <v>407</v>
      </c>
      <c r="BH190" t="s">
        <v>396</v>
      </c>
      <c r="BI190" t="s">
        <v>524</v>
      </c>
      <c r="BJ190" t="s">
        <v>228</v>
      </c>
      <c r="BK190" t="s">
        <v>543</v>
      </c>
      <c r="BL190" t="s">
        <v>228</v>
      </c>
      <c r="BM190" t="s">
        <v>228</v>
      </c>
      <c r="BN190" t="s">
        <v>228</v>
      </c>
      <c r="BO190" t="s">
        <v>228</v>
      </c>
      <c r="BP190" t="s">
        <v>228</v>
      </c>
      <c r="BQ190" t="s">
        <v>228</v>
      </c>
      <c r="BR190" t="s">
        <v>228</v>
      </c>
      <c r="BS190" t="s">
        <v>409</v>
      </c>
      <c r="BT190">
        <v>1</v>
      </c>
    </row>
    <row r="191" spans="1:72" x14ac:dyDescent="0.15">
      <c r="A191" s="43">
        <v>2023</v>
      </c>
      <c r="B191" s="8">
        <v>1</v>
      </c>
      <c r="C191" s="8">
        <v>1</v>
      </c>
      <c r="D191" s="8">
        <v>12</v>
      </c>
      <c r="E191" s="8" t="s">
        <v>228</v>
      </c>
      <c r="F191" s="8" t="s">
        <v>57</v>
      </c>
      <c r="G191" s="8">
        <v>2016</v>
      </c>
      <c r="H191" s="8">
        <v>12</v>
      </c>
      <c r="I191" s="8" t="s">
        <v>521</v>
      </c>
      <c r="J191" s="8" t="s">
        <v>228</v>
      </c>
      <c r="K191" s="8">
        <v>1983</v>
      </c>
      <c r="L191" s="17">
        <v>1</v>
      </c>
      <c r="M191" s="8">
        <v>1</v>
      </c>
      <c r="N191" s="8" t="s">
        <v>48</v>
      </c>
      <c r="O191" s="8" t="s">
        <v>283</v>
      </c>
      <c r="P191" s="8" t="s">
        <v>217</v>
      </c>
      <c r="Q191" s="8">
        <v>3000</v>
      </c>
      <c r="R191" s="8" t="s">
        <v>57</v>
      </c>
      <c r="S191" s="8" t="s">
        <v>54</v>
      </c>
      <c r="T191" s="8" t="s">
        <v>69</v>
      </c>
      <c r="U191" s="8" t="s">
        <v>228</v>
      </c>
      <c r="V191" s="8">
        <v>500</v>
      </c>
      <c r="W191" s="8" t="s">
        <v>328</v>
      </c>
      <c r="X191" s="8">
        <v>3000</v>
      </c>
      <c r="Y191" s="8" t="s">
        <v>271</v>
      </c>
      <c r="Z191" s="8">
        <v>85</v>
      </c>
      <c r="AA191" s="8" t="s">
        <v>278</v>
      </c>
      <c r="AB191" s="8" t="s">
        <v>228</v>
      </c>
      <c r="AC191" s="8" t="s">
        <v>228</v>
      </c>
      <c r="AD191" s="8" t="s">
        <v>228</v>
      </c>
      <c r="AE191" s="8" t="s">
        <v>228</v>
      </c>
      <c r="AF191" s="8" t="s">
        <v>228</v>
      </c>
      <c r="AG191" s="8" t="s">
        <v>228</v>
      </c>
      <c r="AH191" s="8" t="s">
        <v>228</v>
      </c>
      <c r="AI191" s="8" t="s">
        <v>228</v>
      </c>
      <c r="AJ191" t="s">
        <v>468</v>
      </c>
      <c r="AK191">
        <v>1</v>
      </c>
      <c r="AL191">
        <v>1</v>
      </c>
      <c r="AM191" t="s">
        <v>89</v>
      </c>
      <c r="AN191" t="s">
        <v>228</v>
      </c>
      <c r="AO191" t="s">
        <v>526</v>
      </c>
      <c r="AP191" t="s">
        <v>109</v>
      </c>
      <c r="AQ191">
        <v>12</v>
      </c>
      <c r="AR191" t="s">
        <v>521</v>
      </c>
      <c r="AS191" t="s">
        <v>228</v>
      </c>
      <c r="AT191" t="s">
        <v>140</v>
      </c>
      <c r="AU191">
        <v>1</v>
      </c>
      <c r="AV191">
        <v>1</v>
      </c>
      <c r="AW191" t="s">
        <v>406</v>
      </c>
      <c r="AX191" t="s">
        <v>283</v>
      </c>
      <c r="AY191" t="s">
        <v>217</v>
      </c>
      <c r="AZ191">
        <v>1</v>
      </c>
      <c r="BA191" t="s">
        <v>408</v>
      </c>
      <c r="BB191" t="s">
        <v>541</v>
      </c>
      <c r="BC191" t="s">
        <v>395</v>
      </c>
      <c r="BD191" t="s">
        <v>228</v>
      </c>
      <c r="BE191" t="s">
        <v>522</v>
      </c>
      <c r="BF191" t="s">
        <v>523</v>
      </c>
      <c r="BG191" t="s">
        <v>407</v>
      </c>
      <c r="BH191" t="s">
        <v>544</v>
      </c>
      <c r="BI191" t="s">
        <v>524</v>
      </c>
      <c r="BJ191" t="s">
        <v>228</v>
      </c>
      <c r="BK191" t="s">
        <v>228</v>
      </c>
      <c r="BL191" t="s">
        <v>228</v>
      </c>
      <c r="BM191" t="s">
        <v>228</v>
      </c>
      <c r="BN191" t="s">
        <v>228</v>
      </c>
      <c r="BO191" t="s">
        <v>228</v>
      </c>
      <c r="BP191" t="s">
        <v>228</v>
      </c>
      <c r="BQ191" t="s">
        <v>228</v>
      </c>
      <c r="BR191" t="s">
        <v>228</v>
      </c>
      <c r="BS191" t="s">
        <v>409</v>
      </c>
      <c r="BT191">
        <v>1</v>
      </c>
    </row>
    <row r="192" spans="1:72" x14ac:dyDescent="0.15">
      <c r="A192" s="43">
        <v>2023</v>
      </c>
      <c r="B192" s="8">
        <v>1</v>
      </c>
      <c r="C192" s="8">
        <v>1</v>
      </c>
      <c r="D192" s="8">
        <v>12</v>
      </c>
      <c r="E192" s="8" t="s">
        <v>228</v>
      </c>
      <c r="F192" s="8" t="s">
        <v>57</v>
      </c>
      <c r="G192" s="8">
        <v>2016</v>
      </c>
      <c r="H192" s="8">
        <v>12</v>
      </c>
      <c r="I192" s="8" t="s">
        <v>521</v>
      </c>
      <c r="J192" s="8" t="s">
        <v>228</v>
      </c>
      <c r="K192" s="8">
        <v>1983</v>
      </c>
      <c r="L192" s="17">
        <v>1</v>
      </c>
      <c r="M192" s="8">
        <v>1</v>
      </c>
      <c r="N192" s="8" t="s">
        <v>48</v>
      </c>
      <c r="O192" s="8" t="s">
        <v>283</v>
      </c>
      <c r="P192" s="8" t="s">
        <v>217</v>
      </c>
      <c r="Q192" s="8">
        <v>3000</v>
      </c>
      <c r="R192" s="8" t="s">
        <v>57</v>
      </c>
      <c r="S192" s="8" t="s">
        <v>53</v>
      </c>
      <c r="T192" s="8" t="s">
        <v>69</v>
      </c>
      <c r="U192" s="8" t="s">
        <v>228</v>
      </c>
      <c r="V192" s="8">
        <v>500</v>
      </c>
      <c r="W192" s="8" t="s">
        <v>328</v>
      </c>
      <c r="X192" s="8">
        <v>3000</v>
      </c>
      <c r="Y192" s="8" t="s">
        <v>271</v>
      </c>
      <c r="Z192" s="8">
        <v>85</v>
      </c>
      <c r="AA192" s="8" t="s">
        <v>278</v>
      </c>
      <c r="AB192" s="8" t="s">
        <v>228</v>
      </c>
      <c r="AC192" s="8" t="s">
        <v>228</v>
      </c>
      <c r="AD192" s="8" t="s">
        <v>228</v>
      </c>
      <c r="AE192" s="8" t="s">
        <v>228</v>
      </c>
      <c r="AF192" s="8" t="s">
        <v>228</v>
      </c>
      <c r="AG192" s="8" t="s">
        <v>228</v>
      </c>
      <c r="AH192" s="8" t="s">
        <v>228</v>
      </c>
      <c r="AI192" s="8" t="s">
        <v>228</v>
      </c>
      <c r="AJ192" t="s">
        <v>468</v>
      </c>
      <c r="AK192">
        <v>1</v>
      </c>
      <c r="AL192">
        <v>1</v>
      </c>
      <c r="AM192" t="s">
        <v>89</v>
      </c>
      <c r="AN192" t="s">
        <v>228</v>
      </c>
      <c r="AO192" t="s">
        <v>526</v>
      </c>
      <c r="AP192" t="s">
        <v>109</v>
      </c>
      <c r="AQ192">
        <v>12</v>
      </c>
      <c r="AR192" t="s">
        <v>521</v>
      </c>
      <c r="AS192" t="s">
        <v>228</v>
      </c>
      <c r="AT192" t="s">
        <v>140</v>
      </c>
      <c r="AU192">
        <v>1</v>
      </c>
      <c r="AV192">
        <v>1</v>
      </c>
      <c r="AW192" t="s">
        <v>406</v>
      </c>
      <c r="AX192" t="s">
        <v>283</v>
      </c>
      <c r="AY192" t="s">
        <v>217</v>
      </c>
      <c r="AZ192">
        <v>1</v>
      </c>
      <c r="BA192" t="s">
        <v>408</v>
      </c>
      <c r="BB192" t="s">
        <v>542</v>
      </c>
      <c r="BC192" t="s">
        <v>395</v>
      </c>
      <c r="BD192" t="s">
        <v>228</v>
      </c>
      <c r="BE192" t="s">
        <v>522</v>
      </c>
      <c r="BF192" t="s">
        <v>523</v>
      </c>
      <c r="BG192" t="s">
        <v>407</v>
      </c>
      <c r="BH192" t="s">
        <v>544</v>
      </c>
      <c r="BI192" t="s">
        <v>524</v>
      </c>
      <c r="BJ192" t="s">
        <v>228</v>
      </c>
      <c r="BK192" t="s">
        <v>228</v>
      </c>
      <c r="BL192" t="s">
        <v>228</v>
      </c>
      <c r="BM192" t="s">
        <v>228</v>
      </c>
      <c r="BN192" t="s">
        <v>228</v>
      </c>
      <c r="BO192" t="s">
        <v>228</v>
      </c>
      <c r="BP192" t="s">
        <v>228</v>
      </c>
      <c r="BQ192" t="s">
        <v>228</v>
      </c>
      <c r="BR192" t="s">
        <v>228</v>
      </c>
      <c r="BS192" t="s">
        <v>409</v>
      </c>
      <c r="BT192">
        <v>1</v>
      </c>
    </row>
    <row r="193" spans="1:72" x14ac:dyDescent="0.15">
      <c r="A193" s="43">
        <v>2023</v>
      </c>
      <c r="B193" s="8">
        <v>1</v>
      </c>
      <c r="C193" s="8">
        <v>1</v>
      </c>
      <c r="D193" s="8">
        <v>12</v>
      </c>
      <c r="E193" s="8" t="s">
        <v>228</v>
      </c>
      <c r="F193" s="8" t="s">
        <v>57</v>
      </c>
      <c r="G193" s="8">
        <v>2016</v>
      </c>
      <c r="H193" s="8">
        <v>12</v>
      </c>
      <c r="I193" s="8" t="s">
        <v>521</v>
      </c>
      <c r="J193" s="8" t="s">
        <v>228</v>
      </c>
      <c r="K193" s="8">
        <v>1983</v>
      </c>
      <c r="L193" s="17">
        <v>1</v>
      </c>
      <c r="M193" s="8">
        <v>1</v>
      </c>
      <c r="N193" s="8" t="s">
        <v>48</v>
      </c>
      <c r="O193" s="8" t="s">
        <v>283</v>
      </c>
      <c r="P193" s="8" t="s">
        <v>217</v>
      </c>
      <c r="Q193" s="8">
        <v>3000</v>
      </c>
      <c r="R193" s="8" t="s">
        <v>57</v>
      </c>
      <c r="S193" s="8" t="s">
        <v>52</v>
      </c>
      <c r="T193" s="8" t="s">
        <v>69</v>
      </c>
      <c r="U193" s="8" t="s">
        <v>228</v>
      </c>
      <c r="V193" s="8">
        <v>500</v>
      </c>
      <c r="W193" s="8" t="s">
        <v>328</v>
      </c>
      <c r="X193" s="8">
        <v>3000</v>
      </c>
      <c r="Y193" s="8" t="s">
        <v>271</v>
      </c>
      <c r="Z193" s="8">
        <v>85</v>
      </c>
      <c r="AA193" s="8" t="s">
        <v>278</v>
      </c>
      <c r="AB193" s="8" t="s">
        <v>228</v>
      </c>
      <c r="AC193" s="8" t="s">
        <v>228</v>
      </c>
      <c r="AD193" s="8" t="s">
        <v>228</v>
      </c>
      <c r="AE193" s="8" t="s">
        <v>228</v>
      </c>
      <c r="AF193" s="8" t="s">
        <v>228</v>
      </c>
      <c r="AG193" s="8" t="s">
        <v>228</v>
      </c>
      <c r="AH193" s="8" t="s">
        <v>228</v>
      </c>
      <c r="AI193" s="8" t="s">
        <v>228</v>
      </c>
      <c r="AJ193" t="s">
        <v>468</v>
      </c>
      <c r="AK193">
        <v>1</v>
      </c>
      <c r="AL193">
        <v>1</v>
      </c>
      <c r="AM193" t="s">
        <v>89</v>
      </c>
      <c r="AN193" t="s">
        <v>228</v>
      </c>
      <c r="AO193" t="s">
        <v>526</v>
      </c>
      <c r="AP193" t="s">
        <v>109</v>
      </c>
      <c r="AQ193">
        <v>12</v>
      </c>
      <c r="AR193" t="s">
        <v>521</v>
      </c>
      <c r="AS193" t="s">
        <v>228</v>
      </c>
      <c r="AT193" t="s">
        <v>140</v>
      </c>
      <c r="AU193">
        <v>1</v>
      </c>
      <c r="AV193">
        <v>1</v>
      </c>
      <c r="AW193" t="s">
        <v>406</v>
      </c>
      <c r="AX193" t="s">
        <v>283</v>
      </c>
      <c r="AY193" t="s">
        <v>217</v>
      </c>
      <c r="AZ193">
        <v>1</v>
      </c>
      <c r="BA193" t="s">
        <v>408</v>
      </c>
      <c r="BB193" t="s">
        <v>405</v>
      </c>
      <c r="BC193" t="s">
        <v>395</v>
      </c>
      <c r="BD193" t="s">
        <v>228</v>
      </c>
      <c r="BE193" t="s">
        <v>522</v>
      </c>
      <c r="BF193" t="s">
        <v>523</v>
      </c>
      <c r="BG193" t="s">
        <v>407</v>
      </c>
      <c r="BH193" t="s">
        <v>544</v>
      </c>
      <c r="BI193" t="s">
        <v>524</v>
      </c>
      <c r="BJ193" t="s">
        <v>228</v>
      </c>
      <c r="BK193" t="s">
        <v>228</v>
      </c>
      <c r="BL193" t="s">
        <v>228</v>
      </c>
      <c r="BM193" t="s">
        <v>228</v>
      </c>
      <c r="BN193" t="s">
        <v>228</v>
      </c>
      <c r="BO193" t="s">
        <v>228</v>
      </c>
      <c r="BP193" t="s">
        <v>228</v>
      </c>
      <c r="BQ193" t="s">
        <v>228</v>
      </c>
      <c r="BR193" t="s">
        <v>228</v>
      </c>
      <c r="BS193" t="s">
        <v>409</v>
      </c>
      <c r="BT193">
        <v>1</v>
      </c>
    </row>
    <row r="194" spans="1:72" x14ac:dyDescent="0.15">
      <c r="A194" s="43">
        <v>2023</v>
      </c>
      <c r="B194" s="8">
        <v>1</v>
      </c>
      <c r="C194" s="8">
        <v>1</v>
      </c>
      <c r="D194" s="8">
        <v>12</v>
      </c>
      <c r="E194" s="8" t="s">
        <v>228</v>
      </c>
      <c r="F194" s="8" t="s">
        <v>57</v>
      </c>
      <c r="G194" s="8">
        <v>2016</v>
      </c>
      <c r="H194" s="8">
        <v>12</v>
      </c>
      <c r="I194" s="8" t="s">
        <v>521</v>
      </c>
      <c r="J194" s="8" t="s">
        <v>228</v>
      </c>
      <c r="K194" s="8">
        <v>1983</v>
      </c>
      <c r="L194" s="17">
        <v>1</v>
      </c>
      <c r="M194" s="8">
        <v>1</v>
      </c>
      <c r="N194" s="8" t="s">
        <v>48</v>
      </c>
      <c r="O194" s="8" t="s">
        <v>283</v>
      </c>
      <c r="P194" s="8" t="s">
        <v>217</v>
      </c>
      <c r="Q194" s="8">
        <v>3000</v>
      </c>
      <c r="R194" s="8" t="s">
        <v>57</v>
      </c>
      <c r="S194" s="8" t="s">
        <v>54</v>
      </c>
      <c r="T194" s="8" t="s">
        <v>69</v>
      </c>
      <c r="U194" s="8" t="s">
        <v>228</v>
      </c>
      <c r="V194" s="8">
        <v>500</v>
      </c>
      <c r="W194" s="8" t="s">
        <v>328</v>
      </c>
      <c r="X194" s="8">
        <v>3000</v>
      </c>
      <c r="Y194" s="8" t="s">
        <v>271</v>
      </c>
      <c r="Z194" s="8">
        <v>85</v>
      </c>
      <c r="AA194" s="8" t="s">
        <v>278</v>
      </c>
      <c r="AB194" s="8" t="s">
        <v>247</v>
      </c>
      <c r="AC194" s="8" t="s">
        <v>228</v>
      </c>
      <c r="AD194" s="8" t="s">
        <v>228</v>
      </c>
      <c r="AE194" s="8" t="s">
        <v>228</v>
      </c>
      <c r="AF194" s="8" t="s">
        <v>228</v>
      </c>
      <c r="AG194" s="8" t="s">
        <v>228</v>
      </c>
      <c r="AH194" s="8" t="s">
        <v>228</v>
      </c>
      <c r="AI194" s="8" t="s">
        <v>228</v>
      </c>
      <c r="AJ194" t="s">
        <v>468</v>
      </c>
      <c r="AK194">
        <v>1</v>
      </c>
      <c r="AL194">
        <v>1</v>
      </c>
      <c r="AM194" t="s">
        <v>89</v>
      </c>
      <c r="AN194" t="s">
        <v>228</v>
      </c>
      <c r="AO194" t="s">
        <v>526</v>
      </c>
      <c r="AP194" t="s">
        <v>109</v>
      </c>
      <c r="AQ194">
        <v>12</v>
      </c>
      <c r="AR194" t="s">
        <v>521</v>
      </c>
      <c r="AS194" t="s">
        <v>228</v>
      </c>
      <c r="AT194" t="s">
        <v>140</v>
      </c>
      <c r="AU194">
        <v>1</v>
      </c>
      <c r="AV194">
        <v>1</v>
      </c>
      <c r="AW194" t="s">
        <v>406</v>
      </c>
      <c r="AX194" t="s">
        <v>283</v>
      </c>
      <c r="AY194" t="s">
        <v>217</v>
      </c>
      <c r="AZ194">
        <v>1</v>
      </c>
      <c r="BA194" t="s">
        <v>408</v>
      </c>
      <c r="BB194" t="s">
        <v>541</v>
      </c>
      <c r="BC194" t="s">
        <v>395</v>
      </c>
      <c r="BD194" t="s">
        <v>228</v>
      </c>
      <c r="BE194" t="s">
        <v>522</v>
      </c>
      <c r="BF194" t="s">
        <v>523</v>
      </c>
      <c r="BG194" t="s">
        <v>407</v>
      </c>
      <c r="BH194" t="s">
        <v>544</v>
      </c>
      <c r="BI194" t="s">
        <v>524</v>
      </c>
      <c r="BJ194" t="s">
        <v>228</v>
      </c>
      <c r="BK194" t="s">
        <v>543</v>
      </c>
      <c r="BL194" t="s">
        <v>228</v>
      </c>
      <c r="BM194" t="s">
        <v>228</v>
      </c>
      <c r="BN194" t="s">
        <v>228</v>
      </c>
      <c r="BO194" t="s">
        <v>228</v>
      </c>
      <c r="BP194" t="s">
        <v>228</v>
      </c>
      <c r="BQ194" t="s">
        <v>228</v>
      </c>
      <c r="BR194" t="s">
        <v>228</v>
      </c>
      <c r="BS194" t="s">
        <v>409</v>
      </c>
      <c r="BT194">
        <v>1</v>
      </c>
    </row>
    <row r="195" spans="1:72" x14ac:dyDescent="0.15">
      <c r="A195" s="43">
        <v>2023</v>
      </c>
      <c r="B195" s="8">
        <v>1</v>
      </c>
      <c r="C195" s="8">
        <v>1</v>
      </c>
      <c r="D195" s="8">
        <v>12</v>
      </c>
      <c r="E195" s="8" t="s">
        <v>228</v>
      </c>
      <c r="F195" s="8" t="s">
        <v>57</v>
      </c>
      <c r="G195" s="8">
        <v>2016</v>
      </c>
      <c r="H195" s="8">
        <v>12</v>
      </c>
      <c r="I195" s="8" t="s">
        <v>521</v>
      </c>
      <c r="J195" s="8" t="s">
        <v>228</v>
      </c>
      <c r="K195" s="8">
        <v>1983</v>
      </c>
      <c r="L195" s="17">
        <v>1</v>
      </c>
      <c r="M195" s="8">
        <v>1</v>
      </c>
      <c r="N195" s="8" t="s">
        <v>48</v>
      </c>
      <c r="O195" s="8" t="s">
        <v>283</v>
      </c>
      <c r="P195" s="8" t="s">
        <v>217</v>
      </c>
      <c r="Q195" s="8">
        <v>3000</v>
      </c>
      <c r="R195" s="8" t="s">
        <v>57</v>
      </c>
      <c r="S195" s="8" t="s">
        <v>53</v>
      </c>
      <c r="T195" s="8" t="s">
        <v>69</v>
      </c>
      <c r="U195" s="8" t="s">
        <v>228</v>
      </c>
      <c r="V195" s="8">
        <v>500</v>
      </c>
      <c r="W195" s="8" t="s">
        <v>328</v>
      </c>
      <c r="X195" s="8">
        <v>3000</v>
      </c>
      <c r="Y195" s="8" t="s">
        <v>271</v>
      </c>
      <c r="Z195" s="8">
        <v>85</v>
      </c>
      <c r="AA195" s="8" t="s">
        <v>278</v>
      </c>
      <c r="AB195" s="8" t="s">
        <v>247</v>
      </c>
      <c r="AC195" s="8" t="s">
        <v>228</v>
      </c>
      <c r="AD195" s="8" t="s">
        <v>228</v>
      </c>
      <c r="AE195" s="8" t="s">
        <v>228</v>
      </c>
      <c r="AF195" s="8" t="s">
        <v>228</v>
      </c>
      <c r="AG195" s="8" t="s">
        <v>228</v>
      </c>
      <c r="AH195" s="8" t="s">
        <v>228</v>
      </c>
      <c r="AI195" s="8" t="s">
        <v>228</v>
      </c>
      <c r="AJ195" t="s">
        <v>468</v>
      </c>
      <c r="AK195">
        <v>1</v>
      </c>
      <c r="AL195">
        <v>1</v>
      </c>
      <c r="AM195" t="s">
        <v>89</v>
      </c>
      <c r="AN195" t="s">
        <v>228</v>
      </c>
      <c r="AO195" t="s">
        <v>526</v>
      </c>
      <c r="AP195" t="s">
        <v>109</v>
      </c>
      <c r="AQ195">
        <v>12</v>
      </c>
      <c r="AR195" t="s">
        <v>521</v>
      </c>
      <c r="AS195" t="s">
        <v>228</v>
      </c>
      <c r="AT195" t="s">
        <v>140</v>
      </c>
      <c r="AU195">
        <v>1</v>
      </c>
      <c r="AV195">
        <v>1</v>
      </c>
      <c r="AW195" t="s">
        <v>406</v>
      </c>
      <c r="AX195" t="s">
        <v>283</v>
      </c>
      <c r="AY195" t="s">
        <v>217</v>
      </c>
      <c r="AZ195">
        <v>1</v>
      </c>
      <c r="BA195" t="s">
        <v>408</v>
      </c>
      <c r="BB195" t="s">
        <v>542</v>
      </c>
      <c r="BC195" t="s">
        <v>395</v>
      </c>
      <c r="BD195" t="s">
        <v>228</v>
      </c>
      <c r="BE195" t="s">
        <v>522</v>
      </c>
      <c r="BF195" t="s">
        <v>523</v>
      </c>
      <c r="BG195" t="s">
        <v>407</v>
      </c>
      <c r="BH195" t="s">
        <v>544</v>
      </c>
      <c r="BI195" t="s">
        <v>524</v>
      </c>
      <c r="BJ195" t="s">
        <v>228</v>
      </c>
      <c r="BK195" t="s">
        <v>543</v>
      </c>
      <c r="BL195" t="s">
        <v>228</v>
      </c>
      <c r="BM195" t="s">
        <v>228</v>
      </c>
      <c r="BN195" t="s">
        <v>228</v>
      </c>
      <c r="BO195" t="s">
        <v>228</v>
      </c>
      <c r="BP195" t="s">
        <v>228</v>
      </c>
      <c r="BQ195" t="s">
        <v>228</v>
      </c>
      <c r="BR195" t="s">
        <v>228</v>
      </c>
      <c r="BS195" t="s">
        <v>409</v>
      </c>
      <c r="BT195">
        <v>1</v>
      </c>
    </row>
    <row r="196" spans="1:72" x14ac:dyDescent="0.15">
      <c r="A196" s="43">
        <v>2023</v>
      </c>
      <c r="B196" s="8">
        <v>1</v>
      </c>
      <c r="C196" s="8">
        <v>1</v>
      </c>
      <c r="D196" s="8">
        <v>12</v>
      </c>
      <c r="E196" s="8" t="s">
        <v>228</v>
      </c>
      <c r="F196" s="8" t="s">
        <v>57</v>
      </c>
      <c r="G196" s="8">
        <v>2016</v>
      </c>
      <c r="H196" s="8">
        <v>12</v>
      </c>
      <c r="I196" s="8" t="s">
        <v>521</v>
      </c>
      <c r="J196" s="8" t="s">
        <v>228</v>
      </c>
      <c r="K196" s="8">
        <v>1983</v>
      </c>
      <c r="L196" s="17">
        <v>1</v>
      </c>
      <c r="M196" s="8">
        <v>1</v>
      </c>
      <c r="N196" s="8" t="s">
        <v>48</v>
      </c>
      <c r="O196" s="8" t="s">
        <v>283</v>
      </c>
      <c r="P196" s="8" t="s">
        <v>217</v>
      </c>
      <c r="Q196" s="8">
        <v>3000</v>
      </c>
      <c r="R196" s="8" t="s">
        <v>57</v>
      </c>
      <c r="S196" s="8" t="s">
        <v>52</v>
      </c>
      <c r="T196" s="8" t="s">
        <v>69</v>
      </c>
      <c r="U196" s="8" t="s">
        <v>228</v>
      </c>
      <c r="V196" s="8">
        <v>500</v>
      </c>
      <c r="W196" s="8" t="s">
        <v>328</v>
      </c>
      <c r="X196" s="8">
        <v>3000</v>
      </c>
      <c r="Y196" s="8" t="s">
        <v>271</v>
      </c>
      <c r="Z196" s="8">
        <v>85</v>
      </c>
      <c r="AA196" s="8" t="s">
        <v>278</v>
      </c>
      <c r="AB196" s="8" t="s">
        <v>247</v>
      </c>
      <c r="AC196" s="8" t="s">
        <v>228</v>
      </c>
      <c r="AD196" s="8" t="s">
        <v>228</v>
      </c>
      <c r="AE196" s="8" t="s">
        <v>228</v>
      </c>
      <c r="AF196" s="8" t="s">
        <v>228</v>
      </c>
      <c r="AG196" s="8" t="s">
        <v>228</v>
      </c>
      <c r="AH196" s="8" t="s">
        <v>228</v>
      </c>
      <c r="AI196" s="8" t="s">
        <v>228</v>
      </c>
      <c r="AJ196" t="s">
        <v>468</v>
      </c>
      <c r="AK196">
        <v>1</v>
      </c>
      <c r="AL196">
        <v>1</v>
      </c>
      <c r="AM196" t="s">
        <v>89</v>
      </c>
      <c r="AN196" t="s">
        <v>228</v>
      </c>
      <c r="AO196" t="s">
        <v>526</v>
      </c>
      <c r="AP196" t="s">
        <v>109</v>
      </c>
      <c r="AQ196">
        <v>12</v>
      </c>
      <c r="AR196" t="s">
        <v>521</v>
      </c>
      <c r="AS196" t="s">
        <v>228</v>
      </c>
      <c r="AT196" t="s">
        <v>140</v>
      </c>
      <c r="AU196">
        <v>1</v>
      </c>
      <c r="AV196">
        <v>1</v>
      </c>
      <c r="AW196" t="s">
        <v>406</v>
      </c>
      <c r="AX196" t="s">
        <v>283</v>
      </c>
      <c r="AY196" t="s">
        <v>217</v>
      </c>
      <c r="AZ196">
        <v>1</v>
      </c>
      <c r="BA196" t="s">
        <v>408</v>
      </c>
      <c r="BB196" t="s">
        <v>405</v>
      </c>
      <c r="BC196" t="s">
        <v>395</v>
      </c>
      <c r="BD196" t="s">
        <v>228</v>
      </c>
      <c r="BE196" t="s">
        <v>522</v>
      </c>
      <c r="BF196" t="s">
        <v>523</v>
      </c>
      <c r="BG196" t="s">
        <v>407</v>
      </c>
      <c r="BH196" t="s">
        <v>544</v>
      </c>
      <c r="BI196" t="s">
        <v>524</v>
      </c>
      <c r="BJ196" t="s">
        <v>228</v>
      </c>
      <c r="BK196" t="s">
        <v>543</v>
      </c>
      <c r="BL196" t="s">
        <v>228</v>
      </c>
      <c r="BM196" t="s">
        <v>228</v>
      </c>
      <c r="BN196" t="s">
        <v>228</v>
      </c>
      <c r="BO196" t="s">
        <v>228</v>
      </c>
      <c r="BP196" t="s">
        <v>228</v>
      </c>
      <c r="BQ196" t="s">
        <v>228</v>
      </c>
      <c r="BR196" t="s">
        <v>228</v>
      </c>
      <c r="BS196" t="s">
        <v>409</v>
      </c>
      <c r="BT196">
        <v>0</v>
      </c>
    </row>
    <row r="197" spans="1:72" x14ac:dyDescent="0.15">
      <c r="A197" s="43">
        <v>2023</v>
      </c>
      <c r="B197" s="8">
        <v>1</v>
      </c>
      <c r="C197" s="8">
        <v>1</v>
      </c>
      <c r="D197" s="8">
        <v>11</v>
      </c>
      <c r="E197" s="8" t="s">
        <v>228</v>
      </c>
      <c r="F197" s="8" t="s">
        <v>57</v>
      </c>
      <c r="G197" s="8">
        <v>2016</v>
      </c>
      <c r="H197" s="8">
        <v>12</v>
      </c>
      <c r="I197" s="8" t="s">
        <v>521</v>
      </c>
      <c r="J197" s="8" t="s">
        <v>228</v>
      </c>
      <c r="K197" s="8">
        <v>1983</v>
      </c>
      <c r="L197" s="17">
        <v>1</v>
      </c>
      <c r="M197" s="8">
        <v>1</v>
      </c>
      <c r="N197" s="8" t="s">
        <v>48</v>
      </c>
      <c r="O197" s="8" t="s">
        <v>283</v>
      </c>
      <c r="P197" s="8" t="s">
        <v>217</v>
      </c>
      <c r="Q197" s="8">
        <v>3000</v>
      </c>
      <c r="R197" s="8" t="s">
        <v>57</v>
      </c>
      <c r="S197" s="8" t="s">
        <v>54</v>
      </c>
      <c r="T197" s="8" t="s">
        <v>69</v>
      </c>
      <c r="U197" s="8" t="s">
        <v>228</v>
      </c>
      <c r="V197" s="8">
        <v>500</v>
      </c>
      <c r="W197" s="8" t="s">
        <v>328</v>
      </c>
      <c r="X197" s="8">
        <v>3000</v>
      </c>
      <c r="Y197" s="8" t="s">
        <v>268</v>
      </c>
      <c r="Z197" s="8">
        <v>85</v>
      </c>
      <c r="AA197" s="8" t="s">
        <v>278</v>
      </c>
      <c r="AB197" s="8" t="s">
        <v>228</v>
      </c>
      <c r="AC197" s="8" t="s">
        <v>228</v>
      </c>
      <c r="AD197" s="8" t="s">
        <v>228</v>
      </c>
      <c r="AE197" s="8" t="s">
        <v>228</v>
      </c>
      <c r="AF197" s="8" t="s">
        <v>228</v>
      </c>
      <c r="AG197" s="8" t="s">
        <v>228</v>
      </c>
      <c r="AH197" s="8" t="s">
        <v>228</v>
      </c>
      <c r="AI197" s="8" t="s">
        <v>228</v>
      </c>
      <c r="AJ197" t="s">
        <v>468</v>
      </c>
      <c r="AK197">
        <v>1</v>
      </c>
      <c r="AL197">
        <v>1</v>
      </c>
      <c r="AM197" t="s">
        <v>90</v>
      </c>
      <c r="AN197" t="s">
        <v>228</v>
      </c>
      <c r="AO197" t="s">
        <v>526</v>
      </c>
      <c r="AP197" t="s">
        <v>109</v>
      </c>
      <c r="AQ197">
        <v>12</v>
      </c>
      <c r="AR197" t="s">
        <v>521</v>
      </c>
      <c r="AS197" t="s">
        <v>228</v>
      </c>
      <c r="AT197" t="s">
        <v>140</v>
      </c>
      <c r="AU197">
        <v>1</v>
      </c>
      <c r="AV197">
        <v>1</v>
      </c>
      <c r="AW197" t="s">
        <v>406</v>
      </c>
      <c r="AX197" t="s">
        <v>283</v>
      </c>
      <c r="AY197" t="s">
        <v>217</v>
      </c>
      <c r="AZ197">
        <v>1</v>
      </c>
      <c r="BA197" t="s">
        <v>408</v>
      </c>
      <c r="BB197" t="s">
        <v>541</v>
      </c>
      <c r="BC197" t="s">
        <v>395</v>
      </c>
      <c r="BD197" t="s">
        <v>228</v>
      </c>
      <c r="BE197" t="s">
        <v>522</v>
      </c>
      <c r="BF197" t="s">
        <v>523</v>
      </c>
      <c r="BG197" t="s">
        <v>407</v>
      </c>
      <c r="BH197" t="s">
        <v>396</v>
      </c>
      <c r="BI197" t="s">
        <v>524</v>
      </c>
      <c r="BJ197" t="s">
        <v>228</v>
      </c>
      <c r="BK197" t="s">
        <v>228</v>
      </c>
      <c r="BL197" t="s">
        <v>228</v>
      </c>
      <c r="BM197" t="s">
        <v>228</v>
      </c>
      <c r="BN197" t="s">
        <v>228</v>
      </c>
      <c r="BO197" t="s">
        <v>228</v>
      </c>
      <c r="BP197" t="s">
        <v>228</v>
      </c>
      <c r="BQ197" t="s">
        <v>228</v>
      </c>
      <c r="BR197" t="s">
        <v>228</v>
      </c>
      <c r="BS197" t="s">
        <v>409</v>
      </c>
      <c r="BT197">
        <v>1</v>
      </c>
    </row>
    <row r="198" spans="1:72" x14ac:dyDescent="0.15">
      <c r="A198" s="43">
        <v>2023</v>
      </c>
      <c r="B198" s="8">
        <v>1</v>
      </c>
      <c r="C198" s="8">
        <v>1</v>
      </c>
      <c r="D198" s="8">
        <v>11</v>
      </c>
      <c r="E198" s="8" t="s">
        <v>228</v>
      </c>
      <c r="F198" s="8" t="s">
        <v>57</v>
      </c>
      <c r="G198" s="8">
        <v>2016</v>
      </c>
      <c r="H198" s="8">
        <v>12</v>
      </c>
      <c r="I198" s="8" t="s">
        <v>521</v>
      </c>
      <c r="J198" s="8" t="s">
        <v>228</v>
      </c>
      <c r="K198" s="8">
        <v>1983</v>
      </c>
      <c r="L198" s="17">
        <v>1</v>
      </c>
      <c r="M198" s="8">
        <v>1</v>
      </c>
      <c r="N198" s="8" t="s">
        <v>48</v>
      </c>
      <c r="O198" s="8" t="s">
        <v>283</v>
      </c>
      <c r="P198" s="8" t="s">
        <v>217</v>
      </c>
      <c r="Q198" s="8">
        <v>3000</v>
      </c>
      <c r="R198" s="8" t="s">
        <v>57</v>
      </c>
      <c r="S198" s="8" t="s">
        <v>53</v>
      </c>
      <c r="T198" s="8" t="s">
        <v>69</v>
      </c>
      <c r="U198" s="8" t="s">
        <v>228</v>
      </c>
      <c r="V198" s="8">
        <v>500</v>
      </c>
      <c r="W198" s="8" t="s">
        <v>328</v>
      </c>
      <c r="X198" s="8">
        <v>3000</v>
      </c>
      <c r="Y198" s="8" t="s">
        <v>268</v>
      </c>
      <c r="Z198" s="8">
        <v>85</v>
      </c>
      <c r="AA198" s="8" t="s">
        <v>278</v>
      </c>
      <c r="AB198" s="8" t="s">
        <v>228</v>
      </c>
      <c r="AC198" s="8" t="s">
        <v>228</v>
      </c>
      <c r="AD198" s="8" t="s">
        <v>228</v>
      </c>
      <c r="AE198" s="8" t="s">
        <v>228</v>
      </c>
      <c r="AF198" s="8" t="s">
        <v>228</v>
      </c>
      <c r="AG198" s="8" t="s">
        <v>228</v>
      </c>
      <c r="AH198" s="8" t="s">
        <v>228</v>
      </c>
      <c r="AI198" s="8" t="s">
        <v>228</v>
      </c>
      <c r="AJ198" t="s">
        <v>468</v>
      </c>
      <c r="AK198">
        <v>1</v>
      </c>
      <c r="AL198">
        <v>1</v>
      </c>
      <c r="AM198" t="s">
        <v>90</v>
      </c>
      <c r="AN198" t="s">
        <v>228</v>
      </c>
      <c r="AO198" t="s">
        <v>526</v>
      </c>
      <c r="AP198" t="s">
        <v>109</v>
      </c>
      <c r="AQ198">
        <v>12</v>
      </c>
      <c r="AR198" t="s">
        <v>521</v>
      </c>
      <c r="AS198" t="s">
        <v>228</v>
      </c>
      <c r="AT198" t="s">
        <v>140</v>
      </c>
      <c r="AU198">
        <v>1</v>
      </c>
      <c r="AV198">
        <v>1</v>
      </c>
      <c r="AW198" t="s">
        <v>406</v>
      </c>
      <c r="AX198" t="s">
        <v>283</v>
      </c>
      <c r="AY198" t="s">
        <v>217</v>
      </c>
      <c r="AZ198">
        <v>1</v>
      </c>
      <c r="BA198" t="s">
        <v>408</v>
      </c>
      <c r="BB198" t="s">
        <v>542</v>
      </c>
      <c r="BC198" t="s">
        <v>395</v>
      </c>
      <c r="BD198" t="s">
        <v>228</v>
      </c>
      <c r="BE198" t="s">
        <v>522</v>
      </c>
      <c r="BF198" t="s">
        <v>523</v>
      </c>
      <c r="BG198" t="s">
        <v>407</v>
      </c>
      <c r="BH198" t="s">
        <v>396</v>
      </c>
      <c r="BI198" t="s">
        <v>524</v>
      </c>
      <c r="BJ198" t="s">
        <v>228</v>
      </c>
      <c r="BK198" t="s">
        <v>228</v>
      </c>
      <c r="BL198" t="s">
        <v>228</v>
      </c>
      <c r="BM198" t="s">
        <v>228</v>
      </c>
      <c r="BN198" t="s">
        <v>228</v>
      </c>
      <c r="BO198" t="s">
        <v>228</v>
      </c>
      <c r="BP198" t="s">
        <v>228</v>
      </c>
      <c r="BQ198" t="s">
        <v>228</v>
      </c>
      <c r="BR198" t="s">
        <v>228</v>
      </c>
      <c r="BS198" t="s">
        <v>409</v>
      </c>
      <c r="BT198">
        <v>1</v>
      </c>
    </row>
    <row r="199" spans="1:72" x14ac:dyDescent="0.15">
      <c r="A199" s="43">
        <v>2023</v>
      </c>
      <c r="B199" s="8">
        <v>1</v>
      </c>
      <c r="C199" s="8">
        <v>1</v>
      </c>
      <c r="D199" s="8">
        <v>11</v>
      </c>
      <c r="E199" s="8" t="s">
        <v>228</v>
      </c>
      <c r="F199" s="8" t="s">
        <v>57</v>
      </c>
      <c r="G199" s="8">
        <v>2016</v>
      </c>
      <c r="H199" s="8">
        <v>12</v>
      </c>
      <c r="I199" s="8" t="s">
        <v>521</v>
      </c>
      <c r="J199" s="8" t="s">
        <v>228</v>
      </c>
      <c r="K199" s="8">
        <v>1983</v>
      </c>
      <c r="L199" s="17">
        <v>1</v>
      </c>
      <c r="M199" s="8">
        <v>1</v>
      </c>
      <c r="N199" s="8" t="s">
        <v>48</v>
      </c>
      <c r="O199" s="8" t="s">
        <v>283</v>
      </c>
      <c r="P199" s="8" t="s">
        <v>217</v>
      </c>
      <c r="Q199" s="8">
        <v>3000</v>
      </c>
      <c r="R199" s="8" t="s">
        <v>57</v>
      </c>
      <c r="S199" s="8" t="s">
        <v>52</v>
      </c>
      <c r="T199" s="8" t="s">
        <v>69</v>
      </c>
      <c r="U199" s="8" t="s">
        <v>228</v>
      </c>
      <c r="V199" s="8">
        <v>500</v>
      </c>
      <c r="W199" s="8" t="s">
        <v>328</v>
      </c>
      <c r="X199" s="8">
        <v>3000</v>
      </c>
      <c r="Y199" s="8" t="s">
        <v>268</v>
      </c>
      <c r="Z199" s="8">
        <v>85</v>
      </c>
      <c r="AA199" s="8" t="s">
        <v>278</v>
      </c>
      <c r="AB199" s="8" t="s">
        <v>228</v>
      </c>
      <c r="AC199" s="8" t="s">
        <v>228</v>
      </c>
      <c r="AD199" s="8" t="s">
        <v>228</v>
      </c>
      <c r="AE199" s="8" t="s">
        <v>228</v>
      </c>
      <c r="AF199" s="8" t="s">
        <v>228</v>
      </c>
      <c r="AG199" s="8" t="s">
        <v>228</v>
      </c>
      <c r="AH199" s="8" t="s">
        <v>228</v>
      </c>
      <c r="AI199" s="8" t="s">
        <v>228</v>
      </c>
      <c r="AJ199" t="s">
        <v>468</v>
      </c>
      <c r="AK199">
        <v>1</v>
      </c>
      <c r="AL199">
        <v>1</v>
      </c>
      <c r="AM199" t="s">
        <v>90</v>
      </c>
      <c r="AN199" t="s">
        <v>228</v>
      </c>
      <c r="AO199" t="s">
        <v>526</v>
      </c>
      <c r="AP199" t="s">
        <v>109</v>
      </c>
      <c r="AQ199">
        <v>12</v>
      </c>
      <c r="AR199" t="s">
        <v>521</v>
      </c>
      <c r="AS199" t="s">
        <v>228</v>
      </c>
      <c r="AT199" t="s">
        <v>140</v>
      </c>
      <c r="AU199">
        <v>1</v>
      </c>
      <c r="AV199">
        <v>1</v>
      </c>
      <c r="AW199" t="s">
        <v>406</v>
      </c>
      <c r="AX199" t="s">
        <v>283</v>
      </c>
      <c r="AY199" t="s">
        <v>217</v>
      </c>
      <c r="AZ199">
        <v>1</v>
      </c>
      <c r="BA199" t="s">
        <v>408</v>
      </c>
      <c r="BB199" t="s">
        <v>405</v>
      </c>
      <c r="BC199" t="s">
        <v>395</v>
      </c>
      <c r="BD199" t="s">
        <v>228</v>
      </c>
      <c r="BE199" t="s">
        <v>522</v>
      </c>
      <c r="BF199" t="s">
        <v>523</v>
      </c>
      <c r="BG199" t="s">
        <v>407</v>
      </c>
      <c r="BH199" t="s">
        <v>396</v>
      </c>
      <c r="BI199" t="s">
        <v>524</v>
      </c>
      <c r="BJ199" t="s">
        <v>228</v>
      </c>
      <c r="BK199" t="s">
        <v>228</v>
      </c>
      <c r="BL199" t="s">
        <v>228</v>
      </c>
      <c r="BM199" t="s">
        <v>228</v>
      </c>
      <c r="BN199" t="s">
        <v>228</v>
      </c>
      <c r="BO199" t="s">
        <v>228</v>
      </c>
      <c r="BP199" t="s">
        <v>228</v>
      </c>
      <c r="BQ199" t="s">
        <v>228</v>
      </c>
      <c r="BR199" t="s">
        <v>228</v>
      </c>
      <c r="BS199" t="s">
        <v>409</v>
      </c>
      <c r="BT199">
        <v>1</v>
      </c>
    </row>
    <row r="200" spans="1:72" x14ac:dyDescent="0.15">
      <c r="A200" s="43">
        <v>2023</v>
      </c>
      <c r="B200" s="8">
        <v>1</v>
      </c>
      <c r="C200" s="8">
        <v>1</v>
      </c>
      <c r="D200" s="8">
        <v>11</v>
      </c>
      <c r="E200" s="8" t="s">
        <v>228</v>
      </c>
      <c r="F200" s="8" t="s">
        <v>57</v>
      </c>
      <c r="G200" s="8">
        <v>2016</v>
      </c>
      <c r="H200" s="8">
        <v>12</v>
      </c>
      <c r="I200" s="8" t="s">
        <v>521</v>
      </c>
      <c r="J200" s="8" t="s">
        <v>228</v>
      </c>
      <c r="K200" s="8">
        <v>1983</v>
      </c>
      <c r="L200" s="17">
        <v>1</v>
      </c>
      <c r="M200" s="8">
        <v>1</v>
      </c>
      <c r="N200" s="8" t="s">
        <v>48</v>
      </c>
      <c r="O200" s="8" t="s">
        <v>283</v>
      </c>
      <c r="P200" s="8" t="s">
        <v>217</v>
      </c>
      <c r="Q200" s="8">
        <v>3000</v>
      </c>
      <c r="R200" s="8" t="s">
        <v>57</v>
      </c>
      <c r="S200" s="8" t="s">
        <v>54</v>
      </c>
      <c r="T200" s="8" t="s">
        <v>69</v>
      </c>
      <c r="U200" s="8" t="s">
        <v>228</v>
      </c>
      <c r="V200" s="8">
        <v>500</v>
      </c>
      <c r="W200" s="8" t="s">
        <v>328</v>
      </c>
      <c r="X200" s="8">
        <v>3000</v>
      </c>
      <c r="Y200" s="8" t="s">
        <v>268</v>
      </c>
      <c r="Z200" s="8">
        <v>85</v>
      </c>
      <c r="AA200" s="8" t="s">
        <v>278</v>
      </c>
      <c r="AB200" s="8" t="s">
        <v>247</v>
      </c>
      <c r="AC200" s="8" t="s">
        <v>228</v>
      </c>
      <c r="AD200" s="8" t="s">
        <v>228</v>
      </c>
      <c r="AE200" s="8" t="s">
        <v>228</v>
      </c>
      <c r="AF200" s="8" t="s">
        <v>228</v>
      </c>
      <c r="AG200" s="8" t="s">
        <v>228</v>
      </c>
      <c r="AH200" s="8" t="s">
        <v>228</v>
      </c>
      <c r="AI200" s="8" t="s">
        <v>228</v>
      </c>
      <c r="AJ200" t="s">
        <v>468</v>
      </c>
      <c r="AK200">
        <v>1</v>
      </c>
      <c r="AL200">
        <v>1</v>
      </c>
      <c r="AM200" t="s">
        <v>90</v>
      </c>
      <c r="AN200" t="s">
        <v>228</v>
      </c>
      <c r="AO200" t="s">
        <v>526</v>
      </c>
      <c r="AP200" t="s">
        <v>109</v>
      </c>
      <c r="AQ200">
        <v>12</v>
      </c>
      <c r="AR200" t="s">
        <v>521</v>
      </c>
      <c r="AS200" t="s">
        <v>228</v>
      </c>
      <c r="AT200" t="s">
        <v>140</v>
      </c>
      <c r="AU200">
        <v>1</v>
      </c>
      <c r="AV200">
        <v>1</v>
      </c>
      <c r="AW200" t="s">
        <v>406</v>
      </c>
      <c r="AX200" t="s">
        <v>283</v>
      </c>
      <c r="AY200" t="s">
        <v>217</v>
      </c>
      <c r="AZ200">
        <v>1</v>
      </c>
      <c r="BA200" t="s">
        <v>408</v>
      </c>
      <c r="BB200" t="s">
        <v>541</v>
      </c>
      <c r="BC200" t="s">
        <v>395</v>
      </c>
      <c r="BD200" t="s">
        <v>228</v>
      </c>
      <c r="BE200" t="s">
        <v>522</v>
      </c>
      <c r="BF200" t="s">
        <v>523</v>
      </c>
      <c r="BG200" t="s">
        <v>407</v>
      </c>
      <c r="BH200" t="s">
        <v>396</v>
      </c>
      <c r="BI200" t="s">
        <v>524</v>
      </c>
      <c r="BJ200" t="s">
        <v>228</v>
      </c>
      <c r="BK200" t="s">
        <v>543</v>
      </c>
      <c r="BL200" t="s">
        <v>228</v>
      </c>
      <c r="BM200" t="s">
        <v>228</v>
      </c>
      <c r="BN200" t="s">
        <v>228</v>
      </c>
      <c r="BO200" t="s">
        <v>228</v>
      </c>
      <c r="BP200" t="s">
        <v>228</v>
      </c>
      <c r="BQ200" t="s">
        <v>228</v>
      </c>
      <c r="BR200" t="s">
        <v>228</v>
      </c>
      <c r="BS200" t="s">
        <v>409</v>
      </c>
      <c r="BT200">
        <v>1</v>
      </c>
    </row>
    <row r="201" spans="1:72" x14ac:dyDescent="0.15">
      <c r="A201" s="43">
        <v>2023</v>
      </c>
      <c r="B201" s="8">
        <v>1</v>
      </c>
      <c r="C201" s="8">
        <v>1</v>
      </c>
      <c r="D201" s="8">
        <v>11</v>
      </c>
      <c r="E201" s="8" t="s">
        <v>228</v>
      </c>
      <c r="F201" s="8" t="s">
        <v>57</v>
      </c>
      <c r="G201" s="8">
        <v>2016</v>
      </c>
      <c r="H201" s="8">
        <v>12</v>
      </c>
      <c r="I201" s="8" t="s">
        <v>521</v>
      </c>
      <c r="J201" s="8" t="s">
        <v>228</v>
      </c>
      <c r="K201" s="8">
        <v>1983</v>
      </c>
      <c r="L201" s="17">
        <v>1</v>
      </c>
      <c r="M201" s="8">
        <v>1</v>
      </c>
      <c r="N201" s="8" t="s">
        <v>48</v>
      </c>
      <c r="O201" s="8" t="s">
        <v>283</v>
      </c>
      <c r="P201" s="8" t="s">
        <v>217</v>
      </c>
      <c r="Q201" s="8">
        <v>3000</v>
      </c>
      <c r="R201" s="8" t="s">
        <v>57</v>
      </c>
      <c r="S201" s="8" t="s">
        <v>53</v>
      </c>
      <c r="T201" s="8" t="s">
        <v>69</v>
      </c>
      <c r="U201" s="8" t="s">
        <v>228</v>
      </c>
      <c r="V201" s="8">
        <v>500</v>
      </c>
      <c r="W201" s="8" t="s">
        <v>328</v>
      </c>
      <c r="X201" s="8">
        <v>3000</v>
      </c>
      <c r="Y201" s="8" t="s">
        <v>268</v>
      </c>
      <c r="Z201" s="8">
        <v>85</v>
      </c>
      <c r="AA201" s="8" t="s">
        <v>278</v>
      </c>
      <c r="AB201" s="8" t="s">
        <v>247</v>
      </c>
      <c r="AC201" s="8" t="s">
        <v>228</v>
      </c>
      <c r="AD201" s="8" t="s">
        <v>228</v>
      </c>
      <c r="AE201" s="8" t="s">
        <v>228</v>
      </c>
      <c r="AF201" s="8" t="s">
        <v>228</v>
      </c>
      <c r="AG201" s="8" t="s">
        <v>228</v>
      </c>
      <c r="AH201" s="8" t="s">
        <v>228</v>
      </c>
      <c r="AI201" s="8" t="s">
        <v>228</v>
      </c>
      <c r="AJ201" t="s">
        <v>468</v>
      </c>
      <c r="AK201">
        <v>1</v>
      </c>
      <c r="AL201">
        <v>1</v>
      </c>
      <c r="AM201" t="s">
        <v>90</v>
      </c>
      <c r="AN201" t="s">
        <v>228</v>
      </c>
      <c r="AO201" t="s">
        <v>526</v>
      </c>
      <c r="AP201" t="s">
        <v>109</v>
      </c>
      <c r="AQ201">
        <v>12</v>
      </c>
      <c r="AR201" t="s">
        <v>521</v>
      </c>
      <c r="AS201" t="s">
        <v>228</v>
      </c>
      <c r="AT201" t="s">
        <v>140</v>
      </c>
      <c r="AU201">
        <v>1</v>
      </c>
      <c r="AV201">
        <v>1</v>
      </c>
      <c r="AW201" t="s">
        <v>406</v>
      </c>
      <c r="AX201" t="s">
        <v>283</v>
      </c>
      <c r="AY201" t="s">
        <v>217</v>
      </c>
      <c r="AZ201">
        <v>1</v>
      </c>
      <c r="BA201" t="s">
        <v>408</v>
      </c>
      <c r="BB201" t="s">
        <v>542</v>
      </c>
      <c r="BC201" t="s">
        <v>395</v>
      </c>
      <c r="BD201" t="s">
        <v>228</v>
      </c>
      <c r="BE201" t="s">
        <v>522</v>
      </c>
      <c r="BF201" t="s">
        <v>523</v>
      </c>
      <c r="BG201" t="s">
        <v>407</v>
      </c>
      <c r="BH201" t="s">
        <v>396</v>
      </c>
      <c r="BI201" t="s">
        <v>524</v>
      </c>
      <c r="BJ201" t="s">
        <v>228</v>
      </c>
      <c r="BK201" t="s">
        <v>543</v>
      </c>
      <c r="BL201" t="s">
        <v>228</v>
      </c>
      <c r="BM201" t="s">
        <v>228</v>
      </c>
      <c r="BN201" t="s">
        <v>228</v>
      </c>
      <c r="BO201" t="s">
        <v>228</v>
      </c>
      <c r="BP201" t="s">
        <v>228</v>
      </c>
      <c r="BQ201" t="s">
        <v>228</v>
      </c>
      <c r="BR201" t="s">
        <v>228</v>
      </c>
      <c r="BS201" t="s">
        <v>409</v>
      </c>
      <c r="BT201">
        <v>1</v>
      </c>
    </row>
    <row r="202" spans="1:72" x14ac:dyDescent="0.15">
      <c r="A202" s="43">
        <v>2023</v>
      </c>
      <c r="B202" s="8">
        <v>1</v>
      </c>
      <c r="C202" s="8">
        <v>1</v>
      </c>
      <c r="D202" s="8">
        <v>11</v>
      </c>
      <c r="E202" s="8" t="s">
        <v>228</v>
      </c>
      <c r="F202" s="8" t="s">
        <v>57</v>
      </c>
      <c r="G202" s="8">
        <v>2016</v>
      </c>
      <c r="H202" s="8">
        <v>12</v>
      </c>
      <c r="I202" s="8" t="s">
        <v>521</v>
      </c>
      <c r="J202" s="8" t="s">
        <v>228</v>
      </c>
      <c r="K202" s="8">
        <v>1983</v>
      </c>
      <c r="L202" s="17">
        <v>1</v>
      </c>
      <c r="M202" s="8">
        <v>1</v>
      </c>
      <c r="N202" s="8" t="s">
        <v>48</v>
      </c>
      <c r="O202" s="8" t="s">
        <v>283</v>
      </c>
      <c r="P202" s="8" t="s">
        <v>217</v>
      </c>
      <c r="Q202" s="8">
        <v>3000</v>
      </c>
      <c r="R202" s="8" t="s">
        <v>57</v>
      </c>
      <c r="S202" s="8" t="s">
        <v>52</v>
      </c>
      <c r="T202" s="8" t="s">
        <v>69</v>
      </c>
      <c r="U202" s="8" t="s">
        <v>228</v>
      </c>
      <c r="V202" s="8">
        <v>500</v>
      </c>
      <c r="W202" s="8" t="s">
        <v>328</v>
      </c>
      <c r="X202" s="8">
        <v>3000</v>
      </c>
      <c r="Y202" s="8" t="s">
        <v>268</v>
      </c>
      <c r="Z202" s="8">
        <v>85</v>
      </c>
      <c r="AA202" s="8" t="s">
        <v>278</v>
      </c>
      <c r="AB202" s="8" t="s">
        <v>247</v>
      </c>
      <c r="AC202" s="8" t="s">
        <v>228</v>
      </c>
      <c r="AD202" s="8" t="s">
        <v>228</v>
      </c>
      <c r="AE202" s="8" t="s">
        <v>228</v>
      </c>
      <c r="AF202" s="8" t="s">
        <v>228</v>
      </c>
      <c r="AG202" s="8" t="s">
        <v>228</v>
      </c>
      <c r="AH202" s="8" t="s">
        <v>228</v>
      </c>
      <c r="AI202" s="8" t="s">
        <v>228</v>
      </c>
      <c r="AJ202" t="s">
        <v>468</v>
      </c>
      <c r="AK202">
        <v>1</v>
      </c>
      <c r="AL202">
        <v>1</v>
      </c>
      <c r="AM202" t="s">
        <v>90</v>
      </c>
      <c r="AN202" t="s">
        <v>228</v>
      </c>
      <c r="AO202" t="s">
        <v>526</v>
      </c>
      <c r="AP202" t="s">
        <v>109</v>
      </c>
      <c r="AQ202">
        <v>12</v>
      </c>
      <c r="AR202" t="s">
        <v>521</v>
      </c>
      <c r="AS202" t="s">
        <v>228</v>
      </c>
      <c r="AT202" t="s">
        <v>140</v>
      </c>
      <c r="AU202">
        <v>1</v>
      </c>
      <c r="AV202">
        <v>1</v>
      </c>
      <c r="AW202" t="s">
        <v>406</v>
      </c>
      <c r="AX202" t="s">
        <v>283</v>
      </c>
      <c r="AY202" t="s">
        <v>217</v>
      </c>
      <c r="AZ202">
        <v>1</v>
      </c>
      <c r="BA202" t="s">
        <v>408</v>
      </c>
      <c r="BB202" t="s">
        <v>405</v>
      </c>
      <c r="BC202" t="s">
        <v>395</v>
      </c>
      <c r="BD202" t="s">
        <v>228</v>
      </c>
      <c r="BE202" t="s">
        <v>522</v>
      </c>
      <c r="BF202" t="s">
        <v>523</v>
      </c>
      <c r="BG202" t="s">
        <v>407</v>
      </c>
      <c r="BH202" t="s">
        <v>396</v>
      </c>
      <c r="BI202" t="s">
        <v>524</v>
      </c>
      <c r="BJ202" t="s">
        <v>228</v>
      </c>
      <c r="BK202" t="s">
        <v>543</v>
      </c>
      <c r="BL202" t="s">
        <v>228</v>
      </c>
      <c r="BM202" t="s">
        <v>228</v>
      </c>
      <c r="BN202" t="s">
        <v>228</v>
      </c>
      <c r="BO202" t="s">
        <v>228</v>
      </c>
      <c r="BP202" t="s">
        <v>228</v>
      </c>
      <c r="BQ202" t="s">
        <v>228</v>
      </c>
      <c r="BR202" t="s">
        <v>228</v>
      </c>
      <c r="BS202" t="s">
        <v>409</v>
      </c>
      <c r="BT202">
        <v>1</v>
      </c>
    </row>
    <row r="203" spans="1:72" x14ac:dyDescent="0.15">
      <c r="A203" s="43">
        <v>2023</v>
      </c>
      <c r="B203" s="8">
        <v>1</v>
      </c>
      <c r="C203" s="8">
        <v>1</v>
      </c>
      <c r="D203" s="8">
        <v>11</v>
      </c>
      <c r="E203" s="8" t="s">
        <v>228</v>
      </c>
      <c r="F203" s="8" t="s">
        <v>57</v>
      </c>
      <c r="G203" s="8">
        <v>2016</v>
      </c>
      <c r="H203" s="8">
        <v>12</v>
      </c>
      <c r="I203" s="8" t="s">
        <v>521</v>
      </c>
      <c r="J203" s="8" t="s">
        <v>228</v>
      </c>
      <c r="K203" s="8">
        <v>1983</v>
      </c>
      <c r="L203" s="17">
        <v>1</v>
      </c>
      <c r="M203" s="8">
        <v>1</v>
      </c>
      <c r="N203" s="8" t="s">
        <v>48</v>
      </c>
      <c r="O203" s="8" t="s">
        <v>283</v>
      </c>
      <c r="P203" s="8" t="s">
        <v>217</v>
      </c>
      <c r="Q203" s="8">
        <v>3000</v>
      </c>
      <c r="R203" s="8" t="s">
        <v>57</v>
      </c>
      <c r="S203" s="8" t="s">
        <v>54</v>
      </c>
      <c r="T203" s="8" t="s">
        <v>69</v>
      </c>
      <c r="U203" s="8" t="s">
        <v>228</v>
      </c>
      <c r="V203" s="8">
        <v>500</v>
      </c>
      <c r="W203" s="8" t="s">
        <v>328</v>
      </c>
      <c r="X203" s="8">
        <v>3000</v>
      </c>
      <c r="Y203" s="8" t="s">
        <v>271</v>
      </c>
      <c r="Z203" s="8">
        <v>85</v>
      </c>
      <c r="AA203" s="8" t="s">
        <v>278</v>
      </c>
      <c r="AB203" s="8" t="s">
        <v>228</v>
      </c>
      <c r="AC203" s="8" t="s">
        <v>228</v>
      </c>
      <c r="AD203" s="8" t="s">
        <v>228</v>
      </c>
      <c r="AE203" s="8" t="s">
        <v>228</v>
      </c>
      <c r="AF203" s="8" t="s">
        <v>228</v>
      </c>
      <c r="AG203" s="8" t="s">
        <v>228</v>
      </c>
      <c r="AH203" s="8" t="s">
        <v>228</v>
      </c>
      <c r="AI203" s="8" t="s">
        <v>228</v>
      </c>
      <c r="AJ203" t="s">
        <v>468</v>
      </c>
      <c r="AK203">
        <v>1</v>
      </c>
      <c r="AL203">
        <v>1</v>
      </c>
      <c r="AM203" t="s">
        <v>90</v>
      </c>
      <c r="AN203" t="s">
        <v>228</v>
      </c>
      <c r="AO203" t="s">
        <v>526</v>
      </c>
      <c r="AP203" t="s">
        <v>109</v>
      </c>
      <c r="AQ203">
        <v>12</v>
      </c>
      <c r="AR203" t="s">
        <v>521</v>
      </c>
      <c r="AS203" t="s">
        <v>228</v>
      </c>
      <c r="AT203" t="s">
        <v>140</v>
      </c>
      <c r="AU203">
        <v>1</v>
      </c>
      <c r="AV203">
        <v>1</v>
      </c>
      <c r="AW203" t="s">
        <v>406</v>
      </c>
      <c r="AX203" t="s">
        <v>283</v>
      </c>
      <c r="AY203" t="s">
        <v>217</v>
      </c>
      <c r="AZ203">
        <v>1</v>
      </c>
      <c r="BA203" t="s">
        <v>408</v>
      </c>
      <c r="BB203" t="s">
        <v>541</v>
      </c>
      <c r="BC203" t="s">
        <v>395</v>
      </c>
      <c r="BD203" t="s">
        <v>228</v>
      </c>
      <c r="BE203" t="s">
        <v>522</v>
      </c>
      <c r="BF203" t="s">
        <v>523</v>
      </c>
      <c r="BG203" t="s">
        <v>407</v>
      </c>
      <c r="BH203" t="s">
        <v>544</v>
      </c>
      <c r="BI203" t="s">
        <v>524</v>
      </c>
      <c r="BJ203" t="s">
        <v>228</v>
      </c>
      <c r="BK203" t="s">
        <v>228</v>
      </c>
      <c r="BL203" t="s">
        <v>228</v>
      </c>
      <c r="BM203" t="s">
        <v>228</v>
      </c>
      <c r="BN203" t="s">
        <v>228</v>
      </c>
      <c r="BO203" t="s">
        <v>228</v>
      </c>
      <c r="BP203" t="s">
        <v>228</v>
      </c>
      <c r="BQ203" t="s">
        <v>228</v>
      </c>
      <c r="BR203" t="s">
        <v>228</v>
      </c>
      <c r="BS203" t="s">
        <v>409</v>
      </c>
      <c r="BT203">
        <v>1</v>
      </c>
    </row>
    <row r="204" spans="1:72" x14ac:dyDescent="0.15">
      <c r="A204" s="43">
        <v>2023</v>
      </c>
      <c r="B204" s="8">
        <v>1</v>
      </c>
      <c r="C204" s="8">
        <v>1</v>
      </c>
      <c r="D204" s="8">
        <v>11</v>
      </c>
      <c r="E204" s="8" t="s">
        <v>228</v>
      </c>
      <c r="F204" s="8" t="s">
        <v>57</v>
      </c>
      <c r="G204" s="8">
        <v>2016</v>
      </c>
      <c r="H204" s="8">
        <v>12</v>
      </c>
      <c r="I204" s="8" t="s">
        <v>521</v>
      </c>
      <c r="J204" s="8" t="s">
        <v>228</v>
      </c>
      <c r="K204" s="8">
        <v>1983</v>
      </c>
      <c r="L204" s="17">
        <v>1</v>
      </c>
      <c r="M204" s="8">
        <v>1</v>
      </c>
      <c r="N204" s="8" t="s">
        <v>48</v>
      </c>
      <c r="O204" s="8" t="s">
        <v>283</v>
      </c>
      <c r="P204" s="8" t="s">
        <v>217</v>
      </c>
      <c r="Q204" s="8">
        <v>3000</v>
      </c>
      <c r="R204" s="8" t="s">
        <v>57</v>
      </c>
      <c r="S204" s="8" t="s">
        <v>53</v>
      </c>
      <c r="T204" s="8" t="s">
        <v>69</v>
      </c>
      <c r="U204" s="8" t="s">
        <v>228</v>
      </c>
      <c r="V204" s="8">
        <v>500</v>
      </c>
      <c r="W204" s="8" t="s">
        <v>328</v>
      </c>
      <c r="X204" s="8">
        <v>3000</v>
      </c>
      <c r="Y204" s="8" t="s">
        <v>271</v>
      </c>
      <c r="Z204" s="8">
        <v>85</v>
      </c>
      <c r="AA204" s="8" t="s">
        <v>278</v>
      </c>
      <c r="AB204" s="8" t="s">
        <v>228</v>
      </c>
      <c r="AC204" s="8" t="s">
        <v>228</v>
      </c>
      <c r="AD204" s="8" t="s">
        <v>228</v>
      </c>
      <c r="AE204" s="8" t="s">
        <v>228</v>
      </c>
      <c r="AF204" s="8" t="s">
        <v>228</v>
      </c>
      <c r="AG204" s="8" t="s">
        <v>228</v>
      </c>
      <c r="AH204" s="8" t="s">
        <v>228</v>
      </c>
      <c r="AI204" s="8" t="s">
        <v>228</v>
      </c>
      <c r="AJ204" t="s">
        <v>468</v>
      </c>
      <c r="AK204">
        <v>1</v>
      </c>
      <c r="AL204">
        <v>1</v>
      </c>
      <c r="AM204" t="s">
        <v>90</v>
      </c>
      <c r="AN204" t="s">
        <v>228</v>
      </c>
      <c r="AO204" t="s">
        <v>526</v>
      </c>
      <c r="AP204" t="s">
        <v>109</v>
      </c>
      <c r="AQ204">
        <v>12</v>
      </c>
      <c r="AR204" t="s">
        <v>521</v>
      </c>
      <c r="AS204" t="s">
        <v>228</v>
      </c>
      <c r="AT204" t="s">
        <v>140</v>
      </c>
      <c r="AU204">
        <v>1</v>
      </c>
      <c r="AV204">
        <v>1</v>
      </c>
      <c r="AW204" t="s">
        <v>406</v>
      </c>
      <c r="AX204" t="s">
        <v>283</v>
      </c>
      <c r="AY204" t="s">
        <v>217</v>
      </c>
      <c r="AZ204">
        <v>1</v>
      </c>
      <c r="BA204" t="s">
        <v>408</v>
      </c>
      <c r="BB204" t="s">
        <v>542</v>
      </c>
      <c r="BC204" t="s">
        <v>395</v>
      </c>
      <c r="BD204" t="s">
        <v>228</v>
      </c>
      <c r="BE204" t="s">
        <v>522</v>
      </c>
      <c r="BF204" t="s">
        <v>523</v>
      </c>
      <c r="BG204" t="s">
        <v>407</v>
      </c>
      <c r="BH204" t="s">
        <v>544</v>
      </c>
      <c r="BI204" t="s">
        <v>524</v>
      </c>
      <c r="BJ204" t="s">
        <v>228</v>
      </c>
      <c r="BK204" t="s">
        <v>228</v>
      </c>
      <c r="BL204" t="s">
        <v>228</v>
      </c>
      <c r="BM204" t="s">
        <v>228</v>
      </c>
      <c r="BN204" t="s">
        <v>228</v>
      </c>
      <c r="BO204" t="s">
        <v>228</v>
      </c>
      <c r="BP204" t="s">
        <v>228</v>
      </c>
      <c r="BQ204" t="s">
        <v>228</v>
      </c>
      <c r="BR204" t="s">
        <v>228</v>
      </c>
      <c r="BS204" t="s">
        <v>409</v>
      </c>
      <c r="BT204">
        <v>1</v>
      </c>
    </row>
    <row r="205" spans="1:72" x14ac:dyDescent="0.15">
      <c r="A205" s="43">
        <v>2023</v>
      </c>
      <c r="B205" s="8">
        <v>1</v>
      </c>
      <c r="C205" s="8">
        <v>1</v>
      </c>
      <c r="D205" s="8">
        <v>11</v>
      </c>
      <c r="E205" s="8" t="s">
        <v>228</v>
      </c>
      <c r="F205" s="8" t="s">
        <v>57</v>
      </c>
      <c r="G205" s="8">
        <v>2016</v>
      </c>
      <c r="H205" s="8">
        <v>12</v>
      </c>
      <c r="I205" s="8" t="s">
        <v>521</v>
      </c>
      <c r="J205" s="8" t="s">
        <v>228</v>
      </c>
      <c r="K205" s="8">
        <v>1983</v>
      </c>
      <c r="L205" s="17">
        <v>1</v>
      </c>
      <c r="M205" s="8">
        <v>1</v>
      </c>
      <c r="N205" s="8" t="s">
        <v>48</v>
      </c>
      <c r="O205" s="8" t="s">
        <v>283</v>
      </c>
      <c r="P205" s="8" t="s">
        <v>217</v>
      </c>
      <c r="Q205" s="8">
        <v>3000</v>
      </c>
      <c r="R205" s="8" t="s">
        <v>57</v>
      </c>
      <c r="S205" s="8" t="s">
        <v>52</v>
      </c>
      <c r="T205" s="8" t="s">
        <v>69</v>
      </c>
      <c r="U205" s="8" t="s">
        <v>228</v>
      </c>
      <c r="V205" s="8">
        <v>500</v>
      </c>
      <c r="W205" s="8" t="s">
        <v>328</v>
      </c>
      <c r="X205" s="8">
        <v>3000</v>
      </c>
      <c r="Y205" s="8" t="s">
        <v>271</v>
      </c>
      <c r="Z205" s="8">
        <v>85</v>
      </c>
      <c r="AA205" s="8" t="s">
        <v>278</v>
      </c>
      <c r="AB205" s="8" t="s">
        <v>228</v>
      </c>
      <c r="AC205" s="8" t="s">
        <v>228</v>
      </c>
      <c r="AD205" s="8" t="s">
        <v>228</v>
      </c>
      <c r="AE205" s="8" t="s">
        <v>228</v>
      </c>
      <c r="AF205" s="8" t="s">
        <v>228</v>
      </c>
      <c r="AG205" s="8" t="s">
        <v>228</v>
      </c>
      <c r="AH205" s="8" t="s">
        <v>228</v>
      </c>
      <c r="AI205" s="8" t="s">
        <v>228</v>
      </c>
      <c r="AJ205" t="s">
        <v>468</v>
      </c>
      <c r="AK205">
        <v>1</v>
      </c>
      <c r="AL205">
        <v>1</v>
      </c>
      <c r="AM205" t="s">
        <v>90</v>
      </c>
      <c r="AN205" t="s">
        <v>228</v>
      </c>
      <c r="AO205" t="s">
        <v>526</v>
      </c>
      <c r="AP205" t="s">
        <v>109</v>
      </c>
      <c r="AQ205">
        <v>12</v>
      </c>
      <c r="AR205" t="s">
        <v>521</v>
      </c>
      <c r="AS205" t="s">
        <v>228</v>
      </c>
      <c r="AT205" t="s">
        <v>140</v>
      </c>
      <c r="AU205">
        <v>1</v>
      </c>
      <c r="AV205">
        <v>1</v>
      </c>
      <c r="AW205" t="s">
        <v>406</v>
      </c>
      <c r="AX205" t="s">
        <v>283</v>
      </c>
      <c r="AY205" t="s">
        <v>217</v>
      </c>
      <c r="AZ205">
        <v>1</v>
      </c>
      <c r="BA205" t="s">
        <v>408</v>
      </c>
      <c r="BB205" t="s">
        <v>405</v>
      </c>
      <c r="BC205" t="s">
        <v>395</v>
      </c>
      <c r="BD205" t="s">
        <v>228</v>
      </c>
      <c r="BE205" t="s">
        <v>522</v>
      </c>
      <c r="BF205" t="s">
        <v>523</v>
      </c>
      <c r="BG205" t="s">
        <v>407</v>
      </c>
      <c r="BH205" t="s">
        <v>544</v>
      </c>
      <c r="BI205" t="s">
        <v>524</v>
      </c>
      <c r="BJ205" t="s">
        <v>228</v>
      </c>
      <c r="BK205" t="s">
        <v>228</v>
      </c>
      <c r="BL205" t="s">
        <v>228</v>
      </c>
      <c r="BM205" t="s">
        <v>228</v>
      </c>
      <c r="BN205" t="s">
        <v>228</v>
      </c>
      <c r="BO205" t="s">
        <v>228</v>
      </c>
      <c r="BP205" t="s">
        <v>228</v>
      </c>
      <c r="BQ205" t="s">
        <v>228</v>
      </c>
      <c r="BR205" t="s">
        <v>228</v>
      </c>
      <c r="BS205" t="s">
        <v>409</v>
      </c>
      <c r="BT205">
        <v>1</v>
      </c>
    </row>
    <row r="206" spans="1:72" x14ac:dyDescent="0.15">
      <c r="A206" s="43">
        <v>2023</v>
      </c>
      <c r="B206" s="8">
        <v>1</v>
      </c>
      <c r="C206" s="8">
        <v>1</v>
      </c>
      <c r="D206" s="8">
        <v>11</v>
      </c>
      <c r="E206" s="8" t="s">
        <v>228</v>
      </c>
      <c r="F206" s="8" t="s">
        <v>57</v>
      </c>
      <c r="G206" s="8">
        <v>2016</v>
      </c>
      <c r="H206" s="8">
        <v>12</v>
      </c>
      <c r="I206" s="8" t="s">
        <v>521</v>
      </c>
      <c r="J206" s="8" t="s">
        <v>228</v>
      </c>
      <c r="K206" s="8">
        <v>1983</v>
      </c>
      <c r="L206" s="17">
        <v>1</v>
      </c>
      <c r="M206" s="8">
        <v>1</v>
      </c>
      <c r="N206" s="8" t="s">
        <v>48</v>
      </c>
      <c r="O206" s="8" t="s">
        <v>283</v>
      </c>
      <c r="P206" s="8" t="s">
        <v>217</v>
      </c>
      <c r="Q206" s="8">
        <v>3000</v>
      </c>
      <c r="R206" s="8" t="s">
        <v>57</v>
      </c>
      <c r="S206" s="8" t="s">
        <v>54</v>
      </c>
      <c r="T206" s="8" t="s">
        <v>69</v>
      </c>
      <c r="U206" s="8" t="s">
        <v>228</v>
      </c>
      <c r="V206" s="8">
        <v>500</v>
      </c>
      <c r="W206" s="8" t="s">
        <v>328</v>
      </c>
      <c r="X206" s="8">
        <v>3000</v>
      </c>
      <c r="Y206" s="8" t="s">
        <v>271</v>
      </c>
      <c r="Z206" s="8">
        <v>85</v>
      </c>
      <c r="AA206" s="8" t="s">
        <v>278</v>
      </c>
      <c r="AB206" s="8" t="s">
        <v>247</v>
      </c>
      <c r="AC206" s="8" t="s">
        <v>228</v>
      </c>
      <c r="AD206" s="8" t="s">
        <v>228</v>
      </c>
      <c r="AE206" s="8" t="s">
        <v>228</v>
      </c>
      <c r="AF206" s="8" t="s">
        <v>228</v>
      </c>
      <c r="AG206" s="8" t="s">
        <v>228</v>
      </c>
      <c r="AH206" s="8" t="s">
        <v>228</v>
      </c>
      <c r="AI206" s="8" t="s">
        <v>228</v>
      </c>
      <c r="AJ206" t="s">
        <v>468</v>
      </c>
      <c r="AK206">
        <v>1</v>
      </c>
      <c r="AL206">
        <v>1</v>
      </c>
      <c r="AM206" t="s">
        <v>90</v>
      </c>
      <c r="AN206" t="s">
        <v>228</v>
      </c>
      <c r="AO206" t="s">
        <v>526</v>
      </c>
      <c r="AP206" t="s">
        <v>109</v>
      </c>
      <c r="AQ206">
        <v>12</v>
      </c>
      <c r="AR206" t="s">
        <v>521</v>
      </c>
      <c r="AS206" t="s">
        <v>228</v>
      </c>
      <c r="AT206" t="s">
        <v>140</v>
      </c>
      <c r="AU206">
        <v>1</v>
      </c>
      <c r="AV206">
        <v>1</v>
      </c>
      <c r="AW206" t="s">
        <v>406</v>
      </c>
      <c r="AX206" t="s">
        <v>283</v>
      </c>
      <c r="AY206" t="s">
        <v>217</v>
      </c>
      <c r="AZ206">
        <v>1</v>
      </c>
      <c r="BA206" t="s">
        <v>408</v>
      </c>
      <c r="BB206" t="s">
        <v>541</v>
      </c>
      <c r="BC206" t="s">
        <v>395</v>
      </c>
      <c r="BD206" t="s">
        <v>228</v>
      </c>
      <c r="BE206" t="s">
        <v>522</v>
      </c>
      <c r="BF206" t="s">
        <v>523</v>
      </c>
      <c r="BG206" t="s">
        <v>407</v>
      </c>
      <c r="BH206" t="s">
        <v>544</v>
      </c>
      <c r="BI206" t="s">
        <v>524</v>
      </c>
      <c r="BJ206" t="s">
        <v>228</v>
      </c>
      <c r="BK206" t="s">
        <v>543</v>
      </c>
      <c r="BL206" t="s">
        <v>228</v>
      </c>
      <c r="BM206" t="s">
        <v>228</v>
      </c>
      <c r="BN206" t="s">
        <v>228</v>
      </c>
      <c r="BO206" t="s">
        <v>228</v>
      </c>
      <c r="BP206" t="s">
        <v>228</v>
      </c>
      <c r="BQ206" t="s">
        <v>228</v>
      </c>
      <c r="BR206" t="s">
        <v>228</v>
      </c>
      <c r="BS206" t="s">
        <v>409</v>
      </c>
      <c r="BT206">
        <v>1</v>
      </c>
    </row>
    <row r="207" spans="1:72" x14ac:dyDescent="0.15">
      <c r="A207" s="43">
        <v>2023</v>
      </c>
      <c r="B207" s="8">
        <v>1</v>
      </c>
      <c r="C207" s="8">
        <v>1</v>
      </c>
      <c r="D207" s="8">
        <v>11</v>
      </c>
      <c r="E207" s="8" t="s">
        <v>228</v>
      </c>
      <c r="F207" s="8" t="s">
        <v>57</v>
      </c>
      <c r="G207" s="8">
        <v>2016</v>
      </c>
      <c r="H207" s="8">
        <v>12</v>
      </c>
      <c r="I207" s="8" t="s">
        <v>521</v>
      </c>
      <c r="J207" s="8" t="s">
        <v>228</v>
      </c>
      <c r="K207" s="8">
        <v>1983</v>
      </c>
      <c r="L207" s="17">
        <v>1</v>
      </c>
      <c r="M207" s="8">
        <v>1</v>
      </c>
      <c r="N207" s="8" t="s">
        <v>48</v>
      </c>
      <c r="O207" s="8" t="s">
        <v>283</v>
      </c>
      <c r="P207" s="8" t="s">
        <v>217</v>
      </c>
      <c r="Q207" s="8">
        <v>3000</v>
      </c>
      <c r="R207" s="8" t="s">
        <v>57</v>
      </c>
      <c r="S207" s="8" t="s">
        <v>53</v>
      </c>
      <c r="T207" s="8" t="s">
        <v>69</v>
      </c>
      <c r="U207" s="8" t="s">
        <v>228</v>
      </c>
      <c r="V207" s="8">
        <v>500</v>
      </c>
      <c r="W207" s="8" t="s">
        <v>328</v>
      </c>
      <c r="X207" s="8">
        <v>3000</v>
      </c>
      <c r="Y207" s="8" t="s">
        <v>271</v>
      </c>
      <c r="Z207" s="8">
        <v>85</v>
      </c>
      <c r="AA207" s="8" t="s">
        <v>278</v>
      </c>
      <c r="AB207" s="8" t="s">
        <v>247</v>
      </c>
      <c r="AC207" s="8" t="s">
        <v>228</v>
      </c>
      <c r="AD207" s="8" t="s">
        <v>228</v>
      </c>
      <c r="AE207" s="8" t="s">
        <v>228</v>
      </c>
      <c r="AF207" s="8" t="s">
        <v>228</v>
      </c>
      <c r="AG207" s="8" t="s">
        <v>228</v>
      </c>
      <c r="AH207" s="8" t="s">
        <v>228</v>
      </c>
      <c r="AI207" s="8" t="s">
        <v>228</v>
      </c>
      <c r="AJ207" t="s">
        <v>468</v>
      </c>
      <c r="AK207">
        <v>1</v>
      </c>
      <c r="AL207">
        <v>1</v>
      </c>
      <c r="AM207" t="s">
        <v>90</v>
      </c>
      <c r="AN207" t="s">
        <v>228</v>
      </c>
      <c r="AO207" t="s">
        <v>526</v>
      </c>
      <c r="AP207" t="s">
        <v>109</v>
      </c>
      <c r="AQ207">
        <v>12</v>
      </c>
      <c r="AR207" t="s">
        <v>521</v>
      </c>
      <c r="AS207" t="s">
        <v>228</v>
      </c>
      <c r="AT207" t="s">
        <v>140</v>
      </c>
      <c r="AU207">
        <v>1</v>
      </c>
      <c r="AV207">
        <v>1</v>
      </c>
      <c r="AW207" t="s">
        <v>406</v>
      </c>
      <c r="AX207" t="s">
        <v>283</v>
      </c>
      <c r="AY207" t="s">
        <v>217</v>
      </c>
      <c r="AZ207">
        <v>1</v>
      </c>
      <c r="BA207" t="s">
        <v>408</v>
      </c>
      <c r="BB207" t="s">
        <v>542</v>
      </c>
      <c r="BC207" t="s">
        <v>395</v>
      </c>
      <c r="BD207" t="s">
        <v>228</v>
      </c>
      <c r="BE207" t="s">
        <v>522</v>
      </c>
      <c r="BF207" t="s">
        <v>523</v>
      </c>
      <c r="BG207" t="s">
        <v>407</v>
      </c>
      <c r="BH207" t="s">
        <v>544</v>
      </c>
      <c r="BI207" t="s">
        <v>524</v>
      </c>
      <c r="BJ207" t="s">
        <v>228</v>
      </c>
      <c r="BK207" t="s">
        <v>543</v>
      </c>
      <c r="BL207" t="s">
        <v>228</v>
      </c>
      <c r="BM207" t="s">
        <v>228</v>
      </c>
      <c r="BN207" t="s">
        <v>228</v>
      </c>
      <c r="BO207" t="s">
        <v>228</v>
      </c>
      <c r="BP207" t="s">
        <v>228</v>
      </c>
      <c r="BQ207" t="s">
        <v>228</v>
      </c>
      <c r="BR207" t="s">
        <v>228</v>
      </c>
      <c r="BS207" t="s">
        <v>409</v>
      </c>
      <c r="BT207">
        <v>1</v>
      </c>
    </row>
    <row r="208" spans="1:72" x14ac:dyDescent="0.15">
      <c r="A208" s="43">
        <v>2023</v>
      </c>
      <c r="B208" s="8">
        <v>1</v>
      </c>
      <c r="C208" s="8">
        <v>1</v>
      </c>
      <c r="D208" s="8">
        <v>11</v>
      </c>
      <c r="E208" s="8" t="s">
        <v>228</v>
      </c>
      <c r="F208" s="8" t="s">
        <v>57</v>
      </c>
      <c r="G208" s="8">
        <v>2016</v>
      </c>
      <c r="H208" s="8">
        <v>12</v>
      </c>
      <c r="I208" s="8" t="s">
        <v>521</v>
      </c>
      <c r="J208" s="8" t="s">
        <v>228</v>
      </c>
      <c r="K208" s="8">
        <v>1983</v>
      </c>
      <c r="L208" s="17">
        <v>1</v>
      </c>
      <c r="M208" s="8">
        <v>1</v>
      </c>
      <c r="N208" s="8" t="s">
        <v>48</v>
      </c>
      <c r="O208" s="8" t="s">
        <v>283</v>
      </c>
      <c r="P208" s="8" t="s">
        <v>217</v>
      </c>
      <c r="Q208" s="8">
        <v>3000</v>
      </c>
      <c r="R208" s="8" t="s">
        <v>57</v>
      </c>
      <c r="S208" s="8" t="s">
        <v>52</v>
      </c>
      <c r="T208" s="8" t="s">
        <v>69</v>
      </c>
      <c r="U208" s="8" t="s">
        <v>228</v>
      </c>
      <c r="V208" s="8">
        <v>500</v>
      </c>
      <c r="W208" s="8" t="s">
        <v>328</v>
      </c>
      <c r="X208" s="8">
        <v>3000</v>
      </c>
      <c r="Y208" s="8" t="s">
        <v>271</v>
      </c>
      <c r="Z208" s="8">
        <v>85</v>
      </c>
      <c r="AA208" s="8" t="s">
        <v>278</v>
      </c>
      <c r="AB208" s="8" t="s">
        <v>247</v>
      </c>
      <c r="AC208" s="8" t="s">
        <v>228</v>
      </c>
      <c r="AD208" s="8" t="s">
        <v>228</v>
      </c>
      <c r="AE208" s="8" t="s">
        <v>228</v>
      </c>
      <c r="AF208" s="8" t="s">
        <v>228</v>
      </c>
      <c r="AG208" s="8" t="s">
        <v>228</v>
      </c>
      <c r="AH208" s="8" t="s">
        <v>228</v>
      </c>
      <c r="AI208" s="8" t="s">
        <v>228</v>
      </c>
      <c r="AJ208" t="s">
        <v>468</v>
      </c>
      <c r="AK208">
        <v>1</v>
      </c>
      <c r="AL208">
        <v>1</v>
      </c>
      <c r="AM208" t="s">
        <v>90</v>
      </c>
      <c r="AN208" t="s">
        <v>228</v>
      </c>
      <c r="AO208" t="s">
        <v>526</v>
      </c>
      <c r="AP208" t="s">
        <v>109</v>
      </c>
      <c r="AQ208">
        <v>12</v>
      </c>
      <c r="AR208" t="s">
        <v>521</v>
      </c>
      <c r="AS208" t="s">
        <v>228</v>
      </c>
      <c r="AT208" t="s">
        <v>140</v>
      </c>
      <c r="AU208">
        <v>1</v>
      </c>
      <c r="AV208">
        <v>1</v>
      </c>
      <c r="AW208" t="s">
        <v>406</v>
      </c>
      <c r="AX208" t="s">
        <v>283</v>
      </c>
      <c r="AY208" t="s">
        <v>217</v>
      </c>
      <c r="AZ208">
        <v>1</v>
      </c>
      <c r="BA208" t="s">
        <v>408</v>
      </c>
      <c r="BB208" t="s">
        <v>405</v>
      </c>
      <c r="BC208" t="s">
        <v>395</v>
      </c>
      <c r="BD208" t="s">
        <v>228</v>
      </c>
      <c r="BE208" t="s">
        <v>522</v>
      </c>
      <c r="BF208" t="s">
        <v>523</v>
      </c>
      <c r="BG208" t="s">
        <v>407</v>
      </c>
      <c r="BH208" t="s">
        <v>544</v>
      </c>
      <c r="BI208" t="s">
        <v>524</v>
      </c>
      <c r="BJ208" t="s">
        <v>228</v>
      </c>
      <c r="BK208" t="s">
        <v>543</v>
      </c>
      <c r="BL208" t="s">
        <v>228</v>
      </c>
      <c r="BM208" t="s">
        <v>228</v>
      </c>
      <c r="BN208" t="s">
        <v>228</v>
      </c>
      <c r="BO208" t="s">
        <v>228</v>
      </c>
      <c r="BP208" t="s">
        <v>228</v>
      </c>
      <c r="BQ208" t="s">
        <v>228</v>
      </c>
      <c r="BR208" t="s">
        <v>228</v>
      </c>
      <c r="BS208" t="s">
        <v>409</v>
      </c>
      <c r="BT208">
        <v>0</v>
      </c>
    </row>
    <row r="209" spans="1:72" x14ac:dyDescent="0.15">
      <c r="A209" s="43">
        <v>2023</v>
      </c>
      <c r="B209" s="8">
        <v>1</v>
      </c>
      <c r="C209" s="8">
        <v>1</v>
      </c>
      <c r="D209" s="8">
        <v>10</v>
      </c>
      <c r="E209" s="8" t="s">
        <v>228</v>
      </c>
      <c r="F209" s="8" t="s">
        <v>57</v>
      </c>
      <c r="G209" s="8">
        <v>2016</v>
      </c>
      <c r="H209" s="8">
        <v>12</v>
      </c>
      <c r="I209" s="8" t="s">
        <v>521</v>
      </c>
      <c r="J209" s="8" t="s">
        <v>228</v>
      </c>
      <c r="K209" s="8">
        <v>1983</v>
      </c>
      <c r="L209" s="17">
        <v>1</v>
      </c>
      <c r="M209" s="8">
        <v>1</v>
      </c>
      <c r="N209" s="8" t="s">
        <v>48</v>
      </c>
      <c r="O209" s="8" t="s">
        <v>283</v>
      </c>
      <c r="P209" s="8" t="s">
        <v>217</v>
      </c>
      <c r="Q209" s="8">
        <v>3000</v>
      </c>
      <c r="R209" s="8" t="s">
        <v>57</v>
      </c>
      <c r="S209" s="8" t="s">
        <v>54</v>
      </c>
      <c r="T209" s="8" t="s">
        <v>69</v>
      </c>
      <c r="U209" s="8" t="s">
        <v>228</v>
      </c>
      <c r="V209" s="8">
        <v>500</v>
      </c>
      <c r="W209" s="8" t="s">
        <v>328</v>
      </c>
      <c r="X209" s="8">
        <v>3000</v>
      </c>
      <c r="Y209" s="8" t="s">
        <v>268</v>
      </c>
      <c r="Z209" s="8">
        <v>85</v>
      </c>
      <c r="AA209" s="8" t="s">
        <v>278</v>
      </c>
      <c r="AB209" s="8" t="s">
        <v>228</v>
      </c>
      <c r="AC209" s="8" t="s">
        <v>228</v>
      </c>
      <c r="AD209" s="8" t="s">
        <v>228</v>
      </c>
      <c r="AE209" s="8" t="s">
        <v>228</v>
      </c>
      <c r="AF209" s="8" t="s">
        <v>228</v>
      </c>
      <c r="AG209" s="8" t="s">
        <v>228</v>
      </c>
      <c r="AH209" s="8" t="s">
        <v>228</v>
      </c>
      <c r="AI209" s="8" t="s">
        <v>228</v>
      </c>
      <c r="AJ209" t="s">
        <v>468</v>
      </c>
      <c r="AK209">
        <v>1</v>
      </c>
      <c r="AL209">
        <v>1</v>
      </c>
      <c r="AM209" t="s">
        <v>91</v>
      </c>
      <c r="AN209" t="s">
        <v>228</v>
      </c>
      <c r="AO209" t="s">
        <v>526</v>
      </c>
      <c r="AP209" t="s">
        <v>109</v>
      </c>
      <c r="AQ209">
        <v>12</v>
      </c>
      <c r="AR209" t="s">
        <v>521</v>
      </c>
      <c r="AS209" t="s">
        <v>228</v>
      </c>
      <c r="AT209" t="s">
        <v>140</v>
      </c>
      <c r="AU209">
        <v>1</v>
      </c>
      <c r="AV209">
        <v>1</v>
      </c>
      <c r="AW209" t="s">
        <v>406</v>
      </c>
      <c r="AX209" t="s">
        <v>283</v>
      </c>
      <c r="AY209" t="s">
        <v>217</v>
      </c>
      <c r="AZ209">
        <v>1</v>
      </c>
      <c r="BA209" t="s">
        <v>408</v>
      </c>
      <c r="BB209" t="s">
        <v>541</v>
      </c>
      <c r="BC209" t="s">
        <v>395</v>
      </c>
      <c r="BD209" t="s">
        <v>228</v>
      </c>
      <c r="BE209" t="s">
        <v>522</v>
      </c>
      <c r="BF209" t="s">
        <v>523</v>
      </c>
      <c r="BG209" t="s">
        <v>407</v>
      </c>
      <c r="BH209" t="s">
        <v>396</v>
      </c>
      <c r="BI209" t="s">
        <v>524</v>
      </c>
      <c r="BJ209" t="s">
        <v>228</v>
      </c>
      <c r="BK209" t="s">
        <v>228</v>
      </c>
      <c r="BL209" t="s">
        <v>228</v>
      </c>
      <c r="BM209" t="s">
        <v>228</v>
      </c>
      <c r="BN209" t="s">
        <v>228</v>
      </c>
      <c r="BO209" t="s">
        <v>228</v>
      </c>
      <c r="BP209" t="s">
        <v>228</v>
      </c>
      <c r="BQ209" t="s">
        <v>228</v>
      </c>
      <c r="BR209" t="s">
        <v>228</v>
      </c>
      <c r="BS209" t="s">
        <v>409</v>
      </c>
      <c r="BT209">
        <v>1</v>
      </c>
    </row>
    <row r="210" spans="1:72" x14ac:dyDescent="0.15">
      <c r="A210" s="43">
        <v>2023</v>
      </c>
      <c r="B210" s="8">
        <v>1</v>
      </c>
      <c r="C210" s="8">
        <v>1</v>
      </c>
      <c r="D210" s="8">
        <v>10</v>
      </c>
      <c r="E210" s="8" t="s">
        <v>228</v>
      </c>
      <c r="F210" s="8" t="s">
        <v>57</v>
      </c>
      <c r="G210" s="8">
        <v>2016</v>
      </c>
      <c r="H210" s="8">
        <v>12</v>
      </c>
      <c r="I210" s="8" t="s">
        <v>521</v>
      </c>
      <c r="J210" s="8" t="s">
        <v>228</v>
      </c>
      <c r="K210" s="8">
        <v>1983</v>
      </c>
      <c r="L210" s="17">
        <v>1</v>
      </c>
      <c r="M210" s="8">
        <v>1</v>
      </c>
      <c r="N210" s="8" t="s">
        <v>48</v>
      </c>
      <c r="O210" s="8" t="s">
        <v>283</v>
      </c>
      <c r="P210" s="8" t="s">
        <v>217</v>
      </c>
      <c r="Q210" s="8">
        <v>3000</v>
      </c>
      <c r="R210" s="8" t="s">
        <v>57</v>
      </c>
      <c r="S210" s="8" t="s">
        <v>53</v>
      </c>
      <c r="T210" s="8" t="s">
        <v>69</v>
      </c>
      <c r="U210" s="8" t="s">
        <v>228</v>
      </c>
      <c r="V210" s="8">
        <v>500</v>
      </c>
      <c r="W210" s="8" t="s">
        <v>328</v>
      </c>
      <c r="X210" s="8">
        <v>3000</v>
      </c>
      <c r="Y210" s="8" t="s">
        <v>268</v>
      </c>
      <c r="Z210" s="8">
        <v>85</v>
      </c>
      <c r="AA210" s="8" t="s">
        <v>278</v>
      </c>
      <c r="AB210" s="8" t="s">
        <v>228</v>
      </c>
      <c r="AC210" s="8" t="s">
        <v>228</v>
      </c>
      <c r="AD210" s="8" t="s">
        <v>228</v>
      </c>
      <c r="AE210" s="8" t="s">
        <v>228</v>
      </c>
      <c r="AF210" s="8" t="s">
        <v>228</v>
      </c>
      <c r="AG210" s="8" t="s">
        <v>228</v>
      </c>
      <c r="AH210" s="8" t="s">
        <v>228</v>
      </c>
      <c r="AI210" s="8" t="s">
        <v>228</v>
      </c>
      <c r="AJ210" t="s">
        <v>468</v>
      </c>
      <c r="AK210">
        <v>1</v>
      </c>
      <c r="AL210">
        <v>1</v>
      </c>
      <c r="AM210" t="s">
        <v>91</v>
      </c>
      <c r="AN210" t="s">
        <v>228</v>
      </c>
      <c r="AO210" t="s">
        <v>526</v>
      </c>
      <c r="AP210" t="s">
        <v>109</v>
      </c>
      <c r="AQ210">
        <v>12</v>
      </c>
      <c r="AR210" t="s">
        <v>521</v>
      </c>
      <c r="AS210" t="s">
        <v>228</v>
      </c>
      <c r="AT210" t="s">
        <v>140</v>
      </c>
      <c r="AU210">
        <v>1</v>
      </c>
      <c r="AV210">
        <v>1</v>
      </c>
      <c r="AW210" t="s">
        <v>406</v>
      </c>
      <c r="AX210" t="s">
        <v>283</v>
      </c>
      <c r="AY210" t="s">
        <v>217</v>
      </c>
      <c r="AZ210">
        <v>1</v>
      </c>
      <c r="BA210" t="s">
        <v>408</v>
      </c>
      <c r="BB210" t="s">
        <v>542</v>
      </c>
      <c r="BC210" t="s">
        <v>395</v>
      </c>
      <c r="BD210" t="s">
        <v>228</v>
      </c>
      <c r="BE210" t="s">
        <v>522</v>
      </c>
      <c r="BF210" t="s">
        <v>523</v>
      </c>
      <c r="BG210" t="s">
        <v>407</v>
      </c>
      <c r="BH210" t="s">
        <v>396</v>
      </c>
      <c r="BI210" t="s">
        <v>524</v>
      </c>
      <c r="BJ210" t="s">
        <v>228</v>
      </c>
      <c r="BK210" t="s">
        <v>228</v>
      </c>
      <c r="BL210" t="s">
        <v>228</v>
      </c>
      <c r="BM210" t="s">
        <v>228</v>
      </c>
      <c r="BN210" t="s">
        <v>228</v>
      </c>
      <c r="BO210" t="s">
        <v>228</v>
      </c>
      <c r="BP210" t="s">
        <v>228</v>
      </c>
      <c r="BQ210" t="s">
        <v>228</v>
      </c>
      <c r="BR210" t="s">
        <v>228</v>
      </c>
      <c r="BS210" t="s">
        <v>409</v>
      </c>
      <c r="BT210">
        <v>1</v>
      </c>
    </row>
    <row r="211" spans="1:72" x14ac:dyDescent="0.15">
      <c r="A211" s="43">
        <v>2023</v>
      </c>
      <c r="B211" s="8">
        <v>1</v>
      </c>
      <c r="C211" s="8">
        <v>1</v>
      </c>
      <c r="D211" s="8">
        <v>10</v>
      </c>
      <c r="E211" s="8" t="s">
        <v>228</v>
      </c>
      <c r="F211" s="8" t="s">
        <v>57</v>
      </c>
      <c r="G211" s="8">
        <v>2016</v>
      </c>
      <c r="H211" s="8">
        <v>12</v>
      </c>
      <c r="I211" s="8" t="s">
        <v>521</v>
      </c>
      <c r="J211" s="8" t="s">
        <v>228</v>
      </c>
      <c r="K211" s="8">
        <v>1983</v>
      </c>
      <c r="L211" s="17">
        <v>1</v>
      </c>
      <c r="M211" s="8">
        <v>1</v>
      </c>
      <c r="N211" s="8" t="s">
        <v>48</v>
      </c>
      <c r="O211" s="8" t="s">
        <v>283</v>
      </c>
      <c r="P211" s="8" t="s">
        <v>217</v>
      </c>
      <c r="Q211" s="8">
        <v>3000</v>
      </c>
      <c r="R211" s="8" t="s">
        <v>57</v>
      </c>
      <c r="S211" s="8" t="s">
        <v>52</v>
      </c>
      <c r="T211" s="8" t="s">
        <v>69</v>
      </c>
      <c r="U211" s="8" t="s">
        <v>228</v>
      </c>
      <c r="V211" s="8">
        <v>500</v>
      </c>
      <c r="W211" s="8" t="s">
        <v>328</v>
      </c>
      <c r="X211" s="8">
        <v>3000</v>
      </c>
      <c r="Y211" s="8" t="s">
        <v>268</v>
      </c>
      <c r="Z211" s="8">
        <v>85</v>
      </c>
      <c r="AA211" s="8" t="s">
        <v>278</v>
      </c>
      <c r="AB211" s="8" t="s">
        <v>228</v>
      </c>
      <c r="AC211" s="8" t="s">
        <v>228</v>
      </c>
      <c r="AD211" s="8" t="s">
        <v>228</v>
      </c>
      <c r="AE211" s="8" t="s">
        <v>228</v>
      </c>
      <c r="AF211" s="8" t="s">
        <v>228</v>
      </c>
      <c r="AG211" s="8" t="s">
        <v>228</v>
      </c>
      <c r="AH211" s="8" t="s">
        <v>228</v>
      </c>
      <c r="AI211" s="8" t="s">
        <v>228</v>
      </c>
      <c r="AJ211" t="s">
        <v>468</v>
      </c>
      <c r="AK211">
        <v>1</v>
      </c>
      <c r="AL211">
        <v>1</v>
      </c>
      <c r="AM211" t="s">
        <v>91</v>
      </c>
      <c r="AN211" t="s">
        <v>228</v>
      </c>
      <c r="AO211" t="s">
        <v>526</v>
      </c>
      <c r="AP211" t="s">
        <v>109</v>
      </c>
      <c r="AQ211">
        <v>12</v>
      </c>
      <c r="AR211" t="s">
        <v>521</v>
      </c>
      <c r="AS211" t="s">
        <v>228</v>
      </c>
      <c r="AT211" t="s">
        <v>140</v>
      </c>
      <c r="AU211">
        <v>1</v>
      </c>
      <c r="AV211">
        <v>1</v>
      </c>
      <c r="AW211" t="s">
        <v>406</v>
      </c>
      <c r="AX211" t="s">
        <v>283</v>
      </c>
      <c r="AY211" t="s">
        <v>217</v>
      </c>
      <c r="AZ211">
        <v>1</v>
      </c>
      <c r="BA211" t="s">
        <v>408</v>
      </c>
      <c r="BB211" t="s">
        <v>405</v>
      </c>
      <c r="BC211" t="s">
        <v>395</v>
      </c>
      <c r="BD211" t="s">
        <v>228</v>
      </c>
      <c r="BE211" t="s">
        <v>522</v>
      </c>
      <c r="BF211" t="s">
        <v>523</v>
      </c>
      <c r="BG211" t="s">
        <v>407</v>
      </c>
      <c r="BH211" t="s">
        <v>396</v>
      </c>
      <c r="BI211" t="s">
        <v>524</v>
      </c>
      <c r="BJ211" t="s">
        <v>228</v>
      </c>
      <c r="BK211" t="s">
        <v>228</v>
      </c>
      <c r="BL211" t="s">
        <v>228</v>
      </c>
      <c r="BM211" t="s">
        <v>228</v>
      </c>
      <c r="BN211" t="s">
        <v>228</v>
      </c>
      <c r="BO211" t="s">
        <v>228</v>
      </c>
      <c r="BP211" t="s">
        <v>228</v>
      </c>
      <c r="BQ211" t="s">
        <v>228</v>
      </c>
      <c r="BR211" t="s">
        <v>228</v>
      </c>
      <c r="BS211" t="s">
        <v>409</v>
      </c>
      <c r="BT211">
        <v>1</v>
      </c>
    </row>
    <row r="212" spans="1:72" x14ac:dyDescent="0.15">
      <c r="A212" s="43">
        <v>2023</v>
      </c>
      <c r="B212" s="8">
        <v>1</v>
      </c>
      <c r="C212" s="8">
        <v>1</v>
      </c>
      <c r="D212" s="8">
        <v>10</v>
      </c>
      <c r="E212" s="8" t="s">
        <v>228</v>
      </c>
      <c r="F212" s="8" t="s">
        <v>57</v>
      </c>
      <c r="G212" s="8">
        <v>2016</v>
      </c>
      <c r="H212" s="8">
        <v>12</v>
      </c>
      <c r="I212" s="8" t="s">
        <v>521</v>
      </c>
      <c r="J212" s="8" t="s">
        <v>228</v>
      </c>
      <c r="K212" s="8">
        <v>1983</v>
      </c>
      <c r="L212" s="17">
        <v>1</v>
      </c>
      <c r="M212" s="8">
        <v>1</v>
      </c>
      <c r="N212" s="8" t="s">
        <v>48</v>
      </c>
      <c r="O212" s="8" t="s">
        <v>283</v>
      </c>
      <c r="P212" s="8" t="s">
        <v>217</v>
      </c>
      <c r="Q212" s="8">
        <v>3000</v>
      </c>
      <c r="R212" s="8" t="s">
        <v>57</v>
      </c>
      <c r="S212" s="8" t="s">
        <v>54</v>
      </c>
      <c r="T212" s="8" t="s">
        <v>69</v>
      </c>
      <c r="U212" s="8" t="s">
        <v>228</v>
      </c>
      <c r="V212" s="8">
        <v>500</v>
      </c>
      <c r="W212" s="8" t="s">
        <v>328</v>
      </c>
      <c r="X212" s="8">
        <v>3000</v>
      </c>
      <c r="Y212" s="8" t="s">
        <v>268</v>
      </c>
      <c r="Z212" s="8">
        <v>85</v>
      </c>
      <c r="AA212" s="8" t="s">
        <v>278</v>
      </c>
      <c r="AB212" s="8" t="s">
        <v>247</v>
      </c>
      <c r="AC212" s="8" t="s">
        <v>228</v>
      </c>
      <c r="AD212" s="8" t="s">
        <v>228</v>
      </c>
      <c r="AE212" s="8" t="s">
        <v>228</v>
      </c>
      <c r="AF212" s="8" t="s">
        <v>228</v>
      </c>
      <c r="AG212" s="8" t="s">
        <v>228</v>
      </c>
      <c r="AH212" s="8" t="s">
        <v>228</v>
      </c>
      <c r="AI212" s="8" t="s">
        <v>228</v>
      </c>
      <c r="AJ212" t="s">
        <v>468</v>
      </c>
      <c r="AK212">
        <v>1</v>
      </c>
      <c r="AL212">
        <v>1</v>
      </c>
      <c r="AM212" t="s">
        <v>91</v>
      </c>
      <c r="AN212" t="s">
        <v>228</v>
      </c>
      <c r="AO212" t="s">
        <v>526</v>
      </c>
      <c r="AP212" t="s">
        <v>109</v>
      </c>
      <c r="AQ212">
        <v>12</v>
      </c>
      <c r="AR212" t="s">
        <v>521</v>
      </c>
      <c r="AS212" t="s">
        <v>228</v>
      </c>
      <c r="AT212" t="s">
        <v>140</v>
      </c>
      <c r="AU212">
        <v>1</v>
      </c>
      <c r="AV212">
        <v>1</v>
      </c>
      <c r="AW212" t="s">
        <v>406</v>
      </c>
      <c r="AX212" t="s">
        <v>283</v>
      </c>
      <c r="AY212" t="s">
        <v>217</v>
      </c>
      <c r="AZ212">
        <v>1</v>
      </c>
      <c r="BA212" t="s">
        <v>408</v>
      </c>
      <c r="BB212" t="s">
        <v>541</v>
      </c>
      <c r="BC212" t="s">
        <v>395</v>
      </c>
      <c r="BD212" t="s">
        <v>228</v>
      </c>
      <c r="BE212" t="s">
        <v>522</v>
      </c>
      <c r="BF212" t="s">
        <v>523</v>
      </c>
      <c r="BG212" t="s">
        <v>407</v>
      </c>
      <c r="BH212" t="s">
        <v>396</v>
      </c>
      <c r="BI212" t="s">
        <v>524</v>
      </c>
      <c r="BJ212" t="s">
        <v>228</v>
      </c>
      <c r="BK212" t="s">
        <v>543</v>
      </c>
      <c r="BL212" t="s">
        <v>228</v>
      </c>
      <c r="BM212" t="s">
        <v>228</v>
      </c>
      <c r="BN212" t="s">
        <v>228</v>
      </c>
      <c r="BO212" t="s">
        <v>228</v>
      </c>
      <c r="BP212" t="s">
        <v>228</v>
      </c>
      <c r="BQ212" t="s">
        <v>228</v>
      </c>
      <c r="BR212" t="s">
        <v>228</v>
      </c>
      <c r="BS212" t="s">
        <v>409</v>
      </c>
      <c r="BT212">
        <v>1</v>
      </c>
    </row>
    <row r="213" spans="1:72" x14ac:dyDescent="0.15">
      <c r="A213" s="43">
        <v>2023</v>
      </c>
      <c r="B213" s="8">
        <v>1</v>
      </c>
      <c r="C213" s="8">
        <v>1</v>
      </c>
      <c r="D213" s="8">
        <v>10</v>
      </c>
      <c r="E213" s="8" t="s">
        <v>228</v>
      </c>
      <c r="F213" s="8" t="s">
        <v>57</v>
      </c>
      <c r="G213" s="8">
        <v>2016</v>
      </c>
      <c r="H213" s="8">
        <v>12</v>
      </c>
      <c r="I213" s="8" t="s">
        <v>521</v>
      </c>
      <c r="J213" s="8" t="s">
        <v>228</v>
      </c>
      <c r="K213" s="8">
        <v>1983</v>
      </c>
      <c r="L213" s="17">
        <v>1</v>
      </c>
      <c r="M213" s="8">
        <v>1</v>
      </c>
      <c r="N213" s="8" t="s">
        <v>48</v>
      </c>
      <c r="O213" s="8" t="s">
        <v>283</v>
      </c>
      <c r="P213" s="8" t="s">
        <v>217</v>
      </c>
      <c r="Q213" s="8">
        <v>3000</v>
      </c>
      <c r="R213" s="8" t="s">
        <v>57</v>
      </c>
      <c r="S213" s="8" t="s">
        <v>53</v>
      </c>
      <c r="T213" s="8" t="s">
        <v>69</v>
      </c>
      <c r="U213" s="8" t="s">
        <v>228</v>
      </c>
      <c r="V213" s="8">
        <v>500</v>
      </c>
      <c r="W213" s="8" t="s">
        <v>328</v>
      </c>
      <c r="X213" s="8">
        <v>3000</v>
      </c>
      <c r="Y213" s="8" t="s">
        <v>268</v>
      </c>
      <c r="Z213" s="8">
        <v>85</v>
      </c>
      <c r="AA213" s="8" t="s">
        <v>278</v>
      </c>
      <c r="AB213" s="8" t="s">
        <v>247</v>
      </c>
      <c r="AC213" s="8" t="s">
        <v>228</v>
      </c>
      <c r="AD213" s="8" t="s">
        <v>228</v>
      </c>
      <c r="AE213" s="8" t="s">
        <v>228</v>
      </c>
      <c r="AF213" s="8" t="s">
        <v>228</v>
      </c>
      <c r="AG213" s="8" t="s">
        <v>228</v>
      </c>
      <c r="AH213" s="8" t="s">
        <v>228</v>
      </c>
      <c r="AI213" s="8" t="s">
        <v>228</v>
      </c>
      <c r="AJ213" t="s">
        <v>468</v>
      </c>
      <c r="AK213">
        <v>1</v>
      </c>
      <c r="AL213">
        <v>1</v>
      </c>
      <c r="AM213" t="s">
        <v>91</v>
      </c>
      <c r="AN213" t="s">
        <v>228</v>
      </c>
      <c r="AO213" t="s">
        <v>526</v>
      </c>
      <c r="AP213" t="s">
        <v>109</v>
      </c>
      <c r="AQ213">
        <v>12</v>
      </c>
      <c r="AR213" t="s">
        <v>521</v>
      </c>
      <c r="AS213" t="s">
        <v>228</v>
      </c>
      <c r="AT213" t="s">
        <v>140</v>
      </c>
      <c r="AU213">
        <v>1</v>
      </c>
      <c r="AV213">
        <v>1</v>
      </c>
      <c r="AW213" t="s">
        <v>406</v>
      </c>
      <c r="AX213" t="s">
        <v>283</v>
      </c>
      <c r="AY213" t="s">
        <v>217</v>
      </c>
      <c r="AZ213">
        <v>1</v>
      </c>
      <c r="BA213" t="s">
        <v>408</v>
      </c>
      <c r="BB213" t="s">
        <v>542</v>
      </c>
      <c r="BC213" t="s">
        <v>395</v>
      </c>
      <c r="BD213" t="s">
        <v>228</v>
      </c>
      <c r="BE213" t="s">
        <v>522</v>
      </c>
      <c r="BF213" t="s">
        <v>523</v>
      </c>
      <c r="BG213" t="s">
        <v>407</v>
      </c>
      <c r="BH213" t="s">
        <v>396</v>
      </c>
      <c r="BI213" t="s">
        <v>524</v>
      </c>
      <c r="BJ213" t="s">
        <v>228</v>
      </c>
      <c r="BK213" t="s">
        <v>543</v>
      </c>
      <c r="BL213" t="s">
        <v>228</v>
      </c>
      <c r="BM213" t="s">
        <v>228</v>
      </c>
      <c r="BN213" t="s">
        <v>228</v>
      </c>
      <c r="BO213" t="s">
        <v>228</v>
      </c>
      <c r="BP213" t="s">
        <v>228</v>
      </c>
      <c r="BQ213" t="s">
        <v>228</v>
      </c>
      <c r="BR213" t="s">
        <v>228</v>
      </c>
      <c r="BS213" t="s">
        <v>409</v>
      </c>
      <c r="BT213">
        <v>1</v>
      </c>
    </row>
    <row r="214" spans="1:72" x14ac:dyDescent="0.15">
      <c r="A214" s="43">
        <v>2023</v>
      </c>
      <c r="B214" s="8">
        <v>1</v>
      </c>
      <c r="C214" s="8">
        <v>1</v>
      </c>
      <c r="D214" s="8">
        <v>10</v>
      </c>
      <c r="E214" s="8" t="s">
        <v>228</v>
      </c>
      <c r="F214" s="8" t="s">
        <v>57</v>
      </c>
      <c r="G214" s="8">
        <v>2016</v>
      </c>
      <c r="H214" s="8">
        <v>12</v>
      </c>
      <c r="I214" s="8" t="s">
        <v>521</v>
      </c>
      <c r="J214" s="8" t="s">
        <v>228</v>
      </c>
      <c r="K214" s="8">
        <v>1983</v>
      </c>
      <c r="L214" s="17">
        <v>1</v>
      </c>
      <c r="M214" s="8">
        <v>1</v>
      </c>
      <c r="N214" s="8" t="s">
        <v>48</v>
      </c>
      <c r="O214" s="8" t="s">
        <v>283</v>
      </c>
      <c r="P214" s="8" t="s">
        <v>217</v>
      </c>
      <c r="Q214" s="8">
        <v>3000</v>
      </c>
      <c r="R214" s="8" t="s">
        <v>57</v>
      </c>
      <c r="S214" s="8" t="s">
        <v>52</v>
      </c>
      <c r="T214" s="8" t="s">
        <v>69</v>
      </c>
      <c r="U214" s="8" t="s">
        <v>228</v>
      </c>
      <c r="V214" s="8">
        <v>500</v>
      </c>
      <c r="W214" s="8" t="s">
        <v>328</v>
      </c>
      <c r="X214" s="8">
        <v>3000</v>
      </c>
      <c r="Y214" s="8" t="s">
        <v>268</v>
      </c>
      <c r="Z214" s="8">
        <v>85</v>
      </c>
      <c r="AA214" s="8" t="s">
        <v>278</v>
      </c>
      <c r="AB214" s="8" t="s">
        <v>247</v>
      </c>
      <c r="AC214" s="8" t="s">
        <v>228</v>
      </c>
      <c r="AD214" s="8" t="s">
        <v>228</v>
      </c>
      <c r="AE214" s="8" t="s">
        <v>228</v>
      </c>
      <c r="AF214" s="8" t="s">
        <v>228</v>
      </c>
      <c r="AG214" s="8" t="s">
        <v>228</v>
      </c>
      <c r="AH214" s="8" t="s">
        <v>228</v>
      </c>
      <c r="AI214" s="8" t="s">
        <v>228</v>
      </c>
      <c r="AJ214" t="s">
        <v>468</v>
      </c>
      <c r="AK214">
        <v>1</v>
      </c>
      <c r="AL214">
        <v>1</v>
      </c>
      <c r="AM214" t="s">
        <v>91</v>
      </c>
      <c r="AN214" t="s">
        <v>228</v>
      </c>
      <c r="AO214" t="s">
        <v>526</v>
      </c>
      <c r="AP214" t="s">
        <v>109</v>
      </c>
      <c r="AQ214">
        <v>12</v>
      </c>
      <c r="AR214" t="s">
        <v>521</v>
      </c>
      <c r="AS214" t="s">
        <v>228</v>
      </c>
      <c r="AT214" t="s">
        <v>140</v>
      </c>
      <c r="AU214">
        <v>1</v>
      </c>
      <c r="AV214">
        <v>1</v>
      </c>
      <c r="AW214" t="s">
        <v>406</v>
      </c>
      <c r="AX214" t="s">
        <v>283</v>
      </c>
      <c r="AY214" t="s">
        <v>217</v>
      </c>
      <c r="AZ214">
        <v>1</v>
      </c>
      <c r="BA214" t="s">
        <v>408</v>
      </c>
      <c r="BB214" t="s">
        <v>405</v>
      </c>
      <c r="BC214" t="s">
        <v>395</v>
      </c>
      <c r="BD214" t="s">
        <v>228</v>
      </c>
      <c r="BE214" t="s">
        <v>522</v>
      </c>
      <c r="BF214" t="s">
        <v>523</v>
      </c>
      <c r="BG214" t="s">
        <v>407</v>
      </c>
      <c r="BH214" t="s">
        <v>396</v>
      </c>
      <c r="BI214" t="s">
        <v>524</v>
      </c>
      <c r="BJ214" t="s">
        <v>228</v>
      </c>
      <c r="BK214" t="s">
        <v>543</v>
      </c>
      <c r="BL214" t="s">
        <v>228</v>
      </c>
      <c r="BM214" t="s">
        <v>228</v>
      </c>
      <c r="BN214" t="s">
        <v>228</v>
      </c>
      <c r="BO214" t="s">
        <v>228</v>
      </c>
      <c r="BP214" t="s">
        <v>228</v>
      </c>
      <c r="BQ214" t="s">
        <v>228</v>
      </c>
      <c r="BR214" t="s">
        <v>228</v>
      </c>
      <c r="BS214" t="s">
        <v>409</v>
      </c>
      <c r="BT214">
        <v>1</v>
      </c>
    </row>
    <row r="215" spans="1:72" x14ac:dyDescent="0.15">
      <c r="A215" s="43">
        <v>2023</v>
      </c>
      <c r="B215" s="8">
        <v>1</v>
      </c>
      <c r="C215" s="8">
        <v>1</v>
      </c>
      <c r="D215" s="8">
        <v>10</v>
      </c>
      <c r="E215" s="8" t="s">
        <v>228</v>
      </c>
      <c r="F215" s="8" t="s">
        <v>57</v>
      </c>
      <c r="G215" s="8">
        <v>2016</v>
      </c>
      <c r="H215" s="8">
        <v>12</v>
      </c>
      <c r="I215" s="8" t="s">
        <v>521</v>
      </c>
      <c r="J215" s="8" t="s">
        <v>228</v>
      </c>
      <c r="K215" s="8">
        <v>1983</v>
      </c>
      <c r="L215" s="17">
        <v>1</v>
      </c>
      <c r="M215" s="8">
        <v>1</v>
      </c>
      <c r="N215" s="8" t="s">
        <v>48</v>
      </c>
      <c r="O215" s="8" t="s">
        <v>283</v>
      </c>
      <c r="P215" s="8" t="s">
        <v>217</v>
      </c>
      <c r="Q215" s="8">
        <v>3000</v>
      </c>
      <c r="R215" s="8" t="s">
        <v>57</v>
      </c>
      <c r="S215" s="8" t="s">
        <v>54</v>
      </c>
      <c r="T215" s="8" t="s">
        <v>69</v>
      </c>
      <c r="U215" s="8" t="s">
        <v>228</v>
      </c>
      <c r="V215" s="8">
        <v>500</v>
      </c>
      <c r="W215" s="8" t="s">
        <v>328</v>
      </c>
      <c r="X215" s="8">
        <v>3000</v>
      </c>
      <c r="Y215" s="8" t="s">
        <v>271</v>
      </c>
      <c r="Z215" s="8">
        <v>85</v>
      </c>
      <c r="AA215" s="8" t="s">
        <v>278</v>
      </c>
      <c r="AB215" s="8" t="s">
        <v>228</v>
      </c>
      <c r="AC215" s="8" t="s">
        <v>228</v>
      </c>
      <c r="AD215" s="8" t="s">
        <v>228</v>
      </c>
      <c r="AE215" s="8" t="s">
        <v>228</v>
      </c>
      <c r="AF215" s="8" t="s">
        <v>228</v>
      </c>
      <c r="AG215" s="8" t="s">
        <v>228</v>
      </c>
      <c r="AH215" s="8" t="s">
        <v>228</v>
      </c>
      <c r="AI215" s="8" t="s">
        <v>228</v>
      </c>
      <c r="AJ215" t="s">
        <v>468</v>
      </c>
      <c r="AK215">
        <v>1</v>
      </c>
      <c r="AL215">
        <v>1</v>
      </c>
      <c r="AM215" t="s">
        <v>91</v>
      </c>
      <c r="AN215" t="s">
        <v>228</v>
      </c>
      <c r="AO215" t="s">
        <v>526</v>
      </c>
      <c r="AP215" t="s">
        <v>109</v>
      </c>
      <c r="AQ215">
        <v>12</v>
      </c>
      <c r="AR215" t="s">
        <v>521</v>
      </c>
      <c r="AS215" t="s">
        <v>228</v>
      </c>
      <c r="AT215" t="s">
        <v>140</v>
      </c>
      <c r="AU215">
        <v>1</v>
      </c>
      <c r="AV215">
        <v>1</v>
      </c>
      <c r="AW215" t="s">
        <v>406</v>
      </c>
      <c r="AX215" t="s">
        <v>283</v>
      </c>
      <c r="AY215" t="s">
        <v>217</v>
      </c>
      <c r="AZ215">
        <v>1</v>
      </c>
      <c r="BA215" t="s">
        <v>408</v>
      </c>
      <c r="BB215" t="s">
        <v>541</v>
      </c>
      <c r="BC215" t="s">
        <v>395</v>
      </c>
      <c r="BD215" t="s">
        <v>228</v>
      </c>
      <c r="BE215" t="s">
        <v>522</v>
      </c>
      <c r="BF215" t="s">
        <v>523</v>
      </c>
      <c r="BG215" t="s">
        <v>407</v>
      </c>
      <c r="BH215" t="s">
        <v>544</v>
      </c>
      <c r="BI215" t="s">
        <v>524</v>
      </c>
      <c r="BJ215" t="s">
        <v>228</v>
      </c>
      <c r="BK215" t="s">
        <v>228</v>
      </c>
      <c r="BL215" t="s">
        <v>228</v>
      </c>
      <c r="BM215" t="s">
        <v>228</v>
      </c>
      <c r="BN215" t="s">
        <v>228</v>
      </c>
      <c r="BO215" t="s">
        <v>228</v>
      </c>
      <c r="BP215" t="s">
        <v>228</v>
      </c>
      <c r="BQ215" t="s">
        <v>228</v>
      </c>
      <c r="BR215" t="s">
        <v>228</v>
      </c>
      <c r="BS215" t="s">
        <v>409</v>
      </c>
      <c r="BT215">
        <v>1</v>
      </c>
    </row>
    <row r="216" spans="1:72" x14ac:dyDescent="0.15">
      <c r="A216" s="43">
        <v>2023</v>
      </c>
      <c r="B216" s="8">
        <v>1</v>
      </c>
      <c r="C216" s="8">
        <v>1</v>
      </c>
      <c r="D216" s="8">
        <v>10</v>
      </c>
      <c r="E216" s="8" t="s">
        <v>228</v>
      </c>
      <c r="F216" s="8" t="s">
        <v>57</v>
      </c>
      <c r="G216" s="8">
        <v>2016</v>
      </c>
      <c r="H216" s="8">
        <v>12</v>
      </c>
      <c r="I216" s="8" t="s">
        <v>521</v>
      </c>
      <c r="J216" s="8" t="s">
        <v>228</v>
      </c>
      <c r="K216" s="8">
        <v>1983</v>
      </c>
      <c r="L216" s="17">
        <v>1</v>
      </c>
      <c r="M216" s="8">
        <v>1</v>
      </c>
      <c r="N216" s="8" t="s">
        <v>48</v>
      </c>
      <c r="O216" s="8" t="s">
        <v>283</v>
      </c>
      <c r="P216" s="8" t="s">
        <v>217</v>
      </c>
      <c r="Q216" s="8">
        <v>3000</v>
      </c>
      <c r="R216" s="8" t="s">
        <v>57</v>
      </c>
      <c r="S216" s="8" t="s">
        <v>53</v>
      </c>
      <c r="T216" s="8" t="s">
        <v>69</v>
      </c>
      <c r="U216" s="8" t="s">
        <v>228</v>
      </c>
      <c r="V216" s="8">
        <v>500</v>
      </c>
      <c r="W216" s="8" t="s">
        <v>328</v>
      </c>
      <c r="X216" s="8">
        <v>3000</v>
      </c>
      <c r="Y216" s="8" t="s">
        <v>271</v>
      </c>
      <c r="Z216" s="8">
        <v>85</v>
      </c>
      <c r="AA216" s="8" t="s">
        <v>278</v>
      </c>
      <c r="AB216" s="8" t="s">
        <v>228</v>
      </c>
      <c r="AC216" s="8" t="s">
        <v>228</v>
      </c>
      <c r="AD216" s="8" t="s">
        <v>228</v>
      </c>
      <c r="AE216" s="8" t="s">
        <v>228</v>
      </c>
      <c r="AF216" s="8" t="s">
        <v>228</v>
      </c>
      <c r="AG216" s="8" t="s">
        <v>228</v>
      </c>
      <c r="AH216" s="8" t="s">
        <v>228</v>
      </c>
      <c r="AI216" s="8" t="s">
        <v>228</v>
      </c>
      <c r="AJ216" t="s">
        <v>468</v>
      </c>
      <c r="AK216">
        <v>1</v>
      </c>
      <c r="AL216">
        <v>1</v>
      </c>
      <c r="AM216" t="s">
        <v>91</v>
      </c>
      <c r="AN216" t="s">
        <v>228</v>
      </c>
      <c r="AO216" t="s">
        <v>526</v>
      </c>
      <c r="AP216" t="s">
        <v>109</v>
      </c>
      <c r="AQ216">
        <v>12</v>
      </c>
      <c r="AR216" t="s">
        <v>521</v>
      </c>
      <c r="AS216" t="s">
        <v>228</v>
      </c>
      <c r="AT216" t="s">
        <v>140</v>
      </c>
      <c r="AU216">
        <v>1</v>
      </c>
      <c r="AV216">
        <v>1</v>
      </c>
      <c r="AW216" t="s">
        <v>406</v>
      </c>
      <c r="AX216" t="s">
        <v>283</v>
      </c>
      <c r="AY216" t="s">
        <v>217</v>
      </c>
      <c r="AZ216">
        <v>1</v>
      </c>
      <c r="BA216" t="s">
        <v>408</v>
      </c>
      <c r="BB216" t="s">
        <v>542</v>
      </c>
      <c r="BC216" t="s">
        <v>395</v>
      </c>
      <c r="BD216" t="s">
        <v>228</v>
      </c>
      <c r="BE216" t="s">
        <v>522</v>
      </c>
      <c r="BF216" t="s">
        <v>523</v>
      </c>
      <c r="BG216" t="s">
        <v>407</v>
      </c>
      <c r="BH216" t="s">
        <v>544</v>
      </c>
      <c r="BI216" t="s">
        <v>524</v>
      </c>
      <c r="BJ216" t="s">
        <v>228</v>
      </c>
      <c r="BK216" t="s">
        <v>228</v>
      </c>
      <c r="BL216" t="s">
        <v>228</v>
      </c>
      <c r="BM216" t="s">
        <v>228</v>
      </c>
      <c r="BN216" t="s">
        <v>228</v>
      </c>
      <c r="BO216" t="s">
        <v>228</v>
      </c>
      <c r="BP216" t="s">
        <v>228</v>
      </c>
      <c r="BQ216" t="s">
        <v>228</v>
      </c>
      <c r="BR216" t="s">
        <v>228</v>
      </c>
      <c r="BS216" t="s">
        <v>409</v>
      </c>
      <c r="BT216">
        <v>1</v>
      </c>
    </row>
    <row r="217" spans="1:72" x14ac:dyDescent="0.15">
      <c r="A217" s="43">
        <v>2023</v>
      </c>
      <c r="B217" s="8">
        <v>1</v>
      </c>
      <c r="C217" s="8">
        <v>1</v>
      </c>
      <c r="D217" s="8">
        <v>10</v>
      </c>
      <c r="E217" s="8" t="s">
        <v>228</v>
      </c>
      <c r="F217" s="8" t="s">
        <v>57</v>
      </c>
      <c r="G217" s="8">
        <v>2016</v>
      </c>
      <c r="H217" s="8">
        <v>12</v>
      </c>
      <c r="I217" s="8" t="s">
        <v>521</v>
      </c>
      <c r="J217" s="8" t="s">
        <v>228</v>
      </c>
      <c r="K217" s="8">
        <v>1983</v>
      </c>
      <c r="L217" s="17">
        <v>1</v>
      </c>
      <c r="M217" s="8">
        <v>1</v>
      </c>
      <c r="N217" s="8" t="s">
        <v>48</v>
      </c>
      <c r="O217" s="8" t="s">
        <v>283</v>
      </c>
      <c r="P217" s="8" t="s">
        <v>217</v>
      </c>
      <c r="Q217" s="8">
        <v>3000</v>
      </c>
      <c r="R217" s="8" t="s">
        <v>57</v>
      </c>
      <c r="S217" s="8" t="s">
        <v>52</v>
      </c>
      <c r="T217" s="8" t="s">
        <v>69</v>
      </c>
      <c r="U217" s="8" t="s">
        <v>228</v>
      </c>
      <c r="V217" s="8">
        <v>500</v>
      </c>
      <c r="W217" s="8" t="s">
        <v>328</v>
      </c>
      <c r="X217" s="8">
        <v>3000</v>
      </c>
      <c r="Y217" s="8" t="s">
        <v>271</v>
      </c>
      <c r="Z217" s="8">
        <v>85</v>
      </c>
      <c r="AA217" s="8" t="s">
        <v>278</v>
      </c>
      <c r="AB217" s="8" t="s">
        <v>228</v>
      </c>
      <c r="AC217" s="8" t="s">
        <v>228</v>
      </c>
      <c r="AD217" s="8" t="s">
        <v>228</v>
      </c>
      <c r="AE217" s="8" t="s">
        <v>228</v>
      </c>
      <c r="AF217" s="8" t="s">
        <v>228</v>
      </c>
      <c r="AG217" s="8" t="s">
        <v>228</v>
      </c>
      <c r="AH217" s="8" t="s">
        <v>228</v>
      </c>
      <c r="AI217" s="8" t="s">
        <v>228</v>
      </c>
      <c r="AJ217" t="s">
        <v>468</v>
      </c>
      <c r="AK217">
        <v>1</v>
      </c>
      <c r="AL217">
        <v>1</v>
      </c>
      <c r="AM217" t="s">
        <v>91</v>
      </c>
      <c r="AN217" t="s">
        <v>228</v>
      </c>
      <c r="AO217" t="s">
        <v>526</v>
      </c>
      <c r="AP217" t="s">
        <v>109</v>
      </c>
      <c r="AQ217">
        <v>12</v>
      </c>
      <c r="AR217" t="s">
        <v>521</v>
      </c>
      <c r="AS217" t="s">
        <v>228</v>
      </c>
      <c r="AT217" t="s">
        <v>140</v>
      </c>
      <c r="AU217">
        <v>1</v>
      </c>
      <c r="AV217">
        <v>1</v>
      </c>
      <c r="AW217" t="s">
        <v>406</v>
      </c>
      <c r="AX217" t="s">
        <v>283</v>
      </c>
      <c r="AY217" t="s">
        <v>217</v>
      </c>
      <c r="AZ217">
        <v>1</v>
      </c>
      <c r="BA217" t="s">
        <v>408</v>
      </c>
      <c r="BB217" t="s">
        <v>405</v>
      </c>
      <c r="BC217" t="s">
        <v>395</v>
      </c>
      <c r="BD217" t="s">
        <v>228</v>
      </c>
      <c r="BE217" t="s">
        <v>522</v>
      </c>
      <c r="BF217" t="s">
        <v>523</v>
      </c>
      <c r="BG217" t="s">
        <v>407</v>
      </c>
      <c r="BH217" t="s">
        <v>544</v>
      </c>
      <c r="BI217" t="s">
        <v>524</v>
      </c>
      <c r="BJ217" t="s">
        <v>228</v>
      </c>
      <c r="BK217" t="s">
        <v>228</v>
      </c>
      <c r="BL217" t="s">
        <v>228</v>
      </c>
      <c r="BM217" t="s">
        <v>228</v>
      </c>
      <c r="BN217" t="s">
        <v>228</v>
      </c>
      <c r="BO217" t="s">
        <v>228</v>
      </c>
      <c r="BP217" t="s">
        <v>228</v>
      </c>
      <c r="BQ217" t="s">
        <v>228</v>
      </c>
      <c r="BR217" t="s">
        <v>228</v>
      </c>
      <c r="BS217" t="s">
        <v>409</v>
      </c>
      <c r="BT217">
        <v>1</v>
      </c>
    </row>
    <row r="218" spans="1:72" x14ac:dyDescent="0.15">
      <c r="A218" s="43">
        <v>2023</v>
      </c>
      <c r="B218" s="8">
        <v>1</v>
      </c>
      <c r="C218" s="8">
        <v>1</v>
      </c>
      <c r="D218" s="8">
        <v>10</v>
      </c>
      <c r="E218" s="8" t="s">
        <v>228</v>
      </c>
      <c r="F218" s="8" t="s">
        <v>57</v>
      </c>
      <c r="G218" s="8">
        <v>2016</v>
      </c>
      <c r="H218" s="8">
        <v>12</v>
      </c>
      <c r="I218" s="8" t="s">
        <v>521</v>
      </c>
      <c r="J218" s="8" t="s">
        <v>228</v>
      </c>
      <c r="K218" s="8">
        <v>1983</v>
      </c>
      <c r="L218" s="17">
        <v>1</v>
      </c>
      <c r="M218" s="8">
        <v>1</v>
      </c>
      <c r="N218" s="8" t="s">
        <v>48</v>
      </c>
      <c r="O218" s="8" t="s">
        <v>283</v>
      </c>
      <c r="P218" s="8" t="s">
        <v>217</v>
      </c>
      <c r="Q218" s="8">
        <v>3000</v>
      </c>
      <c r="R218" s="8" t="s">
        <v>57</v>
      </c>
      <c r="S218" s="8" t="s">
        <v>54</v>
      </c>
      <c r="T218" s="8" t="s">
        <v>69</v>
      </c>
      <c r="U218" s="8" t="s">
        <v>228</v>
      </c>
      <c r="V218" s="8">
        <v>500</v>
      </c>
      <c r="W218" s="8" t="s">
        <v>328</v>
      </c>
      <c r="X218" s="8">
        <v>3000</v>
      </c>
      <c r="Y218" s="8" t="s">
        <v>271</v>
      </c>
      <c r="Z218" s="8">
        <v>85</v>
      </c>
      <c r="AA218" s="8" t="s">
        <v>278</v>
      </c>
      <c r="AB218" s="8" t="s">
        <v>247</v>
      </c>
      <c r="AC218" s="8" t="s">
        <v>228</v>
      </c>
      <c r="AD218" s="8" t="s">
        <v>228</v>
      </c>
      <c r="AE218" s="8" t="s">
        <v>228</v>
      </c>
      <c r="AF218" s="8" t="s">
        <v>228</v>
      </c>
      <c r="AG218" s="8" t="s">
        <v>228</v>
      </c>
      <c r="AH218" s="8" t="s">
        <v>228</v>
      </c>
      <c r="AI218" s="8" t="s">
        <v>228</v>
      </c>
      <c r="AJ218" t="s">
        <v>468</v>
      </c>
      <c r="AK218">
        <v>1</v>
      </c>
      <c r="AL218">
        <v>1</v>
      </c>
      <c r="AM218" t="s">
        <v>91</v>
      </c>
      <c r="AN218" t="s">
        <v>228</v>
      </c>
      <c r="AO218" t="s">
        <v>526</v>
      </c>
      <c r="AP218" t="s">
        <v>109</v>
      </c>
      <c r="AQ218">
        <v>12</v>
      </c>
      <c r="AR218" t="s">
        <v>521</v>
      </c>
      <c r="AS218" t="s">
        <v>228</v>
      </c>
      <c r="AT218" t="s">
        <v>140</v>
      </c>
      <c r="AU218">
        <v>1</v>
      </c>
      <c r="AV218">
        <v>1</v>
      </c>
      <c r="AW218" t="s">
        <v>406</v>
      </c>
      <c r="AX218" t="s">
        <v>283</v>
      </c>
      <c r="AY218" t="s">
        <v>217</v>
      </c>
      <c r="AZ218">
        <v>1</v>
      </c>
      <c r="BA218" t="s">
        <v>408</v>
      </c>
      <c r="BB218" t="s">
        <v>541</v>
      </c>
      <c r="BC218" t="s">
        <v>395</v>
      </c>
      <c r="BD218" t="s">
        <v>228</v>
      </c>
      <c r="BE218" t="s">
        <v>522</v>
      </c>
      <c r="BF218" t="s">
        <v>523</v>
      </c>
      <c r="BG218" t="s">
        <v>407</v>
      </c>
      <c r="BH218" t="s">
        <v>544</v>
      </c>
      <c r="BI218" t="s">
        <v>524</v>
      </c>
      <c r="BJ218" t="s">
        <v>228</v>
      </c>
      <c r="BK218" t="s">
        <v>543</v>
      </c>
      <c r="BL218" t="s">
        <v>228</v>
      </c>
      <c r="BM218" t="s">
        <v>228</v>
      </c>
      <c r="BN218" t="s">
        <v>228</v>
      </c>
      <c r="BO218" t="s">
        <v>228</v>
      </c>
      <c r="BP218" t="s">
        <v>228</v>
      </c>
      <c r="BQ218" t="s">
        <v>228</v>
      </c>
      <c r="BR218" t="s">
        <v>228</v>
      </c>
      <c r="BS218" t="s">
        <v>409</v>
      </c>
      <c r="BT218">
        <v>1</v>
      </c>
    </row>
    <row r="219" spans="1:72" x14ac:dyDescent="0.15">
      <c r="A219" s="43">
        <v>2023</v>
      </c>
      <c r="B219" s="8">
        <v>1</v>
      </c>
      <c r="C219" s="8">
        <v>1</v>
      </c>
      <c r="D219" s="8">
        <v>10</v>
      </c>
      <c r="E219" s="8" t="s">
        <v>228</v>
      </c>
      <c r="F219" s="8" t="s">
        <v>57</v>
      </c>
      <c r="G219" s="8">
        <v>2016</v>
      </c>
      <c r="H219" s="8">
        <v>12</v>
      </c>
      <c r="I219" s="8" t="s">
        <v>521</v>
      </c>
      <c r="J219" s="8" t="s">
        <v>228</v>
      </c>
      <c r="K219" s="8">
        <v>1983</v>
      </c>
      <c r="L219" s="17">
        <v>1</v>
      </c>
      <c r="M219" s="8">
        <v>1</v>
      </c>
      <c r="N219" s="8" t="s">
        <v>48</v>
      </c>
      <c r="O219" s="8" t="s">
        <v>283</v>
      </c>
      <c r="P219" s="8" t="s">
        <v>217</v>
      </c>
      <c r="Q219" s="8">
        <v>3000</v>
      </c>
      <c r="R219" s="8" t="s">
        <v>57</v>
      </c>
      <c r="S219" s="8" t="s">
        <v>53</v>
      </c>
      <c r="T219" s="8" t="s">
        <v>69</v>
      </c>
      <c r="U219" s="8" t="s">
        <v>228</v>
      </c>
      <c r="V219" s="8">
        <v>500</v>
      </c>
      <c r="W219" s="8" t="s">
        <v>328</v>
      </c>
      <c r="X219" s="8">
        <v>3000</v>
      </c>
      <c r="Y219" s="8" t="s">
        <v>271</v>
      </c>
      <c r="Z219" s="8">
        <v>85</v>
      </c>
      <c r="AA219" s="8" t="s">
        <v>278</v>
      </c>
      <c r="AB219" s="8" t="s">
        <v>247</v>
      </c>
      <c r="AC219" s="8" t="s">
        <v>228</v>
      </c>
      <c r="AD219" s="8" t="s">
        <v>228</v>
      </c>
      <c r="AE219" s="8" t="s">
        <v>228</v>
      </c>
      <c r="AF219" s="8" t="s">
        <v>228</v>
      </c>
      <c r="AG219" s="8" t="s">
        <v>228</v>
      </c>
      <c r="AH219" s="8" t="s">
        <v>228</v>
      </c>
      <c r="AI219" s="8" t="s">
        <v>228</v>
      </c>
      <c r="AJ219" t="s">
        <v>468</v>
      </c>
      <c r="AK219">
        <v>1</v>
      </c>
      <c r="AL219">
        <v>1</v>
      </c>
      <c r="AM219" t="s">
        <v>91</v>
      </c>
      <c r="AN219" t="s">
        <v>228</v>
      </c>
      <c r="AO219" t="s">
        <v>526</v>
      </c>
      <c r="AP219" t="s">
        <v>109</v>
      </c>
      <c r="AQ219">
        <v>12</v>
      </c>
      <c r="AR219" t="s">
        <v>521</v>
      </c>
      <c r="AS219" t="s">
        <v>228</v>
      </c>
      <c r="AT219" t="s">
        <v>140</v>
      </c>
      <c r="AU219">
        <v>1</v>
      </c>
      <c r="AV219">
        <v>1</v>
      </c>
      <c r="AW219" t="s">
        <v>406</v>
      </c>
      <c r="AX219" t="s">
        <v>283</v>
      </c>
      <c r="AY219" t="s">
        <v>217</v>
      </c>
      <c r="AZ219">
        <v>1</v>
      </c>
      <c r="BA219" t="s">
        <v>408</v>
      </c>
      <c r="BB219" t="s">
        <v>542</v>
      </c>
      <c r="BC219" t="s">
        <v>395</v>
      </c>
      <c r="BD219" t="s">
        <v>228</v>
      </c>
      <c r="BE219" t="s">
        <v>522</v>
      </c>
      <c r="BF219" t="s">
        <v>523</v>
      </c>
      <c r="BG219" t="s">
        <v>407</v>
      </c>
      <c r="BH219" t="s">
        <v>544</v>
      </c>
      <c r="BI219" t="s">
        <v>524</v>
      </c>
      <c r="BJ219" t="s">
        <v>228</v>
      </c>
      <c r="BK219" t="s">
        <v>543</v>
      </c>
      <c r="BL219" t="s">
        <v>228</v>
      </c>
      <c r="BM219" t="s">
        <v>228</v>
      </c>
      <c r="BN219" t="s">
        <v>228</v>
      </c>
      <c r="BO219" t="s">
        <v>228</v>
      </c>
      <c r="BP219" t="s">
        <v>228</v>
      </c>
      <c r="BQ219" t="s">
        <v>228</v>
      </c>
      <c r="BR219" t="s">
        <v>228</v>
      </c>
      <c r="BS219" t="s">
        <v>409</v>
      </c>
      <c r="BT219">
        <v>1</v>
      </c>
    </row>
    <row r="220" spans="1:72" x14ac:dyDescent="0.15">
      <c r="A220" s="43">
        <v>2023</v>
      </c>
      <c r="B220" s="8">
        <v>1</v>
      </c>
      <c r="C220" s="8">
        <v>1</v>
      </c>
      <c r="D220" s="8">
        <v>10</v>
      </c>
      <c r="E220" s="8" t="s">
        <v>228</v>
      </c>
      <c r="F220" s="8" t="s">
        <v>57</v>
      </c>
      <c r="G220" s="8">
        <v>2016</v>
      </c>
      <c r="H220" s="8">
        <v>12</v>
      </c>
      <c r="I220" s="8" t="s">
        <v>521</v>
      </c>
      <c r="J220" s="8" t="s">
        <v>228</v>
      </c>
      <c r="K220" s="8">
        <v>1983</v>
      </c>
      <c r="L220" s="17">
        <v>1</v>
      </c>
      <c r="M220" s="8">
        <v>1</v>
      </c>
      <c r="N220" s="8" t="s">
        <v>48</v>
      </c>
      <c r="O220" s="8" t="s">
        <v>283</v>
      </c>
      <c r="P220" s="8" t="s">
        <v>217</v>
      </c>
      <c r="Q220" s="8">
        <v>3000</v>
      </c>
      <c r="R220" s="8" t="s">
        <v>57</v>
      </c>
      <c r="S220" s="8" t="s">
        <v>52</v>
      </c>
      <c r="T220" s="8" t="s">
        <v>69</v>
      </c>
      <c r="U220" s="8" t="s">
        <v>228</v>
      </c>
      <c r="V220" s="8">
        <v>500</v>
      </c>
      <c r="W220" s="8" t="s">
        <v>328</v>
      </c>
      <c r="X220" s="8">
        <v>3000</v>
      </c>
      <c r="Y220" s="8" t="s">
        <v>271</v>
      </c>
      <c r="Z220" s="8">
        <v>85</v>
      </c>
      <c r="AA220" s="8" t="s">
        <v>278</v>
      </c>
      <c r="AB220" s="8" t="s">
        <v>247</v>
      </c>
      <c r="AC220" s="8" t="s">
        <v>228</v>
      </c>
      <c r="AD220" s="8" t="s">
        <v>228</v>
      </c>
      <c r="AE220" s="8" t="s">
        <v>228</v>
      </c>
      <c r="AF220" s="8" t="s">
        <v>228</v>
      </c>
      <c r="AG220" s="8" t="s">
        <v>228</v>
      </c>
      <c r="AH220" s="8" t="s">
        <v>228</v>
      </c>
      <c r="AI220" s="8" t="s">
        <v>228</v>
      </c>
      <c r="AJ220" t="s">
        <v>468</v>
      </c>
      <c r="AK220">
        <v>1</v>
      </c>
      <c r="AL220">
        <v>1</v>
      </c>
      <c r="AM220" t="s">
        <v>91</v>
      </c>
      <c r="AN220" t="s">
        <v>228</v>
      </c>
      <c r="AO220" t="s">
        <v>526</v>
      </c>
      <c r="AP220" t="s">
        <v>109</v>
      </c>
      <c r="AQ220">
        <v>12</v>
      </c>
      <c r="AR220" t="s">
        <v>521</v>
      </c>
      <c r="AS220" t="s">
        <v>228</v>
      </c>
      <c r="AT220" t="s">
        <v>140</v>
      </c>
      <c r="AU220">
        <v>1</v>
      </c>
      <c r="AV220">
        <v>1</v>
      </c>
      <c r="AW220" t="s">
        <v>406</v>
      </c>
      <c r="AX220" t="s">
        <v>283</v>
      </c>
      <c r="AY220" t="s">
        <v>217</v>
      </c>
      <c r="AZ220">
        <v>1</v>
      </c>
      <c r="BA220" t="s">
        <v>408</v>
      </c>
      <c r="BB220" t="s">
        <v>405</v>
      </c>
      <c r="BC220" t="s">
        <v>395</v>
      </c>
      <c r="BD220" t="s">
        <v>228</v>
      </c>
      <c r="BE220" t="s">
        <v>522</v>
      </c>
      <c r="BF220" t="s">
        <v>523</v>
      </c>
      <c r="BG220" t="s">
        <v>407</v>
      </c>
      <c r="BH220" t="s">
        <v>544</v>
      </c>
      <c r="BI220" t="s">
        <v>524</v>
      </c>
      <c r="BJ220" t="s">
        <v>228</v>
      </c>
      <c r="BK220" t="s">
        <v>543</v>
      </c>
      <c r="BL220" t="s">
        <v>228</v>
      </c>
      <c r="BM220" t="s">
        <v>228</v>
      </c>
      <c r="BN220" t="s">
        <v>228</v>
      </c>
      <c r="BO220" t="s">
        <v>228</v>
      </c>
      <c r="BP220" t="s">
        <v>228</v>
      </c>
      <c r="BQ220" t="s">
        <v>228</v>
      </c>
      <c r="BR220" t="s">
        <v>228</v>
      </c>
      <c r="BS220" t="s">
        <v>409</v>
      </c>
      <c r="BT220">
        <v>0</v>
      </c>
    </row>
    <row r="221" spans="1:72" x14ac:dyDescent="0.15">
      <c r="A221" s="43">
        <v>2023</v>
      </c>
      <c r="B221" s="8">
        <v>1</v>
      </c>
      <c r="C221" s="8">
        <v>1</v>
      </c>
      <c r="D221" s="8">
        <v>9</v>
      </c>
      <c r="E221" s="8" t="s">
        <v>228</v>
      </c>
      <c r="F221" s="8" t="s">
        <v>57</v>
      </c>
      <c r="G221" s="8">
        <v>2016</v>
      </c>
      <c r="H221" s="8">
        <v>12</v>
      </c>
      <c r="I221" s="8" t="s">
        <v>521</v>
      </c>
      <c r="J221" s="8" t="s">
        <v>228</v>
      </c>
      <c r="K221" s="8">
        <v>1983</v>
      </c>
      <c r="L221" s="17">
        <v>1</v>
      </c>
      <c r="M221" s="8">
        <v>1</v>
      </c>
      <c r="N221" s="8" t="s">
        <v>48</v>
      </c>
      <c r="O221" s="8" t="s">
        <v>283</v>
      </c>
      <c r="P221" s="8" t="s">
        <v>217</v>
      </c>
      <c r="Q221" s="8">
        <v>3000</v>
      </c>
      <c r="R221" s="8" t="s">
        <v>57</v>
      </c>
      <c r="S221" s="8" t="s">
        <v>54</v>
      </c>
      <c r="T221" s="8" t="s">
        <v>69</v>
      </c>
      <c r="U221" s="8" t="s">
        <v>228</v>
      </c>
      <c r="V221" s="8">
        <v>500</v>
      </c>
      <c r="W221" s="8" t="s">
        <v>328</v>
      </c>
      <c r="X221" s="8">
        <v>3000</v>
      </c>
      <c r="Y221" s="8" t="s">
        <v>268</v>
      </c>
      <c r="Z221" s="8">
        <v>85</v>
      </c>
      <c r="AA221" s="8" t="s">
        <v>278</v>
      </c>
      <c r="AB221" s="8" t="s">
        <v>228</v>
      </c>
      <c r="AC221" s="8" t="s">
        <v>228</v>
      </c>
      <c r="AD221" s="8" t="s">
        <v>228</v>
      </c>
      <c r="AE221" s="8" t="s">
        <v>228</v>
      </c>
      <c r="AF221" s="8" t="s">
        <v>228</v>
      </c>
      <c r="AG221" s="8" t="s">
        <v>228</v>
      </c>
      <c r="AH221" s="8" t="s">
        <v>228</v>
      </c>
      <c r="AI221" s="8" t="s">
        <v>228</v>
      </c>
      <c r="AJ221" t="s">
        <v>468</v>
      </c>
      <c r="AK221">
        <v>1</v>
      </c>
      <c r="AL221">
        <v>1</v>
      </c>
      <c r="AM221" t="s">
        <v>92</v>
      </c>
      <c r="AN221" t="s">
        <v>228</v>
      </c>
      <c r="AO221" t="s">
        <v>526</v>
      </c>
      <c r="AP221" t="s">
        <v>109</v>
      </c>
      <c r="AQ221">
        <v>12</v>
      </c>
      <c r="AR221" t="s">
        <v>521</v>
      </c>
      <c r="AS221" t="s">
        <v>228</v>
      </c>
      <c r="AT221" t="s">
        <v>140</v>
      </c>
      <c r="AU221">
        <v>1</v>
      </c>
      <c r="AV221">
        <v>1</v>
      </c>
      <c r="AW221" t="s">
        <v>406</v>
      </c>
      <c r="AX221" t="s">
        <v>283</v>
      </c>
      <c r="AY221" t="s">
        <v>217</v>
      </c>
      <c r="AZ221">
        <v>1</v>
      </c>
      <c r="BA221" t="s">
        <v>408</v>
      </c>
      <c r="BB221" t="s">
        <v>541</v>
      </c>
      <c r="BC221" t="s">
        <v>395</v>
      </c>
      <c r="BD221" t="s">
        <v>228</v>
      </c>
      <c r="BE221" t="s">
        <v>522</v>
      </c>
      <c r="BF221" t="s">
        <v>523</v>
      </c>
      <c r="BG221" t="s">
        <v>407</v>
      </c>
      <c r="BH221" t="s">
        <v>396</v>
      </c>
      <c r="BI221" t="s">
        <v>524</v>
      </c>
      <c r="BJ221" t="s">
        <v>228</v>
      </c>
      <c r="BK221" t="s">
        <v>228</v>
      </c>
      <c r="BL221" t="s">
        <v>228</v>
      </c>
      <c r="BM221" t="s">
        <v>228</v>
      </c>
      <c r="BN221" t="s">
        <v>228</v>
      </c>
      <c r="BO221" t="s">
        <v>228</v>
      </c>
      <c r="BP221" t="s">
        <v>228</v>
      </c>
      <c r="BQ221" t="s">
        <v>228</v>
      </c>
      <c r="BR221" t="s">
        <v>228</v>
      </c>
      <c r="BS221" t="s">
        <v>409</v>
      </c>
      <c r="BT221">
        <v>1</v>
      </c>
    </row>
    <row r="222" spans="1:72" x14ac:dyDescent="0.15">
      <c r="A222" s="43">
        <v>2023</v>
      </c>
      <c r="B222" s="8">
        <v>1</v>
      </c>
      <c r="C222" s="8">
        <v>1</v>
      </c>
      <c r="D222" s="8">
        <v>9</v>
      </c>
      <c r="E222" s="8" t="s">
        <v>228</v>
      </c>
      <c r="F222" s="8" t="s">
        <v>57</v>
      </c>
      <c r="G222" s="8">
        <v>2016</v>
      </c>
      <c r="H222" s="8">
        <v>12</v>
      </c>
      <c r="I222" s="8" t="s">
        <v>521</v>
      </c>
      <c r="J222" s="8" t="s">
        <v>228</v>
      </c>
      <c r="K222" s="8">
        <v>1983</v>
      </c>
      <c r="L222" s="17">
        <v>1</v>
      </c>
      <c r="M222" s="8">
        <v>1</v>
      </c>
      <c r="N222" s="8" t="s">
        <v>48</v>
      </c>
      <c r="O222" s="8" t="s">
        <v>283</v>
      </c>
      <c r="P222" s="8" t="s">
        <v>217</v>
      </c>
      <c r="Q222" s="8">
        <v>3000</v>
      </c>
      <c r="R222" s="8" t="s">
        <v>57</v>
      </c>
      <c r="S222" s="8" t="s">
        <v>53</v>
      </c>
      <c r="T222" s="8" t="s">
        <v>69</v>
      </c>
      <c r="U222" s="8" t="s">
        <v>228</v>
      </c>
      <c r="V222" s="8">
        <v>500</v>
      </c>
      <c r="W222" s="8" t="s">
        <v>328</v>
      </c>
      <c r="X222" s="8">
        <v>3000</v>
      </c>
      <c r="Y222" s="8" t="s">
        <v>268</v>
      </c>
      <c r="Z222" s="8">
        <v>85</v>
      </c>
      <c r="AA222" s="8" t="s">
        <v>278</v>
      </c>
      <c r="AB222" s="8" t="s">
        <v>228</v>
      </c>
      <c r="AC222" s="8" t="s">
        <v>228</v>
      </c>
      <c r="AD222" s="8" t="s">
        <v>228</v>
      </c>
      <c r="AE222" s="8" t="s">
        <v>228</v>
      </c>
      <c r="AF222" s="8" t="s">
        <v>228</v>
      </c>
      <c r="AG222" s="8" t="s">
        <v>228</v>
      </c>
      <c r="AH222" s="8" t="s">
        <v>228</v>
      </c>
      <c r="AI222" s="8" t="s">
        <v>228</v>
      </c>
      <c r="AJ222" t="s">
        <v>468</v>
      </c>
      <c r="AK222">
        <v>1</v>
      </c>
      <c r="AL222">
        <v>1</v>
      </c>
      <c r="AM222" t="s">
        <v>92</v>
      </c>
      <c r="AN222" t="s">
        <v>228</v>
      </c>
      <c r="AO222" t="s">
        <v>526</v>
      </c>
      <c r="AP222" t="s">
        <v>109</v>
      </c>
      <c r="AQ222">
        <v>12</v>
      </c>
      <c r="AR222" t="s">
        <v>521</v>
      </c>
      <c r="AS222" t="s">
        <v>228</v>
      </c>
      <c r="AT222" t="s">
        <v>140</v>
      </c>
      <c r="AU222">
        <v>1</v>
      </c>
      <c r="AV222">
        <v>1</v>
      </c>
      <c r="AW222" t="s">
        <v>406</v>
      </c>
      <c r="AX222" t="s">
        <v>283</v>
      </c>
      <c r="AY222" t="s">
        <v>217</v>
      </c>
      <c r="AZ222">
        <v>1</v>
      </c>
      <c r="BA222" t="s">
        <v>408</v>
      </c>
      <c r="BB222" t="s">
        <v>542</v>
      </c>
      <c r="BC222" t="s">
        <v>395</v>
      </c>
      <c r="BD222" t="s">
        <v>228</v>
      </c>
      <c r="BE222" t="s">
        <v>522</v>
      </c>
      <c r="BF222" t="s">
        <v>523</v>
      </c>
      <c r="BG222" t="s">
        <v>407</v>
      </c>
      <c r="BH222" t="s">
        <v>396</v>
      </c>
      <c r="BI222" t="s">
        <v>524</v>
      </c>
      <c r="BJ222" t="s">
        <v>228</v>
      </c>
      <c r="BK222" t="s">
        <v>228</v>
      </c>
      <c r="BL222" t="s">
        <v>228</v>
      </c>
      <c r="BM222" t="s">
        <v>228</v>
      </c>
      <c r="BN222" t="s">
        <v>228</v>
      </c>
      <c r="BO222" t="s">
        <v>228</v>
      </c>
      <c r="BP222" t="s">
        <v>228</v>
      </c>
      <c r="BQ222" t="s">
        <v>228</v>
      </c>
      <c r="BR222" t="s">
        <v>228</v>
      </c>
      <c r="BS222" t="s">
        <v>409</v>
      </c>
      <c r="BT222">
        <v>1</v>
      </c>
    </row>
    <row r="223" spans="1:72" x14ac:dyDescent="0.15">
      <c r="A223" s="43">
        <v>2023</v>
      </c>
      <c r="B223" s="8">
        <v>1</v>
      </c>
      <c r="C223" s="8">
        <v>1</v>
      </c>
      <c r="D223" s="8">
        <v>9</v>
      </c>
      <c r="E223" s="8" t="s">
        <v>228</v>
      </c>
      <c r="F223" s="8" t="s">
        <v>57</v>
      </c>
      <c r="G223" s="8">
        <v>2016</v>
      </c>
      <c r="H223" s="8">
        <v>12</v>
      </c>
      <c r="I223" s="8" t="s">
        <v>521</v>
      </c>
      <c r="J223" s="8" t="s">
        <v>228</v>
      </c>
      <c r="K223" s="8">
        <v>1983</v>
      </c>
      <c r="L223" s="17">
        <v>1</v>
      </c>
      <c r="M223" s="8">
        <v>1</v>
      </c>
      <c r="N223" s="8" t="s">
        <v>48</v>
      </c>
      <c r="O223" s="8" t="s">
        <v>283</v>
      </c>
      <c r="P223" s="8" t="s">
        <v>217</v>
      </c>
      <c r="Q223" s="8">
        <v>3000</v>
      </c>
      <c r="R223" s="8" t="s">
        <v>57</v>
      </c>
      <c r="S223" s="8" t="s">
        <v>52</v>
      </c>
      <c r="T223" s="8" t="s">
        <v>69</v>
      </c>
      <c r="U223" s="8" t="s">
        <v>228</v>
      </c>
      <c r="V223" s="8">
        <v>500</v>
      </c>
      <c r="W223" s="8" t="s">
        <v>328</v>
      </c>
      <c r="X223" s="8">
        <v>3000</v>
      </c>
      <c r="Y223" s="8" t="s">
        <v>268</v>
      </c>
      <c r="Z223" s="8">
        <v>85</v>
      </c>
      <c r="AA223" s="8" t="s">
        <v>278</v>
      </c>
      <c r="AB223" s="8" t="s">
        <v>228</v>
      </c>
      <c r="AC223" s="8" t="s">
        <v>228</v>
      </c>
      <c r="AD223" s="8" t="s">
        <v>228</v>
      </c>
      <c r="AE223" s="8" t="s">
        <v>228</v>
      </c>
      <c r="AF223" s="8" t="s">
        <v>228</v>
      </c>
      <c r="AG223" s="8" t="s">
        <v>228</v>
      </c>
      <c r="AH223" s="8" t="s">
        <v>228</v>
      </c>
      <c r="AI223" s="8" t="s">
        <v>228</v>
      </c>
      <c r="AJ223" t="s">
        <v>468</v>
      </c>
      <c r="AK223">
        <v>1</v>
      </c>
      <c r="AL223">
        <v>1</v>
      </c>
      <c r="AM223" t="s">
        <v>92</v>
      </c>
      <c r="AN223" t="s">
        <v>228</v>
      </c>
      <c r="AO223" t="s">
        <v>526</v>
      </c>
      <c r="AP223" t="s">
        <v>109</v>
      </c>
      <c r="AQ223">
        <v>12</v>
      </c>
      <c r="AR223" t="s">
        <v>521</v>
      </c>
      <c r="AS223" t="s">
        <v>228</v>
      </c>
      <c r="AT223" t="s">
        <v>140</v>
      </c>
      <c r="AU223">
        <v>1</v>
      </c>
      <c r="AV223">
        <v>1</v>
      </c>
      <c r="AW223" t="s">
        <v>406</v>
      </c>
      <c r="AX223" t="s">
        <v>283</v>
      </c>
      <c r="AY223" t="s">
        <v>217</v>
      </c>
      <c r="AZ223">
        <v>1</v>
      </c>
      <c r="BA223" t="s">
        <v>408</v>
      </c>
      <c r="BB223" t="s">
        <v>405</v>
      </c>
      <c r="BC223" t="s">
        <v>395</v>
      </c>
      <c r="BD223" t="s">
        <v>228</v>
      </c>
      <c r="BE223" t="s">
        <v>522</v>
      </c>
      <c r="BF223" t="s">
        <v>523</v>
      </c>
      <c r="BG223" t="s">
        <v>407</v>
      </c>
      <c r="BH223" t="s">
        <v>396</v>
      </c>
      <c r="BI223" t="s">
        <v>524</v>
      </c>
      <c r="BJ223" t="s">
        <v>228</v>
      </c>
      <c r="BK223" t="s">
        <v>228</v>
      </c>
      <c r="BL223" t="s">
        <v>228</v>
      </c>
      <c r="BM223" t="s">
        <v>228</v>
      </c>
      <c r="BN223" t="s">
        <v>228</v>
      </c>
      <c r="BO223" t="s">
        <v>228</v>
      </c>
      <c r="BP223" t="s">
        <v>228</v>
      </c>
      <c r="BQ223" t="s">
        <v>228</v>
      </c>
      <c r="BR223" t="s">
        <v>228</v>
      </c>
      <c r="BS223" t="s">
        <v>409</v>
      </c>
      <c r="BT223">
        <v>1</v>
      </c>
    </row>
    <row r="224" spans="1:72" x14ac:dyDescent="0.15">
      <c r="A224" s="43">
        <v>2023</v>
      </c>
      <c r="B224" s="8">
        <v>1</v>
      </c>
      <c r="C224" s="8">
        <v>1</v>
      </c>
      <c r="D224" s="8">
        <v>9</v>
      </c>
      <c r="E224" s="8" t="s">
        <v>228</v>
      </c>
      <c r="F224" s="8" t="s">
        <v>57</v>
      </c>
      <c r="G224" s="8">
        <v>2016</v>
      </c>
      <c r="H224" s="8">
        <v>12</v>
      </c>
      <c r="I224" s="8" t="s">
        <v>521</v>
      </c>
      <c r="J224" s="8" t="s">
        <v>228</v>
      </c>
      <c r="K224" s="8">
        <v>1983</v>
      </c>
      <c r="L224" s="17">
        <v>1</v>
      </c>
      <c r="M224" s="8">
        <v>1</v>
      </c>
      <c r="N224" s="8" t="s">
        <v>48</v>
      </c>
      <c r="O224" s="8" t="s">
        <v>283</v>
      </c>
      <c r="P224" s="8" t="s">
        <v>217</v>
      </c>
      <c r="Q224" s="8">
        <v>3000</v>
      </c>
      <c r="R224" s="8" t="s">
        <v>57</v>
      </c>
      <c r="S224" s="8" t="s">
        <v>54</v>
      </c>
      <c r="T224" s="8" t="s">
        <v>69</v>
      </c>
      <c r="U224" s="8" t="s">
        <v>228</v>
      </c>
      <c r="V224" s="8">
        <v>500</v>
      </c>
      <c r="W224" s="8" t="s">
        <v>328</v>
      </c>
      <c r="X224" s="8">
        <v>3000</v>
      </c>
      <c r="Y224" s="8" t="s">
        <v>268</v>
      </c>
      <c r="Z224" s="8">
        <v>85</v>
      </c>
      <c r="AA224" s="8" t="s">
        <v>278</v>
      </c>
      <c r="AB224" s="8" t="s">
        <v>247</v>
      </c>
      <c r="AC224" s="8" t="s">
        <v>228</v>
      </c>
      <c r="AD224" s="8" t="s">
        <v>228</v>
      </c>
      <c r="AE224" s="8" t="s">
        <v>228</v>
      </c>
      <c r="AF224" s="8" t="s">
        <v>228</v>
      </c>
      <c r="AG224" s="8" t="s">
        <v>228</v>
      </c>
      <c r="AH224" s="8" t="s">
        <v>228</v>
      </c>
      <c r="AI224" s="8" t="s">
        <v>228</v>
      </c>
      <c r="AJ224" t="s">
        <v>468</v>
      </c>
      <c r="AK224">
        <v>1</v>
      </c>
      <c r="AL224">
        <v>1</v>
      </c>
      <c r="AM224" t="s">
        <v>92</v>
      </c>
      <c r="AN224" t="s">
        <v>228</v>
      </c>
      <c r="AO224" t="s">
        <v>526</v>
      </c>
      <c r="AP224" t="s">
        <v>109</v>
      </c>
      <c r="AQ224">
        <v>12</v>
      </c>
      <c r="AR224" t="s">
        <v>521</v>
      </c>
      <c r="AS224" t="s">
        <v>228</v>
      </c>
      <c r="AT224" t="s">
        <v>140</v>
      </c>
      <c r="AU224">
        <v>1</v>
      </c>
      <c r="AV224">
        <v>1</v>
      </c>
      <c r="AW224" t="s">
        <v>406</v>
      </c>
      <c r="AX224" t="s">
        <v>283</v>
      </c>
      <c r="AY224" t="s">
        <v>217</v>
      </c>
      <c r="AZ224">
        <v>1</v>
      </c>
      <c r="BA224" t="s">
        <v>408</v>
      </c>
      <c r="BB224" t="s">
        <v>541</v>
      </c>
      <c r="BC224" t="s">
        <v>395</v>
      </c>
      <c r="BD224" t="s">
        <v>228</v>
      </c>
      <c r="BE224" t="s">
        <v>522</v>
      </c>
      <c r="BF224" t="s">
        <v>523</v>
      </c>
      <c r="BG224" t="s">
        <v>407</v>
      </c>
      <c r="BH224" t="s">
        <v>396</v>
      </c>
      <c r="BI224" t="s">
        <v>524</v>
      </c>
      <c r="BJ224" t="s">
        <v>228</v>
      </c>
      <c r="BK224" t="s">
        <v>543</v>
      </c>
      <c r="BL224" t="s">
        <v>228</v>
      </c>
      <c r="BM224" t="s">
        <v>228</v>
      </c>
      <c r="BN224" t="s">
        <v>228</v>
      </c>
      <c r="BO224" t="s">
        <v>228</v>
      </c>
      <c r="BP224" t="s">
        <v>228</v>
      </c>
      <c r="BQ224" t="s">
        <v>228</v>
      </c>
      <c r="BR224" t="s">
        <v>228</v>
      </c>
      <c r="BS224" t="s">
        <v>409</v>
      </c>
      <c r="BT224">
        <v>1</v>
      </c>
    </row>
    <row r="225" spans="1:72" x14ac:dyDescent="0.15">
      <c r="A225" s="43">
        <v>2023</v>
      </c>
      <c r="B225" s="8">
        <v>1</v>
      </c>
      <c r="C225" s="8">
        <v>1</v>
      </c>
      <c r="D225" s="8">
        <v>9</v>
      </c>
      <c r="E225" s="8" t="s">
        <v>228</v>
      </c>
      <c r="F225" s="8" t="s">
        <v>57</v>
      </c>
      <c r="G225" s="8">
        <v>2016</v>
      </c>
      <c r="H225" s="8">
        <v>12</v>
      </c>
      <c r="I225" s="8" t="s">
        <v>521</v>
      </c>
      <c r="J225" s="8" t="s">
        <v>228</v>
      </c>
      <c r="K225" s="8">
        <v>1983</v>
      </c>
      <c r="L225" s="17">
        <v>1</v>
      </c>
      <c r="M225" s="8">
        <v>1</v>
      </c>
      <c r="N225" s="8" t="s">
        <v>48</v>
      </c>
      <c r="O225" s="8" t="s">
        <v>283</v>
      </c>
      <c r="P225" s="8" t="s">
        <v>217</v>
      </c>
      <c r="Q225" s="8">
        <v>3000</v>
      </c>
      <c r="R225" s="8" t="s">
        <v>57</v>
      </c>
      <c r="S225" s="8" t="s">
        <v>53</v>
      </c>
      <c r="T225" s="8" t="s">
        <v>69</v>
      </c>
      <c r="U225" s="8" t="s">
        <v>228</v>
      </c>
      <c r="V225" s="8">
        <v>500</v>
      </c>
      <c r="W225" s="8" t="s">
        <v>328</v>
      </c>
      <c r="X225" s="8">
        <v>3000</v>
      </c>
      <c r="Y225" s="8" t="s">
        <v>268</v>
      </c>
      <c r="Z225" s="8">
        <v>85</v>
      </c>
      <c r="AA225" s="8" t="s">
        <v>278</v>
      </c>
      <c r="AB225" s="8" t="s">
        <v>247</v>
      </c>
      <c r="AC225" s="8" t="s">
        <v>228</v>
      </c>
      <c r="AD225" s="8" t="s">
        <v>228</v>
      </c>
      <c r="AE225" s="8" t="s">
        <v>228</v>
      </c>
      <c r="AF225" s="8" t="s">
        <v>228</v>
      </c>
      <c r="AG225" s="8" t="s">
        <v>228</v>
      </c>
      <c r="AH225" s="8" t="s">
        <v>228</v>
      </c>
      <c r="AI225" s="8" t="s">
        <v>228</v>
      </c>
      <c r="AJ225" t="s">
        <v>468</v>
      </c>
      <c r="AK225">
        <v>1</v>
      </c>
      <c r="AL225">
        <v>1</v>
      </c>
      <c r="AM225" t="s">
        <v>92</v>
      </c>
      <c r="AN225" t="s">
        <v>228</v>
      </c>
      <c r="AO225" t="s">
        <v>526</v>
      </c>
      <c r="AP225" t="s">
        <v>109</v>
      </c>
      <c r="AQ225">
        <v>12</v>
      </c>
      <c r="AR225" t="s">
        <v>521</v>
      </c>
      <c r="AS225" t="s">
        <v>228</v>
      </c>
      <c r="AT225" t="s">
        <v>140</v>
      </c>
      <c r="AU225">
        <v>1</v>
      </c>
      <c r="AV225">
        <v>1</v>
      </c>
      <c r="AW225" t="s">
        <v>406</v>
      </c>
      <c r="AX225" t="s">
        <v>283</v>
      </c>
      <c r="AY225" t="s">
        <v>217</v>
      </c>
      <c r="AZ225">
        <v>1</v>
      </c>
      <c r="BA225" t="s">
        <v>408</v>
      </c>
      <c r="BB225" t="s">
        <v>542</v>
      </c>
      <c r="BC225" t="s">
        <v>395</v>
      </c>
      <c r="BD225" t="s">
        <v>228</v>
      </c>
      <c r="BE225" t="s">
        <v>522</v>
      </c>
      <c r="BF225" t="s">
        <v>523</v>
      </c>
      <c r="BG225" t="s">
        <v>407</v>
      </c>
      <c r="BH225" t="s">
        <v>396</v>
      </c>
      <c r="BI225" t="s">
        <v>524</v>
      </c>
      <c r="BJ225" t="s">
        <v>228</v>
      </c>
      <c r="BK225" t="s">
        <v>543</v>
      </c>
      <c r="BL225" t="s">
        <v>228</v>
      </c>
      <c r="BM225" t="s">
        <v>228</v>
      </c>
      <c r="BN225" t="s">
        <v>228</v>
      </c>
      <c r="BO225" t="s">
        <v>228</v>
      </c>
      <c r="BP225" t="s">
        <v>228</v>
      </c>
      <c r="BQ225" t="s">
        <v>228</v>
      </c>
      <c r="BR225" t="s">
        <v>228</v>
      </c>
      <c r="BS225" t="s">
        <v>409</v>
      </c>
      <c r="BT225">
        <v>1</v>
      </c>
    </row>
    <row r="226" spans="1:72" x14ac:dyDescent="0.15">
      <c r="A226" s="43">
        <v>2023</v>
      </c>
      <c r="B226" s="8">
        <v>1</v>
      </c>
      <c r="C226" s="8">
        <v>1</v>
      </c>
      <c r="D226" s="8">
        <v>9</v>
      </c>
      <c r="E226" s="8" t="s">
        <v>228</v>
      </c>
      <c r="F226" s="8" t="s">
        <v>57</v>
      </c>
      <c r="G226" s="8">
        <v>2016</v>
      </c>
      <c r="H226" s="8">
        <v>12</v>
      </c>
      <c r="I226" s="8" t="s">
        <v>521</v>
      </c>
      <c r="J226" s="8" t="s">
        <v>228</v>
      </c>
      <c r="K226" s="8">
        <v>1983</v>
      </c>
      <c r="L226" s="17">
        <v>1</v>
      </c>
      <c r="M226" s="8">
        <v>1</v>
      </c>
      <c r="N226" s="8" t="s">
        <v>48</v>
      </c>
      <c r="O226" s="8" t="s">
        <v>283</v>
      </c>
      <c r="P226" s="8" t="s">
        <v>217</v>
      </c>
      <c r="Q226" s="8">
        <v>3000</v>
      </c>
      <c r="R226" s="8" t="s">
        <v>57</v>
      </c>
      <c r="S226" s="8" t="s">
        <v>52</v>
      </c>
      <c r="T226" s="8" t="s">
        <v>69</v>
      </c>
      <c r="U226" s="8" t="s">
        <v>228</v>
      </c>
      <c r="V226" s="8">
        <v>500</v>
      </c>
      <c r="W226" s="8" t="s">
        <v>328</v>
      </c>
      <c r="X226" s="8">
        <v>3000</v>
      </c>
      <c r="Y226" s="8" t="s">
        <v>268</v>
      </c>
      <c r="Z226" s="8">
        <v>85</v>
      </c>
      <c r="AA226" s="8" t="s">
        <v>278</v>
      </c>
      <c r="AB226" s="8" t="s">
        <v>247</v>
      </c>
      <c r="AC226" s="8" t="s">
        <v>228</v>
      </c>
      <c r="AD226" s="8" t="s">
        <v>228</v>
      </c>
      <c r="AE226" s="8" t="s">
        <v>228</v>
      </c>
      <c r="AF226" s="8" t="s">
        <v>228</v>
      </c>
      <c r="AG226" s="8" t="s">
        <v>228</v>
      </c>
      <c r="AH226" s="8" t="s">
        <v>228</v>
      </c>
      <c r="AI226" s="8" t="s">
        <v>228</v>
      </c>
      <c r="AJ226" t="s">
        <v>468</v>
      </c>
      <c r="AK226">
        <v>1</v>
      </c>
      <c r="AL226">
        <v>1</v>
      </c>
      <c r="AM226" t="s">
        <v>92</v>
      </c>
      <c r="AN226" t="s">
        <v>228</v>
      </c>
      <c r="AO226" t="s">
        <v>526</v>
      </c>
      <c r="AP226" t="s">
        <v>109</v>
      </c>
      <c r="AQ226">
        <v>12</v>
      </c>
      <c r="AR226" t="s">
        <v>521</v>
      </c>
      <c r="AS226" t="s">
        <v>228</v>
      </c>
      <c r="AT226" t="s">
        <v>140</v>
      </c>
      <c r="AU226">
        <v>1</v>
      </c>
      <c r="AV226">
        <v>1</v>
      </c>
      <c r="AW226" t="s">
        <v>406</v>
      </c>
      <c r="AX226" t="s">
        <v>283</v>
      </c>
      <c r="AY226" t="s">
        <v>217</v>
      </c>
      <c r="AZ226">
        <v>1</v>
      </c>
      <c r="BA226" t="s">
        <v>408</v>
      </c>
      <c r="BB226" t="s">
        <v>405</v>
      </c>
      <c r="BC226" t="s">
        <v>395</v>
      </c>
      <c r="BD226" t="s">
        <v>228</v>
      </c>
      <c r="BE226" t="s">
        <v>522</v>
      </c>
      <c r="BF226" t="s">
        <v>523</v>
      </c>
      <c r="BG226" t="s">
        <v>407</v>
      </c>
      <c r="BH226" t="s">
        <v>396</v>
      </c>
      <c r="BI226" t="s">
        <v>524</v>
      </c>
      <c r="BJ226" t="s">
        <v>228</v>
      </c>
      <c r="BK226" t="s">
        <v>543</v>
      </c>
      <c r="BL226" t="s">
        <v>228</v>
      </c>
      <c r="BM226" t="s">
        <v>228</v>
      </c>
      <c r="BN226" t="s">
        <v>228</v>
      </c>
      <c r="BO226" t="s">
        <v>228</v>
      </c>
      <c r="BP226" t="s">
        <v>228</v>
      </c>
      <c r="BQ226" t="s">
        <v>228</v>
      </c>
      <c r="BR226" t="s">
        <v>228</v>
      </c>
      <c r="BS226" t="s">
        <v>409</v>
      </c>
      <c r="BT226">
        <v>1</v>
      </c>
    </row>
    <row r="227" spans="1:72" x14ac:dyDescent="0.15">
      <c r="A227" s="43">
        <v>2023</v>
      </c>
      <c r="B227" s="8">
        <v>1</v>
      </c>
      <c r="C227" s="8">
        <v>1</v>
      </c>
      <c r="D227" s="8">
        <v>9</v>
      </c>
      <c r="E227" s="8" t="s">
        <v>228</v>
      </c>
      <c r="F227" s="8" t="s">
        <v>57</v>
      </c>
      <c r="G227" s="8">
        <v>2016</v>
      </c>
      <c r="H227" s="8">
        <v>12</v>
      </c>
      <c r="I227" s="8" t="s">
        <v>521</v>
      </c>
      <c r="J227" s="8" t="s">
        <v>228</v>
      </c>
      <c r="K227" s="8">
        <v>1983</v>
      </c>
      <c r="L227" s="17">
        <v>1</v>
      </c>
      <c r="M227" s="8">
        <v>1</v>
      </c>
      <c r="N227" s="8" t="s">
        <v>48</v>
      </c>
      <c r="O227" s="8" t="s">
        <v>283</v>
      </c>
      <c r="P227" s="8" t="s">
        <v>217</v>
      </c>
      <c r="Q227" s="8">
        <v>3000</v>
      </c>
      <c r="R227" s="8" t="s">
        <v>57</v>
      </c>
      <c r="S227" s="8" t="s">
        <v>54</v>
      </c>
      <c r="T227" s="8" t="s">
        <v>69</v>
      </c>
      <c r="U227" s="8" t="s">
        <v>228</v>
      </c>
      <c r="V227" s="8">
        <v>500</v>
      </c>
      <c r="W227" s="8" t="s">
        <v>328</v>
      </c>
      <c r="X227" s="8">
        <v>3000</v>
      </c>
      <c r="Y227" s="8" t="s">
        <v>271</v>
      </c>
      <c r="Z227" s="8">
        <v>85</v>
      </c>
      <c r="AA227" s="8" t="s">
        <v>278</v>
      </c>
      <c r="AB227" s="8" t="s">
        <v>228</v>
      </c>
      <c r="AC227" s="8" t="s">
        <v>228</v>
      </c>
      <c r="AD227" s="8" t="s">
        <v>228</v>
      </c>
      <c r="AE227" s="8" t="s">
        <v>228</v>
      </c>
      <c r="AF227" s="8" t="s">
        <v>228</v>
      </c>
      <c r="AG227" s="8" t="s">
        <v>228</v>
      </c>
      <c r="AH227" s="8" t="s">
        <v>228</v>
      </c>
      <c r="AI227" s="8" t="s">
        <v>228</v>
      </c>
      <c r="AJ227" t="s">
        <v>468</v>
      </c>
      <c r="AK227">
        <v>1</v>
      </c>
      <c r="AL227">
        <v>1</v>
      </c>
      <c r="AM227" t="s">
        <v>92</v>
      </c>
      <c r="AN227" t="s">
        <v>228</v>
      </c>
      <c r="AO227" t="s">
        <v>526</v>
      </c>
      <c r="AP227" t="s">
        <v>109</v>
      </c>
      <c r="AQ227">
        <v>12</v>
      </c>
      <c r="AR227" t="s">
        <v>521</v>
      </c>
      <c r="AS227" t="s">
        <v>228</v>
      </c>
      <c r="AT227" t="s">
        <v>140</v>
      </c>
      <c r="AU227">
        <v>1</v>
      </c>
      <c r="AV227">
        <v>1</v>
      </c>
      <c r="AW227" t="s">
        <v>406</v>
      </c>
      <c r="AX227" t="s">
        <v>283</v>
      </c>
      <c r="AY227" t="s">
        <v>217</v>
      </c>
      <c r="AZ227">
        <v>1</v>
      </c>
      <c r="BA227" t="s">
        <v>408</v>
      </c>
      <c r="BB227" t="s">
        <v>541</v>
      </c>
      <c r="BC227" t="s">
        <v>395</v>
      </c>
      <c r="BD227" t="s">
        <v>228</v>
      </c>
      <c r="BE227" t="s">
        <v>522</v>
      </c>
      <c r="BF227" t="s">
        <v>523</v>
      </c>
      <c r="BG227" t="s">
        <v>407</v>
      </c>
      <c r="BH227" t="s">
        <v>544</v>
      </c>
      <c r="BI227" t="s">
        <v>524</v>
      </c>
      <c r="BJ227" t="s">
        <v>228</v>
      </c>
      <c r="BK227" t="s">
        <v>228</v>
      </c>
      <c r="BL227" t="s">
        <v>228</v>
      </c>
      <c r="BM227" t="s">
        <v>228</v>
      </c>
      <c r="BN227" t="s">
        <v>228</v>
      </c>
      <c r="BO227" t="s">
        <v>228</v>
      </c>
      <c r="BP227" t="s">
        <v>228</v>
      </c>
      <c r="BQ227" t="s">
        <v>228</v>
      </c>
      <c r="BR227" t="s">
        <v>228</v>
      </c>
      <c r="BS227" t="s">
        <v>409</v>
      </c>
      <c r="BT227">
        <v>1</v>
      </c>
    </row>
    <row r="228" spans="1:72" x14ac:dyDescent="0.15">
      <c r="A228" s="43">
        <v>2023</v>
      </c>
      <c r="B228" s="8">
        <v>1</v>
      </c>
      <c r="C228" s="8">
        <v>1</v>
      </c>
      <c r="D228" s="8">
        <v>9</v>
      </c>
      <c r="E228" s="8" t="s">
        <v>228</v>
      </c>
      <c r="F228" s="8" t="s">
        <v>57</v>
      </c>
      <c r="G228" s="8">
        <v>2016</v>
      </c>
      <c r="H228" s="8">
        <v>12</v>
      </c>
      <c r="I228" s="8" t="s">
        <v>521</v>
      </c>
      <c r="J228" s="8" t="s">
        <v>228</v>
      </c>
      <c r="K228" s="8">
        <v>1983</v>
      </c>
      <c r="L228" s="17">
        <v>1</v>
      </c>
      <c r="M228" s="8">
        <v>1</v>
      </c>
      <c r="N228" s="8" t="s">
        <v>48</v>
      </c>
      <c r="O228" s="8" t="s">
        <v>283</v>
      </c>
      <c r="P228" s="8" t="s">
        <v>217</v>
      </c>
      <c r="Q228" s="8">
        <v>3000</v>
      </c>
      <c r="R228" s="8" t="s">
        <v>57</v>
      </c>
      <c r="S228" s="8" t="s">
        <v>53</v>
      </c>
      <c r="T228" s="8" t="s">
        <v>69</v>
      </c>
      <c r="U228" s="8" t="s">
        <v>228</v>
      </c>
      <c r="V228" s="8">
        <v>500</v>
      </c>
      <c r="W228" s="8" t="s">
        <v>328</v>
      </c>
      <c r="X228" s="8">
        <v>3000</v>
      </c>
      <c r="Y228" s="8" t="s">
        <v>271</v>
      </c>
      <c r="Z228" s="8">
        <v>85</v>
      </c>
      <c r="AA228" s="8" t="s">
        <v>278</v>
      </c>
      <c r="AB228" s="8" t="s">
        <v>228</v>
      </c>
      <c r="AC228" s="8" t="s">
        <v>228</v>
      </c>
      <c r="AD228" s="8" t="s">
        <v>228</v>
      </c>
      <c r="AE228" s="8" t="s">
        <v>228</v>
      </c>
      <c r="AF228" s="8" t="s">
        <v>228</v>
      </c>
      <c r="AG228" s="8" t="s">
        <v>228</v>
      </c>
      <c r="AH228" s="8" t="s">
        <v>228</v>
      </c>
      <c r="AI228" s="8" t="s">
        <v>228</v>
      </c>
      <c r="AJ228" t="s">
        <v>468</v>
      </c>
      <c r="AK228">
        <v>1</v>
      </c>
      <c r="AL228">
        <v>1</v>
      </c>
      <c r="AM228" t="s">
        <v>92</v>
      </c>
      <c r="AN228" t="s">
        <v>228</v>
      </c>
      <c r="AO228" t="s">
        <v>526</v>
      </c>
      <c r="AP228" t="s">
        <v>109</v>
      </c>
      <c r="AQ228">
        <v>12</v>
      </c>
      <c r="AR228" t="s">
        <v>521</v>
      </c>
      <c r="AS228" t="s">
        <v>228</v>
      </c>
      <c r="AT228" t="s">
        <v>140</v>
      </c>
      <c r="AU228">
        <v>1</v>
      </c>
      <c r="AV228">
        <v>1</v>
      </c>
      <c r="AW228" t="s">
        <v>406</v>
      </c>
      <c r="AX228" t="s">
        <v>283</v>
      </c>
      <c r="AY228" t="s">
        <v>217</v>
      </c>
      <c r="AZ228">
        <v>1</v>
      </c>
      <c r="BA228" t="s">
        <v>408</v>
      </c>
      <c r="BB228" t="s">
        <v>542</v>
      </c>
      <c r="BC228" t="s">
        <v>395</v>
      </c>
      <c r="BD228" t="s">
        <v>228</v>
      </c>
      <c r="BE228" t="s">
        <v>522</v>
      </c>
      <c r="BF228" t="s">
        <v>523</v>
      </c>
      <c r="BG228" t="s">
        <v>407</v>
      </c>
      <c r="BH228" t="s">
        <v>544</v>
      </c>
      <c r="BI228" t="s">
        <v>524</v>
      </c>
      <c r="BJ228" t="s">
        <v>228</v>
      </c>
      <c r="BK228" t="s">
        <v>228</v>
      </c>
      <c r="BL228" t="s">
        <v>228</v>
      </c>
      <c r="BM228" t="s">
        <v>228</v>
      </c>
      <c r="BN228" t="s">
        <v>228</v>
      </c>
      <c r="BO228" t="s">
        <v>228</v>
      </c>
      <c r="BP228" t="s">
        <v>228</v>
      </c>
      <c r="BQ228" t="s">
        <v>228</v>
      </c>
      <c r="BR228" t="s">
        <v>228</v>
      </c>
      <c r="BS228" t="s">
        <v>409</v>
      </c>
      <c r="BT228">
        <v>1</v>
      </c>
    </row>
    <row r="229" spans="1:72" x14ac:dyDescent="0.15">
      <c r="A229" s="43">
        <v>2023</v>
      </c>
      <c r="B229" s="8">
        <v>1</v>
      </c>
      <c r="C229" s="8">
        <v>1</v>
      </c>
      <c r="D229" s="8">
        <v>9</v>
      </c>
      <c r="E229" s="8" t="s">
        <v>228</v>
      </c>
      <c r="F229" s="8" t="s">
        <v>57</v>
      </c>
      <c r="G229" s="8">
        <v>2016</v>
      </c>
      <c r="H229" s="8">
        <v>12</v>
      </c>
      <c r="I229" s="8" t="s">
        <v>521</v>
      </c>
      <c r="J229" s="8" t="s">
        <v>228</v>
      </c>
      <c r="K229" s="8">
        <v>1983</v>
      </c>
      <c r="L229" s="17">
        <v>1</v>
      </c>
      <c r="M229" s="8">
        <v>1</v>
      </c>
      <c r="N229" s="8" t="s">
        <v>48</v>
      </c>
      <c r="O229" s="8" t="s">
        <v>283</v>
      </c>
      <c r="P229" s="8" t="s">
        <v>217</v>
      </c>
      <c r="Q229" s="8">
        <v>3000</v>
      </c>
      <c r="R229" s="8" t="s">
        <v>57</v>
      </c>
      <c r="S229" s="8" t="s">
        <v>52</v>
      </c>
      <c r="T229" s="8" t="s">
        <v>69</v>
      </c>
      <c r="U229" s="8" t="s">
        <v>228</v>
      </c>
      <c r="V229" s="8">
        <v>500</v>
      </c>
      <c r="W229" s="8" t="s">
        <v>328</v>
      </c>
      <c r="X229" s="8">
        <v>3000</v>
      </c>
      <c r="Y229" s="8" t="s">
        <v>271</v>
      </c>
      <c r="Z229" s="8">
        <v>85</v>
      </c>
      <c r="AA229" s="8" t="s">
        <v>278</v>
      </c>
      <c r="AB229" s="8" t="s">
        <v>228</v>
      </c>
      <c r="AC229" s="8" t="s">
        <v>228</v>
      </c>
      <c r="AD229" s="8" t="s">
        <v>228</v>
      </c>
      <c r="AE229" s="8" t="s">
        <v>228</v>
      </c>
      <c r="AF229" s="8" t="s">
        <v>228</v>
      </c>
      <c r="AG229" s="8" t="s">
        <v>228</v>
      </c>
      <c r="AH229" s="8" t="s">
        <v>228</v>
      </c>
      <c r="AI229" s="8" t="s">
        <v>228</v>
      </c>
      <c r="AJ229" t="s">
        <v>468</v>
      </c>
      <c r="AK229">
        <v>1</v>
      </c>
      <c r="AL229">
        <v>1</v>
      </c>
      <c r="AM229" t="s">
        <v>92</v>
      </c>
      <c r="AN229" t="s">
        <v>228</v>
      </c>
      <c r="AO229" t="s">
        <v>526</v>
      </c>
      <c r="AP229" t="s">
        <v>109</v>
      </c>
      <c r="AQ229">
        <v>12</v>
      </c>
      <c r="AR229" t="s">
        <v>521</v>
      </c>
      <c r="AS229" t="s">
        <v>228</v>
      </c>
      <c r="AT229" t="s">
        <v>140</v>
      </c>
      <c r="AU229">
        <v>1</v>
      </c>
      <c r="AV229">
        <v>1</v>
      </c>
      <c r="AW229" t="s">
        <v>406</v>
      </c>
      <c r="AX229" t="s">
        <v>283</v>
      </c>
      <c r="AY229" t="s">
        <v>217</v>
      </c>
      <c r="AZ229">
        <v>1</v>
      </c>
      <c r="BA229" t="s">
        <v>408</v>
      </c>
      <c r="BB229" t="s">
        <v>405</v>
      </c>
      <c r="BC229" t="s">
        <v>395</v>
      </c>
      <c r="BD229" t="s">
        <v>228</v>
      </c>
      <c r="BE229" t="s">
        <v>522</v>
      </c>
      <c r="BF229" t="s">
        <v>523</v>
      </c>
      <c r="BG229" t="s">
        <v>407</v>
      </c>
      <c r="BH229" t="s">
        <v>544</v>
      </c>
      <c r="BI229" t="s">
        <v>524</v>
      </c>
      <c r="BJ229" t="s">
        <v>228</v>
      </c>
      <c r="BK229" t="s">
        <v>228</v>
      </c>
      <c r="BL229" t="s">
        <v>228</v>
      </c>
      <c r="BM229" t="s">
        <v>228</v>
      </c>
      <c r="BN229" t="s">
        <v>228</v>
      </c>
      <c r="BO229" t="s">
        <v>228</v>
      </c>
      <c r="BP229" t="s">
        <v>228</v>
      </c>
      <c r="BQ229" t="s">
        <v>228</v>
      </c>
      <c r="BR229" t="s">
        <v>228</v>
      </c>
      <c r="BS229" t="s">
        <v>409</v>
      </c>
      <c r="BT229">
        <v>1</v>
      </c>
    </row>
    <row r="230" spans="1:72" x14ac:dyDescent="0.15">
      <c r="A230" s="43">
        <v>2023</v>
      </c>
      <c r="B230" s="8">
        <v>1</v>
      </c>
      <c r="C230" s="8">
        <v>1</v>
      </c>
      <c r="D230" s="8">
        <v>9</v>
      </c>
      <c r="E230" s="8" t="s">
        <v>228</v>
      </c>
      <c r="F230" s="8" t="s">
        <v>57</v>
      </c>
      <c r="G230" s="8">
        <v>2016</v>
      </c>
      <c r="H230" s="8">
        <v>12</v>
      </c>
      <c r="I230" s="8" t="s">
        <v>521</v>
      </c>
      <c r="J230" s="8" t="s">
        <v>228</v>
      </c>
      <c r="K230" s="8">
        <v>1983</v>
      </c>
      <c r="L230" s="17">
        <v>1</v>
      </c>
      <c r="M230" s="8">
        <v>1</v>
      </c>
      <c r="N230" s="8" t="s">
        <v>48</v>
      </c>
      <c r="O230" s="8" t="s">
        <v>283</v>
      </c>
      <c r="P230" s="8" t="s">
        <v>217</v>
      </c>
      <c r="Q230" s="8">
        <v>3000</v>
      </c>
      <c r="R230" s="8" t="s">
        <v>57</v>
      </c>
      <c r="S230" s="8" t="s">
        <v>54</v>
      </c>
      <c r="T230" s="8" t="s">
        <v>69</v>
      </c>
      <c r="U230" s="8" t="s">
        <v>228</v>
      </c>
      <c r="V230" s="8">
        <v>500</v>
      </c>
      <c r="W230" s="8" t="s">
        <v>328</v>
      </c>
      <c r="X230" s="8">
        <v>3000</v>
      </c>
      <c r="Y230" s="8" t="s">
        <v>271</v>
      </c>
      <c r="Z230" s="8">
        <v>85</v>
      </c>
      <c r="AA230" s="8" t="s">
        <v>278</v>
      </c>
      <c r="AB230" s="8" t="s">
        <v>247</v>
      </c>
      <c r="AC230" s="8" t="s">
        <v>228</v>
      </c>
      <c r="AD230" s="8" t="s">
        <v>228</v>
      </c>
      <c r="AE230" s="8" t="s">
        <v>228</v>
      </c>
      <c r="AF230" s="8" t="s">
        <v>228</v>
      </c>
      <c r="AG230" s="8" t="s">
        <v>228</v>
      </c>
      <c r="AH230" s="8" t="s">
        <v>228</v>
      </c>
      <c r="AI230" s="8" t="s">
        <v>228</v>
      </c>
      <c r="AJ230" t="s">
        <v>468</v>
      </c>
      <c r="AK230">
        <v>1</v>
      </c>
      <c r="AL230">
        <v>1</v>
      </c>
      <c r="AM230" t="s">
        <v>92</v>
      </c>
      <c r="AN230" t="s">
        <v>228</v>
      </c>
      <c r="AO230" t="s">
        <v>526</v>
      </c>
      <c r="AP230" t="s">
        <v>109</v>
      </c>
      <c r="AQ230">
        <v>12</v>
      </c>
      <c r="AR230" t="s">
        <v>521</v>
      </c>
      <c r="AS230" t="s">
        <v>228</v>
      </c>
      <c r="AT230" t="s">
        <v>140</v>
      </c>
      <c r="AU230">
        <v>1</v>
      </c>
      <c r="AV230">
        <v>1</v>
      </c>
      <c r="AW230" t="s">
        <v>406</v>
      </c>
      <c r="AX230" t="s">
        <v>283</v>
      </c>
      <c r="AY230" t="s">
        <v>217</v>
      </c>
      <c r="AZ230">
        <v>1</v>
      </c>
      <c r="BA230" t="s">
        <v>408</v>
      </c>
      <c r="BB230" t="s">
        <v>541</v>
      </c>
      <c r="BC230" t="s">
        <v>395</v>
      </c>
      <c r="BD230" t="s">
        <v>228</v>
      </c>
      <c r="BE230" t="s">
        <v>522</v>
      </c>
      <c r="BF230" t="s">
        <v>523</v>
      </c>
      <c r="BG230" t="s">
        <v>407</v>
      </c>
      <c r="BH230" t="s">
        <v>544</v>
      </c>
      <c r="BI230" t="s">
        <v>524</v>
      </c>
      <c r="BJ230" t="s">
        <v>228</v>
      </c>
      <c r="BK230" t="s">
        <v>543</v>
      </c>
      <c r="BL230" t="s">
        <v>228</v>
      </c>
      <c r="BM230" t="s">
        <v>228</v>
      </c>
      <c r="BN230" t="s">
        <v>228</v>
      </c>
      <c r="BO230" t="s">
        <v>228</v>
      </c>
      <c r="BP230" t="s">
        <v>228</v>
      </c>
      <c r="BQ230" t="s">
        <v>228</v>
      </c>
      <c r="BR230" t="s">
        <v>228</v>
      </c>
      <c r="BS230" t="s">
        <v>409</v>
      </c>
      <c r="BT230">
        <v>1</v>
      </c>
    </row>
    <row r="231" spans="1:72" x14ac:dyDescent="0.15">
      <c r="A231" s="43">
        <v>2023</v>
      </c>
      <c r="B231" s="8">
        <v>1</v>
      </c>
      <c r="C231" s="8">
        <v>1</v>
      </c>
      <c r="D231" s="8">
        <v>9</v>
      </c>
      <c r="E231" s="8" t="s">
        <v>228</v>
      </c>
      <c r="F231" s="8" t="s">
        <v>57</v>
      </c>
      <c r="G231" s="8">
        <v>2016</v>
      </c>
      <c r="H231" s="8">
        <v>12</v>
      </c>
      <c r="I231" s="8" t="s">
        <v>521</v>
      </c>
      <c r="J231" s="8" t="s">
        <v>228</v>
      </c>
      <c r="K231" s="8">
        <v>1983</v>
      </c>
      <c r="L231" s="17">
        <v>1</v>
      </c>
      <c r="M231" s="8">
        <v>1</v>
      </c>
      <c r="N231" s="8" t="s">
        <v>48</v>
      </c>
      <c r="O231" s="8" t="s">
        <v>283</v>
      </c>
      <c r="P231" s="8" t="s">
        <v>217</v>
      </c>
      <c r="Q231" s="8">
        <v>3000</v>
      </c>
      <c r="R231" s="8" t="s">
        <v>57</v>
      </c>
      <c r="S231" s="8" t="s">
        <v>53</v>
      </c>
      <c r="T231" s="8" t="s">
        <v>69</v>
      </c>
      <c r="U231" s="8" t="s">
        <v>228</v>
      </c>
      <c r="V231" s="8">
        <v>500</v>
      </c>
      <c r="W231" s="8" t="s">
        <v>328</v>
      </c>
      <c r="X231" s="8">
        <v>3000</v>
      </c>
      <c r="Y231" s="8" t="s">
        <v>271</v>
      </c>
      <c r="Z231" s="8">
        <v>85</v>
      </c>
      <c r="AA231" s="8" t="s">
        <v>278</v>
      </c>
      <c r="AB231" s="8" t="s">
        <v>247</v>
      </c>
      <c r="AC231" s="8" t="s">
        <v>228</v>
      </c>
      <c r="AD231" s="8" t="s">
        <v>228</v>
      </c>
      <c r="AE231" s="8" t="s">
        <v>228</v>
      </c>
      <c r="AF231" s="8" t="s">
        <v>228</v>
      </c>
      <c r="AG231" s="8" t="s">
        <v>228</v>
      </c>
      <c r="AH231" s="8" t="s">
        <v>228</v>
      </c>
      <c r="AI231" s="8" t="s">
        <v>228</v>
      </c>
      <c r="AJ231" t="s">
        <v>468</v>
      </c>
      <c r="AK231">
        <v>1</v>
      </c>
      <c r="AL231">
        <v>1</v>
      </c>
      <c r="AM231" t="s">
        <v>92</v>
      </c>
      <c r="AN231" t="s">
        <v>228</v>
      </c>
      <c r="AO231" t="s">
        <v>526</v>
      </c>
      <c r="AP231" t="s">
        <v>109</v>
      </c>
      <c r="AQ231">
        <v>12</v>
      </c>
      <c r="AR231" t="s">
        <v>521</v>
      </c>
      <c r="AS231" t="s">
        <v>228</v>
      </c>
      <c r="AT231" t="s">
        <v>140</v>
      </c>
      <c r="AU231">
        <v>1</v>
      </c>
      <c r="AV231">
        <v>1</v>
      </c>
      <c r="AW231" t="s">
        <v>406</v>
      </c>
      <c r="AX231" t="s">
        <v>283</v>
      </c>
      <c r="AY231" t="s">
        <v>217</v>
      </c>
      <c r="AZ231">
        <v>1</v>
      </c>
      <c r="BA231" t="s">
        <v>408</v>
      </c>
      <c r="BB231" t="s">
        <v>542</v>
      </c>
      <c r="BC231" t="s">
        <v>395</v>
      </c>
      <c r="BD231" t="s">
        <v>228</v>
      </c>
      <c r="BE231" t="s">
        <v>522</v>
      </c>
      <c r="BF231" t="s">
        <v>523</v>
      </c>
      <c r="BG231" t="s">
        <v>407</v>
      </c>
      <c r="BH231" t="s">
        <v>544</v>
      </c>
      <c r="BI231" t="s">
        <v>524</v>
      </c>
      <c r="BJ231" t="s">
        <v>228</v>
      </c>
      <c r="BK231" t="s">
        <v>543</v>
      </c>
      <c r="BL231" t="s">
        <v>228</v>
      </c>
      <c r="BM231" t="s">
        <v>228</v>
      </c>
      <c r="BN231" t="s">
        <v>228</v>
      </c>
      <c r="BO231" t="s">
        <v>228</v>
      </c>
      <c r="BP231" t="s">
        <v>228</v>
      </c>
      <c r="BQ231" t="s">
        <v>228</v>
      </c>
      <c r="BR231" t="s">
        <v>228</v>
      </c>
      <c r="BS231" t="s">
        <v>409</v>
      </c>
      <c r="BT231">
        <v>1</v>
      </c>
    </row>
    <row r="232" spans="1:72" x14ac:dyDescent="0.15">
      <c r="A232" s="43">
        <v>2023</v>
      </c>
      <c r="B232" s="8">
        <v>1</v>
      </c>
      <c r="C232" s="8">
        <v>1</v>
      </c>
      <c r="D232" s="8">
        <v>9</v>
      </c>
      <c r="E232" s="8" t="s">
        <v>228</v>
      </c>
      <c r="F232" s="8" t="s">
        <v>57</v>
      </c>
      <c r="G232" s="8">
        <v>2016</v>
      </c>
      <c r="H232" s="8">
        <v>12</v>
      </c>
      <c r="I232" s="8" t="s">
        <v>521</v>
      </c>
      <c r="J232" s="8" t="s">
        <v>228</v>
      </c>
      <c r="K232" s="8">
        <v>1983</v>
      </c>
      <c r="L232" s="17">
        <v>1</v>
      </c>
      <c r="M232" s="8">
        <v>1</v>
      </c>
      <c r="N232" s="8" t="s">
        <v>48</v>
      </c>
      <c r="O232" s="8" t="s">
        <v>283</v>
      </c>
      <c r="P232" s="8" t="s">
        <v>217</v>
      </c>
      <c r="Q232" s="8">
        <v>3000</v>
      </c>
      <c r="R232" s="8" t="s">
        <v>57</v>
      </c>
      <c r="S232" s="8" t="s">
        <v>52</v>
      </c>
      <c r="T232" s="8" t="s">
        <v>69</v>
      </c>
      <c r="U232" s="8" t="s">
        <v>228</v>
      </c>
      <c r="V232" s="8">
        <v>500</v>
      </c>
      <c r="W232" s="8" t="s">
        <v>328</v>
      </c>
      <c r="X232" s="8">
        <v>3000</v>
      </c>
      <c r="Y232" s="8" t="s">
        <v>271</v>
      </c>
      <c r="Z232" s="8">
        <v>85</v>
      </c>
      <c r="AA232" s="8" t="s">
        <v>278</v>
      </c>
      <c r="AB232" s="8" t="s">
        <v>247</v>
      </c>
      <c r="AC232" s="8" t="s">
        <v>228</v>
      </c>
      <c r="AD232" s="8" t="s">
        <v>228</v>
      </c>
      <c r="AE232" s="8" t="s">
        <v>228</v>
      </c>
      <c r="AF232" s="8" t="s">
        <v>228</v>
      </c>
      <c r="AG232" s="8" t="s">
        <v>228</v>
      </c>
      <c r="AH232" s="8" t="s">
        <v>228</v>
      </c>
      <c r="AI232" s="8" t="s">
        <v>228</v>
      </c>
      <c r="AJ232" t="s">
        <v>468</v>
      </c>
      <c r="AK232">
        <v>1</v>
      </c>
      <c r="AL232">
        <v>1</v>
      </c>
      <c r="AM232" t="s">
        <v>92</v>
      </c>
      <c r="AN232" t="s">
        <v>228</v>
      </c>
      <c r="AO232" t="s">
        <v>526</v>
      </c>
      <c r="AP232" t="s">
        <v>109</v>
      </c>
      <c r="AQ232">
        <v>12</v>
      </c>
      <c r="AR232" t="s">
        <v>521</v>
      </c>
      <c r="AS232" t="s">
        <v>228</v>
      </c>
      <c r="AT232" t="s">
        <v>140</v>
      </c>
      <c r="AU232">
        <v>1</v>
      </c>
      <c r="AV232">
        <v>1</v>
      </c>
      <c r="AW232" t="s">
        <v>406</v>
      </c>
      <c r="AX232" t="s">
        <v>283</v>
      </c>
      <c r="AY232" t="s">
        <v>217</v>
      </c>
      <c r="AZ232">
        <v>1</v>
      </c>
      <c r="BA232" t="s">
        <v>408</v>
      </c>
      <c r="BB232" t="s">
        <v>405</v>
      </c>
      <c r="BC232" t="s">
        <v>395</v>
      </c>
      <c r="BD232" t="s">
        <v>228</v>
      </c>
      <c r="BE232" t="s">
        <v>522</v>
      </c>
      <c r="BF232" t="s">
        <v>523</v>
      </c>
      <c r="BG232" t="s">
        <v>407</v>
      </c>
      <c r="BH232" t="s">
        <v>544</v>
      </c>
      <c r="BI232" t="s">
        <v>524</v>
      </c>
      <c r="BJ232" t="s">
        <v>228</v>
      </c>
      <c r="BK232" t="s">
        <v>543</v>
      </c>
      <c r="BL232" t="s">
        <v>228</v>
      </c>
      <c r="BM232" t="s">
        <v>228</v>
      </c>
      <c r="BN232" t="s">
        <v>228</v>
      </c>
      <c r="BO232" t="s">
        <v>228</v>
      </c>
      <c r="BP232" t="s">
        <v>228</v>
      </c>
      <c r="BQ232" t="s">
        <v>228</v>
      </c>
      <c r="BR232" t="s">
        <v>228</v>
      </c>
      <c r="BS232" t="s">
        <v>409</v>
      </c>
      <c r="BT232">
        <v>0</v>
      </c>
    </row>
    <row r="233" spans="1:72" x14ac:dyDescent="0.15">
      <c r="A233" s="43">
        <v>2023</v>
      </c>
      <c r="B233" s="8">
        <v>1</v>
      </c>
      <c r="C233" s="8">
        <v>1</v>
      </c>
      <c r="D233" s="8">
        <v>8</v>
      </c>
      <c r="E233" s="8" t="s">
        <v>228</v>
      </c>
      <c r="F233" s="8" t="s">
        <v>57</v>
      </c>
      <c r="G233" s="8">
        <v>2016</v>
      </c>
      <c r="H233" s="8">
        <v>12</v>
      </c>
      <c r="I233" s="8" t="s">
        <v>521</v>
      </c>
      <c r="J233" s="8" t="s">
        <v>228</v>
      </c>
      <c r="K233" s="8">
        <v>1983</v>
      </c>
      <c r="L233" s="17">
        <v>1</v>
      </c>
      <c r="M233" s="8">
        <v>1</v>
      </c>
      <c r="N233" s="8" t="s">
        <v>48</v>
      </c>
      <c r="O233" s="8" t="s">
        <v>283</v>
      </c>
      <c r="P233" s="8" t="s">
        <v>217</v>
      </c>
      <c r="Q233" s="8">
        <v>3000</v>
      </c>
      <c r="R233" s="8" t="s">
        <v>57</v>
      </c>
      <c r="S233" s="8" t="s">
        <v>54</v>
      </c>
      <c r="T233" s="8" t="s">
        <v>69</v>
      </c>
      <c r="U233" s="8" t="s">
        <v>228</v>
      </c>
      <c r="V233" s="8">
        <v>500</v>
      </c>
      <c r="W233" s="8" t="s">
        <v>328</v>
      </c>
      <c r="X233" s="8">
        <v>3000</v>
      </c>
      <c r="Y233" s="8" t="s">
        <v>268</v>
      </c>
      <c r="Z233" s="8">
        <v>85</v>
      </c>
      <c r="AA233" s="8" t="s">
        <v>278</v>
      </c>
      <c r="AB233" s="8" t="s">
        <v>228</v>
      </c>
      <c r="AC233" s="8" t="s">
        <v>228</v>
      </c>
      <c r="AD233" s="8" t="s">
        <v>228</v>
      </c>
      <c r="AE233" s="8" t="s">
        <v>228</v>
      </c>
      <c r="AF233" s="8" t="s">
        <v>228</v>
      </c>
      <c r="AG233" s="8" t="s">
        <v>228</v>
      </c>
      <c r="AH233" s="8" t="s">
        <v>228</v>
      </c>
      <c r="AI233" s="8" t="s">
        <v>228</v>
      </c>
      <c r="AJ233" t="s">
        <v>468</v>
      </c>
      <c r="AK233">
        <v>1</v>
      </c>
      <c r="AL233">
        <v>1</v>
      </c>
      <c r="AM233" t="s">
        <v>93</v>
      </c>
      <c r="AN233" t="s">
        <v>228</v>
      </c>
      <c r="AO233" t="s">
        <v>526</v>
      </c>
      <c r="AP233" t="s">
        <v>109</v>
      </c>
      <c r="AQ233">
        <v>12</v>
      </c>
      <c r="AR233" t="s">
        <v>521</v>
      </c>
      <c r="AS233" t="s">
        <v>228</v>
      </c>
      <c r="AT233" t="s">
        <v>140</v>
      </c>
      <c r="AU233">
        <v>1</v>
      </c>
      <c r="AV233">
        <v>1</v>
      </c>
      <c r="AW233" t="s">
        <v>406</v>
      </c>
      <c r="AX233" t="s">
        <v>283</v>
      </c>
      <c r="AY233" t="s">
        <v>217</v>
      </c>
      <c r="AZ233">
        <v>1</v>
      </c>
      <c r="BA233" t="s">
        <v>408</v>
      </c>
      <c r="BB233" t="s">
        <v>541</v>
      </c>
      <c r="BC233" t="s">
        <v>395</v>
      </c>
      <c r="BD233" t="s">
        <v>228</v>
      </c>
      <c r="BE233" t="s">
        <v>522</v>
      </c>
      <c r="BF233" t="s">
        <v>523</v>
      </c>
      <c r="BG233" t="s">
        <v>407</v>
      </c>
      <c r="BH233" t="s">
        <v>396</v>
      </c>
      <c r="BI233" t="s">
        <v>524</v>
      </c>
      <c r="BJ233" t="s">
        <v>228</v>
      </c>
      <c r="BK233" t="s">
        <v>228</v>
      </c>
      <c r="BL233" t="s">
        <v>228</v>
      </c>
      <c r="BM233" t="s">
        <v>228</v>
      </c>
      <c r="BN233" t="s">
        <v>228</v>
      </c>
      <c r="BO233" t="s">
        <v>228</v>
      </c>
      <c r="BP233" t="s">
        <v>228</v>
      </c>
      <c r="BQ233" t="s">
        <v>228</v>
      </c>
      <c r="BR233" t="s">
        <v>228</v>
      </c>
      <c r="BS233" t="s">
        <v>409</v>
      </c>
      <c r="BT233">
        <v>1</v>
      </c>
    </row>
    <row r="234" spans="1:72" x14ac:dyDescent="0.15">
      <c r="A234" s="43">
        <v>2023</v>
      </c>
      <c r="B234" s="8">
        <v>1</v>
      </c>
      <c r="C234" s="8">
        <v>1</v>
      </c>
      <c r="D234" s="8">
        <v>8</v>
      </c>
      <c r="E234" s="8" t="s">
        <v>228</v>
      </c>
      <c r="F234" s="8" t="s">
        <v>57</v>
      </c>
      <c r="G234" s="8">
        <v>2016</v>
      </c>
      <c r="H234" s="8">
        <v>12</v>
      </c>
      <c r="I234" s="8" t="s">
        <v>521</v>
      </c>
      <c r="J234" s="8" t="s">
        <v>228</v>
      </c>
      <c r="K234" s="8">
        <v>1983</v>
      </c>
      <c r="L234" s="17">
        <v>1</v>
      </c>
      <c r="M234" s="8">
        <v>1</v>
      </c>
      <c r="N234" s="8" t="s">
        <v>48</v>
      </c>
      <c r="O234" s="8" t="s">
        <v>283</v>
      </c>
      <c r="P234" s="8" t="s">
        <v>217</v>
      </c>
      <c r="Q234" s="8">
        <v>3000</v>
      </c>
      <c r="R234" s="8" t="s">
        <v>57</v>
      </c>
      <c r="S234" s="8" t="s">
        <v>53</v>
      </c>
      <c r="T234" s="8" t="s">
        <v>69</v>
      </c>
      <c r="U234" s="8" t="s">
        <v>228</v>
      </c>
      <c r="V234" s="8">
        <v>500</v>
      </c>
      <c r="W234" s="8" t="s">
        <v>328</v>
      </c>
      <c r="X234" s="8">
        <v>3000</v>
      </c>
      <c r="Y234" s="8" t="s">
        <v>268</v>
      </c>
      <c r="Z234" s="8">
        <v>85</v>
      </c>
      <c r="AA234" s="8" t="s">
        <v>278</v>
      </c>
      <c r="AB234" s="8" t="s">
        <v>228</v>
      </c>
      <c r="AC234" s="8" t="s">
        <v>228</v>
      </c>
      <c r="AD234" s="8" t="s">
        <v>228</v>
      </c>
      <c r="AE234" s="8" t="s">
        <v>228</v>
      </c>
      <c r="AF234" s="8" t="s">
        <v>228</v>
      </c>
      <c r="AG234" s="8" t="s">
        <v>228</v>
      </c>
      <c r="AH234" s="8" t="s">
        <v>228</v>
      </c>
      <c r="AI234" s="8" t="s">
        <v>228</v>
      </c>
      <c r="AJ234" t="s">
        <v>468</v>
      </c>
      <c r="AK234">
        <v>1</v>
      </c>
      <c r="AL234">
        <v>1</v>
      </c>
      <c r="AM234" t="s">
        <v>93</v>
      </c>
      <c r="AN234" t="s">
        <v>228</v>
      </c>
      <c r="AO234" t="s">
        <v>526</v>
      </c>
      <c r="AP234" t="s">
        <v>109</v>
      </c>
      <c r="AQ234">
        <v>12</v>
      </c>
      <c r="AR234" t="s">
        <v>521</v>
      </c>
      <c r="AS234" t="s">
        <v>228</v>
      </c>
      <c r="AT234" t="s">
        <v>140</v>
      </c>
      <c r="AU234">
        <v>1</v>
      </c>
      <c r="AV234">
        <v>1</v>
      </c>
      <c r="AW234" t="s">
        <v>406</v>
      </c>
      <c r="AX234" t="s">
        <v>283</v>
      </c>
      <c r="AY234" t="s">
        <v>217</v>
      </c>
      <c r="AZ234">
        <v>1</v>
      </c>
      <c r="BA234" t="s">
        <v>408</v>
      </c>
      <c r="BB234" t="s">
        <v>542</v>
      </c>
      <c r="BC234" t="s">
        <v>395</v>
      </c>
      <c r="BD234" t="s">
        <v>228</v>
      </c>
      <c r="BE234" t="s">
        <v>522</v>
      </c>
      <c r="BF234" t="s">
        <v>523</v>
      </c>
      <c r="BG234" t="s">
        <v>407</v>
      </c>
      <c r="BH234" t="s">
        <v>396</v>
      </c>
      <c r="BI234" t="s">
        <v>524</v>
      </c>
      <c r="BJ234" t="s">
        <v>228</v>
      </c>
      <c r="BK234" t="s">
        <v>228</v>
      </c>
      <c r="BL234" t="s">
        <v>228</v>
      </c>
      <c r="BM234" t="s">
        <v>228</v>
      </c>
      <c r="BN234" t="s">
        <v>228</v>
      </c>
      <c r="BO234" t="s">
        <v>228</v>
      </c>
      <c r="BP234" t="s">
        <v>228</v>
      </c>
      <c r="BQ234" t="s">
        <v>228</v>
      </c>
      <c r="BR234" t="s">
        <v>228</v>
      </c>
      <c r="BS234" t="s">
        <v>409</v>
      </c>
      <c r="BT234">
        <v>1</v>
      </c>
    </row>
    <row r="235" spans="1:72" x14ac:dyDescent="0.15">
      <c r="A235" s="43">
        <v>2023</v>
      </c>
      <c r="B235" s="8">
        <v>1</v>
      </c>
      <c r="C235" s="8">
        <v>1</v>
      </c>
      <c r="D235" s="8">
        <v>8</v>
      </c>
      <c r="E235" s="8" t="s">
        <v>228</v>
      </c>
      <c r="F235" s="8" t="s">
        <v>57</v>
      </c>
      <c r="G235" s="8">
        <v>2016</v>
      </c>
      <c r="H235" s="8">
        <v>12</v>
      </c>
      <c r="I235" s="8" t="s">
        <v>521</v>
      </c>
      <c r="J235" s="8" t="s">
        <v>228</v>
      </c>
      <c r="K235" s="8">
        <v>1983</v>
      </c>
      <c r="L235" s="17">
        <v>1</v>
      </c>
      <c r="M235" s="8">
        <v>1</v>
      </c>
      <c r="N235" s="8" t="s">
        <v>48</v>
      </c>
      <c r="O235" s="8" t="s">
        <v>283</v>
      </c>
      <c r="P235" s="8" t="s">
        <v>217</v>
      </c>
      <c r="Q235" s="8">
        <v>3000</v>
      </c>
      <c r="R235" s="8" t="s">
        <v>57</v>
      </c>
      <c r="S235" s="8" t="s">
        <v>52</v>
      </c>
      <c r="T235" s="8" t="s">
        <v>69</v>
      </c>
      <c r="U235" s="8" t="s">
        <v>228</v>
      </c>
      <c r="V235" s="8">
        <v>500</v>
      </c>
      <c r="W235" s="8" t="s">
        <v>328</v>
      </c>
      <c r="X235" s="8">
        <v>3000</v>
      </c>
      <c r="Y235" s="8" t="s">
        <v>268</v>
      </c>
      <c r="Z235" s="8">
        <v>85</v>
      </c>
      <c r="AA235" s="8" t="s">
        <v>278</v>
      </c>
      <c r="AB235" s="8" t="s">
        <v>228</v>
      </c>
      <c r="AC235" s="8" t="s">
        <v>228</v>
      </c>
      <c r="AD235" s="8" t="s">
        <v>228</v>
      </c>
      <c r="AE235" s="8" t="s">
        <v>228</v>
      </c>
      <c r="AF235" s="8" t="s">
        <v>228</v>
      </c>
      <c r="AG235" s="8" t="s">
        <v>228</v>
      </c>
      <c r="AH235" s="8" t="s">
        <v>228</v>
      </c>
      <c r="AI235" s="8" t="s">
        <v>228</v>
      </c>
      <c r="AJ235" t="s">
        <v>468</v>
      </c>
      <c r="AK235">
        <v>1</v>
      </c>
      <c r="AL235">
        <v>1</v>
      </c>
      <c r="AM235" t="s">
        <v>93</v>
      </c>
      <c r="AN235" t="s">
        <v>228</v>
      </c>
      <c r="AO235" t="s">
        <v>526</v>
      </c>
      <c r="AP235" t="s">
        <v>109</v>
      </c>
      <c r="AQ235">
        <v>12</v>
      </c>
      <c r="AR235" t="s">
        <v>521</v>
      </c>
      <c r="AS235" t="s">
        <v>228</v>
      </c>
      <c r="AT235" t="s">
        <v>140</v>
      </c>
      <c r="AU235">
        <v>1</v>
      </c>
      <c r="AV235">
        <v>1</v>
      </c>
      <c r="AW235" t="s">
        <v>406</v>
      </c>
      <c r="AX235" t="s">
        <v>283</v>
      </c>
      <c r="AY235" t="s">
        <v>217</v>
      </c>
      <c r="AZ235">
        <v>1</v>
      </c>
      <c r="BA235" t="s">
        <v>408</v>
      </c>
      <c r="BB235" t="s">
        <v>405</v>
      </c>
      <c r="BC235" t="s">
        <v>395</v>
      </c>
      <c r="BD235" t="s">
        <v>228</v>
      </c>
      <c r="BE235" t="s">
        <v>522</v>
      </c>
      <c r="BF235" t="s">
        <v>523</v>
      </c>
      <c r="BG235" t="s">
        <v>407</v>
      </c>
      <c r="BH235" t="s">
        <v>396</v>
      </c>
      <c r="BI235" t="s">
        <v>524</v>
      </c>
      <c r="BJ235" t="s">
        <v>228</v>
      </c>
      <c r="BK235" t="s">
        <v>228</v>
      </c>
      <c r="BL235" t="s">
        <v>228</v>
      </c>
      <c r="BM235" t="s">
        <v>228</v>
      </c>
      <c r="BN235" t="s">
        <v>228</v>
      </c>
      <c r="BO235" t="s">
        <v>228</v>
      </c>
      <c r="BP235" t="s">
        <v>228</v>
      </c>
      <c r="BQ235" t="s">
        <v>228</v>
      </c>
      <c r="BR235" t="s">
        <v>228</v>
      </c>
      <c r="BS235" t="s">
        <v>409</v>
      </c>
      <c r="BT235">
        <v>1</v>
      </c>
    </row>
    <row r="236" spans="1:72" x14ac:dyDescent="0.15">
      <c r="A236" s="43">
        <v>2023</v>
      </c>
      <c r="B236" s="8">
        <v>1</v>
      </c>
      <c r="C236" s="8">
        <v>1</v>
      </c>
      <c r="D236" s="8">
        <v>8</v>
      </c>
      <c r="E236" s="8" t="s">
        <v>228</v>
      </c>
      <c r="F236" s="8" t="s">
        <v>57</v>
      </c>
      <c r="G236" s="8">
        <v>2016</v>
      </c>
      <c r="H236" s="8">
        <v>12</v>
      </c>
      <c r="I236" s="8" t="s">
        <v>521</v>
      </c>
      <c r="J236" s="8" t="s">
        <v>228</v>
      </c>
      <c r="K236" s="8">
        <v>1983</v>
      </c>
      <c r="L236" s="17">
        <v>1</v>
      </c>
      <c r="M236" s="8">
        <v>1</v>
      </c>
      <c r="N236" s="8" t="s">
        <v>48</v>
      </c>
      <c r="O236" s="8" t="s">
        <v>283</v>
      </c>
      <c r="P236" s="8" t="s">
        <v>217</v>
      </c>
      <c r="Q236" s="8">
        <v>3000</v>
      </c>
      <c r="R236" s="8" t="s">
        <v>57</v>
      </c>
      <c r="S236" s="8" t="s">
        <v>54</v>
      </c>
      <c r="T236" s="8" t="s">
        <v>69</v>
      </c>
      <c r="U236" s="8" t="s">
        <v>228</v>
      </c>
      <c r="V236" s="8">
        <v>500</v>
      </c>
      <c r="W236" s="8" t="s">
        <v>328</v>
      </c>
      <c r="X236" s="8">
        <v>3000</v>
      </c>
      <c r="Y236" s="8" t="s">
        <v>268</v>
      </c>
      <c r="Z236" s="8">
        <v>85</v>
      </c>
      <c r="AA236" s="8" t="s">
        <v>278</v>
      </c>
      <c r="AB236" s="8" t="s">
        <v>247</v>
      </c>
      <c r="AC236" s="8" t="s">
        <v>228</v>
      </c>
      <c r="AD236" s="8" t="s">
        <v>228</v>
      </c>
      <c r="AE236" s="8" t="s">
        <v>228</v>
      </c>
      <c r="AF236" s="8" t="s">
        <v>228</v>
      </c>
      <c r="AG236" s="8" t="s">
        <v>228</v>
      </c>
      <c r="AH236" s="8" t="s">
        <v>228</v>
      </c>
      <c r="AI236" s="8" t="s">
        <v>228</v>
      </c>
      <c r="AJ236" t="s">
        <v>468</v>
      </c>
      <c r="AK236">
        <v>1</v>
      </c>
      <c r="AL236">
        <v>1</v>
      </c>
      <c r="AM236" t="s">
        <v>93</v>
      </c>
      <c r="AN236" t="s">
        <v>228</v>
      </c>
      <c r="AO236" t="s">
        <v>526</v>
      </c>
      <c r="AP236" t="s">
        <v>109</v>
      </c>
      <c r="AQ236">
        <v>12</v>
      </c>
      <c r="AR236" t="s">
        <v>521</v>
      </c>
      <c r="AS236" t="s">
        <v>228</v>
      </c>
      <c r="AT236" t="s">
        <v>140</v>
      </c>
      <c r="AU236">
        <v>1</v>
      </c>
      <c r="AV236">
        <v>1</v>
      </c>
      <c r="AW236" t="s">
        <v>406</v>
      </c>
      <c r="AX236" t="s">
        <v>283</v>
      </c>
      <c r="AY236" t="s">
        <v>217</v>
      </c>
      <c r="AZ236">
        <v>1</v>
      </c>
      <c r="BA236" t="s">
        <v>408</v>
      </c>
      <c r="BB236" t="s">
        <v>541</v>
      </c>
      <c r="BC236" t="s">
        <v>395</v>
      </c>
      <c r="BD236" t="s">
        <v>228</v>
      </c>
      <c r="BE236" t="s">
        <v>522</v>
      </c>
      <c r="BF236" t="s">
        <v>523</v>
      </c>
      <c r="BG236" t="s">
        <v>407</v>
      </c>
      <c r="BH236" t="s">
        <v>396</v>
      </c>
      <c r="BI236" t="s">
        <v>524</v>
      </c>
      <c r="BJ236" t="s">
        <v>228</v>
      </c>
      <c r="BK236" t="s">
        <v>543</v>
      </c>
      <c r="BL236" t="s">
        <v>228</v>
      </c>
      <c r="BM236" t="s">
        <v>228</v>
      </c>
      <c r="BN236" t="s">
        <v>228</v>
      </c>
      <c r="BO236" t="s">
        <v>228</v>
      </c>
      <c r="BP236" t="s">
        <v>228</v>
      </c>
      <c r="BQ236" t="s">
        <v>228</v>
      </c>
      <c r="BR236" t="s">
        <v>228</v>
      </c>
      <c r="BS236" t="s">
        <v>409</v>
      </c>
      <c r="BT236">
        <v>1</v>
      </c>
    </row>
    <row r="237" spans="1:72" x14ac:dyDescent="0.15">
      <c r="A237" s="43">
        <v>2023</v>
      </c>
      <c r="B237" s="8">
        <v>1</v>
      </c>
      <c r="C237" s="8">
        <v>1</v>
      </c>
      <c r="D237" s="8">
        <v>8</v>
      </c>
      <c r="E237" s="8" t="s">
        <v>228</v>
      </c>
      <c r="F237" s="8" t="s">
        <v>57</v>
      </c>
      <c r="G237" s="8">
        <v>2016</v>
      </c>
      <c r="H237" s="8">
        <v>12</v>
      </c>
      <c r="I237" s="8" t="s">
        <v>521</v>
      </c>
      <c r="J237" s="8" t="s">
        <v>228</v>
      </c>
      <c r="K237" s="8">
        <v>1983</v>
      </c>
      <c r="L237" s="17">
        <v>1</v>
      </c>
      <c r="M237" s="8">
        <v>1</v>
      </c>
      <c r="N237" s="8" t="s">
        <v>48</v>
      </c>
      <c r="O237" s="8" t="s">
        <v>283</v>
      </c>
      <c r="P237" s="8" t="s">
        <v>217</v>
      </c>
      <c r="Q237" s="8">
        <v>3000</v>
      </c>
      <c r="R237" s="8" t="s">
        <v>57</v>
      </c>
      <c r="S237" s="8" t="s">
        <v>53</v>
      </c>
      <c r="T237" s="8" t="s">
        <v>69</v>
      </c>
      <c r="U237" s="8" t="s">
        <v>228</v>
      </c>
      <c r="V237" s="8">
        <v>500</v>
      </c>
      <c r="W237" s="8" t="s">
        <v>328</v>
      </c>
      <c r="X237" s="8">
        <v>3000</v>
      </c>
      <c r="Y237" s="8" t="s">
        <v>268</v>
      </c>
      <c r="Z237" s="8">
        <v>85</v>
      </c>
      <c r="AA237" s="8" t="s">
        <v>278</v>
      </c>
      <c r="AB237" s="8" t="s">
        <v>247</v>
      </c>
      <c r="AC237" s="8" t="s">
        <v>228</v>
      </c>
      <c r="AD237" s="8" t="s">
        <v>228</v>
      </c>
      <c r="AE237" s="8" t="s">
        <v>228</v>
      </c>
      <c r="AF237" s="8" t="s">
        <v>228</v>
      </c>
      <c r="AG237" s="8" t="s">
        <v>228</v>
      </c>
      <c r="AH237" s="8" t="s">
        <v>228</v>
      </c>
      <c r="AI237" s="8" t="s">
        <v>228</v>
      </c>
      <c r="AJ237" t="s">
        <v>468</v>
      </c>
      <c r="AK237">
        <v>1</v>
      </c>
      <c r="AL237">
        <v>1</v>
      </c>
      <c r="AM237" t="s">
        <v>93</v>
      </c>
      <c r="AN237" t="s">
        <v>228</v>
      </c>
      <c r="AO237" t="s">
        <v>526</v>
      </c>
      <c r="AP237" t="s">
        <v>109</v>
      </c>
      <c r="AQ237">
        <v>12</v>
      </c>
      <c r="AR237" t="s">
        <v>521</v>
      </c>
      <c r="AS237" t="s">
        <v>228</v>
      </c>
      <c r="AT237" t="s">
        <v>140</v>
      </c>
      <c r="AU237">
        <v>1</v>
      </c>
      <c r="AV237">
        <v>1</v>
      </c>
      <c r="AW237" t="s">
        <v>406</v>
      </c>
      <c r="AX237" t="s">
        <v>283</v>
      </c>
      <c r="AY237" t="s">
        <v>217</v>
      </c>
      <c r="AZ237">
        <v>1</v>
      </c>
      <c r="BA237" t="s">
        <v>408</v>
      </c>
      <c r="BB237" t="s">
        <v>542</v>
      </c>
      <c r="BC237" t="s">
        <v>395</v>
      </c>
      <c r="BD237" t="s">
        <v>228</v>
      </c>
      <c r="BE237" t="s">
        <v>522</v>
      </c>
      <c r="BF237" t="s">
        <v>523</v>
      </c>
      <c r="BG237" t="s">
        <v>407</v>
      </c>
      <c r="BH237" t="s">
        <v>396</v>
      </c>
      <c r="BI237" t="s">
        <v>524</v>
      </c>
      <c r="BJ237" t="s">
        <v>228</v>
      </c>
      <c r="BK237" t="s">
        <v>543</v>
      </c>
      <c r="BL237" t="s">
        <v>228</v>
      </c>
      <c r="BM237" t="s">
        <v>228</v>
      </c>
      <c r="BN237" t="s">
        <v>228</v>
      </c>
      <c r="BO237" t="s">
        <v>228</v>
      </c>
      <c r="BP237" t="s">
        <v>228</v>
      </c>
      <c r="BQ237" t="s">
        <v>228</v>
      </c>
      <c r="BR237" t="s">
        <v>228</v>
      </c>
      <c r="BS237" t="s">
        <v>409</v>
      </c>
      <c r="BT237">
        <v>1</v>
      </c>
    </row>
    <row r="238" spans="1:72" x14ac:dyDescent="0.15">
      <c r="A238" s="43">
        <v>2023</v>
      </c>
      <c r="B238" s="8">
        <v>1</v>
      </c>
      <c r="C238" s="8">
        <v>1</v>
      </c>
      <c r="D238" s="8">
        <v>8</v>
      </c>
      <c r="E238" s="8" t="s">
        <v>228</v>
      </c>
      <c r="F238" s="8" t="s">
        <v>57</v>
      </c>
      <c r="G238" s="8">
        <v>2016</v>
      </c>
      <c r="H238" s="8">
        <v>12</v>
      </c>
      <c r="I238" s="8" t="s">
        <v>521</v>
      </c>
      <c r="J238" s="8" t="s">
        <v>228</v>
      </c>
      <c r="K238" s="8">
        <v>1983</v>
      </c>
      <c r="L238" s="17">
        <v>1</v>
      </c>
      <c r="M238" s="8">
        <v>1</v>
      </c>
      <c r="N238" s="8" t="s">
        <v>48</v>
      </c>
      <c r="O238" s="8" t="s">
        <v>283</v>
      </c>
      <c r="P238" s="8" t="s">
        <v>217</v>
      </c>
      <c r="Q238" s="8">
        <v>3000</v>
      </c>
      <c r="R238" s="8" t="s">
        <v>57</v>
      </c>
      <c r="S238" s="8" t="s">
        <v>52</v>
      </c>
      <c r="T238" s="8" t="s">
        <v>69</v>
      </c>
      <c r="U238" s="8" t="s">
        <v>228</v>
      </c>
      <c r="V238" s="8">
        <v>500</v>
      </c>
      <c r="W238" s="8" t="s">
        <v>328</v>
      </c>
      <c r="X238" s="8">
        <v>3000</v>
      </c>
      <c r="Y238" s="8" t="s">
        <v>268</v>
      </c>
      <c r="Z238" s="8">
        <v>85</v>
      </c>
      <c r="AA238" s="8" t="s">
        <v>278</v>
      </c>
      <c r="AB238" s="8" t="s">
        <v>247</v>
      </c>
      <c r="AC238" s="8" t="s">
        <v>228</v>
      </c>
      <c r="AD238" s="8" t="s">
        <v>228</v>
      </c>
      <c r="AE238" s="8" t="s">
        <v>228</v>
      </c>
      <c r="AF238" s="8" t="s">
        <v>228</v>
      </c>
      <c r="AG238" s="8" t="s">
        <v>228</v>
      </c>
      <c r="AH238" s="8" t="s">
        <v>228</v>
      </c>
      <c r="AI238" s="8" t="s">
        <v>228</v>
      </c>
      <c r="AJ238" t="s">
        <v>468</v>
      </c>
      <c r="AK238">
        <v>1</v>
      </c>
      <c r="AL238">
        <v>1</v>
      </c>
      <c r="AM238" t="s">
        <v>93</v>
      </c>
      <c r="AN238" t="s">
        <v>228</v>
      </c>
      <c r="AO238" t="s">
        <v>526</v>
      </c>
      <c r="AP238" t="s">
        <v>109</v>
      </c>
      <c r="AQ238">
        <v>12</v>
      </c>
      <c r="AR238" t="s">
        <v>521</v>
      </c>
      <c r="AS238" t="s">
        <v>228</v>
      </c>
      <c r="AT238" t="s">
        <v>140</v>
      </c>
      <c r="AU238">
        <v>1</v>
      </c>
      <c r="AV238">
        <v>1</v>
      </c>
      <c r="AW238" t="s">
        <v>406</v>
      </c>
      <c r="AX238" t="s">
        <v>283</v>
      </c>
      <c r="AY238" t="s">
        <v>217</v>
      </c>
      <c r="AZ238">
        <v>1</v>
      </c>
      <c r="BA238" t="s">
        <v>408</v>
      </c>
      <c r="BB238" t="s">
        <v>405</v>
      </c>
      <c r="BC238" t="s">
        <v>395</v>
      </c>
      <c r="BD238" t="s">
        <v>228</v>
      </c>
      <c r="BE238" t="s">
        <v>522</v>
      </c>
      <c r="BF238" t="s">
        <v>523</v>
      </c>
      <c r="BG238" t="s">
        <v>407</v>
      </c>
      <c r="BH238" t="s">
        <v>396</v>
      </c>
      <c r="BI238" t="s">
        <v>524</v>
      </c>
      <c r="BJ238" t="s">
        <v>228</v>
      </c>
      <c r="BK238" t="s">
        <v>543</v>
      </c>
      <c r="BL238" t="s">
        <v>228</v>
      </c>
      <c r="BM238" t="s">
        <v>228</v>
      </c>
      <c r="BN238" t="s">
        <v>228</v>
      </c>
      <c r="BO238" t="s">
        <v>228</v>
      </c>
      <c r="BP238" t="s">
        <v>228</v>
      </c>
      <c r="BQ238" t="s">
        <v>228</v>
      </c>
      <c r="BR238" t="s">
        <v>228</v>
      </c>
      <c r="BS238" t="s">
        <v>409</v>
      </c>
      <c r="BT238">
        <v>1</v>
      </c>
    </row>
    <row r="239" spans="1:72" x14ac:dyDescent="0.15">
      <c r="A239" s="43">
        <v>2023</v>
      </c>
      <c r="B239" s="8">
        <v>1</v>
      </c>
      <c r="C239" s="8">
        <v>1</v>
      </c>
      <c r="D239" s="8">
        <v>8</v>
      </c>
      <c r="E239" s="8" t="s">
        <v>228</v>
      </c>
      <c r="F239" s="8" t="s">
        <v>57</v>
      </c>
      <c r="G239" s="8">
        <v>2016</v>
      </c>
      <c r="H239" s="8">
        <v>12</v>
      </c>
      <c r="I239" s="8" t="s">
        <v>521</v>
      </c>
      <c r="J239" s="8" t="s">
        <v>228</v>
      </c>
      <c r="K239" s="8">
        <v>1983</v>
      </c>
      <c r="L239" s="17">
        <v>1</v>
      </c>
      <c r="M239" s="8">
        <v>1</v>
      </c>
      <c r="N239" s="8" t="s">
        <v>48</v>
      </c>
      <c r="O239" s="8" t="s">
        <v>283</v>
      </c>
      <c r="P239" s="8" t="s">
        <v>217</v>
      </c>
      <c r="Q239" s="8">
        <v>3000</v>
      </c>
      <c r="R239" s="8" t="s">
        <v>57</v>
      </c>
      <c r="S239" s="8" t="s">
        <v>54</v>
      </c>
      <c r="T239" s="8" t="s">
        <v>69</v>
      </c>
      <c r="U239" s="8" t="s">
        <v>228</v>
      </c>
      <c r="V239" s="8">
        <v>500</v>
      </c>
      <c r="W239" s="8" t="s">
        <v>328</v>
      </c>
      <c r="X239" s="8">
        <v>3000</v>
      </c>
      <c r="Y239" s="8" t="s">
        <v>271</v>
      </c>
      <c r="Z239" s="8">
        <v>85</v>
      </c>
      <c r="AA239" s="8" t="s">
        <v>278</v>
      </c>
      <c r="AB239" s="8" t="s">
        <v>228</v>
      </c>
      <c r="AC239" s="8" t="s">
        <v>228</v>
      </c>
      <c r="AD239" s="8" t="s">
        <v>228</v>
      </c>
      <c r="AE239" s="8" t="s">
        <v>228</v>
      </c>
      <c r="AF239" s="8" t="s">
        <v>228</v>
      </c>
      <c r="AG239" s="8" t="s">
        <v>228</v>
      </c>
      <c r="AH239" s="8" t="s">
        <v>228</v>
      </c>
      <c r="AI239" s="8" t="s">
        <v>228</v>
      </c>
      <c r="AJ239" t="s">
        <v>468</v>
      </c>
      <c r="AK239">
        <v>1</v>
      </c>
      <c r="AL239">
        <v>1</v>
      </c>
      <c r="AM239" t="s">
        <v>93</v>
      </c>
      <c r="AN239" t="s">
        <v>228</v>
      </c>
      <c r="AO239" t="s">
        <v>526</v>
      </c>
      <c r="AP239" t="s">
        <v>109</v>
      </c>
      <c r="AQ239">
        <v>12</v>
      </c>
      <c r="AR239" t="s">
        <v>521</v>
      </c>
      <c r="AS239" t="s">
        <v>228</v>
      </c>
      <c r="AT239" t="s">
        <v>140</v>
      </c>
      <c r="AU239">
        <v>1</v>
      </c>
      <c r="AV239">
        <v>1</v>
      </c>
      <c r="AW239" t="s">
        <v>406</v>
      </c>
      <c r="AX239" t="s">
        <v>283</v>
      </c>
      <c r="AY239" t="s">
        <v>217</v>
      </c>
      <c r="AZ239">
        <v>1</v>
      </c>
      <c r="BA239" t="s">
        <v>408</v>
      </c>
      <c r="BB239" t="s">
        <v>541</v>
      </c>
      <c r="BC239" t="s">
        <v>395</v>
      </c>
      <c r="BD239" t="s">
        <v>228</v>
      </c>
      <c r="BE239" t="s">
        <v>522</v>
      </c>
      <c r="BF239" t="s">
        <v>523</v>
      </c>
      <c r="BG239" t="s">
        <v>407</v>
      </c>
      <c r="BH239" t="s">
        <v>544</v>
      </c>
      <c r="BI239" t="s">
        <v>524</v>
      </c>
      <c r="BJ239" t="s">
        <v>228</v>
      </c>
      <c r="BK239" t="s">
        <v>228</v>
      </c>
      <c r="BL239" t="s">
        <v>228</v>
      </c>
      <c r="BM239" t="s">
        <v>228</v>
      </c>
      <c r="BN239" t="s">
        <v>228</v>
      </c>
      <c r="BO239" t="s">
        <v>228</v>
      </c>
      <c r="BP239" t="s">
        <v>228</v>
      </c>
      <c r="BQ239" t="s">
        <v>228</v>
      </c>
      <c r="BR239" t="s">
        <v>228</v>
      </c>
      <c r="BS239" t="s">
        <v>409</v>
      </c>
      <c r="BT239">
        <v>1</v>
      </c>
    </row>
    <row r="240" spans="1:72" x14ac:dyDescent="0.15">
      <c r="A240" s="43">
        <v>2023</v>
      </c>
      <c r="B240" s="8">
        <v>1</v>
      </c>
      <c r="C240" s="8">
        <v>1</v>
      </c>
      <c r="D240" s="8">
        <v>8</v>
      </c>
      <c r="E240" s="8" t="s">
        <v>228</v>
      </c>
      <c r="F240" s="8" t="s">
        <v>57</v>
      </c>
      <c r="G240" s="8">
        <v>2016</v>
      </c>
      <c r="H240" s="8">
        <v>12</v>
      </c>
      <c r="I240" s="8" t="s">
        <v>521</v>
      </c>
      <c r="J240" s="8" t="s">
        <v>228</v>
      </c>
      <c r="K240" s="8">
        <v>1983</v>
      </c>
      <c r="L240" s="17">
        <v>1</v>
      </c>
      <c r="M240" s="8">
        <v>1</v>
      </c>
      <c r="N240" s="8" t="s">
        <v>48</v>
      </c>
      <c r="O240" s="8" t="s">
        <v>283</v>
      </c>
      <c r="P240" s="8" t="s">
        <v>217</v>
      </c>
      <c r="Q240" s="8">
        <v>3000</v>
      </c>
      <c r="R240" s="8" t="s">
        <v>57</v>
      </c>
      <c r="S240" s="8" t="s">
        <v>53</v>
      </c>
      <c r="T240" s="8" t="s">
        <v>69</v>
      </c>
      <c r="U240" s="8" t="s">
        <v>228</v>
      </c>
      <c r="V240" s="8">
        <v>500</v>
      </c>
      <c r="W240" s="8" t="s">
        <v>328</v>
      </c>
      <c r="X240" s="8">
        <v>3000</v>
      </c>
      <c r="Y240" s="8" t="s">
        <v>271</v>
      </c>
      <c r="Z240" s="8">
        <v>85</v>
      </c>
      <c r="AA240" s="8" t="s">
        <v>278</v>
      </c>
      <c r="AB240" s="8" t="s">
        <v>228</v>
      </c>
      <c r="AC240" s="8" t="s">
        <v>228</v>
      </c>
      <c r="AD240" s="8" t="s">
        <v>228</v>
      </c>
      <c r="AE240" s="8" t="s">
        <v>228</v>
      </c>
      <c r="AF240" s="8" t="s">
        <v>228</v>
      </c>
      <c r="AG240" s="8" t="s">
        <v>228</v>
      </c>
      <c r="AH240" s="8" t="s">
        <v>228</v>
      </c>
      <c r="AI240" s="8" t="s">
        <v>228</v>
      </c>
      <c r="AJ240" t="s">
        <v>468</v>
      </c>
      <c r="AK240">
        <v>1</v>
      </c>
      <c r="AL240">
        <v>1</v>
      </c>
      <c r="AM240" t="s">
        <v>93</v>
      </c>
      <c r="AN240" t="s">
        <v>228</v>
      </c>
      <c r="AO240" t="s">
        <v>526</v>
      </c>
      <c r="AP240" t="s">
        <v>109</v>
      </c>
      <c r="AQ240">
        <v>12</v>
      </c>
      <c r="AR240" t="s">
        <v>521</v>
      </c>
      <c r="AS240" t="s">
        <v>228</v>
      </c>
      <c r="AT240" t="s">
        <v>140</v>
      </c>
      <c r="AU240">
        <v>1</v>
      </c>
      <c r="AV240">
        <v>1</v>
      </c>
      <c r="AW240" t="s">
        <v>406</v>
      </c>
      <c r="AX240" t="s">
        <v>283</v>
      </c>
      <c r="AY240" t="s">
        <v>217</v>
      </c>
      <c r="AZ240">
        <v>1</v>
      </c>
      <c r="BA240" t="s">
        <v>408</v>
      </c>
      <c r="BB240" t="s">
        <v>542</v>
      </c>
      <c r="BC240" t="s">
        <v>395</v>
      </c>
      <c r="BD240" t="s">
        <v>228</v>
      </c>
      <c r="BE240" t="s">
        <v>522</v>
      </c>
      <c r="BF240" t="s">
        <v>523</v>
      </c>
      <c r="BG240" t="s">
        <v>407</v>
      </c>
      <c r="BH240" t="s">
        <v>544</v>
      </c>
      <c r="BI240" t="s">
        <v>524</v>
      </c>
      <c r="BJ240" t="s">
        <v>228</v>
      </c>
      <c r="BK240" t="s">
        <v>228</v>
      </c>
      <c r="BL240" t="s">
        <v>228</v>
      </c>
      <c r="BM240" t="s">
        <v>228</v>
      </c>
      <c r="BN240" t="s">
        <v>228</v>
      </c>
      <c r="BO240" t="s">
        <v>228</v>
      </c>
      <c r="BP240" t="s">
        <v>228</v>
      </c>
      <c r="BQ240" t="s">
        <v>228</v>
      </c>
      <c r="BR240" t="s">
        <v>228</v>
      </c>
      <c r="BS240" t="s">
        <v>409</v>
      </c>
      <c r="BT240">
        <v>1</v>
      </c>
    </row>
    <row r="241" spans="1:72" x14ac:dyDescent="0.15">
      <c r="A241" s="43">
        <v>2023</v>
      </c>
      <c r="B241" s="8">
        <v>1</v>
      </c>
      <c r="C241" s="8">
        <v>1</v>
      </c>
      <c r="D241" s="8">
        <v>8</v>
      </c>
      <c r="E241" s="8" t="s">
        <v>228</v>
      </c>
      <c r="F241" s="8" t="s">
        <v>57</v>
      </c>
      <c r="G241" s="8">
        <v>2016</v>
      </c>
      <c r="H241" s="8">
        <v>12</v>
      </c>
      <c r="I241" s="8" t="s">
        <v>521</v>
      </c>
      <c r="J241" s="8" t="s">
        <v>228</v>
      </c>
      <c r="K241" s="8">
        <v>1983</v>
      </c>
      <c r="L241" s="17">
        <v>1</v>
      </c>
      <c r="M241" s="8">
        <v>1</v>
      </c>
      <c r="N241" s="8" t="s">
        <v>48</v>
      </c>
      <c r="O241" s="8" t="s">
        <v>283</v>
      </c>
      <c r="P241" s="8" t="s">
        <v>217</v>
      </c>
      <c r="Q241" s="8">
        <v>3000</v>
      </c>
      <c r="R241" s="8" t="s">
        <v>57</v>
      </c>
      <c r="S241" s="8" t="s">
        <v>52</v>
      </c>
      <c r="T241" s="8" t="s">
        <v>69</v>
      </c>
      <c r="U241" s="8" t="s">
        <v>228</v>
      </c>
      <c r="V241" s="8">
        <v>500</v>
      </c>
      <c r="W241" s="8" t="s">
        <v>328</v>
      </c>
      <c r="X241" s="8">
        <v>3000</v>
      </c>
      <c r="Y241" s="8" t="s">
        <v>271</v>
      </c>
      <c r="Z241" s="8">
        <v>85</v>
      </c>
      <c r="AA241" s="8" t="s">
        <v>278</v>
      </c>
      <c r="AB241" s="8" t="s">
        <v>228</v>
      </c>
      <c r="AC241" s="8" t="s">
        <v>228</v>
      </c>
      <c r="AD241" s="8" t="s">
        <v>228</v>
      </c>
      <c r="AE241" s="8" t="s">
        <v>228</v>
      </c>
      <c r="AF241" s="8" t="s">
        <v>228</v>
      </c>
      <c r="AG241" s="8" t="s">
        <v>228</v>
      </c>
      <c r="AH241" s="8" t="s">
        <v>228</v>
      </c>
      <c r="AI241" s="8" t="s">
        <v>228</v>
      </c>
      <c r="AJ241" t="s">
        <v>468</v>
      </c>
      <c r="AK241">
        <v>1</v>
      </c>
      <c r="AL241">
        <v>1</v>
      </c>
      <c r="AM241" t="s">
        <v>93</v>
      </c>
      <c r="AN241" t="s">
        <v>228</v>
      </c>
      <c r="AO241" t="s">
        <v>526</v>
      </c>
      <c r="AP241" t="s">
        <v>109</v>
      </c>
      <c r="AQ241">
        <v>12</v>
      </c>
      <c r="AR241" t="s">
        <v>521</v>
      </c>
      <c r="AS241" t="s">
        <v>228</v>
      </c>
      <c r="AT241" t="s">
        <v>140</v>
      </c>
      <c r="AU241">
        <v>1</v>
      </c>
      <c r="AV241">
        <v>1</v>
      </c>
      <c r="AW241" t="s">
        <v>406</v>
      </c>
      <c r="AX241" t="s">
        <v>283</v>
      </c>
      <c r="AY241" t="s">
        <v>217</v>
      </c>
      <c r="AZ241">
        <v>1</v>
      </c>
      <c r="BA241" t="s">
        <v>408</v>
      </c>
      <c r="BB241" t="s">
        <v>405</v>
      </c>
      <c r="BC241" t="s">
        <v>395</v>
      </c>
      <c r="BD241" t="s">
        <v>228</v>
      </c>
      <c r="BE241" t="s">
        <v>522</v>
      </c>
      <c r="BF241" t="s">
        <v>523</v>
      </c>
      <c r="BG241" t="s">
        <v>407</v>
      </c>
      <c r="BH241" t="s">
        <v>544</v>
      </c>
      <c r="BI241" t="s">
        <v>524</v>
      </c>
      <c r="BJ241" t="s">
        <v>228</v>
      </c>
      <c r="BK241" t="s">
        <v>228</v>
      </c>
      <c r="BL241" t="s">
        <v>228</v>
      </c>
      <c r="BM241" t="s">
        <v>228</v>
      </c>
      <c r="BN241" t="s">
        <v>228</v>
      </c>
      <c r="BO241" t="s">
        <v>228</v>
      </c>
      <c r="BP241" t="s">
        <v>228</v>
      </c>
      <c r="BQ241" t="s">
        <v>228</v>
      </c>
      <c r="BR241" t="s">
        <v>228</v>
      </c>
      <c r="BS241" t="s">
        <v>409</v>
      </c>
      <c r="BT241">
        <v>1</v>
      </c>
    </row>
    <row r="242" spans="1:72" x14ac:dyDescent="0.15">
      <c r="A242" s="43">
        <v>2023</v>
      </c>
      <c r="B242" s="8">
        <v>1</v>
      </c>
      <c r="C242" s="8">
        <v>1</v>
      </c>
      <c r="D242" s="8">
        <v>8</v>
      </c>
      <c r="E242" s="8" t="s">
        <v>228</v>
      </c>
      <c r="F242" s="8" t="s">
        <v>57</v>
      </c>
      <c r="G242" s="8">
        <v>2016</v>
      </c>
      <c r="H242" s="8">
        <v>12</v>
      </c>
      <c r="I242" s="8" t="s">
        <v>521</v>
      </c>
      <c r="J242" s="8" t="s">
        <v>228</v>
      </c>
      <c r="K242" s="8">
        <v>1983</v>
      </c>
      <c r="L242" s="17">
        <v>1</v>
      </c>
      <c r="M242" s="8">
        <v>1</v>
      </c>
      <c r="N242" s="8" t="s">
        <v>48</v>
      </c>
      <c r="O242" s="8" t="s">
        <v>283</v>
      </c>
      <c r="P242" s="8" t="s">
        <v>217</v>
      </c>
      <c r="Q242" s="8">
        <v>3000</v>
      </c>
      <c r="R242" s="8" t="s">
        <v>57</v>
      </c>
      <c r="S242" s="8" t="s">
        <v>54</v>
      </c>
      <c r="T242" s="8" t="s">
        <v>69</v>
      </c>
      <c r="U242" s="8" t="s">
        <v>228</v>
      </c>
      <c r="V242" s="8">
        <v>500</v>
      </c>
      <c r="W242" s="8" t="s">
        <v>328</v>
      </c>
      <c r="X242" s="8">
        <v>3000</v>
      </c>
      <c r="Y242" s="8" t="s">
        <v>271</v>
      </c>
      <c r="Z242" s="8">
        <v>85</v>
      </c>
      <c r="AA242" s="8" t="s">
        <v>278</v>
      </c>
      <c r="AB242" s="8" t="s">
        <v>247</v>
      </c>
      <c r="AC242" s="8" t="s">
        <v>228</v>
      </c>
      <c r="AD242" s="8" t="s">
        <v>228</v>
      </c>
      <c r="AE242" s="8" t="s">
        <v>228</v>
      </c>
      <c r="AF242" s="8" t="s">
        <v>228</v>
      </c>
      <c r="AG242" s="8" t="s">
        <v>228</v>
      </c>
      <c r="AH242" s="8" t="s">
        <v>228</v>
      </c>
      <c r="AI242" s="8" t="s">
        <v>228</v>
      </c>
      <c r="AJ242" t="s">
        <v>468</v>
      </c>
      <c r="AK242">
        <v>1</v>
      </c>
      <c r="AL242">
        <v>1</v>
      </c>
      <c r="AM242" t="s">
        <v>93</v>
      </c>
      <c r="AN242" t="s">
        <v>228</v>
      </c>
      <c r="AO242" t="s">
        <v>526</v>
      </c>
      <c r="AP242" t="s">
        <v>109</v>
      </c>
      <c r="AQ242">
        <v>12</v>
      </c>
      <c r="AR242" t="s">
        <v>521</v>
      </c>
      <c r="AS242" t="s">
        <v>228</v>
      </c>
      <c r="AT242" t="s">
        <v>140</v>
      </c>
      <c r="AU242">
        <v>1</v>
      </c>
      <c r="AV242">
        <v>1</v>
      </c>
      <c r="AW242" t="s">
        <v>406</v>
      </c>
      <c r="AX242" t="s">
        <v>283</v>
      </c>
      <c r="AY242" t="s">
        <v>217</v>
      </c>
      <c r="AZ242">
        <v>1</v>
      </c>
      <c r="BA242" t="s">
        <v>408</v>
      </c>
      <c r="BB242" t="s">
        <v>541</v>
      </c>
      <c r="BC242" t="s">
        <v>395</v>
      </c>
      <c r="BD242" t="s">
        <v>228</v>
      </c>
      <c r="BE242" t="s">
        <v>522</v>
      </c>
      <c r="BF242" t="s">
        <v>523</v>
      </c>
      <c r="BG242" t="s">
        <v>407</v>
      </c>
      <c r="BH242" t="s">
        <v>544</v>
      </c>
      <c r="BI242" t="s">
        <v>524</v>
      </c>
      <c r="BJ242" t="s">
        <v>228</v>
      </c>
      <c r="BK242" t="s">
        <v>543</v>
      </c>
      <c r="BL242" t="s">
        <v>228</v>
      </c>
      <c r="BM242" t="s">
        <v>228</v>
      </c>
      <c r="BN242" t="s">
        <v>228</v>
      </c>
      <c r="BO242" t="s">
        <v>228</v>
      </c>
      <c r="BP242" t="s">
        <v>228</v>
      </c>
      <c r="BQ242" t="s">
        <v>228</v>
      </c>
      <c r="BR242" t="s">
        <v>228</v>
      </c>
      <c r="BS242" t="s">
        <v>409</v>
      </c>
      <c r="BT242">
        <v>1</v>
      </c>
    </row>
    <row r="243" spans="1:72" x14ac:dyDescent="0.15">
      <c r="A243" s="43">
        <v>2023</v>
      </c>
      <c r="B243" s="8">
        <v>1</v>
      </c>
      <c r="C243" s="8">
        <v>1</v>
      </c>
      <c r="D243" s="8">
        <v>8</v>
      </c>
      <c r="E243" s="8" t="s">
        <v>228</v>
      </c>
      <c r="F243" s="8" t="s">
        <v>57</v>
      </c>
      <c r="G243" s="8">
        <v>2016</v>
      </c>
      <c r="H243" s="8">
        <v>12</v>
      </c>
      <c r="I243" s="8" t="s">
        <v>521</v>
      </c>
      <c r="J243" s="8" t="s">
        <v>228</v>
      </c>
      <c r="K243" s="8">
        <v>1983</v>
      </c>
      <c r="L243" s="17">
        <v>1</v>
      </c>
      <c r="M243" s="8">
        <v>1</v>
      </c>
      <c r="N243" s="8" t="s">
        <v>48</v>
      </c>
      <c r="O243" s="8" t="s">
        <v>283</v>
      </c>
      <c r="P243" s="8" t="s">
        <v>217</v>
      </c>
      <c r="Q243" s="8">
        <v>3000</v>
      </c>
      <c r="R243" s="8" t="s">
        <v>57</v>
      </c>
      <c r="S243" s="8" t="s">
        <v>53</v>
      </c>
      <c r="T243" s="8" t="s">
        <v>69</v>
      </c>
      <c r="U243" s="8" t="s">
        <v>228</v>
      </c>
      <c r="V243" s="8">
        <v>500</v>
      </c>
      <c r="W243" s="8" t="s">
        <v>328</v>
      </c>
      <c r="X243" s="8">
        <v>3000</v>
      </c>
      <c r="Y243" s="8" t="s">
        <v>271</v>
      </c>
      <c r="Z243" s="8">
        <v>85</v>
      </c>
      <c r="AA243" s="8" t="s">
        <v>278</v>
      </c>
      <c r="AB243" s="8" t="s">
        <v>247</v>
      </c>
      <c r="AC243" s="8" t="s">
        <v>228</v>
      </c>
      <c r="AD243" s="8" t="s">
        <v>228</v>
      </c>
      <c r="AE243" s="8" t="s">
        <v>228</v>
      </c>
      <c r="AF243" s="8" t="s">
        <v>228</v>
      </c>
      <c r="AG243" s="8" t="s">
        <v>228</v>
      </c>
      <c r="AH243" s="8" t="s">
        <v>228</v>
      </c>
      <c r="AI243" s="8" t="s">
        <v>228</v>
      </c>
      <c r="AJ243" t="s">
        <v>468</v>
      </c>
      <c r="AK243">
        <v>1</v>
      </c>
      <c r="AL243">
        <v>1</v>
      </c>
      <c r="AM243" t="s">
        <v>93</v>
      </c>
      <c r="AN243" t="s">
        <v>228</v>
      </c>
      <c r="AO243" t="s">
        <v>526</v>
      </c>
      <c r="AP243" t="s">
        <v>109</v>
      </c>
      <c r="AQ243">
        <v>12</v>
      </c>
      <c r="AR243" t="s">
        <v>521</v>
      </c>
      <c r="AS243" t="s">
        <v>228</v>
      </c>
      <c r="AT243" t="s">
        <v>140</v>
      </c>
      <c r="AU243">
        <v>1</v>
      </c>
      <c r="AV243">
        <v>1</v>
      </c>
      <c r="AW243" t="s">
        <v>406</v>
      </c>
      <c r="AX243" t="s">
        <v>283</v>
      </c>
      <c r="AY243" t="s">
        <v>217</v>
      </c>
      <c r="AZ243">
        <v>1</v>
      </c>
      <c r="BA243" t="s">
        <v>408</v>
      </c>
      <c r="BB243" t="s">
        <v>542</v>
      </c>
      <c r="BC243" t="s">
        <v>395</v>
      </c>
      <c r="BD243" t="s">
        <v>228</v>
      </c>
      <c r="BE243" t="s">
        <v>522</v>
      </c>
      <c r="BF243" t="s">
        <v>523</v>
      </c>
      <c r="BG243" t="s">
        <v>407</v>
      </c>
      <c r="BH243" t="s">
        <v>544</v>
      </c>
      <c r="BI243" t="s">
        <v>524</v>
      </c>
      <c r="BJ243" t="s">
        <v>228</v>
      </c>
      <c r="BK243" t="s">
        <v>543</v>
      </c>
      <c r="BL243" t="s">
        <v>228</v>
      </c>
      <c r="BM243" t="s">
        <v>228</v>
      </c>
      <c r="BN243" t="s">
        <v>228</v>
      </c>
      <c r="BO243" t="s">
        <v>228</v>
      </c>
      <c r="BP243" t="s">
        <v>228</v>
      </c>
      <c r="BQ243" t="s">
        <v>228</v>
      </c>
      <c r="BR243" t="s">
        <v>228</v>
      </c>
      <c r="BS243" t="s">
        <v>409</v>
      </c>
      <c r="BT243">
        <v>1</v>
      </c>
    </row>
    <row r="244" spans="1:72" x14ac:dyDescent="0.15">
      <c r="A244" s="43">
        <v>2023</v>
      </c>
      <c r="B244" s="8">
        <v>1</v>
      </c>
      <c r="C244" s="8">
        <v>1</v>
      </c>
      <c r="D244" s="8">
        <v>8</v>
      </c>
      <c r="E244" s="8" t="s">
        <v>228</v>
      </c>
      <c r="F244" s="8" t="s">
        <v>57</v>
      </c>
      <c r="G244" s="8">
        <v>2016</v>
      </c>
      <c r="H244" s="8">
        <v>12</v>
      </c>
      <c r="I244" s="8" t="s">
        <v>521</v>
      </c>
      <c r="J244" s="8" t="s">
        <v>228</v>
      </c>
      <c r="K244" s="8">
        <v>1983</v>
      </c>
      <c r="L244" s="17">
        <v>1</v>
      </c>
      <c r="M244" s="8">
        <v>1</v>
      </c>
      <c r="N244" s="8" t="s">
        <v>48</v>
      </c>
      <c r="O244" s="8" t="s">
        <v>283</v>
      </c>
      <c r="P244" s="8" t="s">
        <v>217</v>
      </c>
      <c r="Q244" s="8">
        <v>3000</v>
      </c>
      <c r="R244" s="8" t="s">
        <v>57</v>
      </c>
      <c r="S244" s="8" t="s">
        <v>52</v>
      </c>
      <c r="T244" s="8" t="s">
        <v>69</v>
      </c>
      <c r="U244" s="8" t="s">
        <v>228</v>
      </c>
      <c r="V244" s="8">
        <v>500</v>
      </c>
      <c r="W244" s="8" t="s">
        <v>328</v>
      </c>
      <c r="X244" s="8">
        <v>3000</v>
      </c>
      <c r="Y244" s="8" t="s">
        <v>271</v>
      </c>
      <c r="Z244" s="8">
        <v>85</v>
      </c>
      <c r="AA244" s="8" t="s">
        <v>278</v>
      </c>
      <c r="AB244" s="8" t="s">
        <v>247</v>
      </c>
      <c r="AC244" s="8" t="s">
        <v>228</v>
      </c>
      <c r="AD244" s="8" t="s">
        <v>228</v>
      </c>
      <c r="AE244" s="8" t="s">
        <v>228</v>
      </c>
      <c r="AF244" s="8" t="s">
        <v>228</v>
      </c>
      <c r="AG244" s="8" t="s">
        <v>228</v>
      </c>
      <c r="AH244" s="8" t="s">
        <v>228</v>
      </c>
      <c r="AI244" s="8" t="s">
        <v>228</v>
      </c>
      <c r="AJ244" t="s">
        <v>468</v>
      </c>
      <c r="AK244">
        <v>1</v>
      </c>
      <c r="AL244">
        <v>1</v>
      </c>
      <c r="AM244" t="s">
        <v>93</v>
      </c>
      <c r="AN244" t="s">
        <v>228</v>
      </c>
      <c r="AO244" t="s">
        <v>526</v>
      </c>
      <c r="AP244" t="s">
        <v>109</v>
      </c>
      <c r="AQ244">
        <v>12</v>
      </c>
      <c r="AR244" t="s">
        <v>521</v>
      </c>
      <c r="AS244" t="s">
        <v>228</v>
      </c>
      <c r="AT244" t="s">
        <v>140</v>
      </c>
      <c r="AU244">
        <v>1</v>
      </c>
      <c r="AV244">
        <v>1</v>
      </c>
      <c r="AW244" t="s">
        <v>406</v>
      </c>
      <c r="AX244" t="s">
        <v>283</v>
      </c>
      <c r="AY244" t="s">
        <v>217</v>
      </c>
      <c r="AZ244">
        <v>1</v>
      </c>
      <c r="BA244" t="s">
        <v>408</v>
      </c>
      <c r="BB244" t="s">
        <v>405</v>
      </c>
      <c r="BC244" t="s">
        <v>395</v>
      </c>
      <c r="BD244" t="s">
        <v>228</v>
      </c>
      <c r="BE244" t="s">
        <v>522</v>
      </c>
      <c r="BF244" t="s">
        <v>523</v>
      </c>
      <c r="BG244" t="s">
        <v>407</v>
      </c>
      <c r="BH244" t="s">
        <v>544</v>
      </c>
      <c r="BI244" t="s">
        <v>524</v>
      </c>
      <c r="BJ244" t="s">
        <v>228</v>
      </c>
      <c r="BK244" t="s">
        <v>543</v>
      </c>
      <c r="BL244" t="s">
        <v>228</v>
      </c>
      <c r="BM244" t="s">
        <v>228</v>
      </c>
      <c r="BN244" t="s">
        <v>228</v>
      </c>
      <c r="BO244" t="s">
        <v>228</v>
      </c>
      <c r="BP244" t="s">
        <v>228</v>
      </c>
      <c r="BQ244" t="s">
        <v>228</v>
      </c>
      <c r="BR244" t="s">
        <v>228</v>
      </c>
      <c r="BS244" t="s">
        <v>409</v>
      </c>
      <c r="BT244">
        <v>0</v>
      </c>
    </row>
    <row r="245" spans="1:72" x14ac:dyDescent="0.15">
      <c r="A245" s="43">
        <v>2023</v>
      </c>
      <c r="B245" s="8">
        <v>1</v>
      </c>
      <c r="C245" s="8">
        <v>1</v>
      </c>
      <c r="D245" s="8">
        <v>7</v>
      </c>
      <c r="E245" s="8" t="s">
        <v>228</v>
      </c>
      <c r="F245" s="8" t="s">
        <v>57</v>
      </c>
      <c r="G245" s="8">
        <v>2016</v>
      </c>
      <c r="H245" s="8">
        <v>12</v>
      </c>
      <c r="I245" s="8" t="s">
        <v>521</v>
      </c>
      <c r="J245" s="8" t="s">
        <v>228</v>
      </c>
      <c r="K245" s="8">
        <v>1983</v>
      </c>
      <c r="L245" s="17">
        <v>1</v>
      </c>
      <c r="M245" s="8">
        <v>1</v>
      </c>
      <c r="N245" s="8" t="s">
        <v>48</v>
      </c>
      <c r="O245" s="8" t="s">
        <v>283</v>
      </c>
      <c r="P245" s="8" t="s">
        <v>217</v>
      </c>
      <c r="Q245" s="8">
        <v>3000</v>
      </c>
      <c r="R245" s="8" t="s">
        <v>57</v>
      </c>
      <c r="S245" s="8" t="s">
        <v>54</v>
      </c>
      <c r="T245" s="8" t="s">
        <v>69</v>
      </c>
      <c r="U245" s="8" t="s">
        <v>228</v>
      </c>
      <c r="V245" s="8">
        <v>500</v>
      </c>
      <c r="W245" s="8" t="s">
        <v>328</v>
      </c>
      <c r="X245" s="8">
        <v>3000</v>
      </c>
      <c r="Y245" s="8" t="s">
        <v>268</v>
      </c>
      <c r="Z245" s="8">
        <v>85</v>
      </c>
      <c r="AA245" s="8" t="s">
        <v>278</v>
      </c>
      <c r="AB245" s="8" t="s">
        <v>228</v>
      </c>
      <c r="AC245" s="8" t="s">
        <v>228</v>
      </c>
      <c r="AD245" s="8" t="s">
        <v>228</v>
      </c>
      <c r="AE245" s="8" t="s">
        <v>228</v>
      </c>
      <c r="AF245" s="8" t="s">
        <v>228</v>
      </c>
      <c r="AG245" s="8" t="s">
        <v>228</v>
      </c>
      <c r="AH245" s="8" t="s">
        <v>228</v>
      </c>
      <c r="AI245" s="8" t="s">
        <v>228</v>
      </c>
      <c r="AJ245" t="s">
        <v>468</v>
      </c>
      <c r="AK245">
        <v>1</v>
      </c>
      <c r="AL245">
        <v>1</v>
      </c>
      <c r="AM245" t="s">
        <v>94</v>
      </c>
      <c r="AN245" t="s">
        <v>228</v>
      </c>
      <c r="AO245" t="s">
        <v>526</v>
      </c>
      <c r="AP245" t="s">
        <v>109</v>
      </c>
      <c r="AQ245">
        <v>12</v>
      </c>
      <c r="AR245" t="s">
        <v>521</v>
      </c>
      <c r="AS245" t="s">
        <v>228</v>
      </c>
      <c r="AT245" t="s">
        <v>140</v>
      </c>
      <c r="AU245">
        <v>1</v>
      </c>
      <c r="AV245">
        <v>1</v>
      </c>
      <c r="AW245" t="s">
        <v>406</v>
      </c>
      <c r="AX245" t="s">
        <v>283</v>
      </c>
      <c r="AY245" t="s">
        <v>217</v>
      </c>
      <c r="AZ245">
        <v>1</v>
      </c>
      <c r="BA245" t="s">
        <v>408</v>
      </c>
      <c r="BB245" t="s">
        <v>541</v>
      </c>
      <c r="BC245" t="s">
        <v>395</v>
      </c>
      <c r="BD245" t="s">
        <v>228</v>
      </c>
      <c r="BE245" t="s">
        <v>522</v>
      </c>
      <c r="BF245" t="s">
        <v>523</v>
      </c>
      <c r="BG245" t="s">
        <v>407</v>
      </c>
      <c r="BH245" t="s">
        <v>396</v>
      </c>
      <c r="BI245" t="s">
        <v>524</v>
      </c>
      <c r="BJ245" t="s">
        <v>228</v>
      </c>
      <c r="BK245" t="s">
        <v>228</v>
      </c>
      <c r="BL245" t="s">
        <v>228</v>
      </c>
      <c r="BM245" t="s">
        <v>228</v>
      </c>
      <c r="BN245" t="s">
        <v>228</v>
      </c>
      <c r="BO245" t="s">
        <v>228</v>
      </c>
      <c r="BP245" t="s">
        <v>228</v>
      </c>
      <c r="BQ245" t="s">
        <v>228</v>
      </c>
      <c r="BR245" t="s">
        <v>228</v>
      </c>
      <c r="BS245" t="s">
        <v>409</v>
      </c>
      <c r="BT245">
        <v>1</v>
      </c>
    </row>
    <row r="246" spans="1:72" x14ac:dyDescent="0.15">
      <c r="A246" s="43">
        <v>2023</v>
      </c>
      <c r="B246" s="8">
        <v>1</v>
      </c>
      <c r="C246" s="8">
        <v>1</v>
      </c>
      <c r="D246" s="8">
        <v>7</v>
      </c>
      <c r="E246" s="8" t="s">
        <v>228</v>
      </c>
      <c r="F246" s="8" t="s">
        <v>57</v>
      </c>
      <c r="G246" s="8">
        <v>2016</v>
      </c>
      <c r="H246" s="8">
        <v>12</v>
      </c>
      <c r="I246" s="8" t="s">
        <v>521</v>
      </c>
      <c r="J246" s="8" t="s">
        <v>228</v>
      </c>
      <c r="K246" s="8">
        <v>1983</v>
      </c>
      <c r="L246" s="17">
        <v>1</v>
      </c>
      <c r="M246" s="8">
        <v>1</v>
      </c>
      <c r="N246" s="8" t="s">
        <v>48</v>
      </c>
      <c r="O246" s="8" t="s">
        <v>283</v>
      </c>
      <c r="P246" s="8" t="s">
        <v>217</v>
      </c>
      <c r="Q246" s="8">
        <v>3000</v>
      </c>
      <c r="R246" s="8" t="s">
        <v>57</v>
      </c>
      <c r="S246" s="8" t="s">
        <v>53</v>
      </c>
      <c r="T246" s="8" t="s">
        <v>69</v>
      </c>
      <c r="U246" s="8" t="s">
        <v>228</v>
      </c>
      <c r="V246" s="8">
        <v>500</v>
      </c>
      <c r="W246" s="8" t="s">
        <v>328</v>
      </c>
      <c r="X246" s="8">
        <v>3000</v>
      </c>
      <c r="Y246" s="8" t="s">
        <v>268</v>
      </c>
      <c r="Z246" s="8">
        <v>85</v>
      </c>
      <c r="AA246" s="8" t="s">
        <v>278</v>
      </c>
      <c r="AB246" s="8" t="s">
        <v>228</v>
      </c>
      <c r="AC246" s="8" t="s">
        <v>228</v>
      </c>
      <c r="AD246" s="8" t="s">
        <v>228</v>
      </c>
      <c r="AE246" s="8" t="s">
        <v>228</v>
      </c>
      <c r="AF246" s="8" t="s">
        <v>228</v>
      </c>
      <c r="AG246" s="8" t="s">
        <v>228</v>
      </c>
      <c r="AH246" s="8" t="s">
        <v>228</v>
      </c>
      <c r="AI246" s="8" t="s">
        <v>228</v>
      </c>
      <c r="AJ246" t="s">
        <v>468</v>
      </c>
      <c r="AK246">
        <v>1</v>
      </c>
      <c r="AL246">
        <v>1</v>
      </c>
      <c r="AM246" t="s">
        <v>94</v>
      </c>
      <c r="AN246" t="s">
        <v>228</v>
      </c>
      <c r="AO246" t="s">
        <v>526</v>
      </c>
      <c r="AP246" t="s">
        <v>109</v>
      </c>
      <c r="AQ246">
        <v>12</v>
      </c>
      <c r="AR246" t="s">
        <v>521</v>
      </c>
      <c r="AS246" t="s">
        <v>228</v>
      </c>
      <c r="AT246" t="s">
        <v>140</v>
      </c>
      <c r="AU246">
        <v>1</v>
      </c>
      <c r="AV246">
        <v>1</v>
      </c>
      <c r="AW246" t="s">
        <v>406</v>
      </c>
      <c r="AX246" t="s">
        <v>283</v>
      </c>
      <c r="AY246" t="s">
        <v>217</v>
      </c>
      <c r="AZ246">
        <v>1</v>
      </c>
      <c r="BA246" t="s">
        <v>408</v>
      </c>
      <c r="BB246" t="s">
        <v>542</v>
      </c>
      <c r="BC246" t="s">
        <v>395</v>
      </c>
      <c r="BD246" t="s">
        <v>228</v>
      </c>
      <c r="BE246" t="s">
        <v>522</v>
      </c>
      <c r="BF246" t="s">
        <v>523</v>
      </c>
      <c r="BG246" t="s">
        <v>407</v>
      </c>
      <c r="BH246" t="s">
        <v>396</v>
      </c>
      <c r="BI246" t="s">
        <v>524</v>
      </c>
      <c r="BJ246" t="s">
        <v>228</v>
      </c>
      <c r="BK246" t="s">
        <v>228</v>
      </c>
      <c r="BL246" t="s">
        <v>228</v>
      </c>
      <c r="BM246" t="s">
        <v>228</v>
      </c>
      <c r="BN246" t="s">
        <v>228</v>
      </c>
      <c r="BO246" t="s">
        <v>228</v>
      </c>
      <c r="BP246" t="s">
        <v>228</v>
      </c>
      <c r="BQ246" t="s">
        <v>228</v>
      </c>
      <c r="BR246" t="s">
        <v>228</v>
      </c>
      <c r="BS246" t="s">
        <v>409</v>
      </c>
      <c r="BT246">
        <v>1</v>
      </c>
    </row>
    <row r="247" spans="1:72" x14ac:dyDescent="0.15">
      <c r="A247" s="43">
        <v>2023</v>
      </c>
      <c r="B247" s="8">
        <v>1</v>
      </c>
      <c r="C247" s="8">
        <v>1</v>
      </c>
      <c r="D247" s="8">
        <v>7</v>
      </c>
      <c r="E247" s="8" t="s">
        <v>228</v>
      </c>
      <c r="F247" s="8" t="s">
        <v>57</v>
      </c>
      <c r="G247" s="8">
        <v>2016</v>
      </c>
      <c r="H247" s="8">
        <v>12</v>
      </c>
      <c r="I247" s="8" t="s">
        <v>521</v>
      </c>
      <c r="J247" s="8" t="s">
        <v>228</v>
      </c>
      <c r="K247" s="8">
        <v>1983</v>
      </c>
      <c r="L247" s="17">
        <v>1</v>
      </c>
      <c r="M247" s="8">
        <v>1</v>
      </c>
      <c r="N247" s="8" t="s">
        <v>48</v>
      </c>
      <c r="O247" s="8" t="s">
        <v>283</v>
      </c>
      <c r="P247" s="8" t="s">
        <v>217</v>
      </c>
      <c r="Q247" s="8">
        <v>3000</v>
      </c>
      <c r="R247" s="8" t="s">
        <v>57</v>
      </c>
      <c r="S247" s="8" t="s">
        <v>52</v>
      </c>
      <c r="T247" s="8" t="s">
        <v>69</v>
      </c>
      <c r="U247" s="8" t="s">
        <v>228</v>
      </c>
      <c r="V247" s="8">
        <v>500</v>
      </c>
      <c r="W247" s="8" t="s">
        <v>328</v>
      </c>
      <c r="X247" s="8">
        <v>3000</v>
      </c>
      <c r="Y247" s="8" t="s">
        <v>268</v>
      </c>
      <c r="Z247" s="8">
        <v>85</v>
      </c>
      <c r="AA247" s="8" t="s">
        <v>278</v>
      </c>
      <c r="AB247" s="8" t="s">
        <v>228</v>
      </c>
      <c r="AC247" s="8" t="s">
        <v>228</v>
      </c>
      <c r="AD247" s="8" t="s">
        <v>228</v>
      </c>
      <c r="AE247" s="8" t="s">
        <v>228</v>
      </c>
      <c r="AF247" s="8" t="s">
        <v>228</v>
      </c>
      <c r="AG247" s="8" t="s">
        <v>228</v>
      </c>
      <c r="AH247" s="8" t="s">
        <v>228</v>
      </c>
      <c r="AI247" s="8" t="s">
        <v>228</v>
      </c>
      <c r="AJ247" t="s">
        <v>468</v>
      </c>
      <c r="AK247">
        <v>1</v>
      </c>
      <c r="AL247">
        <v>1</v>
      </c>
      <c r="AM247" t="s">
        <v>94</v>
      </c>
      <c r="AN247" t="s">
        <v>228</v>
      </c>
      <c r="AO247" t="s">
        <v>526</v>
      </c>
      <c r="AP247" t="s">
        <v>109</v>
      </c>
      <c r="AQ247">
        <v>12</v>
      </c>
      <c r="AR247" t="s">
        <v>521</v>
      </c>
      <c r="AS247" t="s">
        <v>228</v>
      </c>
      <c r="AT247" t="s">
        <v>140</v>
      </c>
      <c r="AU247">
        <v>1</v>
      </c>
      <c r="AV247">
        <v>1</v>
      </c>
      <c r="AW247" t="s">
        <v>406</v>
      </c>
      <c r="AX247" t="s">
        <v>283</v>
      </c>
      <c r="AY247" t="s">
        <v>217</v>
      </c>
      <c r="AZ247">
        <v>1</v>
      </c>
      <c r="BA247" t="s">
        <v>408</v>
      </c>
      <c r="BB247" t="s">
        <v>405</v>
      </c>
      <c r="BC247" t="s">
        <v>395</v>
      </c>
      <c r="BD247" t="s">
        <v>228</v>
      </c>
      <c r="BE247" t="s">
        <v>522</v>
      </c>
      <c r="BF247" t="s">
        <v>523</v>
      </c>
      <c r="BG247" t="s">
        <v>407</v>
      </c>
      <c r="BH247" t="s">
        <v>396</v>
      </c>
      <c r="BI247" t="s">
        <v>524</v>
      </c>
      <c r="BJ247" t="s">
        <v>228</v>
      </c>
      <c r="BK247" t="s">
        <v>228</v>
      </c>
      <c r="BL247" t="s">
        <v>228</v>
      </c>
      <c r="BM247" t="s">
        <v>228</v>
      </c>
      <c r="BN247" t="s">
        <v>228</v>
      </c>
      <c r="BO247" t="s">
        <v>228</v>
      </c>
      <c r="BP247" t="s">
        <v>228</v>
      </c>
      <c r="BQ247" t="s">
        <v>228</v>
      </c>
      <c r="BR247" t="s">
        <v>228</v>
      </c>
      <c r="BS247" t="s">
        <v>409</v>
      </c>
      <c r="BT247">
        <v>1</v>
      </c>
    </row>
    <row r="248" spans="1:72" x14ac:dyDescent="0.15">
      <c r="A248" s="43">
        <v>2023</v>
      </c>
      <c r="B248" s="8">
        <v>1</v>
      </c>
      <c r="C248" s="8">
        <v>1</v>
      </c>
      <c r="D248" s="8">
        <v>7</v>
      </c>
      <c r="E248" s="8" t="s">
        <v>228</v>
      </c>
      <c r="F248" s="8" t="s">
        <v>57</v>
      </c>
      <c r="G248" s="8">
        <v>2016</v>
      </c>
      <c r="H248" s="8">
        <v>12</v>
      </c>
      <c r="I248" s="8" t="s">
        <v>521</v>
      </c>
      <c r="J248" s="8" t="s">
        <v>228</v>
      </c>
      <c r="K248" s="8">
        <v>1983</v>
      </c>
      <c r="L248" s="17">
        <v>1</v>
      </c>
      <c r="M248" s="8">
        <v>1</v>
      </c>
      <c r="N248" s="8" t="s">
        <v>48</v>
      </c>
      <c r="O248" s="8" t="s">
        <v>283</v>
      </c>
      <c r="P248" s="8" t="s">
        <v>217</v>
      </c>
      <c r="Q248" s="8">
        <v>3000</v>
      </c>
      <c r="R248" s="8" t="s">
        <v>57</v>
      </c>
      <c r="S248" s="8" t="s">
        <v>54</v>
      </c>
      <c r="T248" s="8" t="s">
        <v>69</v>
      </c>
      <c r="U248" s="8" t="s">
        <v>228</v>
      </c>
      <c r="V248" s="8">
        <v>500</v>
      </c>
      <c r="W248" s="8" t="s">
        <v>328</v>
      </c>
      <c r="X248" s="8">
        <v>3000</v>
      </c>
      <c r="Y248" s="8" t="s">
        <v>268</v>
      </c>
      <c r="Z248" s="8">
        <v>85</v>
      </c>
      <c r="AA248" s="8" t="s">
        <v>278</v>
      </c>
      <c r="AB248" s="8" t="s">
        <v>247</v>
      </c>
      <c r="AC248" s="8" t="s">
        <v>228</v>
      </c>
      <c r="AD248" s="8" t="s">
        <v>228</v>
      </c>
      <c r="AE248" s="8" t="s">
        <v>228</v>
      </c>
      <c r="AF248" s="8" t="s">
        <v>228</v>
      </c>
      <c r="AG248" s="8" t="s">
        <v>228</v>
      </c>
      <c r="AH248" s="8" t="s">
        <v>228</v>
      </c>
      <c r="AI248" s="8" t="s">
        <v>228</v>
      </c>
      <c r="AJ248" t="s">
        <v>468</v>
      </c>
      <c r="AK248">
        <v>1</v>
      </c>
      <c r="AL248">
        <v>1</v>
      </c>
      <c r="AM248" t="s">
        <v>94</v>
      </c>
      <c r="AN248" t="s">
        <v>228</v>
      </c>
      <c r="AO248" t="s">
        <v>526</v>
      </c>
      <c r="AP248" t="s">
        <v>109</v>
      </c>
      <c r="AQ248">
        <v>12</v>
      </c>
      <c r="AR248" t="s">
        <v>521</v>
      </c>
      <c r="AS248" t="s">
        <v>228</v>
      </c>
      <c r="AT248" t="s">
        <v>140</v>
      </c>
      <c r="AU248">
        <v>1</v>
      </c>
      <c r="AV248">
        <v>1</v>
      </c>
      <c r="AW248" t="s">
        <v>406</v>
      </c>
      <c r="AX248" t="s">
        <v>283</v>
      </c>
      <c r="AY248" t="s">
        <v>217</v>
      </c>
      <c r="AZ248">
        <v>1</v>
      </c>
      <c r="BA248" t="s">
        <v>408</v>
      </c>
      <c r="BB248" t="s">
        <v>541</v>
      </c>
      <c r="BC248" t="s">
        <v>395</v>
      </c>
      <c r="BD248" t="s">
        <v>228</v>
      </c>
      <c r="BE248" t="s">
        <v>522</v>
      </c>
      <c r="BF248" t="s">
        <v>523</v>
      </c>
      <c r="BG248" t="s">
        <v>407</v>
      </c>
      <c r="BH248" t="s">
        <v>396</v>
      </c>
      <c r="BI248" t="s">
        <v>524</v>
      </c>
      <c r="BJ248" t="s">
        <v>228</v>
      </c>
      <c r="BK248" t="s">
        <v>543</v>
      </c>
      <c r="BL248" t="s">
        <v>228</v>
      </c>
      <c r="BM248" t="s">
        <v>228</v>
      </c>
      <c r="BN248" t="s">
        <v>228</v>
      </c>
      <c r="BO248" t="s">
        <v>228</v>
      </c>
      <c r="BP248" t="s">
        <v>228</v>
      </c>
      <c r="BQ248" t="s">
        <v>228</v>
      </c>
      <c r="BR248" t="s">
        <v>228</v>
      </c>
      <c r="BS248" t="s">
        <v>409</v>
      </c>
      <c r="BT248">
        <v>1</v>
      </c>
    </row>
    <row r="249" spans="1:72" x14ac:dyDescent="0.15">
      <c r="A249" s="43">
        <v>2023</v>
      </c>
      <c r="B249" s="8">
        <v>1</v>
      </c>
      <c r="C249" s="8">
        <v>1</v>
      </c>
      <c r="D249" s="8">
        <v>7</v>
      </c>
      <c r="E249" s="8" t="s">
        <v>228</v>
      </c>
      <c r="F249" s="8" t="s">
        <v>57</v>
      </c>
      <c r="G249" s="8">
        <v>2016</v>
      </c>
      <c r="H249" s="8">
        <v>12</v>
      </c>
      <c r="I249" s="8" t="s">
        <v>521</v>
      </c>
      <c r="J249" s="8" t="s">
        <v>228</v>
      </c>
      <c r="K249" s="8">
        <v>1983</v>
      </c>
      <c r="L249" s="17">
        <v>1</v>
      </c>
      <c r="M249" s="8">
        <v>1</v>
      </c>
      <c r="N249" s="8" t="s">
        <v>48</v>
      </c>
      <c r="O249" s="8" t="s">
        <v>283</v>
      </c>
      <c r="P249" s="8" t="s">
        <v>217</v>
      </c>
      <c r="Q249" s="8">
        <v>3000</v>
      </c>
      <c r="R249" s="8" t="s">
        <v>57</v>
      </c>
      <c r="S249" s="8" t="s">
        <v>53</v>
      </c>
      <c r="T249" s="8" t="s">
        <v>69</v>
      </c>
      <c r="U249" s="8" t="s">
        <v>228</v>
      </c>
      <c r="V249" s="8">
        <v>500</v>
      </c>
      <c r="W249" s="8" t="s">
        <v>328</v>
      </c>
      <c r="X249" s="8">
        <v>3000</v>
      </c>
      <c r="Y249" s="8" t="s">
        <v>268</v>
      </c>
      <c r="Z249" s="8">
        <v>85</v>
      </c>
      <c r="AA249" s="8" t="s">
        <v>278</v>
      </c>
      <c r="AB249" s="8" t="s">
        <v>247</v>
      </c>
      <c r="AC249" s="8" t="s">
        <v>228</v>
      </c>
      <c r="AD249" s="8" t="s">
        <v>228</v>
      </c>
      <c r="AE249" s="8" t="s">
        <v>228</v>
      </c>
      <c r="AF249" s="8" t="s">
        <v>228</v>
      </c>
      <c r="AG249" s="8" t="s">
        <v>228</v>
      </c>
      <c r="AH249" s="8" t="s">
        <v>228</v>
      </c>
      <c r="AI249" s="8" t="s">
        <v>228</v>
      </c>
      <c r="AJ249" t="s">
        <v>468</v>
      </c>
      <c r="AK249">
        <v>1</v>
      </c>
      <c r="AL249">
        <v>1</v>
      </c>
      <c r="AM249" t="s">
        <v>94</v>
      </c>
      <c r="AN249" t="s">
        <v>228</v>
      </c>
      <c r="AO249" t="s">
        <v>526</v>
      </c>
      <c r="AP249" t="s">
        <v>109</v>
      </c>
      <c r="AQ249">
        <v>12</v>
      </c>
      <c r="AR249" t="s">
        <v>521</v>
      </c>
      <c r="AS249" t="s">
        <v>228</v>
      </c>
      <c r="AT249" t="s">
        <v>140</v>
      </c>
      <c r="AU249">
        <v>1</v>
      </c>
      <c r="AV249">
        <v>1</v>
      </c>
      <c r="AW249" t="s">
        <v>406</v>
      </c>
      <c r="AX249" t="s">
        <v>283</v>
      </c>
      <c r="AY249" t="s">
        <v>217</v>
      </c>
      <c r="AZ249">
        <v>1</v>
      </c>
      <c r="BA249" t="s">
        <v>408</v>
      </c>
      <c r="BB249" t="s">
        <v>542</v>
      </c>
      <c r="BC249" t="s">
        <v>395</v>
      </c>
      <c r="BD249" t="s">
        <v>228</v>
      </c>
      <c r="BE249" t="s">
        <v>522</v>
      </c>
      <c r="BF249" t="s">
        <v>523</v>
      </c>
      <c r="BG249" t="s">
        <v>407</v>
      </c>
      <c r="BH249" t="s">
        <v>396</v>
      </c>
      <c r="BI249" t="s">
        <v>524</v>
      </c>
      <c r="BJ249" t="s">
        <v>228</v>
      </c>
      <c r="BK249" t="s">
        <v>543</v>
      </c>
      <c r="BL249" t="s">
        <v>228</v>
      </c>
      <c r="BM249" t="s">
        <v>228</v>
      </c>
      <c r="BN249" t="s">
        <v>228</v>
      </c>
      <c r="BO249" t="s">
        <v>228</v>
      </c>
      <c r="BP249" t="s">
        <v>228</v>
      </c>
      <c r="BQ249" t="s">
        <v>228</v>
      </c>
      <c r="BR249" t="s">
        <v>228</v>
      </c>
      <c r="BS249" t="s">
        <v>409</v>
      </c>
      <c r="BT249">
        <v>1</v>
      </c>
    </row>
    <row r="250" spans="1:72" x14ac:dyDescent="0.15">
      <c r="A250" s="43">
        <v>2023</v>
      </c>
      <c r="B250" s="8">
        <v>1</v>
      </c>
      <c r="C250" s="8">
        <v>1</v>
      </c>
      <c r="D250" s="8">
        <v>7</v>
      </c>
      <c r="E250" s="8" t="s">
        <v>228</v>
      </c>
      <c r="F250" s="8" t="s">
        <v>57</v>
      </c>
      <c r="G250" s="8">
        <v>2016</v>
      </c>
      <c r="H250" s="8">
        <v>12</v>
      </c>
      <c r="I250" s="8" t="s">
        <v>521</v>
      </c>
      <c r="J250" s="8" t="s">
        <v>228</v>
      </c>
      <c r="K250" s="8">
        <v>1983</v>
      </c>
      <c r="L250" s="17">
        <v>1</v>
      </c>
      <c r="M250" s="8">
        <v>1</v>
      </c>
      <c r="N250" s="8" t="s">
        <v>48</v>
      </c>
      <c r="O250" s="8" t="s">
        <v>283</v>
      </c>
      <c r="P250" s="8" t="s">
        <v>217</v>
      </c>
      <c r="Q250" s="8">
        <v>3000</v>
      </c>
      <c r="R250" s="8" t="s">
        <v>57</v>
      </c>
      <c r="S250" s="8" t="s">
        <v>52</v>
      </c>
      <c r="T250" s="8" t="s">
        <v>69</v>
      </c>
      <c r="U250" s="8" t="s">
        <v>228</v>
      </c>
      <c r="V250" s="8">
        <v>500</v>
      </c>
      <c r="W250" s="8" t="s">
        <v>328</v>
      </c>
      <c r="X250" s="8">
        <v>3000</v>
      </c>
      <c r="Y250" s="8" t="s">
        <v>268</v>
      </c>
      <c r="Z250" s="8">
        <v>85</v>
      </c>
      <c r="AA250" s="8" t="s">
        <v>278</v>
      </c>
      <c r="AB250" s="8" t="s">
        <v>247</v>
      </c>
      <c r="AC250" s="8" t="s">
        <v>228</v>
      </c>
      <c r="AD250" s="8" t="s">
        <v>228</v>
      </c>
      <c r="AE250" s="8" t="s">
        <v>228</v>
      </c>
      <c r="AF250" s="8" t="s">
        <v>228</v>
      </c>
      <c r="AG250" s="8" t="s">
        <v>228</v>
      </c>
      <c r="AH250" s="8" t="s">
        <v>228</v>
      </c>
      <c r="AI250" s="8" t="s">
        <v>228</v>
      </c>
      <c r="AJ250" t="s">
        <v>468</v>
      </c>
      <c r="AK250">
        <v>1</v>
      </c>
      <c r="AL250">
        <v>1</v>
      </c>
      <c r="AM250" t="s">
        <v>94</v>
      </c>
      <c r="AN250" t="s">
        <v>228</v>
      </c>
      <c r="AO250" t="s">
        <v>526</v>
      </c>
      <c r="AP250" t="s">
        <v>109</v>
      </c>
      <c r="AQ250">
        <v>12</v>
      </c>
      <c r="AR250" t="s">
        <v>521</v>
      </c>
      <c r="AS250" t="s">
        <v>228</v>
      </c>
      <c r="AT250" t="s">
        <v>140</v>
      </c>
      <c r="AU250">
        <v>1</v>
      </c>
      <c r="AV250">
        <v>1</v>
      </c>
      <c r="AW250" t="s">
        <v>406</v>
      </c>
      <c r="AX250" t="s">
        <v>283</v>
      </c>
      <c r="AY250" t="s">
        <v>217</v>
      </c>
      <c r="AZ250">
        <v>1</v>
      </c>
      <c r="BA250" t="s">
        <v>408</v>
      </c>
      <c r="BB250" t="s">
        <v>405</v>
      </c>
      <c r="BC250" t="s">
        <v>395</v>
      </c>
      <c r="BD250" t="s">
        <v>228</v>
      </c>
      <c r="BE250" t="s">
        <v>522</v>
      </c>
      <c r="BF250" t="s">
        <v>523</v>
      </c>
      <c r="BG250" t="s">
        <v>407</v>
      </c>
      <c r="BH250" t="s">
        <v>396</v>
      </c>
      <c r="BI250" t="s">
        <v>524</v>
      </c>
      <c r="BJ250" t="s">
        <v>228</v>
      </c>
      <c r="BK250" t="s">
        <v>543</v>
      </c>
      <c r="BL250" t="s">
        <v>228</v>
      </c>
      <c r="BM250" t="s">
        <v>228</v>
      </c>
      <c r="BN250" t="s">
        <v>228</v>
      </c>
      <c r="BO250" t="s">
        <v>228</v>
      </c>
      <c r="BP250" t="s">
        <v>228</v>
      </c>
      <c r="BQ250" t="s">
        <v>228</v>
      </c>
      <c r="BR250" t="s">
        <v>228</v>
      </c>
      <c r="BS250" t="s">
        <v>409</v>
      </c>
      <c r="BT250">
        <v>1</v>
      </c>
    </row>
    <row r="251" spans="1:72" x14ac:dyDescent="0.15">
      <c r="A251" s="43">
        <v>2023</v>
      </c>
      <c r="B251" s="8">
        <v>1</v>
      </c>
      <c r="C251" s="8">
        <v>1</v>
      </c>
      <c r="D251" s="8">
        <v>7</v>
      </c>
      <c r="E251" s="8" t="s">
        <v>228</v>
      </c>
      <c r="F251" s="8" t="s">
        <v>57</v>
      </c>
      <c r="G251" s="8">
        <v>2016</v>
      </c>
      <c r="H251" s="8">
        <v>12</v>
      </c>
      <c r="I251" s="8" t="s">
        <v>521</v>
      </c>
      <c r="J251" s="8" t="s">
        <v>228</v>
      </c>
      <c r="K251" s="8">
        <v>1983</v>
      </c>
      <c r="L251" s="17">
        <v>1</v>
      </c>
      <c r="M251" s="8">
        <v>1</v>
      </c>
      <c r="N251" s="8" t="s">
        <v>48</v>
      </c>
      <c r="O251" s="8" t="s">
        <v>283</v>
      </c>
      <c r="P251" s="8" t="s">
        <v>217</v>
      </c>
      <c r="Q251" s="8">
        <v>3000</v>
      </c>
      <c r="R251" s="8" t="s">
        <v>57</v>
      </c>
      <c r="S251" s="8" t="s">
        <v>54</v>
      </c>
      <c r="T251" s="8" t="s">
        <v>69</v>
      </c>
      <c r="U251" s="8" t="s">
        <v>228</v>
      </c>
      <c r="V251" s="8">
        <v>500</v>
      </c>
      <c r="W251" s="8" t="s">
        <v>328</v>
      </c>
      <c r="X251" s="8">
        <v>3000</v>
      </c>
      <c r="Y251" s="8" t="s">
        <v>271</v>
      </c>
      <c r="Z251" s="8">
        <v>85</v>
      </c>
      <c r="AA251" s="8" t="s">
        <v>278</v>
      </c>
      <c r="AB251" s="8" t="s">
        <v>228</v>
      </c>
      <c r="AC251" s="8" t="s">
        <v>228</v>
      </c>
      <c r="AD251" s="8" t="s">
        <v>228</v>
      </c>
      <c r="AE251" s="8" t="s">
        <v>228</v>
      </c>
      <c r="AF251" s="8" t="s">
        <v>228</v>
      </c>
      <c r="AG251" s="8" t="s">
        <v>228</v>
      </c>
      <c r="AH251" s="8" t="s">
        <v>228</v>
      </c>
      <c r="AI251" s="8" t="s">
        <v>228</v>
      </c>
      <c r="AJ251" t="s">
        <v>468</v>
      </c>
      <c r="AK251">
        <v>1</v>
      </c>
      <c r="AL251">
        <v>1</v>
      </c>
      <c r="AM251" t="s">
        <v>94</v>
      </c>
      <c r="AN251" t="s">
        <v>228</v>
      </c>
      <c r="AO251" t="s">
        <v>526</v>
      </c>
      <c r="AP251" t="s">
        <v>109</v>
      </c>
      <c r="AQ251">
        <v>12</v>
      </c>
      <c r="AR251" t="s">
        <v>521</v>
      </c>
      <c r="AS251" t="s">
        <v>228</v>
      </c>
      <c r="AT251" t="s">
        <v>140</v>
      </c>
      <c r="AU251">
        <v>1</v>
      </c>
      <c r="AV251">
        <v>1</v>
      </c>
      <c r="AW251" t="s">
        <v>406</v>
      </c>
      <c r="AX251" t="s">
        <v>283</v>
      </c>
      <c r="AY251" t="s">
        <v>217</v>
      </c>
      <c r="AZ251">
        <v>1</v>
      </c>
      <c r="BA251" t="s">
        <v>408</v>
      </c>
      <c r="BB251" t="s">
        <v>541</v>
      </c>
      <c r="BC251" t="s">
        <v>395</v>
      </c>
      <c r="BD251" t="s">
        <v>228</v>
      </c>
      <c r="BE251" t="s">
        <v>522</v>
      </c>
      <c r="BF251" t="s">
        <v>523</v>
      </c>
      <c r="BG251" t="s">
        <v>407</v>
      </c>
      <c r="BH251" t="s">
        <v>544</v>
      </c>
      <c r="BI251" t="s">
        <v>524</v>
      </c>
      <c r="BJ251" t="s">
        <v>228</v>
      </c>
      <c r="BK251" t="s">
        <v>228</v>
      </c>
      <c r="BL251" t="s">
        <v>228</v>
      </c>
      <c r="BM251" t="s">
        <v>228</v>
      </c>
      <c r="BN251" t="s">
        <v>228</v>
      </c>
      <c r="BO251" t="s">
        <v>228</v>
      </c>
      <c r="BP251" t="s">
        <v>228</v>
      </c>
      <c r="BQ251" t="s">
        <v>228</v>
      </c>
      <c r="BR251" t="s">
        <v>228</v>
      </c>
      <c r="BS251" t="s">
        <v>409</v>
      </c>
      <c r="BT251">
        <v>1</v>
      </c>
    </row>
    <row r="252" spans="1:72" x14ac:dyDescent="0.15">
      <c r="A252" s="43">
        <v>2023</v>
      </c>
      <c r="B252" s="8">
        <v>1</v>
      </c>
      <c r="C252" s="8">
        <v>1</v>
      </c>
      <c r="D252" s="8">
        <v>7</v>
      </c>
      <c r="E252" s="8" t="s">
        <v>228</v>
      </c>
      <c r="F252" s="8" t="s">
        <v>57</v>
      </c>
      <c r="G252" s="8">
        <v>2016</v>
      </c>
      <c r="H252" s="8">
        <v>12</v>
      </c>
      <c r="I252" s="8" t="s">
        <v>521</v>
      </c>
      <c r="J252" s="8" t="s">
        <v>228</v>
      </c>
      <c r="K252" s="8">
        <v>1983</v>
      </c>
      <c r="L252" s="17">
        <v>1</v>
      </c>
      <c r="M252" s="8">
        <v>1</v>
      </c>
      <c r="N252" s="8" t="s">
        <v>48</v>
      </c>
      <c r="O252" s="8" t="s">
        <v>283</v>
      </c>
      <c r="P252" s="8" t="s">
        <v>217</v>
      </c>
      <c r="Q252" s="8">
        <v>3000</v>
      </c>
      <c r="R252" s="8" t="s">
        <v>57</v>
      </c>
      <c r="S252" s="8" t="s">
        <v>53</v>
      </c>
      <c r="T252" s="8" t="s">
        <v>69</v>
      </c>
      <c r="U252" s="8" t="s">
        <v>228</v>
      </c>
      <c r="V252" s="8">
        <v>500</v>
      </c>
      <c r="W252" s="8" t="s">
        <v>328</v>
      </c>
      <c r="X252" s="8">
        <v>3000</v>
      </c>
      <c r="Y252" s="8" t="s">
        <v>271</v>
      </c>
      <c r="Z252" s="8">
        <v>85</v>
      </c>
      <c r="AA252" s="8" t="s">
        <v>278</v>
      </c>
      <c r="AB252" s="8" t="s">
        <v>228</v>
      </c>
      <c r="AC252" s="8" t="s">
        <v>228</v>
      </c>
      <c r="AD252" s="8" t="s">
        <v>228</v>
      </c>
      <c r="AE252" s="8" t="s">
        <v>228</v>
      </c>
      <c r="AF252" s="8" t="s">
        <v>228</v>
      </c>
      <c r="AG252" s="8" t="s">
        <v>228</v>
      </c>
      <c r="AH252" s="8" t="s">
        <v>228</v>
      </c>
      <c r="AI252" s="8" t="s">
        <v>228</v>
      </c>
      <c r="AJ252" t="s">
        <v>468</v>
      </c>
      <c r="AK252">
        <v>1</v>
      </c>
      <c r="AL252">
        <v>1</v>
      </c>
      <c r="AM252" t="s">
        <v>94</v>
      </c>
      <c r="AN252" t="s">
        <v>228</v>
      </c>
      <c r="AO252" t="s">
        <v>526</v>
      </c>
      <c r="AP252" t="s">
        <v>109</v>
      </c>
      <c r="AQ252">
        <v>12</v>
      </c>
      <c r="AR252" t="s">
        <v>521</v>
      </c>
      <c r="AS252" t="s">
        <v>228</v>
      </c>
      <c r="AT252" t="s">
        <v>140</v>
      </c>
      <c r="AU252">
        <v>1</v>
      </c>
      <c r="AV252">
        <v>1</v>
      </c>
      <c r="AW252" t="s">
        <v>406</v>
      </c>
      <c r="AX252" t="s">
        <v>283</v>
      </c>
      <c r="AY252" t="s">
        <v>217</v>
      </c>
      <c r="AZ252">
        <v>1</v>
      </c>
      <c r="BA252" t="s">
        <v>408</v>
      </c>
      <c r="BB252" t="s">
        <v>542</v>
      </c>
      <c r="BC252" t="s">
        <v>395</v>
      </c>
      <c r="BD252" t="s">
        <v>228</v>
      </c>
      <c r="BE252" t="s">
        <v>522</v>
      </c>
      <c r="BF252" t="s">
        <v>523</v>
      </c>
      <c r="BG252" t="s">
        <v>407</v>
      </c>
      <c r="BH252" t="s">
        <v>544</v>
      </c>
      <c r="BI252" t="s">
        <v>524</v>
      </c>
      <c r="BJ252" t="s">
        <v>228</v>
      </c>
      <c r="BK252" t="s">
        <v>228</v>
      </c>
      <c r="BL252" t="s">
        <v>228</v>
      </c>
      <c r="BM252" t="s">
        <v>228</v>
      </c>
      <c r="BN252" t="s">
        <v>228</v>
      </c>
      <c r="BO252" t="s">
        <v>228</v>
      </c>
      <c r="BP252" t="s">
        <v>228</v>
      </c>
      <c r="BQ252" t="s">
        <v>228</v>
      </c>
      <c r="BR252" t="s">
        <v>228</v>
      </c>
      <c r="BS252" t="s">
        <v>409</v>
      </c>
      <c r="BT252">
        <v>1</v>
      </c>
    </row>
    <row r="253" spans="1:72" x14ac:dyDescent="0.15">
      <c r="A253" s="43">
        <v>2023</v>
      </c>
      <c r="B253" s="8">
        <v>1</v>
      </c>
      <c r="C253" s="8">
        <v>1</v>
      </c>
      <c r="D253" s="8">
        <v>7</v>
      </c>
      <c r="E253" s="8" t="s">
        <v>228</v>
      </c>
      <c r="F253" s="8" t="s">
        <v>57</v>
      </c>
      <c r="G253" s="8">
        <v>2016</v>
      </c>
      <c r="H253" s="8">
        <v>12</v>
      </c>
      <c r="I253" s="8" t="s">
        <v>521</v>
      </c>
      <c r="J253" s="8" t="s">
        <v>228</v>
      </c>
      <c r="K253" s="8">
        <v>1983</v>
      </c>
      <c r="L253" s="17">
        <v>1</v>
      </c>
      <c r="M253" s="8">
        <v>1</v>
      </c>
      <c r="N253" s="8" t="s">
        <v>48</v>
      </c>
      <c r="O253" s="8" t="s">
        <v>283</v>
      </c>
      <c r="P253" s="8" t="s">
        <v>217</v>
      </c>
      <c r="Q253" s="8">
        <v>3000</v>
      </c>
      <c r="R253" s="8" t="s">
        <v>57</v>
      </c>
      <c r="S253" s="8" t="s">
        <v>52</v>
      </c>
      <c r="T253" s="8" t="s">
        <v>69</v>
      </c>
      <c r="U253" s="8" t="s">
        <v>228</v>
      </c>
      <c r="V253" s="8">
        <v>500</v>
      </c>
      <c r="W253" s="8" t="s">
        <v>328</v>
      </c>
      <c r="X253" s="8">
        <v>3000</v>
      </c>
      <c r="Y253" s="8" t="s">
        <v>271</v>
      </c>
      <c r="Z253" s="8">
        <v>85</v>
      </c>
      <c r="AA253" s="8" t="s">
        <v>278</v>
      </c>
      <c r="AB253" s="8" t="s">
        <v>228</v>
      </c>
      <c r="AC253" s="8" t="s">
        <v>228</v>
      </c>
      <c r="AD253" s="8" t="s">
        <v>228</v>
      </c>
      <c r="AE253" s="8" t="s">
        <v>228</v>
      </c>
      <c r="AF253" s="8" t="s">
        <v>228</v>
      </c>
      <c r="AG253" s="8" t="s">
        <v>228</v>
      </c>
      <c r="AH253" s="8" t="s">
        <v>228</v>
      </c>
      <c r="AI253" s="8" t="s">
        <v>228</v>
      </c>
      <c r="AJ253" t="s">
        <v>468</v>
      </c>
      <c r="AK253">
        <v>1</v>
      </c>
      <c r="AL253">
        <v>1</v>
      </c>
      <c r="AM253" t="s">
        <v>94</v>
      </c>
      <c r="AN253" t="s">
        <v>228</v>
      </c>
      <c r="AO253" t="s">
        <v>526</v>
      </c>
      <c r="AP253" t="s">
        <v>109</v>
      </c>
      <c r="AQ253">
        <v>12</v>
      </c>
      <c r="AR253" t="s">
        <v>521</v>
      </c>
      <c r="AS253" t="s">
        <v>228</v>
      </c>
      <c r="AT253" t="s">
        <v>140</v>
      </c>
      <c r="AU253">
        <v>1</v>
      </c>
      <c r="AV253">
        <v>1</v>
      </c>
      <c r="AW253" t="s">
        <v>406</v>
      </c>
      <c r="AX253" t="s">
        <v>283</v>
      </c>
      <c r="AY253" t="s">
        <v>217</v>
      </c>
      <c r="AZ253">
        <v>1</v>
      </c>
      <c r="BA253" t="s">
        <v>408</v>
      </c>
      <c r="BB253" t="s">
        <v>405</v>
      </c>
      <c r="BC253" t="s">
        <v>395</v>
      </c>
      <c r="BD253" t="s">
        <v>228</v>
      </c>
      <c r="BE253" t="s">
        <v>522</v>
      </c>
      <c r="BF253" t="s">
        <v>523</v>
      </c>
      <c r="BG253" t="s">
        <v>407</v>
      </c>
      <c r="BH253" t="s">
        <v>544</v>
      </c>
      <c r="BI253" t="s">
        <v>524</v>
      </c>
      <c r="BJ253" t="s">
        <v>228</v>
      </c>
      <c r="BK253" t="s">
        <v>228</v>
      </c>
      <c r="BL253" t="s">
        <v>228</v>
      </c>
      <c r="BM253" t="s">
        <v>228</v>
      </c>
      <c r="BN253" t="s">
        <v>228</v>
      </c>
      <c r="BO253" t="s">
        <v>228</v>
      </c>
      <c r="BP253" t="s">
        <v>228</v>
      </c>
      <c r="BQ253" t="s">
        <v>228</v>
      </c>
      <c r="BR253" t="s">
        <v>228</v>
      </c>
      <c r="BS253" t="s">
        <v>409</v>
      </c>
      <c r="BT253">
        <v>1</v>
      </c>
    </row>
    <row r="254" spans="1:72" x14ac:dyDescent="0.15">
      <c r="A254" s="43">
        <v>2023</v>
      </c>
      <c r="B254" s="8">
        <v>1</v>
      </c>
      <c r="C254" s="8">
        <v>1</v>
      </c>
      <c r="D254" s="8">
        <v>7</v>
      </c>
      <c r="E254" s="8" t="s">
        <v>228</v>
      </c>
      <c r="F254" s="8" t="s">
        <v>57</v>
      </c>
      <c r="G254" s="8">
        <v>2016</v>
      </c>
      <c r="H254" s="8">
        <v>12</v>
      </c>
      <c r="I254" s="8" t="s">
        <v>521</v>
      </c>
      <c r="J254" s="8" t="s">
        <v>228</v>
      </c>
      <c r="K254" s="8">
        <v>1983</v>
      </c>
      <c r="L254" s="17">
        <v>1</v>
      </c>
      <c r="M254" s="8">
        <v>1</v>
      </c>
      <c r="N254" s="8" t="s">
        <v>48</v>
      </c>
      <c r="O254" s="8" t="s">
        <v>283</v>
      </c>
      <c r="P254" s="8" t="s">
        <v>217</v>
      </c>
      <c r="Q254" s="8">
        <v>3000</v>
      </c>
      <c r="R254" s="8" t="s">
        <v>57</v>
      </c>
      <c r="S254" s="8" t="s">
        <v>54</v>
      </c>
      <c r="T254" s="8" t="s">
        <v>69</v>
      </c>
      <c r="U254" s="8" t="s">
        <v>228</v>
      </c>
      <c r="V254" s="8">
        <v>500</v>
      </c>
      <c r="W254" s="8" t="s">
        <v>328</v>
      </c>
      <c r="X254" s="8">
        <v>3000</v>
      </c>
      <c r="Y254" s="8" t="s">
        <v>271</v>
      </c>
      <c r="Z254" s="8">
        <v>85</v>
      </c>
      <c r="AA254" s="8" t="s">
        <v>278</v>
      </c>
      <c r="AB254" s="8" t="s">
        <v>247</v>
      </c>
      <c r="AC254" s="8" t="s">
        <v>228</v>
      </c>
      <c r="AD254" s="8" t="s">
        <v>228</v>
      </c>
      <c r="AE254" s="8" t="s">
        <v>228</v>
      </c>
      <c r="AF254" s="8" t="s">
        <v>228</v>
      </c>
      <c r="AG254" s="8" t="s">
        <v>228</v>
      </c>
      <c r="AH254" s="8" t="s">
        <v>228</v>
      </c>
      <c r="AI254" s="8" t="s">
        <v>228</v>
      </c>
      <c r="AJ254" t="s">
        <v>468</v>
      </c>
      <c r="AK254">
        <v>1</v>
      </c>
      <c r="AL254">
        <v>1</v>
      </c>
      <c r="AM254" t="s">
        <v>94</v>
      </c>
      <c r="AN254" t="s">
        <v>228</v>
      </c>
      <c r="AO254" t="s">
        <v>526</v>
      </c>
      <c r="AP254" t="s">
        <v>109</v>
      </c>
      <c r="AQ254">
        <v>12</v>
      </c>
      <c r="AR254" t="s">
        <v>521</v>
      </c>
      <c r="AS254" t="s">
        <v>228</v>
      </c>
      <c r="AT254" t="s">
        <v>140</v>
      </c>
      <c r="AU254">
        <v>1</v>
      </c>
      <c r="AV254">
        <v>1</v>
      </c>
      <c r="AW254" t="s">
        <v>406</v>
      </c>
      <c r="AX254" t="s">
        <v>283</v>
      </c>
      <c r="AY254" t="s">
        <v>217</v>
      </c>
      <c r="AZ254">
        <v>1</v>
      </c>
      <c r="BA254" t="s">
        <v>408</v>
      </c>
      <c r="BB254" t="s">
        <v>541</v>
      </c>
      <c r="BC254" t="s">
        <v>395</v>
      </c>
      <c r="BD254" t="s">
        <v>228</v>
      </c>
      <c r="BE254" t="s">
        <v>522</v>
      </c>
      <c r="BF254" t="s">
        <v>523</v>
      </c>
      <c r="BG254" t="s">
        <v>407</v>
      </c>
      <c r="BH254" t="s">
        <v>544</v>
      </c>
      <c r="BI254" t="s">
        <v>524</v>
      </c>
      <c r="BJ254" t="s">
        <v>228</v>
      </c>
      <c r="BK254" t="s">
        <v>543</v>
      </c>
      <c r="BL254" t="s">
        <v>228</v>
      </c>
      <c r="BM254" t="s">
        <v>228</v>
      </c>
      <c r="BN254" t="s">
        <v>228</v>
      </c>
      <c r="BO254" t="s">
        <v>228</v>
      </c>
      <c r="BP254" t="s">
        <v>228</v>
      </c>
      <c r="BQ254" t="s">
        <v>228</v>
      </c>
      <c r="BR254" t="s">
        <v>228</v>
      </c>
      <c r="BS254" t="s">
        <v>409</v>
      </c>
      <c r="BT254">
        <v>1</v>
      </c>
    </row>
    <row r="255" spans="1:72" x14ac:dyDescent="0.15">
      <c r="A255" s="43">
        <v>2023</v>
      </c>
      <c r="B255" s="8">
        <v>1</v>
      </c>
      <c r="C255" s="8">
        <v>1</v>
      </c>
      <c r="D255" s="8">
        <v>7</v>
      </c>
      <c r="E255" s="8" t="s">
        <v>228</v>
      </c>
      <c r="F255" s="8" t="s">
        <v>57</v>
      </c>
      <c r="G255" s="8">
        <v>2016</v>
      </c>
      <c r="H255" s="8">
        <v>12</v>
      </c>
      <c r="I255" s="8" t="s">
        <v>521</v>
      </c>
      <c r="J255" s="8" t="s">
        <v>228</v>
      </c>
      <c r="K255" s="8">
        <v>1983</v>
      </c>
      <c r="L255" s="17">
        <v>1</v>
      </c>
      <c r="M255" s="8">
        <v>1</v>
      </c>
      <c r="N255" s="8" t="s">
        <v>48</v>
      </c>
      <c r="O255" s="8" t="s">
        <v>283</v>
      </c>
      <c r="P255" s="8" t="s">
        <v>217</v>
      </c>
      <c r="Q255" s="8">
        <v>3000</v>
      </c>
      <c r="R255" s="8" t="s">
        <v>57</v>
      </c>
      <c r="S255" s="8" t="s">
        <v>53</v>
      </c>
      <c r="T255" s="8" t="s">
        <v>69</v>
      </c>
      <c r="U255" s="8" t="s">
        <v>228</v>
      </c>
      <c r="V255" s="8">
        <v>500</v>
      </c>
      <c r="W255" s="8" t="s">
        <v>328</v>
      </c>
      <c r="X255" s="8">
        <v>3000</v>
      </c>
      <c r="Y255" s="8" t="s">
        <v>271</v>
      </c>
      <c r="Z255" s="8">
        <v>85</v>
      </c>
      <c r="AA255" s="8" t="s">
        <v>278</v>
      </c>
      <c r="AB255" s="8" t="s">
        <v>247</v>
      </c>
      <c r="AC255" s="8" t="s">
        <v>228</v>
      </c>
      <c r="AD255" s="8" t="s">
        <v>228</v>
      </c>
      <c r="AE255" s="8" t="s">
        <v>228</v>
      </c>
      <c r="AF255" s="8" t="s">
        <v>228</v>
      </c>
      <c r="AG255" s="8" t="s">
        <v>228</v>
      </c>
      <c r="AH255" s="8" t="s">
        <v>228</v>
      </c>
      <c r="AI255" s="8" t="s">
        <v>228</v>
      </c>
      <c r="AJ255" t="s">
        <v>468</v>
      </c>
      <c r="AK255">
        <v>1</v>
      </c>
      <c r="AL255">
        <v>1</v>
      </c>
      <c r="AM255" t="s">
        <v>94</v>
      </c>
      <c r="AN255" t="s">
        <v>228</v>
      </c>
      <c r="AO255" t="s">
        <v>526</v>
      </c>
      <c r="AP255" t="s">
        <v>109</v>
      </c>
      <c r="AQ255">
        <v>12</v>
      </c>
      <c r="AR255" t="s">
        <v>521</v>
      </c>
      <c r="AS255" t="s">
        <v>228</v>
      </c>
      <c r="AT255" t="s">
        <v>140</v>
      </c>
      <c r="AU255">
        <v>1</v>
      </c>
      <c r="AV255">
        <v>1</v>
      </c>
      <c r="AW255" t="s">
        <v>406</v>
      </c>
      <c r="AX255" t="s">
        <v>283</v>
      </c>
      <c r="AY255" t="s">
        <v>217</v>
      </c>
      <c r="AZ255">
        <v>1</v>
      </c>
      <c r="BA255" t="s">
        <v>408</v>
      </c>
      <c r="BB255" t="s">
        <v>542</v>
      </c>
      <c r="BC255" t="s">
        <v>395</v>
      </c>
      <c r="BD255" t="s">
        <v>228</v>
      </c>
      <c r="BE255" t="s">
        <v>522</v>
      </c>
      <c r="BF255" t="s">
        <v>523</v>
      </c>
      <c r="BG255" t="s">
        <v>407</v>
      </c>
      <c r="BH255" t="s">
        <v>544</v>
      </c>
      <c r="BI255" t="s">
        <v>524</v>
      </c>
      <c r="BJ255" t="s">
        <v>228</v>
      </c>
      <c r="BK255" t="s">
        <v>543</v>
      </c>
      <c r="BL255" t="s">
        <v>228</v>
      </c>
      <c r="BM255" t="s">
        <v>228</v>
      </c>
      <c r="BN255" t="s">
        <v>228</v>
      </c>
      <c r="BO255" t="s">
        <v>228</v>
      </c>
      <c r="BP255" t="s">
        <v>228</v>
      </c>
      <c r="BQ255" t="s">
        <v>228</v>
      </c>
      <c r="BR255" t="s">
        <v>228</v>
      </c>
      <c r="BS255" t="s">
        <v>409</v>
      </c>
      <c r="BT255">
        <v>1</v>
      </c>
    </row>
    <row r="256" spans="1:72" x14ac:dyDescent="0.15">
      <c r="A256" s="43">
        <v>2023</v>
      </c>
      <c r="B256" s="8">
        <v>1</v>
      </c>
      <c r="C256" s="8">
        <v>1</v>
      </c>
      <c r="D256" s="8">
        <v>7</v>
      </c>
      <c r="E256" s="8" t="s">
        <v>228</v>
      </c>
      <c r="F256" s="8" t="s">
        <v>57</v>
      </c>
      <c r="G256" s="8">
        <v>2016</v>
      </c>
      <c r="H256" s="8">
        <v>12</v>
      </c>
      <c r="I256" s="8" t="s">
        <v>521</v>
      </c>
      <c r="J256" s="8" t="s">
        <v>228</v>
      </c>
      <c r="K256" s="8">
        <v>1983</v>
      </c>
      <c r="L256" s="17">
        <v>1</v>
      </c>
      <c r="M256" s="8">
        <v>1</v>
      </c>
      <c r="N256" s="8" t="s">
        <v>48</v>
      </c>
      <c r="O256" s="8" t="s">
        <v>283</v>
      </c>
      <c r="P256" s="8" t="s">
        <v>217</v>
      </c>
      <c r="Q256" s="8">
        <v>3000</v>
      </c>
      <c r="R256" s="8" t="s">
        <v>57</v>
      </c>
      <c r="S256" s="8" t="s">
        <v>52</v>
      </c>
      <c r="T256" s="8" t="s">
        <v>69</v>
      </c>
      <c r="U256" s="8" t="s">
        <v>228</v>
      </c>
      <c r="V256" s="8">
        <v>500</v>
      </c>
      <c r="W256" s="8" t="s">
        <v>328</v>
      </c>
      <c r="X256" s="8">
        <v>3000</v>
      </c>
      <c r="Y256" s="8" t="s">
        <v>271</v>
      </c>
      <c r="Z256" s="8">
        <v>85</v>
      </c>
      <c r="AA256" s="8" t="s">
        <v>278</v>
      </c>
      <c r="AB256" s="8" t="s">
        <v>247</v>
      </c>
      <c r="AC256" s="8" t="s">
        <v>228</v>
      </c>
      <c r="AD256" s="8" t="s">
        <v>228</v>
      </c>
      <c r="AE256" s="8" t="s">
        <v>228</v>
      </c>
      <c r="AF256" s="8" t="s">
        <v>228</v>
      </c>
      <c r="AG256" s="8" t="s">
        <v>228</v>
      </c>
      <c r="AH256" s="8" t="s">
        <v>228</v>
      </c>
      <c r="AI256" s="8" t="s">
        <v>228</v>
      </c>
      <c r="AJ256" t="s">
        <v>468</v>
      </c>
      <c r="AK256">
        <v>1</v>
      </c>
      <c r="AL256">
        <v>1</v>
      </c>
      <c r="AM256" t="s">
        <v>94</v>
      </c>
      <c r="AN256" t="s">
        <v>228</v>
      </c>
      <c r="AO256" t="s">
        <v>526</v>
      </c>
      <c r="AP256" t="s">
        <v>109</v>
      </c>
      <c r="AQ256">
        <v>12</v>
      </c>
      <c r="AR256" t="s">
        <v>521</v>
      </c>
      <c r="AS256" t="s">
        <v>228</v>
      </c>
      <c r="AT256" t="s">
        <v>140</v>
      </c>
      <c r="AU256">
        <v>1</v>
      </c>
      <c r="AV256">
        <v>1</v>
      </c>
      <c r="AW256" t="s">
        <v>406</v>
      </c>
      <c r="AX256" t="s">
        <v>283</v>
      </c>
      <c r="AY256" t="s">
        <v>217</v>
      </c>
      <c r="AZ256">
        <v>1</v>
      </c>
      <c r="BA256" t="s">
        <v>408</v>
      </c>
      <c r="BB256" t="s">
        <v>405</v>
      </c>
      <c r="BC256" t="s">
        <v>395</v>
      </c>
      <c r="BD256" t="s">
        <v>228</v>
      </c>
      <c r="BE256" t="s">
        <v>522</v>
      </c>
      <c r="BF256" t="s">
        <v>523</v>
      </c>
      <c r="BG256" t="s">
        <v>407</v>
      </c>
      <c r="BH256" t="s">
        <v>544</v>
      </c>
      <c r="BI256" t="s">
        <v>524</v>
      </c>
      <c r="BJ256" t="s">
        <v>228</v>
      </c>
      <c r="BK256" t="s">
        <v>543</v>
      </c>
      <c r="BL256" t="s">
        <v>228</v>
      </c>
      <c r="BM256" t="s">
        <v>228</v>
      </c>
      <c r="BN256" t="s">
        <v>228</v>
      </c>
      <c r="BO256" t="s">
        <v>228</v>
      </c>
      <c r="BP256" t="s">
        <v>228</v>
      </c>
      <c r="BQ256" t="s">
        <v>228</v>
      </c>
      <c r="BR256" t="s">
        <v>228</v>
      </c>
      <c r="BS256" t="s">
        <v>409</v>
      </c>
      <c r="BT256">
        <v>0</v>
      </c>
    </row>
    <row r="257" spans="1:72" x14ac:dyDescent="0.15">
      <c r="A257" s="43">
        <v>2023</v>
      </c>
      <c r="B257" s="8">
        <v>1</v>
      </c>
      <c r="C257" s="8">
        <v>1</v>
      </c>
      <c r="D257" s="8">
        <v>20</v>
      </c>
      <c r="E257" s="8" t="s">
        <v>67</v>
      </c>
      <c r="F257" s="8" t="s">
        <v>57</v>
      </c>
      <c r="G257" s="8">
        <v>2016</v>
      </c>
      <c r="H257" s="8">
        <v>12</v>
      </c>
      <c r="I257" s="8" t="s">
        <v>521</v>
      </c>
      <c r="J257" s="8" t="s">
        <v>228</v>
      </c>
      <c r="K257" s="8">
        <v>1983</v>
      </c>
      <c r="L257" s="17">
        <v>1</v>
      </c>
      <c r="M257" s="8">
        <v>1</v>
      </c>
      <c r="N257" s="8" t="s">
        <v>48</v>
      </c>
      <c r="O257" s="8" t="s">
        <v>283</v>
      </c>
      <c r="P257" s="8" t="s">
        <v>217</v>
      </c>
      <c r="Q257" s="8">
        <v>3000</v>
      </c>
      <c r="R257" s="8" t="s">
        <v>57</v>
      </c>
      <c r="S257" s="8" t="s">
        <v>54</v>
      </c>
      <c r="T257" s="8" t="s">
        <v>69</v>
      </c>
      <c r="U257" s="8" t="s">
        <v>228</v>
      </c>
      <c r="V257" s="8">
        <v>500</v>
      </c>
      <c r="W257" s="8" t="s">
        <v>328</v>
      </c>
      <c r="X257" s="8">
        <v>3000</v>
      </c>
      <c r="Y257" s="8" t="s">
        <v>268</v>
      </c>
      <c r="Z257" s="8">
        <v>85</v>
      </c>
      <c r="AA257" s="8" t="s">
        <v>278</v>
      </c>
      <c r="AB257" s="8" t="s">
        <v>228</v>
      </c>
      <c r="AC257" s="8" t="s">
        <v>228</v>
      </c>
      <c r="AD257" s="8" t="s">
        <v>228</v>
      </c>
      <c r="AE257" s="8" t="s">
        <v>228</v>
      </c>
      <c r="AF257" s="8" t="s">
        <v>228</v>
      </c>
      <c r="AG257" s="8" t="s">
        <v>228</v>
      </c>
      <c r="AH257" s="8" t="s">
        <v>228</v>
      </c>
      <c r="AI257" s="8" t="s">
        <v>228</v>
      </c>
      <c r="AJ257" t="s">
        <v>468</v>
      </c>
      <c r="AK257">
        <v>1</v>
      </c>
      <c r="AL257">
        <v>1</v>
      </c>
      <c r="AM257" t="s">
        <v>81</v>
      </c>
      <c r="AN257" t="s">
        <v>67</v>
      </c>
      <c r="AO257" t="s">
        <v>526</v>
      </c>
      <c r="AP257" t="s">
        <v>109</v>
      </c>
      <c r="AQ257">
        <v>12</v>
      </c>
      <c r="AR257" t="s">
        <v>521</v>
      </c>
      <c r="AS257" t="s">
        <v>228</v>
      </c>
      <c r="AT257" t="s">
        <v>140</v>
      </c>
      <c r="AU257">
        <v>1</v>
      </c>
      <c r="AV257">
        <v>1</v>
      </c>
      <c r="AW257" t="s">
        <v>406</v>
      </c>
      <c r="AX257" t="s">
        <v>283</v>
      </c>
      <c r="AY257" t="s">
        <v>217</v>
      </c>
      <c r="AZ257">
        <v>1</v>
      </c>
      <c r="BA257" t="s">
        <v>408</v>
      </c>
      <c r="BB257" t="s">
        <v>541</v>
      </c>
      <c r="BC257" t="s">
        <v>395</v>
      </c>
      <c r="BD257" t="s">
        <v>228</v>
      </c>
      <c r="BE257" t="s">
        <v>522</v>
      </c>
      <c r="BF257" t="s">
        <v>523</v>
      </c>
      <c r="BG257" t="s">
        <v>407</v>
      </c>
      <c r="BH257" t="s">
        <v>396</v>
      </c>
      <c r="BI257" t="s">
        <v>524</v>
      </c>
      <c r="BJ257" t="s">
        <v>228</v>
      </c>
      <c r="BK257" t="s">
        <v>228</v>
      </c>
      <c r="BL257" t="s">
        <v>228</v>
      </c>
      <c r="BM257" t="s">
        <v>228</v>
      </c>
      <c r="BN257" t="s">
        <v>228</v>
      </c>
      <c r="BO257" t="s">
        <v>228</v>
      </c>
      <c r="BP257" t="s">
        <v>228</v>
      </c>
      <c r="BQ257" t="s">
        <v>228</v>
      </c>
      <c r="BR257" t="s">
        <v>228</v>
      </c>
      <c r="BS257" t="s">
        <v>409</v>
      </c>
      <c r="BT257">
        <v>1</v>
      </c>
    </row>
    <row r="258" spans="1:72" x14ac:dyDescent="0.15">
      <c r="A258" s="43">
        <v>2023</v>
      </c>
      <c r="B258" s="8">
        <v>1</v>
      </c>
      <c r="C258" s="8">
        <v>1</v>
      </c>
      <c r="D258" s="8">
        <v>20</v>
      </c>
      <c r="E258" s="8" t="s">
        <v>67</v>
      </c>
      <c r="F258" s="8" t="s">
        <v>57</v>
      </c>
      <c r="G258" s="8">
        <v>2016</v>
      </c>
      <c r="H258" s="8">
        <v>12</v>
      </c>
      <c r="I258" s="8" t="s">
        <v>521</v>
      </c>
      <c r="J258" s="8" t="s">
        <v>228</v>
      </c>
      <c r="K258" s="8">
        <v>1983</v>
      </c>
      <c r="L258" s="17">
        <v>1</v>
      </c>
      <c r="M258" s="8">
        <v>1</v>
      </c>
      <c r="N258" s="8" t="s">
        <v>48</v>
      </c>
      <c r="O258" s="8" t="s">
        <v>283</v>
      </c>
      <c r="P258" s="8" t="s">
        <v>217</v>
      </c>
      <c r="Q258" s="8">
        <v>3000</v>
      </c>
      <c r="R258" s="8" t="s">
        <v>57</v>
      </c>
      <c r="S258" s="8" t="s">
        <v>53</v>
      </c>
      <c r="T258" s="8" t="s">
        <v>69</v>
      </c>
      <c r="U258" s="8" t="s">
        <v>228</v>
      </c>
      <c r="V258" s="8">
        <v>500</v>
      </c>
      <c r="W258" s="8" t="s">
        <v>328</v>
      </c>
      <c r="X258" s="8">
        <v>3000</v>
      </c>
      <c r="Y258" s="8" t="s">
        <v>268</v>
      </c>
      <c r="Z258" s="8">
        <v>85</v>
      </c>
      <c r="AA258" s="8" t="s">
        <v>278</v>
      </c>
      <c r="AB258" s="8" t="s">
        <v>228</v>
      </c>
      <c r="AC258" s="8" t="s">
        <v>228</v>
      </c>
      <c r="AD258" s="8" t="s">
        <v>228</v>
      </c>
      <c r="AE258" s="8" t="s">
        <v>228</v>
      </c>
      <c r="AF258" s="8" t="s">
        <v>228</v>
      </c>
      <c r="AG258" s="8" t="s">
        <v>228</v>
      </c>
      <c r="AH258" s="8" t="s">
        <v>228</v>
      </c>
      <c r="AI258" s="8" t="s">
        <v>228</v>
      </c>
      <c r="AJ258" t="s">
        <v>468</v>
      </c>
      <c r="AK258">
        <v>1</v>
      </c>
      <c r="AL258">
        <v>1</v>
      </c>
      <c r="AM258" t="s">
        <v>81</v>
      </c>
      <c r="AN258" t="s">
        <v>67</v>
      </c>
      <c r="AO258" t="s">
        <v>526</v>
      </c>
      <c r="AP258" t="s">
        <v>109</v>
      </c>
      <c r="AQ258">
        <v>12</v>
      </c>
      <c r="AR258" t="s">
        <v>521</v>
      </c>
      <c r="AS258" t="s">
        <v>228</v>
      </c>
      <c r="AT258" t="s">
        <v>140</v>
      </c>
      <c r="AU258">
        <v>1</v>
      </c>
      <c r="AV258">
        <v>1</v>
      </c>
      <c r="AW258" t="s">
        <v>406</v>
      </c>
      <c r="AX258" t="s">
        <v>283</v>
      </c>
      <c r="AY258" t="s">
        <v>217</v>
      </c>
      <c r="AZ258">
        <v>1</v>
      </c>
      <c r="BA258" t="s">
        <v>408</v>
      </c>
      <c r="BB258" t="s">
        <v>542</v>
      </c>
      <c r="BC258" t="s">
        <v>395</v>
      </c>
      <c r="BD258" t="s">
        <v>228</v>
      </c>
      <c r="BE258" t="s">
        <v>522</v>
      </c>
      <c r="BF258" t="s">
        <v>523</v>
      </c>
      <c r="BG258" t="s">
        <v>407</v>
      </c>
      <c r="BH258" t="s">
        <v>396</v>
      </c>
      <c r="BI258" t="s">
        <v>524</v>
      </c>
      <c r="BJ258" t="s">
        <v>228</v>
      </c>
      <c r="BK258" t="s">
        <v>228</v>
      </c>
      <c r="BL258" t="s">
        <v>228</v>
      </c>
      <c r="BM258" t="s">
        <v>228</v>
      </c>
      <c r="BN258" t="s">
        <v>228</v>
      </c>
      <c r="BO258" t="s">
        <v>228</v>
      </c>
      <c r="BP258" t="s">
        <v>228</v>
      </c>
      <c r="BQ258" t="s">
        <v>228</v>
      </c>
      <c r="BR258" t="s">
        <v>228</v>
      </c>
      <c r="BS258" t="s">
        <v>409</v>
      </c>
      <c r="BT258">
        <v>1</v>
      </c>
    </row>
    <row r="259" spans="1:72" x14ac:dyDescent="0.15">
      <c r="A259" s="43">
        <v>2023</v>
      </c>
      <c r="B259" s="8">
        <v>1</v>
      </c>
      <c r="C259" s="8">
        <v>1</v>
      </c>
      <c r="D259" s="8">
        <v>20</v>
      </c>
      <c r="E259" s="8" t="s">
        <v>67</v>
      </c>
      <c r="F259" s="8" t="s">
        <v>57</v>
      </c>
      <c r="G259" s="8">
        <v>2016</v>
      </c>
      <c r="H259" s="8">
        <v>12</v>
      </c>
      <c r="I259" s="8" t="s">
        <v>521</v>
      </c>
      <c r="J259" s="8" t="s">
        <v>228</v>
      </c>
      <c r="K259" s="8">
        <v>1983</v>
      </c>
      <c r="L259" s="17">
        <v>1</v>
      </c>
      <c r="M259" s="8">
        <v>1</v>
      </c>
      <c r="N259" s="8" t="s">
        <v>48</v>
      </c>
      <c r="O259" s="8" t="s">
        <v>283</v>
      </c>
      <c r="P259" s="8" t="s">
        <v>217</v>
      </c>
      <c r="Q259" s="8">
        <v>3000</v>
      </c>
      <c r="R259" s="8" t="s">
        <v>57</v>
      </c>
      <c r="S259" s="8" t="s">
        <v>52</v>
      </c>
      <c r="T259" s="8" t="s">
        <v>69</v>
      </c>
      <c r="U259" s="8" t="s">
        <v>228</v>
      </c>
      <c r="V259" s="8">
        <v>500</v>
      </c>
      <c r="W259" s="8" t="s">
        <v>328</v>
      </c>
      <c r="X259" s="8">
        <v>3000</v>
      </c>
      <c r="Y259" s="8" t="s">
        <v>268</v>
      </c>
      <c r="Z259" s="8">
        <v>85</v>
      </c>
      <c r="AA259" s="8" t="s">
        <v>278</v>
      </c>
      <c r="AB259" s="8" t="s">
        <v>228</v>
      </c>
      <c r="AC259" s="8" t="s">
        <v>228</v>
      </c>
      <c r="AD259" s="8" t="s">
        <v>228</v>
      </c>
      <c r="AE259" s="8" t="s">
        <v>228</v>
      </c>
      <c r="AF259" s="8" t="s">
        <v>228</v>
      </c>
      <c r="AG259" s="8" t="s">
        <v>228</v>
      </c>
      <c r="AH259" s="8" t="s">
        <v>228</v>
      </c>
      <c r="AI259" s="8" t="s">
        <v>228</v>
      </c>
      <c r="AJ259" t="s">
        <v>468</v>
      </c>
      <c r="AK259">
        <v>1</v>
      </c>
      <c r="AL259">
        <v>1</v>
      </c>
      <c r="AM259" t="s">
        <v>81</v>
      </c>
      <c r="AN259" t="s">
        <v>67</v>
      </c>
      <c r="AO259" t="s">
        <v>526</v>
      </c>
      <c r="AP259" t="s">
        <v>109</v>
      </c>
      <c r="AQ259">
        <v>12</v>
      </c>
      <c r="AR259" t="s">
        <v>521</v>
      </c>
      <c r="AS259" t="s">
        <v>228</v>
      </c>
      <c r="AT259" t="s">
        <v>140</v>
      </c>
      <c r="AU259">
        <v>1</v>
      </c>
      <c r="AV259">
        <v>1</v>
      </c>
      <c r="AW259" t="s">
        <v>406</v>
      </c>
      <c r="AX259" t="s">
        <v>283</v>
      </c>
      <c r="AY259" t="s">
        <v>217</v>
      </c>
      <c r="AZ259">
        <v>1</v>
      </c>
      <c r="BA259" t="s">
        <v>408</v>
      </c>
      <c r="BB259" t="s">
        <v>405</v>
      </c>
      <c r="BC259" t="s">
        <v>395</v>
      </c>
      <c r="BD259" t="s">
        <v>228</v>
      </c>
      <c r="BE259" t="s">
        <v>522</v>
      </c>
      <c r="BF259" t="s">
        <v>523</v>
      </c>
      <c r="BG259" t="s">
        <v>407</v>
      </c>
      <c r="BH259" t="s">
        <v>396</v>
      </c>
      <c r="BI259" t="s">
        <v>524</v>
      </c>
      <c r="BJ259" t="s">
        <v>228</v>
      </c>
      <c r="BK259" t="s">
        <v>228</v>
      </c>
      <c r="BL259" t="s">
        <v>228</v>
      </c>
      <c r="BM259" t="s">
        <v>228</v>
      </c>
      <c r="BN259" t="s">
        <v>228</v>
      </c>
      <c r="BO259" t="s">
        <v>228</v>
      </c>
      <c r="BP259" t="s">
        <v>228</v>
      </c>
      <c r="BQ259" t="s">
        <v>228</v>
      </c>
      <c r="BR259" t="s">
        <v>228</v>
      </c>
      <c r="BS259" t="s">
        <v>409</v>
      </c>
      <c r="BT259">
        <v>1</v>
      </c>
    </row>
    <row r="260" spans="1:72" x14ac:dyDescent="0.15">
      <c r="A260" s="43">
        <v>2023</v>
      </c>
      <c r="B260" s="8">
        <v>1</v>
      </c>
      <c r="C260" s="8">
        <v>1</v>
      </c>
      <c r="D260" s="8">
        <v>20</v>
      </c>
      <c r="E260" s="8" t="s">
        <v>67</v>
      </c>
      <c r="F260" s="8" t="s">
        <v>57</v>
      </c>
      <c r="G260" s="8">
        <v>2016</v>
      </c>
      <c r="H260" s="8">
        <v>12</v>
      </c>
      <c r="I260" s="8" t="s">
        <v>521</v>
      </c>
      <c r="J260" s="8" t="s">
        <v>228</v>
      </c>
      <c r="K260" s="8">
        <v>1983</v>
      </c>
      <c r="L260" s="17">
        <v>1</v>
      </c>
      <c r="M260" s="8">
        <v>1</v>
      </c>
      <c r="N260" s="8" t="s">
        <v>48</v>
      </c>
      <c r="O260" s="8" t="s">
        <v>283</v>
      </c>
      <c r="P260" s="8" t="s">
        <v>217</v>
      </c>
      <c r="Q260" s="8">
        <v>3000</v>
      </c>
      <c r="R260" s="8" t="s">
        <v>57</v>
      </c>
      <c r="S260" s="8" t="s">
        <v>54</v>
      </c>
      <c r="T260" s="8" t="s">
        <v>69</v>
      </c>
      <c r="U260" s="8" t="s">
        <v>228</v>
      </c>
      <c r="V260" s="8">
        <v>500</v>
      </c>
      <c r="W260" s="8" t="s">
        <v>328</v>
      </c>
      <c r="X260" s="8">
        <v>3000</v>
      </c>
      <c r="Y260" s="8" t="s">
        <v>268</v>
      </c>
      <c r="Z260" s="8">
        <v>85</v>
      </c>
      <c r="AA260" s="8" t="s">
        <v>278</v>
      </c>
      <c r="AB260" s="8" t="s">
        <v>247</v>
      </c>
      <c r="AC260" s="8" t="s">
        <v>228</v>
      </c>
      <c r="AD260" s="8" t="s">
        <v>228</v>
      </c>
      <c r="AE260" s="8" t="s">
        <v>228</v>
      </c>
      <c r="AF260" s="8" t="s">
        <v>228</v>
      </c>
      <c r="AG260" s="8" t="s">
        <v>228</v>
      </c>
      <c r="AH260" s="8" t="s">
        <v>228</v>
      </c>
      <c r="AI260" s="8" t="s">
        <v>228</v>
      </c>
      <c r="AJ260" t="s">
        <v>468</v>
      </c>
      <c r="AK260">
        <v>1</v>
      </c>
      <c r="AL260">
        <v>1</v>
      </c>
      <c r="AM260" t="s">
        <v>81</v>
      </c>
      <c r="AN260" t="s">
        <v>67</v>
      </c>
      <c r="AO260" t="s">
        <v>526</v>
      </c>
      <c r="AP260" t="s">
        <v>109</v>
      </c>
      <c r="AQ260">
        <v>12</v>
      </c>
      <c r="AR260" t="s">
        <v>521</v>
      </c>
      <c r="AS260" t="s">
        <v>228</v>
      </c>
      <c r="AT260" t="s">
        <v>140</v>
      </c>
      <c r="AU260">
        <v>1</v>
      </c>
      <c r="AV260">
        <v>1</v>
      </c>
      <c r="AW260" t="s">
        <v>406</v>
      </c>
      <c r="AX260" t="s">
        <v>283</v>
      </c>
      <c r="AY260" t="s">
        <v>217</v>
      </c>
      <c r="AZ260">
        <v>1</v>
      </c>
      <c r="BA260" t="s">
        <v>408</v>
      </c>
      <c r="BB260" t="s">
        <v>541</v>
      </c>
      <c r="BC260" t="s">
        <v>395</v>
      </c>
      <c r="BD260" t="s">
        <v>228</v>
      </c>
      <c r="BE260" t="s">
        <v>522</v>
      </c>
      <c r="BF260" t="s">
        <v>523</v>
      </c>
      <c r="BG260" t="s">
        <v>407</v>
      </c>
      <c r="BH260" t="s">
        <v>396</v>
      </c>
      <c r="BI260" t="s">
        <v>524</v>
      </c>
      <c r="BJ260" t="s">
        <v>228</v>
      </c>
      <c r="BK260" t="s">
        <v>543</v>
      </c>
      <c r="BL260" t="s">
        <v>228</v>
      </c>
      <c r="BM260" t="s">
        <v>228</v>
      </c>
      <c r="BN260" t="s">
        <v>228</v>
      </c>
      <c r="BO260" t="s">
        <v>228</v>
      </c>
      <c r="BP260" t="s">
        <v>228</v>
      </c>
      <c r="BQ260" t="s">
        <v>228</v>
      </c>
      <c r="BR260" t="s">
        <v>228</v>
      </c>
      <c r="BS260" t="s">
        <v>409</v>
      </c>
      <c r="BT260">
        <v>1</v>
      </c>
    </row>
    <row r="261" spans="1:72" x14ac:dyDescent="0.15">
      <c r="A261" s="43">
        <v>2023</v>
      </c>
      <c r="B261" s="8">
        <v>1</v>
      </c>
      <c r="C261" s="8">
        <v>1</v>
      </c>
      <c r="D261" s="8">
        <v>20</v>
      </c>
      <c r="E261" s="8" t="s">
        <v>67</v>
      </c>
      <c r="F261" s="8" t="s">
        <v>57</v>
      </c>
      <c r="G261" s="8">
        <v>2016</v>
      </c>
      <c r="H261" s="8">
        <v>12</v>
      </c>
      <c r="I261" s="8" t="s">
        <v>521</v>
      </c>
      <c r="J261" s="8" t="s">
        <v>228</v>
      </c>
      <c r="K261" s="8">
        <v>1983</v>
      </c>
      <c r="L261" s="17">
        <v>1</v>
      </c>
      <c r="M261" s="8">
        <v>1</v>
      </c>
      <c r="N261" s="8" t="s">
        <v>48</v>
      </c>
      <c r="O261" s="8" t="s">
        <v>283</v>
      </c>
      <c r="P261" s="8" t="s">
        <v>217</v>
      </c>
      <c r="Q261" s="8">
        <v>3000</v>
      </c>
      <c r="R261" s="8" t="s">
        <v>57</v>
      </c>
      <c r="S261" s="8" t="s">
        <v>53</v>
      </c>
      <c r="T261" s="8" t="s">
        <v>69</v>
      </c>
      <c r="U261" s="8" t="s">
        <v>228</v>
      </c>
      <c r="V261" s="8">
        <v>500</v>
      </c>
      <c r="W261" s="8" t="s">
        <v>328</v>
      </c>
      <c r="X261" s="8">
        <v>3000</v>
      </c>
      <c r="Y261" s="8" t="s">
        <v>268</v>
      </c>
      <c r="Z261" s="8">
        <v>85</v>
      </c>
      <c r="AA261" s="8" t="s">
        <v>278</v>
      </c>
      <c r="AB261" s="8" t="s">
        <v>247</v>
      </c>
      <c r="AC261" s="8" t="s">
        <v>228</v>
      </c>
      <c r="AD261" s="8" t="s">
        <v>228</v>
      </c>
      <c r="AE261" s="8" t="s">
        <v>228</v>
      </c>
      <c r="AF261" s="8" t="s">
        <v>228</v>
      </c>
      <c r="AG261" s="8" t="s">
        <v>228</v>
      </c>
      <c r="AH261" s="8" t="s">
        <v>228</v>
      </c>
      <c r="AI261" s="8" t="s">
        <v>228</v>
      </c>
      <c r="AJ261" t="s">
        <v>468</v>
      </c>
      <c r="AK261">
        <v>1</v>
      </c>
      <c r="AL261">
        <v>1</v>
      </c>
      <c r="AM261" t="s">
        <v>81</v>
      </c>
      <c r="AN261" t="s">
        <v>67</v>
      </c>
      <c r="AO261" t="s">
        <v>526</v>
      </c>
      <c r="AP261" t="s">
        <v>109</v>
      </c>
      <c r="AQ261">
        <v>12</v>
      </c>
      <c r="AR261" t="s">
        <v>521</v>
      </c>
      <c r="AS261" t="s">
        <v>228</v>
      </c>
      <c r="AT261" t="s">
        <v>140</v>
      </c>
      <c r="AU261">
        <v>1</v>
      </c>
      <c r="AV261">
        <v>1</v>
      </c>
      <c r="AW261" t="s">
        <v>406</v>
      </c>
      <c r="AX261" t="s">
        <v>283</v>
      </c>
      <c r="AY261" t="s">
        <v>217</v>
      </c>
      <c r="AZ261">
        <v>1</v>
      </c>
      <c r="BA261" t="s">
        <v>408</v>
      </c>
      <c r="BB261" t="s">
        <v>542</v>
      </c>
      <c r="BC261" t="s">
        <v>395</v>
      </c>
      <c r="BD261" t="s">
        <v>228</v>
      </c>
      <c r="BE261" t="s">
        <v>522</v>
      </c>
      <c r="BF261" t="s">
        <v>523</v>
      </c>
      <c r="BG261" t="s">
        <v>407</v>
      </c>
      <c r="BH261" t="s">
        <v>396</v>
      </c>
      <c r="BI261" t="s">
        <v>524</v>
      </c>
      <c r="BJ261" t="s">
        <v>228</v>
      </c>
      <c r="BK261" t="s">
        <v>543</v>
      </c>
      <c r="BL261" t="s">
        <v>228</v>
      </c>
      <c r="BM261" t="s">
        <v>228</v>
      </c>
      <c r="BN261" t="s">
        <v>228</v>
      </c>
      <c r="BO261" t="s">
        <v>228</v>
      </c>
      <c r="BP261" t="s">
        <v>228</v>
      </c>
      <c r="BQ261" t="s">
        <v>228</v>
      </c>
      <c r="BR261" t="s">
        <v>228</v>
      </c>
      <c r="BS261" t="s">
        <v>409</v>
      </c>
      <c r="BT261">
        <v>1</v>
      </c>
    </row>
    <row r="262" spans="1:72" x14ac:dyDescent="0.15">
      <c r="A262" s="43">
        <v>2023</v>
      </c>
      <c r="B262" s="8">
        <v>1</v>
      </c>
      <c r="C262" s="8">
        <v>1</v>
      </c>
      <c r="D262" s="8">
        <v>20</v>
      </c>
      <c r="E262" s="8" t="s">
        <v>67</v>
      </c>
      <c r="F262" s="8" t="s">
        <v>57</v>
      </c>
      <c r="G262" s="8">
        <v>2016</v>
      </c>
      <c r="H262" s="8">
        <v>12</v>
      </c>
      <c r="I262" s="8" t="s">
        <v>521</v>
      </c>
      <c r="J262" s="8" t="s">
        <v>228</v>
      </c>
      <c r="K262" s="8">
        <v>1983</v>
      </c>
      <c r="L262" s="17">
        <v>1</v>
      </c>
      <c r="M262" s="8">
        <v>1</v>
      </c>
      <c r="N262" s="8" t="s">
        <v>48</v>
      </c>
      <c r="O262" s="8" t="s">
        <v>283</v>
      </c>
      <c r="P262" s="8" t="s">
        <v>217</v>
      </c>
      <c r="Q262" s="8">
        <v>3000</v>
      </c>
      <c r="R262" s="8" t="s">
        <v>57</v>
      </c>
      <c r="S262" s="8" t="s">
        <v>52</v>
      </c>
      <c r="T262" s="8" t="s">
        <v>69</v>
      </c>
      <c r="U262" s="8" t="s">
        <v>228</v>
      </c>
      <c r="V262" s="8">
        <v>500</v>
      </c>
      <c r="W262" s="8" t="s">
        <v>328</v>
      </c>
      <c r="X262" s="8">
        <v>3000</v>
      </c>
      <c r="Y262" s="8" t="s">
        <v>268</v>
      </c>
      <c r="Z262" s="8">
        <v>85</v>
      </c>
      <c r="AA262" s="8" t="s">
        <v>278</v>
      </c>
      <c r="AB262" s="8" t="s">
        <v>247</v>
      </c>
      <c r="AC262" s="8" t="s">
        <v>228</v>
      </c>
      <c r="AD262" s="8" t="s">
        <v>228</v>
      </c>
      <c r="AE262" s="8" t="s">
        <v>228</v>
      </c>
      <c r="AF262" s="8" t="s">
        <v>228</v>
      </c>
      <c r="AG262" s="8" t="s">
        <v>228</v>
      </c>
      <c r="AH262" s="8" t="s">
        <v>228</v>
      </c>
      <c r="AI262" s="8" t="s">
        <v>228</v>
      </c>
      <c r="AJ262" t="s">
        <v>468</v>
      </c>
      <c r="AK262">
        <v>1</v>
      </c>
      <c r="AL262">
        <v>1</v>
      </c>
      <c r="AM262" t="s">
        <v>81</v>
      </c>
      <c r="AN262" t="s">
        <v>67</v>
      </c>
      <c r="AO262" t="s">
        <v>526</v>
      </c>
      <c r="AP262" t="s">
        <v>109</v>
      </c>
      <c r="AQ262">
        <v>12</v>
      </c>
      <c r="AR262" t="s">
        <v>521</v>
      </c>
      <c r="AS262" t="s">
        <v>228</v>
      </c>
      <c r="AT262" t="s">
        <v>140</v>
      </c>
      <c r="AU262">
        <v>1</v>
      </c>
      <c r="AV262">
        <v>1</v>
      </c>
      <c r="AW262" t="s">
        <v>406</v>
      </c>
      <c r="AX262" t="s">
        <v>283</v>
      </c>
      <c r="AY262" t="s">
        <v>217</v>
      </c>
      <c r="AZ262">
        <v>1</v>
      </c>
      <c r="BA262" t="s">
        <v>408</v>
      </c>
      <c r="BB262" t="s">
        <v>405</v>
      </c>
      <c r="BC262" t="s">
        <v>395</v>
      </c>
      <c r="BD262" t="s">
        <v>228</v>
      </c>
      <c r="BE262" t="s">
        <v>522</v>
      </c>
      <c r="BF262" t="s">
        <v>523</v>
      </c>
      <c r="BG262" t="s">
        <v>407</v>
      </c>
      <c r="BH262" t="s">
        <v>396</v>
      </c>
      <c r="BI262" t="s">
        <v>524</v>
      </c>
      <c r="BJ262" t="s">
        <v>228</v>
      </c>
      <c r="BK262" t="s">
        <v>543</v>
      </c>
      <c r="BL262" t="s">
        <v>228</v>
      </c>
      <c r="BM262" t="s">
        <v>228</v>
      </c>
      <c r="BN262" t="s">
        <v>228</v>
      </c>
      <c r="BO262" t="s">
        <v>228</v>
      </c>
      <c r="BP262" t="s">
        <v>228</v>
      </c>
      <c r="BQ262" t="s">
        <v>228</v>
      </c>
      <c r="BR262" t="s">
        <v>228</v>
      </c>
      <c r="BS262" t="s">
        <v>409</v>
      </c>
      <c r="BT262">
        <v>1</v>
      </c>
    </row>
    <row r="263" spans="1:72" x14ac:dyDescent="0.15">
      <c r="A263" s="43">
        <v>2023</v>
      </c>
      <c r="B263" s="8">
        <v>1</v>
      </c>
      <c r="C263" s="8">
        <v>1</v>
      </c>
      <c r="D263" s="8">
        <v>20</v>
      </c>
      <c r="E263" s="8" t="s">
        <v>67</v>
      </c>
      <c r="F263" s="8" t="s">
        <v>57</v>
      </c>
      <c r="G263" s="8">
        <v>2016</v>
      </c>
      <c r="H263" s="8">
        <v>12</v>
      </c>
      <c r="I263" s="8" t="s">
        <v>521</v>
      </c>
      <c r="J263" s="8" t="s">
        <v>228</v>
      </c>
      <c r="K263" s="8">
        <v>1983</v>
      </c>
      <c r="L263" s="17">
        <v>1</v>
      </c>
      <c r="M263" s="8">
        <v>1</v>
      </c>
      <c r="N263" s="8" t="s">
        <v>48</v>
      </c>
      <c r="O263" s="8" t="s">
        <v>283</v>
      </c>
      <c r="P263" s="8" t="s">
        <v>217</v>
      </c>
      <c r="Q263" s="8">
        <v>3000</v>
      </c>
      <c r="R263" s="8" t="s">
        <v>57</v>
      </c>
      <c r="S263" s="8" t="s">
        <v>54</v>
      </c>
      <c r="T263" s="8" t="s">
        <v>69</v>
      </c>
      <c r="U263" s="8" t="s">
        <v>228</v>
      </c>
      <c r="V263" s="8">
        <v>500</v>
      </c>
      <c r="W263" s="8" t="s">
        <v>328</v>
      </c>
      <c r="X263" s="8">
        <v>3000</v>
      </c>
      <c r="Y263" s="8" t="s">
        <v>271</v>
      </c>
      <c r="Z263" s="8">
        <v>85</v>
      </c>
      <c r="AA263" s="8" t="s">
        <v>278</v>
      </c>
      <c r="AB263" s="8" t="s">
        <v>228</v>
      </c>
      <c r="AC263" s="8" t="s">
        <v>228</v>
      </c>
      <c r="AD263" s="8" t="s">
        <v>228</v>
      </c>
      <c r="AE263" s="8" t="s">
        <v>228</v>
      </c>
      <c r="AF263" s="8" t="s">
        <v>228</v>
      </c>
      <c r="AG263" s="8" t="s">
        <v>228</v>
      </c>
      <c r="AH263" s="8" t="s">
        <v>228</v>
      </c>
      <c r="AI263" s="8" t="s">
        <v>228</v>
      </c>
      <c r="AJ263" t="s">
        <v>468</v>
      </c>
      <c r="AK263">
        <v>1</v>
      </c>
      <c r="AL263">
        <v>1</v>
      </c>
      <c r="AM263" t="s">
        <v>81</v>
      </c>
      <c r="AN263" t="s">
        <v>67</v>
      </c>
      <c r="AO263" t="s">
        <v>526</v>
      </c>
      <c r="AP263" t="s">
        <v>109</v>
      </c>
      <c r="AQ263">
        <v>12</v>
      </c>
      <c r="AR263" t="s">
        <v>521</v>
      </c>
      <c r="AS263" t="s">
        <v>228</v>
      </c>
      <c r="AT263" t="s">
        <v>140</v>
      </c>
      <c r="AU263">
        <v>1</v>
      </c>
      <c r="AV263">
        <v>1</v>
      </c>
      <c r="AW263" t="s">
        <v>406</v>
      </c>
      <c r="AX263" t="s">
        <v>283</v>
      </c>
      <c r="AY263" t="s">
        <v>217</v>
      </c>
      <c r="AZ263">
        <v>1</v>
      </c>
      <c r="BA263" t="s">
        <v>408</v>
      </c>
      <c r="BB263" t="s">
        <v>541</v>
      </c>
      <c r="BC263" t="s">
        <v>395</v>
      </c>
      <c r="BD263" t="s">
        <v>228</v>
      </c>
      <c r="BE263" t="s">
        <v>522</v>
      </c>
      <c r="BF263" t="s">
        <v>523</v>
      </c>
      <c r="BG263" t="s">
        <v>407</v>
      </c>
      <c r="BH263" t="s">
        <v>544</v>
      </c>
      <c r="BI263" t="s">
        <v>524</v>
      </c>
      <c r="BJ263" t="s">
        <v>228</v>
      </c>
      <c r="BK263" t="s">
        <v>228</v>
      </c>
      <c r="BL263" t="s">
        <v>228</v>
      </c>
      <c r="BM263" t="s">
        <v>228</v>
      </c>
      <c r="BN263" t="s">
        <v>228</v>
      </c>
      <c r="BO263" t="s">
        <v>228</v>
      </c>
      <c r="BP263" t="s">
        <v>228</v>
      </c>
      <c r="BQ263" t="s">
        <v>228</v>
      </c>
      <c r="BR263" t="s">
        <v>228</v>
      </c>
      <c r="BS263" t="s">
        <v>409</v>
      </c>
      <c r="BT263">
        <v>1</v>
      </c>
    </row>
    <row r="264" spans="1:72" x14ac:dyDescent="0.15">
      <c r="A264" s="43">
        <v>2023</v>
      </c>
      <c r="B264" s="8">
        <v>1</v>
      </c>
      <c r="C264" s="8">
        <v>1</v>
      </c>
      <c r="D264" s="8">
        <v>20</v>
      </c>
      <c r="E264" s="8" t="s">
        <v>67</v>
      </c>
      <c r="F264" s="8" t="s">
        <v>57</v>
      </c>
      <c r="G264" s="8">
        <v>2016</v>
      </c>
      <c r="H264" s="8">
        <v>12</v>
      </c>
      <c r="I264" s="8" t="s">
        <v>521</v>
      </c>
      <c r="J264" s="8" t="s">
        <v>228</v>
      </c>
      <c r="K264" s="8">
        <v>1983</v>
      </c>
      <c r="L264" s="17">
        <v>1</v>
      </c>
      <c r="M264" s="8">
        <v>1</v>
      </c>
      <c r="N264" s="8" t="s">
        <v>48</v>
      </c>
      <c r="O264" s="8" t="s">
        <v>283</v>
      </c>
      <c r="P264" s="8" t="s">
        <v>217</v>
      </c>
      <c r="Q264" s="8">
        <v>3000</v>
      </c>
      <c r="R264" s="8" t="s">
        <v>57</v>
      </c>
      <c r="S264" s="8" t="s">
        <v>53</v>
      </c>
      <c r="T264" s="8" t="s">
        <v>69</v>
      </c>
      <c r="U264" s="8" t="s">
        <v>228</v>
      </c>
      <c r="V264" s="8">
        <v>500</v>
      </c>
      <c r="W264" s="8" t="s">
        <v>328</v>
      </c>
      <c r="X264" s="8">
        <v>3000</v>
      </c>
      <c r="Y264" s="8" t="s">
        <v>271</v>
      </c>
      <c r="Z264" s="8">
        <v>85</v>
      </c>
      <c r="AA264" s="8" t="s">
        <v>278</v>
      </c>
      <c r="AB264" s="8" t="s">
        <v>228</v>
      </c>
      <c r="AC264" s="8" t="s">
        <v>228</v>
      </c>
      <c r="AD264" s="8" t="s">
        <v>228</v>
      </c>
      <c r="AE264" s="8" t="s">
        <v>228</v>
      </c>
      <c r="AF264" s="8" t="s">
        <v>228</v>
      </c>
      <c r="AG264" s="8" t="s">
        <v>228</v>
      </c>
      <c r="AH264" s="8" t="s">
        <v>228</v>
      </c>
      <c r="AI264" s="8" t="s">
        <v>228</v>
      </c>
      <c r="AJ264" t="s">
        <v>468</v>
      </c>
      <c r="AK264">
        <v>1</v>
      </c>
      <c r="AL264">
        <v>1</v>
      </c>
      <c r="AM264" t="s">
        <v>81</v>
      </c>
      <c r="AN264" t="s">
        <v>67</v>
      </c>
      <c r="AO264" t="s">
        <v>526</v>
      </c>
      <c r="AP264" t="s">
        <v>109</v>
      </c>
      <c r="AQ264">
        <v>12</v>
      </c>
      <c r="AR264" t="s">
        <v>521</v>
      </c>
      <c r="AS264" t="s">
        <v>228</v>
      </c>
      <c r="AT264" t="s">
        <v>140</v>
      </c>
      <c r="AU264">
        <v>1</v>
      </c>
      <c r="AV264">
        <v>1</v>
      </c>
      <c r="AW264" t="s">
        <v>406</v>
      </c>
      <c r="AX264" t="s">
        <v>283</v>
      </c>
      <c r="AY264" t="s">
        <v>217</v>
      </c>
      <c r="AZ264">
        <v>1</v>
      </c>
      <c r="BA264" t="s">
        <v>408</v>
      </c>
      <c r="BB264" t="s">
        <v>542</v>
      </c>
      <c r="BC264" t="s">
        <v>395</v>
      </c>
      <c r="BD264" t="s">
        <v>228</v>
      </c>
      <c r="BE264" t="s">
        <v>522</v>
      </c>
      <c r="BF264" t="s">
        <v>523</v>
      </c>
      <c r="BG264" t="s">
        <v>407</v>
      </c>
      <c r="BH264" t="s">
        <v>544</v>
      </c>
      <c r="BI264" t="s">
        <v>524</v>
      </c>
      <c r="BJ264" t="s">
        <v>228</v>
      </c>
      <c r="BK264" t="s">
        <v>228</v>
      </c>
      <c r="BL264" t="s">
        <v>228</v>
      </c>
      <c r="BM264" t="s">
        <v>228</v>
      </c>
      <c r="BN264" t="s">
        <v>228</v>
      </c>
      <c r="BO264" t="s">
        <v>228</v>
      </c>
      <c r="BP264" t="s">
        <v>228</v>
      </c>
      <c r="BQ264" t="s">
        <v>228</v>
      </c>
      <c r="BR264" t="s">
        <v>228</v>
      </c>
      <c r="BS264" t="s">
        <v>409</v>
      </c>
      <c r="BT264">
        <v>1</v>
      </c>
    </row>
    <row r="265" spans="1:72" x14ac:dyDescent="0.15">
      <c r="A265" s="43">
        <v>2023</v>
      </c>
      <c r="B265" s="8">
        <v>1</v>
      </c>
      <c r="C265" s="8">
        <v>1</v>
      </c>
      <c r="D265" s="8">
        <v>20</v>
      </c>
      <c r="E265" s="8" t="s">
        <v>67</v>
      </c>
      <c r="F265" s="8" t="s">
        <v>57</v>
      </c>
      <c r="G265" s="8">
        <v>2016</v>
      </c>
      <c r="H265" s="8">
        <v>12</v>
      </c>
      <c r="I265" s="8" t="s">
        <v>521</v>
      </c>
      <c r="J265" s="8" t="s">
        <v>228</v>
      </c>
      <c r="K265" s="8">
        <v>1983</v>
      </c>
      <c r="L265" s="17">
        <v>1</v>
      </c>
      <c r="M265" s="8">
        <v>1</v>
      </c>
      <c r="N265" s="8" t="s">
        <v>48</v>
      </c>
      <c r="O265" s="8" t="s">
        <v>283</v>
      </c>
      <c r="P265" s="8" t="s">
        <v>217</v>
      </c>
      <c r="Q265" s="8">
        <v>3000</v>
      </c>
      <c r="R265" s="8" t="s">
        <v>57</v>
      </c>
      <c r="S265" s="8" t="s">
        <v>52</v>
      </c>
      <c r="T265" s="8" t="s">
        <v>69</v>
      </c>
      <c r="U265" s="8" t="s">
        <v>228</v>
      </c>
      <c r="V265" s="8">
        <v>500</v>
      </c>
      <c r="W265" s="8" t="s">
        <v>328</v>
      </c>
      <c r="X265" s="8">
        <v>3000</v>
      </c>
      <c r="Y265" s="8" t="s">
        <v>271</v>
      </c>
      <c r="Z265" s="8">
        <v>85</v>
      </c>
      <c r="AA265" s="8" t="s">
        <v>278</v>
      </c>
      <c r="AB265" s="8" t="s">
        <v>228</v>
      </c>
      <c r="AC265" s="8" t="s">
        <v>228</v>
      </c>
      <c r="AD265" s="8" t="s">
        <v>228</v>
      </c>
      <c r="AE265" s="8" t="s">
        <v>228</v>
      </c>
      <c r="AF265" s="8" t="s">
        <v>228</v>
      </c>
      <c r="AG265" s="8" t="s">
        <v>228</v>
      </c>
      <c r="AH265" s="8" t="s">
        <v>228</v>
      </c>
      <c r="AI265" s="8" t="s">
        <v>228</v>
      </c>
      <c r="AJ265" t="s">
        <v>468</v>
      </c>
      <c r="AK265">
        <v>1</v>
      </c>
      <c r="AL265">
        <v>1</v>
      </c>
      <c r="AM265" t="s">
        <v>81</v>
      </c>
      <c r="AN265" t="s">
        <v>67</v>
      </c>
      <c r="AO265" t="s">
        <v>526</v>
      </c>
      <c r="AP265" t="s">
        <v>109</v>
      </c>
      <c r="AQ265">
        <v>12</v>
      </c>
      <c r="AR265" t="s">
        <v>521</v>
      </c>
      <c r="AS265" t="s">
        <v>228</v>
      </c>
      <c r="AT265" t="s">
        <v>140</v>
      </c>
      <c r="AU265">
        <v>1</v>
      </c>
      <c r="AV265">
        <v>1</v>
      </c>
      <c r="AW265" t="s">
        <v>406</v>
      </c>
      <c r="AX265" t="s">
        <v>283</v>
      </c>
      <c r="AY265" t="s">
        <v>217</v>
      </c>
      <c r="AZ265">
        <v>1</v>
      </c>
      <c r="BA265" t="s">
        <v>408</v>
      </c>
      <c r="BB265" t="s">
        <v>405</v>
      </c>
      <c r="BC265" t="s">
        <v>395</v>
      </c>
      <c r="BD265" t="s">
        <v>228</v>
      </c>
      <c r="BE265" t="s">
        <v>522</v>
      </c>
      <c r="BF265" t="s">
        <v>523</v>
      </c>
      <c r="BG265" t="s">
        <v>407</v>
      </c>
      <c r="BH265" t="s">
        <v>544</v>
      </c>
      <c r="BI265" t="s">
        <v>524</v>
      </c>
      <c r="BJ265" t="s">
        <v>228</v>
      </c>
      <c r="BK265" t="s">
        <v>228</v>
      </c>
      <c r="BL265" t="s">
        <v>228</v>
      </c>
      <c r="BM265" t="s">
        <v>228</v>
      </c>
      <c r="BN265" t="s">
        <v>228</v>
      </c>
      <c r="BO265" t="s">
        <v>228</v>
      </c>
      <c r="BP265" t="s">
        <v>228</v>
      </c>
      <c r="BQ265" t="s">
        <v>228</v>
      </c>
      <c r="BR265" t="s">
        <v>228</v>
      </c>
      <c r="BS265" t="s">
        <v>409</v>
      </c>
      <c r="BT265">
        <v>1</v>
      </c>
    </row>
    <row r="266" spans="1:72" x14ac:dyDescent="0.15">
      <c r="A266" s="43">
        <v>2023</v>
      </c>
      <c r="B266" s="8">
        <v>1</v>
      </c>
      <c r="C266" s="8">
        <v>1</v>
      </c>
      <c r="D266" s="8">
        <v>20</v>
      </c>
      <c r="E266" s="8" t="s">
        <v>67</v>
      </c>
      <c r="F266" s="8" t="s">
        <v>57</v>
      </c>
      <c r="G266" s="8">
        <v>2016</v>
      </c>
      <c r="H266" s="8">
        <v>12</v>
      </c>
      <c r="I266" s="8" t="s">
        <v>521</v>
      </c>
      <c r="J266" s="8" t="s">
        <v>228</v>
      </c>
      <c r="K266" s="8">
        <v>1983</v>
      </c>
      <c r="L266" s="17">
        <v>1</v>
      </c>
      <c r="M266" s="8">
        <v>1</v>
      </c>
      <c r="N266" s="8" t="s">
        <v>48</v>
      </c>
      <c r="O266" s="8" t="s">
        <v>283</v>
      </c>
      <c r="P266" s="8" t="s">
        <v>217</v>
      </c>
      <c r="Q266" s="8">
        <v>3000</v>
      </c>
      <c r="R266" s="8" t="s">
        <v>57</v>
      </c>
      <c r="S266" s="8" t="s">
        <v>54</v>
      </c>
      <c r="T266" s="8" t="s">
        <v>69</v>
      </c>
      <c r="U266" s="8" t="s">
        <v>228</v>
      </c>
      <c r="V266" s="8">
        <v>500</v>
      </c>
      <c r="W266" s="8" t="s">
        <v>328</v>
      </c>
      <c r="X266" s="8">
        <v>3000</v>
      </c>
      <c r="Y266" s="8" t="s">
        <v>271</v>
      </c>
      <c r="Z266" s="8">
        <v>85</v>
      </c>
      <c r="AA266" s="8" t="s">
        <v>278</v>
      </c>
      <c r="AB266" s="8" t="s">
        <v>247</v>
      </c>
      <c r="AC266" s="8" t="s">
        <v>228</v>
      </c>
      <c r="AD266" s="8" t="s">
        <v>228</v>
      </c>
      <c r="AE266" s="8" t="s">
        <v>228</v>
      </c>
      <c r="AF266" s="8" t="s">
        <v>228</v>
      </c>
      <c r="AG266" s="8" t="s">
        <v>228</v>
      </c>
      <c r="AH266" s="8" t="s">
        <v>228</v>
      </c>
      <c r="AI266" s="8" t="s">
        <v>228</v>
      </c>
      <c r="AJ266" t="s">
        <v>468</v>
      </c>
      <c r="AK266">
        <v>1</v>
      </c>
      <c r="AL266">
        <v>1</v>
      </c>
      <c r="AM266" t="s">
        <v>81</v>
      </c>
      <c r="AN266" t="s">
        <v>67</v>
      </c>
      <c r="AO266" t="s">
        <v>526</v>
      </c>
      <c r="AP266" t="s">
        <v>109</v>
      </c>
      <c r="AQ266">
        <v>12</v>
      </c>
      <c r="AR266" t="s">
        <v>521</v>
      </c>
      <c r="AS266" t="s">
        <v>228</v>
      </c>
      <c r="AT266" t="s">
        <v>140</v>
      </c>
      <c r="AU266">
        <v>1</v>
      </c>
      <c r="AV266">
        <v>1</v>
      </c>
      <c r="AW266" t="s">
        <v>406</v>
      </c>
      <c r="AX266" t="s">
        <v>283</v>
      </c>
      <c r="AY266" t="s">
        <v>217</v>
      </c>
      <c r="AZ266">
        <v>1</v>
      </c>
      <c r="BA266" t="s">
        <v>408</v>
      </c>
      <c r="BB266" t="s">
        <v>541</v>
      </c>
      <c r="BC266" t="s">
        <v>395</v>
      </c>
      <c r="BD266" t="s">
        <v>228</v>
      </c>
      <c r="BE266" t="s">
        <v>522</v>
      </c>
      <c r="BF266" t="s">
        <v>523</v>
      </c>
      <c r="BG266" t="s">
        <v>407</v>
      </c>
      <c r="BH266" t="s">
        <v>544</v>
      </c>
      <c r="BI266" t="s">
        <v>524</v>
      </c>
      <c r="BJ266" t="s">
        <v>228</v>
      </c>
      <c r="BK266" t="s">
        <v>543</v>
      </c>
      <c r="BL266" t="s">
        <v>228</v>
      </c>
      <c r="BM266" t="s">
        <v>228</v>
      </c>
      <c r="BN266" t="s">
        <v>228</v>
      </c>
      <c r="BO266" t="s">
        <v>228</v>
      </c>
      <c r="BP266" t="s">
        <v>228</v>
      </c>
      <c r="BQ266" t="s">
        <v>228</v>
      </c>
      <c r="BR266" t="s">
        <v>228</v>
      </c>
      <c r="BS266" t="s">
        <v>409</v>
      </c>
      <c r="BT266">
        <v>1</v>
      </c>
    </row>
    <row r="267" spans="1:72" x14ac:dyDescent="0.15">
      <c r="A267" s="43">
        <v>2023</v>
      </c>
      <c r="B267" s="8">
        <v>1</v>
      </c>
      <c r="C267" s="8">
        <v>1</v>
      </c>
      <c r="D267" s="8">
        <v>20</v>
      </c>
      <c r="E267" s="8" t="s">
        <v>67</v>
      </c>
      <c r="F267" s="8" t="s">
        <v>57</v>
      </c>
      <c r="G267" s="8">
        <v>2016</v>
      </c>
      <c r="H267" s="8">
        <v>12</v>
      </c>
      <c r="I267" s="8" t="s">
        <v>521</v>
      </c>
      <c r="J267" s="8" t="s">
        <v>228</v>
      </c>
      <c r="K267" s="8">
        <v>1983</v>
      </c>
      <c r="L267" s="17">
        <v>1</v>
      </c>
      <c r="M267" s="8">
        <v>1</v>
      </c>
      <c r="N267" s="8" t="s">
        <v>48</v>
      </c>
      <c r="O267" s="8" t="s">
        <v>283</v>
      </c>
      <c r="P267" s="8" t="s">
        <v>217</v>
      </c>
      <c r="Q267" s="8">
        <v>3000</v>
      </c>
      <c r="R267" s="8" t="s">
        <v>57</v>
      </c>
      <c r="S267" s="8" t="s">
        <v>53</v>
      </c>
      <c r="T267" s="8" t="s">
        <v>69</v>
      </c>
      <c r="U267" s="8" t="s">
        <v>228</v>
      </c>
      <c r="V267" s="8">
        <v>500</v>
      </c>
      <c r="W267" s="8" t="s">
        <v>328</v>
      </c>
      <c r="X267" s="8">
        <v>3000</v>
      </c>
      <c r="Y267" s="8" t="s">
        <v>271</v>
      </c>
      <c r="Z267" s="8">
        <v>85</v>
      </c>
      <c r="AA267" s="8" t="s">
        <v>278</v>
      </c>
      <c r="AB267" s="8" t="s">
        <v>247</v>
      </c>
      <c r="AC267" s="8" t="s">
        <v>228</v>
      </c>
      <c r="AD267" s="8" t="s">
        <v>228</v>
      </c>
      <c r="AE267" s="8" t="s">
        <v>228</v>
      </c>
      <c r="AF267" s="8" t="s">
        <v>228</v>
      </c>
      <c r="AG267" s="8" t="s">
        <v>228</v>
      </c>
      <c r="AH267" s="8" t="s">
        <v>228</v>
      </c>
      <c r="AI267" s="8" t="s">
        <v>228</v>
      </c>
      <c r="AJ267" t="s">
        <v>468</v>
      </c>
      <c r="AK267">
        <v>1</v>
      </c>
      <c r="AL267">
        <v>1</v>
      </c>
      <c r="AM267" t="s">
        <v>81</v>
      </c>
      <c r="AN267" t="s">
        <v>67</v>
      </c>
      <c r="AO267" t="s">
        <v>526</v>
      </c>
      <c r="AP267" t="s">
        <v>109</v>
      </c>
      <c r="AQ267">
        <v>12</v>
      </c>
      <c r="AR267" t="s">
        <v>521</v>
      </c>
      <c r="AS267" t="s">
        <v>228</v>
      </c>
      <c r="AT267" t="s">
        <v>140</v>
      </c>
      <c r="AU267">
        <v>1</v>
      </c>
      <c r="AV267">
        <v>1</v>
      </c>
      <c r="AW267" t="s">
        <v>406</v>
      </c>
      <c r="AX267" t="s">
        <v>283</v>
      </c>
      <c r="AY267" t="s">
        <v>217</v>
      </c>
      <c r="AZ267">
        <v>1</v>
      </c>
      <c r="BA267" t="s">
        <v>408</v>
      </c>
      <c r="BB267" t="s">
        <v>542</v>
      </c>
      <c r="BC267" t="s">
        <v>395</v>
      </c>
      <c r="BD267" t="s">
        <v>228</v>
      </c>
      <c r="BE267" t="s">
        <v>522</v>
      </c>
      <c r="BF267" t="s">
        <v>523</v>
      </c>
      <c r="BG267" t="s">
        <v>407</v>
      </c>
      <c r="BH267" t="s">
        <v>544</v>
      </c>
      <c r="BI267" t="s">
        <v>524</v>
      </c>
      <c r="BJ267" t="s">
        <v>228</v>
      </c>
      <c r="BK267" t="s">
        <v>543</v>
      </c>
      <c r="BL267" t="s">
        <v>228</v>
      </c>
      <c r="BM267" t="s">
        <v>228</v>
      </c>
      <c r="BN267" t="s">
        <v>228</v>
      </c>
      <c r="BO267" t="s">
        <v>228</v>
      </c>
      <c r="BP267" t="s">
        <v>228</v>
      </c>
      <c r="BQ267" t="s">
        <v>228</v>
      </c>
      <c r="BR267" t="s">
        <v>228</v>
      </c>
      <c r="BS267" t="s">
        <v>409</v>
      </c>
      <c r="BT267">
        <v>1</v>
      </c>
    </row>
    <row r="268" spans="1:72" x14ac:dyDescent="0.15">
      <c r="A268" s="43">
        <v>2023</v>
      </c>
      <c r="B268" s="8">
        <v>1</v>
      </c>
      <c r="C268" s="8">
        <v>1</v>
      </c>
      <c r="D268" s="8">
        <v>20</v>
      </c>
      <c r="E268" s="8" t="s">
        <v>67</v>
      </c>
      <c r="F268" s="8" t="s">
        <v>57</v>
      </c>
      <c r="G268" s="8">
        <v>2016</v>
      </c>
      <c r="H268" s="8">
        <v>12</v>
      </c>
      <c r="I268" s="8" t="s">
        <v>521</v>
      </c>
      <c r="J268" s="8" t="s">
        <v>228</v>
      </c>
      <c r="K268" s="8">
        <v>1983</v>
      </c>
      <c r="L268" s="17">
        <v>1</v>
      </c>
      <c r="M268" s="8">
        <v>1</v>
      </c>
      <c r="N268" s="8" t="s">
        <v>48</v>
      </c>
      <c r="O268" s="8" t="s">
        <v>283</v>
      </c>
      <c r="P268" s="8" t="s">
        <v>217</v>
      </c>
      <c r="Q268" s="8">
        <v>3000</v>
      </c>
      <c r="R268" s="8" t="s">
        <v>57</v>
      </c>
      <c r="S268" s="8" t="s">
        <v>52</v>
      </c>
      <c r="T268" s="8" t="s">
        <v>69</v>
      </c>
      <c r="U268" s="8" t="s">
        <v>228</v>
      </c>
      <c r="V268" s="8">
        <v>500</v>
      </c>
      <c r="W268" s="8" t="s">
        <v>328</v>
      </c>
      <c r="X268" s="8">
        <v>3000</v>
      </c>
      <c r="Y268" s="8" t="s">
        <v>271</v>
      </c>
      <c r="Z268" s="8">
        <v>85</v>
      </c>
      <c r="AA268" s="8" t="s">
        <v>278</v>
      </c>
      <c r="AB268" s="8" t="s">
        <v>247</v>
      </c>
      <c r="AC268" s="8" t="s">
        <v>228</v>
      </c>
      <c r="AD268" s="8" t="s">
        <v>228</v>
      </c>
      <c r="AE268" s="8" t="s">
        <v>228</v>
      </c>
      <c r="AF268" s="8" t="s">
        <v>228</v>
      </c>
      <c r="AG268" s="8" t="s">
        <v>228</v>
      </c>
      <c r="AH268" s="8" t="s">
        <v>228</v>
      </c>
      <c r="AI268" s="8" t="s">
        <v>228</v>
      </c>
      <c r="AJ268" t="s">
        <v>468</v>
      </c>
      <c r="AK268">
        <v>1</v>
      </c>
      <c r="AL268">
        <v>1</v>
      </c>
      <c r="AM268" t="s">
        <v>81</v>
      </c>
      <c r="AN268" t="s">
        <v>67</v>
      </c>
      <c r="AO268" t="s">
        <v>526</v>
      </c>
      <c r="AP268" t="s">
        <v>109</v>
      </c>
      <c r="AQ268">
        <v>12</v>
      </c>
      <c r="AR268" t="s">
        <v>521</v>
      </c>
      <c r="AS268" t="s">
        <v>228</v>
      </c>
      <c r="AT268" t="s">
        <v>140</v>
      </c>
      <c r="AU268">
        <v>1</v>
      </c>
      <c r="AV268">
        <v>1</v>
      </c>
      <c r="AW268" t="s">
        <v>406</v>
      </c>
      <c r="AX268" t="s">
        <v>283</v>
      </c>
      <c r="AY268" t="s">
        <v>217</v>
      </c>
      <c r="AZ268">
        <v>1</v>
      </c>
      <c r="BA268" t="s">
        <v>408</v>
      </c>
      <c r="BB268" t="s">
        <v>405</v>
      </c>
      <c r="BC268" t="s">
        <v>395</v>
      </c>
      <c r="BD268" t="s">
        <v>228</v>
      </c>
      <c r="BE268" t="s">
        <v>522</v>
      </c>
      <c r="BF268" t="s">
        <v>523</v>
      </c>
      <c r="BG268" t="s">
        <v>407</v>
      </c>
      <c r="BH268" t="s">
        <v>544</v>
      </c>
      <c r="BI268" t="s">
        <v>524</v>
      </c>
      <c r="BJ268" t="s">
        <v>228</v>
      </c>
      <c r="BK268" t="s">
        <v>543</v>
      </c>
      <c r="BL268" t="s">
        <v>228</v>
      </c>
      <c r="BM268" t="s">
        <v>228</v>
      </c>
      <c r="BN268" t="s">
        <v>228</v>
      </c>
      <c r="BO268" t="s">
        <v>228</v>
      </c>
      <c r="BP268" t="s">
        <v>228</v>
      </c>
      <c r="BQ268" t="s">
        <v>228</v>
      </c>
      <c r="BR268" t="s">
        <v>228</v>
      </c>
      <c r="BS268" t="s">
        <v>409</v>
      </c>
      <c r="BT268">
        <v>0</v>
      </c>
    </row>
    <row r="269" spans="1:72" x14ac:dyDescent="0.15">
      <c r="A269" s="43">
        <v>2023</v>
      </c>
      <c r="B269" s="8">
        <v>1</v>
      </c>
      <c r="C269" s="8">
        <v>1</v>
      </c>
      <c r="D269" s="8">
        <v>19</v>
      </c>
      <c r="E269" s="8" t="s">
        <v>67</v>
      </c>
      <c r="F269" s="8" t="s">
        <v>57</v>
      </c>
      <c r="G269" s="8">
        <v>2016</v>
      </c>
      <c r="H269" s="8">
        <v>12</v>
      </c>
      <c r="I269" s="8" t="s">
        <v>521</v>
      </c>
      <c r="J269" s="8" t="s">
        <v>228</v>
      </c>
      <c r="K269" s="8">
        <v>1983</v>
      </c>
      <c r="L269" s="17">
        <v>1</v>
      </c>
      <c r="M269" s="8">
        <v>1</v>
      </c>
      <c r="N269" s="8" t="s">
        <v>48</v>
      </c>
      <c r="O269" s="8" t="s">
        <v>283</v>
      </c>
      <c r="P269" s="8" t="s">
        <v>217</v>
      </c>
      <c r="Q269" s="8">
        <v>3000</v>
      </c>
      <c r="R269" s="8" t="s">
        <v>57</v>
      </c>
      <c r="S269" s="8" t="s">
        <v>54</v>
      </c>
      <c r="T269" s="8" t="s">
        <v>69</v>
      </c>
      <c r="U269" s="8" t="s">
        <v>228</v>
      </c>
      <c r="V269" s="8">
        <v>500</v>
      </c>
      <c r="W269" s="8" t="s">
        <v>328</v>
      </c>
      <c r="X269" s="8">
        <v>3000</v>
      </c>
      <c r="Y269" s="8" t="s">
        <v>268</v>
      </c>
      <c r="Z269" s="8">
        <v>85</v>
      </c>
      <c r="AA269" s="8" t="s">
        <v>278</v>
      </c>
      <c r="AB269" s="8" t="s">
        <v>228</v>
      </c>
      <c r="AC269" s="8" t="s">
        <v>228</v>
      </c>
      <c r="AD269" s="8" t="s">
        <v>228</v>
      </c>
      <c r="AE269" s="8" t="s">
        <v>228</v>
      </c>
      <c r="AF269" s="8" t="s">
        <v>228</v>
      </c>
      <c r="AG269" s="8" t="s">
        <v>228</v>
      </c>
      <c r="AH269" s="8" t="s">
        <v>228</v>
      </c>
      <c r="AI269" s="8" t="s">
        <v>228</v>
      </c>
      <c r="AJ269" t="s">
        <v>468</v>
      </c>
      <c r="AK269">
        <v>1</v>
      </c>
      <c r="AL269">
        <v>1</v>
      </c>
      <c r="AM269" t="s">
        <v>82</v>
      </c>
      <c r="AN269" t="s">
        <v>67</v>
      </c>
      <c r="AO269" t="s">
        <v>526</v>
      </c>
      <c r="AP269" t="s">
        <v>109</v>
      </c>
      <c r="AQ269">
        <v>12</v>
      </c>
      <c r="AR269" t="s">
        <v>521</v>
      </c>
      <c r="AS269" t="s">
        <v>228</v>
      </c>
      <c r="AT269" t="s">
        <v>140</v>
      </c>
      <c r="AU269">
        <v>1</v>
      </c>
      <c r="AV269">
        <v>1</v>
      </c>
      <c r="AW269" t="s">
        <v>406</v>
      </c>
      <c r="AX269" t="s">
        <v>283</v>
      </c>
      <c r="AY269" t="s">
        <v>217</v>
      </c>
      <c r="AZ269">
        <v>1</v>
      </c>
      <c r="BA269" t="s">
        <v>408</v>
      </c>
      <c r="BB269" t="s">
        <v>541</v>
      </c>
      <c r="BC269" t="s">
        <v>395</v>
      </c>
      <c r="BD269" t="s">
        <v>228</v>
      </c>
      <c r="BE269" t="s">
        <v>522</v>
      </c>
      <c r="BF269" t="s">
        <v>523</v>
      </c>
      <c r="BG269" t="s">
        <v>407</v>
      </c>
      <c r="BH269" t="s">
        <v>396</v>
      </c>
      <c r="BI269" t="s">
        <v>524</v>
      </c>
      <c r="BJ269" t="s">
        <v>228</v>
      </c>
      <c r="BK269" t="s">
        <v>228</v>
      </c>
      <c r="BL269" t="s">
        <v>228</v>
      </c>
      <c r="BM269" t="s">
        <v>228</v>
      </c>
      <c r="BN269" t="s">
        <v>228</v>
      </c>
      <c r="BO269" t="s">
        <v>228</v>
      </c>
      <c r="BP269" t="s">
        <v>228</v>
      </c>
      <c r="BQ269" t="s">
        <v>228</v>
      </c>
      <c r="BR269" t="s">
        <v>228</v>
      </c>
      <c r="BS269" t="s">
        <v>409</v>
      </c>
      <c r="BT269">
        <v>1</v>
      </c>
    </row>
    <row r="270" spans="1:72" x14ac:dyDescent="0.15">
      <c r="A270" s="43">
        <v>2023</v>
      </c>
      <c r="B270" s="8">
        <v>1</v>
      </c>
      <c r="C270" s="8">
        <v>1</v>
      </c>
      <c r="D270" s="8">
        <v>19</v>
      </c>
      <c r="E270" s="8" t="s">
        <v>67</v>
      </c>
      <c r="F270" s="8" t="s">
        <v>57</v>
      </c>
      <c r="G270" s="8">
        <v>2016</v>
      </c>
      <c r="H270" s="8">
        <v>12</v>
      </c>
      <c r="I270" s="8" t="s">
        <v>521</v>
      </c>
      <c r="J270" s="8" t="s">
        <v>228</v>
      </c>
      <c r="K270" s="8">
        <v>1983</v>
      </c>
      <c r="L270" s="17">
        <v>1</v>
      </c>
      <c r="M270" s="8">
        <v>1</v>
      </c>
      <c r="N270" s="8" t="s">
        <v>48</v>
      </c>
      <c r="O270" s="8" t="s">
        <v>283</v>
      </c>
      <c r="P270" s="8" t="s">
        <v>217</v>
      </c>
      <c r="Q270" s="8">
        <v>3000</v>
      </c>
      <c r="R270" s="8" t="s">
        <v>57</v>
      </c>
      <c r="S270" s="8" t="s">
        <v>53</v>
      </c>
      <c r="T270" s="8" t="s">
        <v>69</v>
      </c>
      <c r="U270" s="8" t="s">
        <v>228</v>
      </c>
      <c r="V270" s="8">
        <v>500</v>
      </c>
      <c r="W270" s="8" t="s">
        <v>328</v>
      </c>
      <c r="X270" s="8">
        <v>3000</v>
      </c>
      <c r="Y270" s="8" t="s">
        <v>268</v>
      </c>
      <c r="Z270" s="8">
        <v>85</v>
      </c>
      <c r="AA270" s="8" t="s">
        <v>278</v>
      </c>
      <c r="AB270" s="8" t="s">
        <v>228</v>
      </c>
      <c r="AC270" s="8" t="s">
        <v>228</v>
      </c>
      <c r="AD270" s="8" t="s">
        <v>228</v>
      </c>
      <c r="AE270" s="8" t="s">
        <v>228</v>
      </c>
      <c r="AF270" s="8" t="s">
        <v>228</v>
      </c>
      <c r="AG270" s="8" t="s">
        <v>228</v>
      </c>
      <c r="AH270" s="8" t="s">
        <v>228</v>
      </c>
      <c r="AI270" s="8" t="s">
        <v>228</v>
      </c>
      <c r="AJ270" t="s">
        <v>468</v>
      </c>
      <c r="AK270">
        <v>1</v>
      </c>
      <c r="AL270">
        <v>1</v>
      </c>
      <c r="AM270" t="s">
        <v>82</v>
      </c>
      <c r="AN270" t="s">
        <v>67</v>
      </c>
      <c r="AO270" t="s">
        <v>526</v>
      </c>
      <c r="AP270" t="s">
        <v>109</v>
      </c>
      <c r="AQ270">
        <v>12</v>
      </c>
      <c r="AR270" t="s">
        <v>521</v>
      </c>
      <c r="AS270" t="s">
        <v>228</v>
      </c>
      <c r="AT270" t="s">
        <v>140</v>
      </c>
      <c r="AU270">
        <v>1</v>
      </c>
      <c r="AV270">
        <v>1</v>
      </c>
      <c r="AW270" t="s">
        <v>406</v>
      </c>
      <c r="AX270" t="s">
        <v>283</v>
      </c>
      <c r="AY270" t="s">
        <v>217</v>
      </c>
      <c r="AZ270">
        <v>1</v>
      </c>
      <c r="BA270" t="s">
        <v>408</v>
      </c>
      <c r="BB270" t="s">
        <v>542</v>
      </c>
      <c r="BC270" t="s">
        <v>395</v>
      </c>
      <c r="BD270" t="s">
        <v>228</v>
      </c>
      <c r="BE270" t="s">
        <v>522</v>
      </c>
      <c r="BF270" t="s">
        <v>523</v>
      </c>
      <c r="BG270" t="s">
        <v>407</v>
      </c>
      <c r="BH270" t="s">
        <v>396</v>
      </c>
      <c r="BI270" t="s">
        <v>524</v>
      </c>
      <c r="BJ270" t="s">
        <v>228</v>
      </c>
      <c r="BK270" t="s">
        <v>228</v>
      </c>
      <c r="BL270" t="s">
        <v>228</v>
      </c>
      <c r="BM270" t="s">
        <v>228</v>
      </c>
      <c r="BN270" t="s">
        <v>228</v>
      </c>
      <c r="BO270" t="s">
        <v>228</v>
      </c>
      <c r="BP270" t="s">
        <v>228</v>
      </c>
      <c r="BQ270" t="s">
        <v>228</v>
      </c>
      <c r="BR270" t="s">
        <v>228</v>
      </c>
      <c r="BS270" t="s">
        <v>409</v>
      </c>
      <c r="BT270">
        <v>1</v>
      </c>
    </row>
    <row r="271" spans="1:72" x14ac:dyDescent="0.15">
      <c r="A271" s="43">
        <v>2023</v>
      </c>
      <c r="B271" s="8">
        <v>1</v>
      </c>
      <c r="C271" s="8">
        <v>1</v>
      </c>
      <c r="D271" s="8">
        <v>19</v>
      </c>
      <c r="E271" s="8" t="s">
        <v>67</v>
      </c>
      <c r="F271" s="8" t="s">
        <v>57</v>
      </c>
      <c r="G271" s="8">
        <v>2016</v>
      </c>
      <c r="H271" s="8">
        <v>12</v>
      </c>
      <c r="I271" s="8" t="s">
        <v>521</v>
      </c>
      <c r="J271" s="8" t="s">
        <v>228</v>
      </c>
      <c r="K271" s="8">
        <v>1983</v>
      </c>
      <c r="L271" s="17">
        <v>1</v>
      </c>
      <c r="M271" s="8">
        <v>1</v>
      </c>
      <c r="N271" s="8" t="s">
        <v>48</v>
      </c>
      <c r="O271" s="8" t="s">
        <v>283</v>
      </c>
      <c r="P271" s="8" t="s">
        <v>217</v>
      </c>
      <c r="Q271" s="8">
        <v>3000</v>
      </c>
      <c r="R271" s="8" t="s">
        <v>57</v>
      </c>
      <c r="S271" s="8" t="s">
        <v>52</v>
      </c>
      <c r="T271" s="8" t="s">
        <v>69</v>
      </c>
      <c r="U271" s="8" t="s">
        <v>228</v>
      </c>
      <c r="V271" s="8">
        <v>500</v>
      </c>
      <c r="W271" s="8" t="s">
        <v>328</v>
      </c>
      <c r="X271" s="8">
        <v>3000</v>
      </c>
      <c r="Y271" s="8" t="s">
        <v>268</v>
      </c>
      <c r="Z271" s="8">
        <v>85</v>
      </c>
      <c r="AA271" s="8" t="s">
        <v>278</v>
      </c>
      <c r="AB271" s="8" t="s">
        <v>228</v>
      </c>
      <c r="AC271" s="8" t="s">
        <v>228</v>
      </c>
      <c r="AD271" s="8" t="s">
        <v>228</v>
      </c>
      <c r="AE271" s="8" t="s">
        <v>228</v>
      </c>
      <c r="AF271" s="8" t="s">
        <v>228</v>
      </c>
      <c r="AG271" s="8" t="s">
        <v>228</v>
      </c>
      <c r="AH271" s="8" t="s">
        <v>228</v>
      </c>
      <c r="AI271" s="8" t="s">
        <v>228</v>
      </c>
      <c r="AJ271" t="s">
        <v>468</v>
      </c>
      <c r="AK271">
        <v>1</v>
      </c>
      <c r="AL271">
        <v>1</v>
      </c>
      <c r="AM271" t="s">
        <v>82</v>
      </c>
      <c r="AN271" t="s">
        <v>67</v>
      </c>
      <c r="AO271" t="s">
        <v>526</v>
      </c>
      <c r="AP271" t="s">
        <v>109</v>
      </c>
      <c r="AQ271">
        <v>12</v>
      </c>
      <c r="AR271" t="s">
        <v>521</v>
      </c>
      <c r="AS271" t="s">
        <v>228</v>
      </c>
      <c r="AT271" t="s">
        <v>140</v>
      </c>
      <c r="AU271">
        <v>1</v>
      </c>
      <c r="AV271">
        <v>1</v>
      </c>
      <c r="AW271" t="s">
        <v>406</v>
      </c>
      <c r="AX271" t="s">
        <v>283</v>
      </c>
      <c r="AY271" t="s">
        <v>217</v>
      </c>
      <c r="AZ271">
        <v>1</v>
      </c>
      <c r="BA271" t="s">
        <v>408</v>
      </c>
      <c r="BB271" t="s">
        <v>405</v>
      </c>
      <c r="BC271" t="s">
        <v>395</v>
      </c>
      <c r="BD271" t="s">
        <v>228</v>
      </c>
      <c r="BE271" t="s">
        <v>522</v>
      </c>
      <c r="BF271" t="s">
        <v>523</v>
      </c>
      <c r="BG271" t="s">
        <v>407</v>
      </c>
      <c r="BH271" t="s">
        <v>396</v>
      </c>
      <c r="BI271" t="s">
        <v>524</v>
      </c>
      <c r="BJ271" t="s">
        <v>228</v>
      </c>
      <c r="BK271" t="s">
        <v>228</v>
      </c>
      <c r="BL271" t="s">
        <v>228</v>
      </c>
      <c r="BM271" t="s">
        <v>228</v>
      </c>
      <c r="BN271" t="s">
        <v>228</v>
      </c>
      <c r="BO271" t="s">
        <v>228</v>
      </c>
      <c r="BP271" t="s">
        <v>228</v>
      </c>
      <c r="BQ271" t="s">
        <v>228</v>
      </c>
      <c r="BR271" t="s">
        <v>228</v>
      </c>
      <c r="BS271" t="s">
        <v>409</v>
      </c>
      <c r="BT271">
        <v>1</v>
      </c>
    </row>
    <row r="272" spans="1:72" x14ac:dyDescent="0.15">
      <c r="A272" s="43">
        <v>2023</v>
      </c>
      <c r="B272" s="8">
        <v>1</v>
      </c>
      <c r="C272" s="8">
        <v>1</v>
      </c>
      <c r="D272" s="8">
        <v>19</v>
      </c>
      <c r="E272" s="8" t="s">
        <v>67</v>
      </c>
      <c r="F272" s="8" t="s">
        <v>57</v>
      </c>
      <c r="G272" s="8">
        <v>2016</v>
      </c>
      <c r="H272" s="8">
        <v>12</v>
      </c>
      <c r="I272" s="8" t="s">
        <v>521</v>
      </c>
      <c r="J272" s="8" t="s">
        <v>228</v>
      </c>
      <c r="K272" s="8">
        <v>1983</v>
      </c>
      <c r="L272" s="17">
        <v>1</v>
      </c>
      <c r="M272" s="8">
        <v>1</v>
      </c>
      <c r="N272" s="8" t="s">
        <v>48</v>
      </c>
      <c r="O272" s="8" t="s">
        <v>283</v>
      </c>
      <c r="P272" s="8" t="s">
        <v>217</v>
      </c>
      <c r="Q272" s="8">
        <v>3000</v>
      </c>
      <c r="R272" s="8" t="s">
        <v>57</v>
      </c>
      <c r="S272" s="8" t="s">
        <v>54</v>
      </c>
      <c r="T272" s="8" t="s">
        <v>69</v>
      </c>
      <c r="U272" s="8" t="s">
        <v>228</v>
      </c>
      <c r="V272" s="8">
        <v>500</v>
      </c>
      <c r="W272" s="8" t="s">
        <v>328</v>
      </c>
      <c r="X272" s="8">
        <v>3000</v>
      </c>
      <c r="Y272" s="8" t="s">
        <v>268</v>
      </c>
      <c r="Z272" s="8">
        <v>85</v>
      </c>
      <c r="AA272" s="8" t="s">
        <v>278</v>
      </c>
      <c r="AB272" s="8" t="s">
        <v>247</v>
      </c>
      <c r="AC272" s="8" t="s">
        <v>228</v>
      </c>
      <c r="AD272" s="8" t="s">
        <v>228</v>
      </c>
      <c r="AE272" s="8" t="s">
        <v>228</v>
      </c>
      <c r="AF272" s="8" t="s">
        <v>228</v>
      </c>
      <c r="AG272" s="8" t="s">
        <v>228</v>
      </c>
      <c r="AH272" s="8" t="s">
        <v>228</v>
      </c>
      <c r="AI272" s="8" t="s">
        <v>228</v>
      </c>
      <c r="AJ272" t="s">
        <v>468</v>
      </c>
      <c r="AK272">
        <v>1</v>
      </c>
      <c r="AL272">
        <v>1</v>
      </c>
      <c r="AM272" t="s">
        <v>82</v>
      </c>
      <c r="AN272" t="s">
        <v>67</v>
      </c>
      <c r="AO272" t="s">
        <v>526</v>
      </c>
      <c r="AP272" t="s">
        <v>109</v>
      </c>
      <c r="AQ272">
        <v>12</v>
      </c>
      <c r="AR272" t="s">
        <v>521</v>
      </c>
      <c r="AS272" t="s">
        <v>228</v>
      </c>
      <c r="AT272" t="s">
        <v>140</v>
      </c>
      <c r="AU272">
        <v>1</v>
      </c>
      <c r="AV272">
        <v>1</v>
      </c>
      <c r="AW272" t="s">
        <v>406</v>
      </c>
      <c r="AX272" t="s">
        <v>283</v>
      </c>
      <c r="AY272" t="s">
        <v>217</v>
      </c>
      <c r="AZ272">
        <v>1</v>
      </c>
      <c r="BA272" t="s">
        <v>408</v>
      </c>
      <c r="BB272" t="s">
        <v>541</v>
      </c>
      <c r="BC272" t="s">
        <v>395</v>
      </c>
      <c r="BD272" t="s">
        <v>228</v>
      </c>
      <c r="BE272" t="s">
        <v>522</v>
      </c>
      <c r="BF272" t="s">
        <v>523</v>
      </c>
      <c r="BG272" t="s">
        <v>407</v>
      </c>
      <c r="BH272" t="s">
        <v>396</v>
      </c>
      <c r="BI272" t="s">
        <v>524</v>
      </c>
      <c r="BJ272" t="s">
        <v>228</v>
      </c>
      <c r="BK272" t="s">
        <v>543</v>
      </c>
      <c r="BL272" t="s">
        <v>228</v>
      </c>
      <c r="BM272" t="s">
        <v>228</v>
      </c>
      <c r="BN272" t="s">
        <v>228</v>
      </c>
      <c r="BO272" t="s">
        <v>228</v>
      </c>
      <c r="BP272" t="s">
        <v>228</v>
      </c>
      <c r="BQ272" t="s">
        <v>228</v>
      </c>
      <c r="BR272" t="s">
        <v>228</v>
      </c>
      <c r="BS272" t="s">
        <v>409</v>
      </c>
      <c r="BT272">
        <v>1</v>
      </c>
    </row>
    <row r="273" spans="1:72" x14ac:dyDescent="0.15">
      <c r="A273" s="43">
        <v>2023</v>
      </c>
      <c r="B273" s="8">
        <v>1</v>
      </c>
      <c r="C273" s="8">
        <v>1</v>
      </c>
      <c r="D273" s="8">
        <v>19</v>
      </c>
      <c r="E273" s="8" t="s">
        <v>67</v>
      </c>
      <c r="F273" s="8" t="s">
        <v>57</v>
      </c>
      <c r="G273" s="8">
        <v>2016</v>
      </c>
      <c r="H273" s="8">
        <v>12</v>
      </c>
      <c r="I273" s="8" t="s">
        <v>521</v>
      </c>
      <c r="J273" s="8" t="s">
        <v>228</v>
      </c>
      <c r="K273" s="8">
        <v>1983</v>
      </c>
      <c r="L273" s="17">
        <v>1</v>
      </c>
      <c r="M273" s="8">
        <v>1</v>
      </c>
      <c r="N273" s="8" t="s">
        <v>48</v>
      </c>
      <c r="O273" s="8" t="s">
        <v>283</v>
      </c>
      <c r="P273" s="8" t="s">
        <v>217</v>
      </c>
      <c r="Q273" s="8">
        <v>3000</v>
      </c>
      <c r="R273" s="8" t="s">
        <v>57</v>
      </c>
      <c r="S273" s="8" t="s">
        <v>53</v>
      </c>
      <c r="T273" s="8" t="s">
        <v>69</v>
      </c>
      <c r="U273" s="8" t="s">
        <v>228</v>
      </c>
      <c r="V273" s="8">
        <v>500</v>
      </c>
      <c r="W273" s="8" t="s">
        <v>328</v>
      </c>
      <c r="X273" s="8">
        <v>3000</v>
      </c>
      <c r="Y273" s="8" t="s">
        <v>268</v>
      </c>
      <c r="Z273" s="8">
        <v>85</v>
      </c>
      <c r="AA273" s="8" t="s">
        <v>278</v>
      </c>
      <c r="AB273" s="8" t="s">
        <v>247</v>
      </c>
      <c r="AC273" s="8" t="s">
        <v>228</v>
      </c>
      <c r="AD273" s="8" t="s">
        <v>228</v>
      </c>
      <c r="AE273" s="8" t="s">
        <v>228</v>
      </c>
      <c r="AF273" s="8" t="s">
        <v>228</v>
      </c>
      <c r="AG273" s="8" t="s">
        <v>228</v>
      </c>
      <c r="AH273" s="8" t="s">
        <v>228</v>
      </c>
      <c r="AI273" s="8" t="s">
        <v>228</v>
      </c>
      <c r="AJ273" t="s">
        <v>468</v>
      </c>
      <c r="AK273">
        <v>1</v>
      </c>
      <c r="AL273">
        <v>1</v>
      </c>
      <c r="AM273" t="s">
        <v>82</v>
      </c>
      <c r="AN273" t="s">
        <v>67</v>
      </c>
      <c r="AO273" t="s">
        <v>526</v>
      </c>
      <c r="AP273" t="s">
        <v>109</v>
      </c>
      <c r="AQ273">
        <v>12</v>
      </c>
      <c r="AR273" t="s">
        <v>521</v>
      </c>
      <c r="AS273" t="s">
        <v>228</v>
      </c>
      <c r="AT273" t="s">
        <v>140</v>
      </c>
      <c r="AU273">
        <v>1</v>
      </c>
      <c r="AV273">
        <v>1</v>
      </c>
      <c r="AW273" t="s">
        <v>406</v>
      </c>
      <c r="AX273" t="s">
        <v>283</v>
      </c>
      <c r="AY273" t="s">
        <v>217</v>
      </c>
      <c r="AZ273">
        <v>1</v>
      </c>
      <c r="BA273" t="s">
        <v>408</v>
      </c>
      <c r="BB273" t="s">
        <v>542</v>
      </c>
      <c r="BC273" t="s">
        <v>395</v>
      </c>
      <c r="BD273" t="s">
        <v>228</v>
      </c>
      <c r="BE273" t="s">
        <v>522</v>
      </c>
      <c r="BF273" t="s">
        <v>523</v>
      </c>
      <c r="BG273" t="s">
        <v>407</v>
      </c>
      <c r="BH273" t="s">
        <v>396</v>
      </c>
      <c r="BI273" t="s">
        <v>524</v>
      </c>
      <c r="BJ273" t="s">
        <v>228</v>
      </c>
      <c r="BK273" t="s">
        <v>543</v>
      </c>
      <c r="BL273" t="s">
        <v>228</v>
      </c>
      <c r="BM273" t="s">
        <v>228</v>
      </c>
      <c r="BN273" t="s">
        <v>228</v>
      </c>
      <c r="BO273" t="s">
        <v>228</v>
      </c>
      <c r="BP273" t="s">
        <v>228</v>
      </c>
      <c r="BQ273" t="s">
        <v>228</v>
      </c>
      <c r="BR273" t="s">
        <v>228</v>
      </c>
      <c r="BS273" t="s">
        <v>409</v>
      </c>
      <c r="BT273">
        <v>1</v>
      </c>
    </row>
    <row r="274" spans="1:72" x14ac:dyDescent="0.15">
      <c r="A274" s="43">
        <v>2023</v>
      </c>
      <c r="B274" s="8">
        <v>1</v>
      </c>
      <c r="C274" s="8">
        <v>1</v>
      </c>
      <c r="D274" s="8">
        <v>19</v>
      </c>
      <c r="E274" s="8" t="s">
        <v>67</v>
      </c>
      <c r="F274" s="8" t="s">
        <v>57</v>
      </c>
      <c r="G274" s="8">
        <v>2016</v>
      </c>
      <c r="H274" s="8">
        <v>12</v>
      </c>
      <c r="I274" s="8" t="s">
        <v>521</v>
      </c>
      <c r="J274" s="8" t="s">
        <v>228</v>
      </c>
      <c r="K274" s="8">
        <v>1983</v>
      </c>
      <c r="L274" s="17">
        <v>1</v>
      </c>
      <c r="M274" s="8">
        <v>1</v>
      </c>
      <c r="N274" s="8" t="s">
        <v>48</v>
      </c>
      <c r="O274" s="8" t="s">
        <v>283</v>
      </c>
      <c r="P274" s="8" t="s">
        <v>217</v>
      </c>
      <c r="Q274" s="8">
        <v>3000</v>
      </c>
      <c r="R274" s="8" t="s">
        <v>57</v>
      </c>
      <c r="S274" s="8" t="s">
        <v>52</v>
      </c>
      <c r="T274" s="8" t="s">
        <v>69</v>
      </c>
      <c r="U274" s="8" t="s">
        <v>228</v>
      </c>
      <c r="V274" s="8">
        <v>500</v>
      </c>
      <c r="W274" s="8" t="s">
        <v>328</v>
      </c>
      <c r="X274" s="8">
        <v>3000</v>
      </c>
      <c r="Y274" s="8" t="s">
        <v>268</v>
      </c>
      <c r="Z274" s="8">
        <v>85</v>
      </c>
      <c r="AA274" s="8" t="s">
        <v>278</v>
      </c>
      <c r="AB274" s="8" t="s">
        <v>247</v>
      </c>
      <c r="AC274" s="8" t="s">
        <v>228</v>
      </c>
      <c r="AD274" s="8" t="s">
        <v>228</v>
      </c>
      <c r="AE274" s="8" t="s">
        <v>228</v>
      </c>
      <c r="AF274" s="8" t="s">
        <v>228</v>
      </c>
      <c r="AG274" s="8" t="s">
        <v>228</v>
      </c>
      <c r="AH274" s="8" t="s">
        <v>228</v>
      </c>
      <c r="AI274" s="8" t="s">
        <v>228</v>
      </c>
      <c r="AJ274" t="s">
        <v>468</v>
      </c>
      <c r="AK274">
        <v>1</v>
      </c>
      <c r="AL274">
        <v>1</v>
      </c>
      <c r="AM274" t="s">
        <v>82</v>
      </c>
      <c r="AN274" t="s">
        <v>67</v>
      </c>
      <c r="AO274" t="s">
        <v>526</v>
      </c>
      <c r="AP274" t="s">
        <v>109</v>
      </c>
      <c r="AQ274">
        <v>12</v>
      </c>
      <c r="AR274" t="s">
        <v>521</v>
      </c>
      <c r="AS274" t="s">
        <v>228</v>
      </c>
      <c r="AT274" t="s">
        <v>140</v>
      </c>
      <c r="AU274">
        <v>1</v>
      </c>
      <c r="AV274">
        <v>1</v>
      </c>
      <c r="AW274" t="s">
        <v>406</v>
      </c>
      <c r="AX274" t="s">
        <v>283</v>
      </c>
      <c r="AY274" t="s">
        <v>217</v>
      </c>
      <c r="AZ274">
        <v>1</v>
      </c>
      <c r="BA274" t="s">
        <v>408</v>
      </c>
      <c r="BB274" t="s">
        <v>405</v>
      </c>
      <c r="BC274" t="s">
        <v>395</v>
      </c>
      <c r="BD274" t="s">
        <v>228</v>
      </c>
      <c r="BE274" t="s">
        <v>522</v>
      </c>
      <c r="BF274" t="s">
        <v>523</v>
      </c>
      <c r="BG274" t="s">
        <v>407</v>
      </c>
      <c r="BH274" t="s">
        <v>396</v>
      </c>
      <c r="BI274" t="s">
        <v>524</v>
      </c>
      <c r="BJ274" t="s">
        <v>228</v>
      </c>
      <c r="BK274" t="s">
        <v>543</v>
      </c>
      <c r="BL274" t="s">
        <v>228</v>
      </c>
      <c r="BM274" t="s">
        <v>228</v>
      </c>
      <c r="BN274" t="s">
        <v>228</v>
      </c>
      <c r="BO274" t="s">
        <v>228</v>
      </c>
      <c r="BP274" t="s">
        <v>228</v>
      </c>
      <c r="BQ274" t="s">
        <v>228</v>
      </c>
      <c r="BR274" t="s">
        <v>228</v>
      </c>
      <c r="BS274" t="s">
        <v>409</v>
      </c>
      <c r="BT274">
        <v>1</v>
      </c>
    </row>
    <row r="275" spans="1:72" x14ac:dyDescent="0.15">
      <c r="A275" s="43">
        <v>2023</v>
      </c>
      <c r="B275" s="8">
        <v>1</v>
      </c>
      <c r="C275" s="8">
        <v>1</v>
      </c>
      <c r="D275" s="8">
        <v>19</v>
      </c>
      <c r="E275" s="8" t="s">
        <v>67</v>
      </c>
      <c r="F275" s="8" t="s">
        <v>57</v>
      </c>
      <c r="G275" s="8">
        <v>2016</v>
      </c>
      <c r="H275" s="8">
        <v>12</v>
      </c>
      <c r="I275" s="8" t="s">
        <v>521</v>
      </c>
      <c r="J275" s="8" t="s">
        <v>228</v>
      </c>
      <c r="K275" s="8">
        <v>1983</v>
      </c>
      <c r="L275" s="17">
        <v>1</v>
      </c>
      <c r="M275" s="8">
        <v>1</v>
      </c>
      <c r="N275" s="8" t="s">
        <v>48</v>
      </c>
      <c r="O275" s="8" t="s">
        <v>283</v>
      </c>
      <c r="P275" s="8" t="s">
        <v>217</v>
      </c>
      <c r="Q275" s="8">
        <v>3000</v>
      </c>
      <c r="R275" s="8" t="s">
        <v>57</v>
      </c>
      <c r="S275" s="8" t="s">
        <v>54</v>
      </c>
      <c r="T275" s="8" t="s">
        <v>69</v>
      </c>
      <c r="U275" s="8" t="s">
        <v>228</v>
      </c>
      <c r="V275" s="8">
        <v>500</v>
      </c>
      <c r="W275" s="8" t="s">
        <v>328</v>
      </c>
      <c r="X275" s="8">
        <v>3000</v>
      </c>
      <c r="Y275" s="8" t="s">
        <v>271</v>
      </c>
      <c r="Z275" s="8">
        <v>85</v>
      </c>
      <c r="AA275" s="8" t="s">
        <v>278</v>
      </c>
      <c r="AB275" s="8" t="s">
        <v>228</v>
      </c>
      <c r="AC275" s="8" t="s">
        <v>228</v>
      </c>
      <c r="AD275" s="8" t="s">
        <v>228</v>
      </c>
      <c r="AE275" s="8" t="s">
        <v>228</v>
      </c>
      <c r="AF275" s="8" t="s">
        <v>228</v>
      </c>
      <c r="AG275" s="8" t="s">
        <v>228</v>
      </c>
      <c r="AH275" s="8" t="s">
        <v>228</v>
      </c>
      <c r="AI275" s="8" t="s">
        <v>228</v>
      </c>
      <c r="AJ275" t="s">
        <v>468</v>
      </c>
      <c r="AK275">
        <v>1</v>
      </c>
      <c r="AL275">
        <v>1</v>
      </c>
      <c r="AM275" t="s">
        <v>82</v>
      </c>
      <c r="AN275" t="s">
        <v>67</v>
      </c>
      <c r="AO275" t="s">
        <v>526</v>
      </c>
      <c r="AP275" t="s">
        <v>109</v>
      </c>
      <c r="AQ275">
        <v>12</v>
      </c>
      <c r="AR275" t="s">
        <v>521</v>
      </c>
      <c r="AS275" t="s">
        <v>228</v>
      </c>
      <c r="AT275" t="s">
        <v>140</v>
      </c>
      <c r="AU275">
        <v>1</v>
      </c>
      <c r="AV275">
        <v>1</v>
      </c>
      <c r="AW275" t="s">
        <v>406</v>
      </c>
      <c r="AX275" t="s">
        <v>283</v>
      </c>
      <c r="AY275" t="s">
        <v>217</v>
      </c>
      <c r="AZ275">
        <v>1</v>
      </c>
      <c r="BA275" t="s">
        <v>408</v>
      </c>
      <c r="BB275" t="s">
        <v>541</v>
      </c>
      <c r="BC275" t="s">
        <v>395</v>
      </c>
      <c r="BD275" t="s">
        <v>228</v>
      </c>
      <c r="BE275" t="s">
        <v>522</v>
      </c>
      <c r="BF275" t="s">
        <v>523</v>
      </c>
      <c r="BG275" t="s">
        <v>407</v>
      </c>
      <c r="BH275" t="s">
        <v>544</v>
      </c>
      <c r="BI275" t="s">
        <v>524</v>
      </c>
      <c r="BJ275" t="s">
        <v>228</v>
      </c>
      <c r="BK275" t="s">
        <v>228</v>
      </c>
      <c r="BL275" t="s">
        <v>228</v>
      </c>
      <c r="BM275" t="s">
        <v>228</v>
      </c>
      <c r="BN275" t="s">
        <v>228</v>
      </c>
      <c r="BO275" t="s">
        <v>228</v>
      </c>
      <c r="BP275" t="s">
        <v>228</v>
      </c>
      <c r="BQ275" t="s">
        <v>228</v>
      </c>
      <c r="BR275" t="s">
        <v>228</v>
      </c>
      <c r="BS275" t="s">
        <v>409</v>
      </c>
      <c r="BT275">
        <v>1</v>
      </c>
    </row>
    <row r="276" spans="1:72" x14ac:dyDescent="0.15">
      <c r="A276" s="43">
        <v>2023</v>
      </c>
      <c r="B276" s="8">
        <v>1</v>
      </c>
      <c r="C276" s="8">
        <v>1</v>
      </c>
      <c r="D276" s="8">
        <v>19</v>
      </c>
      <c r="E276" s="8" t="s">
        <v>67</v>
      </c>
      <c r="F276" s="8" t="s">
        <v>57</v>
      </c>
      <c r="G276" s="8">
        <v>2016</v>
      </c>
      <c r="H276" s="8">
        <v>12</v>
      </c>
      <c r="I276" s="8" t="s">
        <v>521</v>
      </c>
      <c r="J276" s="8" t="s">
        <v>228</v>
      </c>
      <c r="K276" s="8">
        <v>1983</v>
      </c>
      <c r="L276" s="17">
        <v>1</v>
      </c>
      <c r="M276" s="8">
        <v>1</v>
      </c>
      <c r="N276" s="8" t="s">
        <v>48</v>
      </c>
      <c r="O276" s="8" t="s">
        <v>283</v>
      </c>
      <c r="P276" s="8" t="s">
        <v>217</v>
      </c>
      <c r="Q276" s="8">
        <v>3000</v>
      </c>
      <c r="R276" s="8" t="s">
        <v>57</v>
      </c>
      <c r="S276" s="8" t="s">
        <v>53</v>
      </c>
      <c r="T276" s="8" t="s">
        <v>69</v>
      </c>
      <c r="U276" s="8" t="s">
        <v>228</v>
      </c>
      <c r="V276" s="8">
        <v>500</v>
      </c>
      <c r="W276" s="8" t="s">
        <v>328</v>
      </c>
      <c r="X276" s="8">
        <v>3000</v>
      </c>
      <c r="Y276" s="8" t="s">
        <v>271</v>
      </c>
      <c r="Z276" s="8">
        <v>85</v>
      </c>
      <c r="AA276" s="8" t="s">
        <v>278</v>
      </c>
      <c r="AB276" s="8" t="s">
        <v>228</v>
      </c>
      <c r="AC276" s="8" t="s">
        <v>228</v>
      </c>
      <c r="AD276" s="8" t="s">
        <v>228</v>
      </c>
      <c r="AE276" s="8" t="s">
        <v>228</v>
      </c>
      <c r="AF276" s="8" t="s">
        <v>228</v>
      </c>
      <c r="AG276" s="8" t="s">
        <v>228</v>
      </c>
      <c r="AH276" s="8" t="s">
        <v>228</v>
      </c>
      <c r="AI276" s="8" t="s">
        <v>228</v>
      </c>
      <c r="AJ276" t="s">
        <v>468</v>
      </c>
      <c r="AK276">
        <v>1</v>
      </c>
      <c r="AL276">
        <v>1</v>
      </c>
      <c r="AM276" t="s">
        <v>82</v>
      </c>
      <c r="AN276" t="s">
        <v>67</v>
      </c>
      <c r="AO276" t="s">
        <v>526</v>
      </c>
      <c r="AP276" t="s">
        <v>109</v>
      </c>
      <c r="AQ276">
        <v>12</v>
      </c>
      <c r="AR276" t="s">
        <v>521</v>
      </c>
      <c r="AS276" t="s">
        <v>228</v>
      </c>
      <c r="AT276" t="s">
        <v>140</v>
      </c>
      <c r="AU276">
        <v>1</v>
      </c>
      <c r="AV276">
        <v>1</v>
      </c>
      <c r="AW276" t="s">
        <v>406</v>
      </c>
      <c r="AX276" t="s">
        <v>283</v>
      </c>
      <c r="AY276" t="s">
        <v>217</v>
      </c>
      <c r="AZ276">
        <v>1</v>
      </c>
      <c r="BA276" t="s">
        <v>408</v>
      </c>
      <c r="BB276" t="s">
        <v>542</v>
      </c>
      <c r="BC276" t="s">
        <v>395</v>
      </c>
      <c r="BD276" t="s">
        <v>228</v>
      </c>
      <c r="BE276" t="s">
        <v>522</v>
      </c>
      <c r="BF276" t="s">
        <v>523</v>
      </c>
      <c r="BG276" t="s">
        <v>407</v>
      </c>
      <c r="BH276" t="s">
        <v>544</v>
      </c>
      <c r="BI276" t="s">
        <v>524</v>
      </c>
      <c r="BJ276" t="s">
        <v>228</v>
      </c>
      <c r="BK276" t="s">
        <v>228</v>
      </c>
      <c r="BL276" t="s">
        <v>228</v>
      </c>
      <c r="BM276" t="s">
        <v>228</v>
      </c>
      <c r="BN276" t="s">
        <v>228</v>
      </c>
      <c r="BO276" t="s">
        <v>228</v>
      </c>
      <c r="BP276" t="s">
        <v>228</v>
      </c>
      <c r="BQ276" t="s">
        <v>228</v>
      </c>
      <c r="BR276" t="s">
        <v>228</v>
      </c>
      <c r="BS276" t="s">
        <v>409</v>
      </c>
      <c r="BT276">
        <v>1</v>
      </c>
    </row>
    <row r="277" spans="1:72" x14ac:dyDescent="0.15">
      <c r="A277" s="43">
        <v>2023</v>
      </c>
      <c r="B277" s="8">
        <v>1</v>
      </c>
      <c r="C277" s="8">
        <v>1</v>
      </c>
      <c r="D277" s="8">
        <v>19</v>
      </c>
      <c r="E277" s="8" t="s">
        <v>67</v>
      </c>
      <c r="F277" s="8" t="s">
        <v>57</v>
      </c>
      <c r="G277" s="8">
        <v>2016</v>
      </c>
      <c r="H277" s="8">
        <v>12</v>
      </c>
      <c r="I277" s="8" t="s">
        <v>521</v>
      </c>
      <c r="J277" s="8" t="s">
        <v>228</v>
      </c>
      <c r="K277" s="8">
        <v>1983</v>
      </c>
      <c r="L277" s="17">
        <v>1</v>
      </c>
      <c r="M277" s="8">
        <v>1</v>
      </c>
      <c r="N277" s="8" t="s">
        <v>48</v>
      </c>
      <c r="O277" s="8" t="s">
        <v>283</v>
      </c>
      <c r="P277" s="8" t="s">
        <v>217</v>
      </c>
      <c r="Q277" s="8">
        <v>3000</v>
      </c>
      <c r="R277" s="8" t="s">
        <v>57</v>
      </c>
      <c r="S277" s="8" t="s">
        <v>52</v>
      </c>
      <c r="T277" s="8" t="s">
        <v>69</v>
      </c>
      <c r="U277" s="8" t="s">
        <v>228</v>
      </c>
      <c r="V277" s="8">
        <v>500</v>
      </c>
      <c r="W277" s="8" t="s">
        <v>328</v>
      </c>
      <c r="X277" s="8">
        <v>3000</v>
      </c>
      <c r="Y277" s="8" t="s">
        <v>271</v>
      </c>
      <c r="Z277" s="8">
        <v>85</v>
      </c>
      <c r="AA277" s="8" t="s">
        <v>278</v>
      </c>
      <c r="AB277" s="8" t="s">
        <v>228</v>
      </c>
      <c r="AC277" s="8" t="s">
        <v>228</v>
      </c>
      <c r="AD277" s="8" t="s">
        <v>228</v>
      </c>
      <c r="AE277" s="8" t="s">
        <v>228</v>
      </c>
      <c r="AF277" s="8" t="s">
        <v>228</v>
      </c>
      <c r="AG277" s="8" t="s">
        <v>228</v>
      </c>
      <c r="AH277" s="8" t="s">
        <v>228</v>
      </c>
      <c r="AI277" s="8" t="s">
        <v>228</v>
      </c>
      <c r="AJ277" t="s">
        <v>468</v>
      </c>
      <c r="AK277">
        <v>1</v>
      </c>
      <c r="AL277">
        <v>1</v>
      </c>
      <c r="AM277" t="s">
        <v>82</v>
      </c>
      <c r="AN277" t="s">
        <v>67</v>
      </c>
      <c r="AO277" t="s">
        <v>526</v>
      </c>
      <c r="AP277" t="s">
        <v>109</v>
      </c>
      <c r="AQ277">
        <v>12</v>
      </c>
      <c r="AR277" t="s">
        <v>521</v>
      </c>
      <c r="AS277" t="s">
        <v>228</v>
      </c>
      <c r="AT277" t="s">
        <v>140</v>
      </c>
      <c r="AU277">
        <v>1</v>
      </c>
      <c r="AV277">
        <v>1</v>
      </c>
      <c r="AW277" t="s">
        <v>406</v>
      </c>
      <c r="AX277" t="s">
        <v>283</v>
      </c>
      <c r="AY277" t="s">
        <v>217</v>
      </c>
      <c r="AZ277">
        <v>1</v>
      </c>
      <c r="BA277" t="s">
        <v>408</v>
      </c>
      <c r="BB277" t="s">
        <v>405</v>
      </c>
      <c r="BC277" t="s">
        <v>395</v>
      </c>
      <c r="BD277" t="s">
        <v>228</v>
      </c>
      <c r="BE277" t="s">
        <v>522</v>
      </c>
      <c r="BF277" t="s">
        <v>523</v>
      </c>
      <c r="BG277" t="s">
        <v>407</v>
      </c>
      <c r="BH277" t="s">
        <v>544</v>
      </c>
      <c r="BI277" t="s">
        <v>524</v>
      </c>
      <c r="BJ277" t="s">
        <v>228</v>
      </c>
      <c r="BK277" t="s">
        <v>228</v>
      </c>
      <c r="BL277" t="s">
        <v>228</v>
      </c>
      <c r="BM277" t="s">
        <v>228</v>
      </c>
      <c r="BN277" t="s">
        <v>228</v>
      </c>
      <c r="BO277" t="s">
        <v>228</v>
      </c>
      <c r="BP277" t="s">
        <v>228</v>
      </c>
      <c r="BQ277" t="s">
        <v>228</v>
      </c>
      <c r="BR277" t="s">
        <v>228</v>
      </c>
      <c r="BS277" t="s">
        <v>409</v>
      </c>
      <c r="BT277">
        <v>1</v>
      </c>
    </row>
    <row r="278" spans="1:72" x14ac:dyDescent="0.15">
      <c r="A278" s="43">
        <v>2023</v>
      </c>
      <c r="B278" s="8">
        <v>1</v>
      </c>
      <c r="C278" s="8">
        <v>1</v>
      </c>
      <c r="D278" s="8">
        <v>19</v>
      </c>
      <c r="E278" s="8" t="s">
        <v>67</v>
      </c>
      <c r="F278" s="8" t="s">
        <v>57</v>
      </c>
      <c r="G278" s="8">
        <v>2016</v>
      </c>
      <c r="H278" s="8">
        <v>12</v>
      </c>
      <c r="I278" s="8" t="s">
        <v>521</v>
      </c>
      <c r="J278" s="8" t="s">
        <v>228</v>
      </c>
      <c r="K278" s="8">
        <v>1983</v>
      </c>
      <c r="L278" s="17">
        <v>1</v>
      </c>
      <c r="M278" s="8">
        <v>1</v>
      </c>
      <c r="N278" s="8" t="s">
        <v>48</v>
      </c>
      <c r="O278" s="8" t="s">
        <v>283</v>
      </c>
      <c r="P278" s="8" t="s">
        <v>217</v>
      </c>
      <c r="Q278" s="8">
        <v>3000</v>
      </c>
      <c r="R278" s="8" t="s">
        <v>57</v>
      </c>
      <c r="S278" s="8" t="s">
        <v>54</v>
      </c>
      <c r="T278" s="8" t="s">
        <v>69</v>
      </c>
      <c r="U278" s="8" t="s">
        <v>228</v>
      </c>
      <c r="V278" s="8">
        <v>500</v>
      </c>
      <c r="W278" s="8" t="s">
        <v>328</v>
      </c>
      <c r="X278" s="8">
        <v>3000</v>
      </c>
      <c r="Y278" s="8" t="s">
        <v>271</v>
      </c>
      <c r="Z278" s="8">
        <v>85</v>
      </c>
      <c r="AA278" s="8" t="s">
        <v>278</v>
      </c>
      <c r="AB278" s="8" t="s">
        <v>247</v>
      </c>
      <c r="AC278" s="8" t="s">
        <v>228</v>
      </c>
      <c r="AD278" s="8" t="s">
        <v>228</v>
      </c>
      <c r="AE278" s="8" t="s">
        <v>228</v>
      </c>
      <c r="AF278" s="8" t="s">
        <v>228</v>
      </c>
      <c r="AG278" s="8" t="s">
        <v>228</v>
      </c>
      <c r="AH278" s="8" t="s">
        <v>228</v>
      </c>
      <c r="AI278" s="8" t="s">
        <v>228</v>
      </c>
      <c r="AJ278" t="s">
        <v>468</v>
      </c>
      <c r="AK278">
        <v>1</v>
      </c>
      <c r="AL278">
        <v>1</v>
      </c>
      <c r="AM278" t="s">
        <v>82</v>
      </c>
      <c r="AN278" t="s">
        <v>67</v>
      </c>
      <c r="AO278" t="s">
        <v>526</v>
      </c>
      <c r="AP278" t="s">
        <v>109</v>
      </c>
      <c r="AQ278">
        <v>12</v>
      </c>
      <c r="AR278" t="s">
        <v>521</v>
      </c>
      <c r="AS278" t="s">
        <v>228</v>
      </c>
      <c r="AT278" t="s">
        <v>140</v>
      </c>
      <c r="AU278">
        <v>1</v>
      </c>
      <c r="AV278">
        <v>1</v>
      </c>
      <c r="AW278" t="s">
        <v>406</v>
      </c>
      <c r="AX278" t="s">
        <v>283</v>
      </c>
      <c r="AY278" t="s">
        <v>217</v>
      </c>
      <c r="AZ278">
        <v>1</v>
      </c>
      <c r="BA278" t="s">
        <v>408</v>
      </c>
      <c r="BB278" t="s">
        <v>541</v>
      </c>
      <c r="BC278" t="s">
        <v>395</v>
      </c>
      <c r="BD278" t="s">
        <v>228</v>
      </c>
      <c r="BE278" t="s">
        <v>522</v>
      </c>
      <c r="BF278" t="s">
        <v>523</v>
      </c>
      <c r="BG278" t="s">
        <v>407</v>
      </c>
      <c r="BH278" t="s">
        <v>544</v>
      </c>
      <c r="BI278" t="s">
        <v>524</v>
      </c>
      <c r="BJ278" t="s">
        <v>228</v>
      </c>
      <c r="BK278" t="s">
        <v>543</v>
      </c>
      <c r="BL278" t="s">
        <v>228</v>
      </c>
      <c r="BM278" t="s">
        <v>228</v>
      </c>
      <c r="BN278" t="s">
        <v>228</v>
      </c>
      <c r="BO278" t="s">
        <v>228</v>
      </c>
      <c r="BP278" t="s">
        <v>228</v>
      </c>
      <c r="BQ278" t="s">
        <v>228</v>
      </c>
      <c r="BR278" t="s">
        <v>228</v>
      </c>
      <c r="BS278" t="s">
        <v>409</v>
      </c>
      <c r="BT278">
        <v>1</v>
      </c>
    </row>
    <row r="279" spans="1:72" x14ac:dyDescent="0.15">
      <c r="A279" s="43">
        <v>2023</v>
      </c>
      <c r="B279" s="8">
        <v>1</v>
      </c>
      <c r="C279" s="8">
        <v>1</v>
      </c>
      <c r="D279" s="8">
        <v>19</v>
      </c>
      <c r="E279" s="8" t="s">
        <v>67</v>
      </c>
      <c r="F279" s="8" t="s">
        <v>57</v>
      </c>
      <c r="G279" s="8">
        <v>2016</v>
      </c>
      <c r="H279" s="8">
        <v>12</v>
      </c>
      <c r="I279" s="8" t="s">
        <v>521</v>
      </c>
      <c r="J279" s="8" t="s">
        <v>228</v>
      </c>
      <c r="K279" s="8">
        <v>1983</v>
      </c>
      <c r="L279" s="17">
        <v>1</v>
      </c>
      <c r="M279" s="8">
        <v>1</v>
      </c>
      <c r="N279" s="8" t="s">
        <v>48</v>
      </c>
      <c r="O279" s="8" t="s">
        <v>283</v>
      </c>
      <c r="P279" s="8" t="s">
        <v>217</v>
      </c>
      <c r="Q279" s="8">
        <v>3000</v>
      </c>
      <c r="R279" s="8" t="s">
        <v>57</v>
      </c>
      <c r="S279" s="8" t="s">
        <v>53</v>
      </c>
      <c r="T279" s="8" t="s">
        <v>69</v>
      </c>
      <c r="U279" s="8" t="s">
        <v>228</v>
      </c>
      <c r="V279" s="8">
        <v>500</v>
      </c>
      <c r="W279" s="8" t="s">
        <v>328</v>
      </c>
      <c r="X279" s="8">
        <v>3000</v>
      </c>
      <c r="Y279" s="8" t="s">
        <v>271</v>
      </c>
      <c r="Z279" s="8">
        <v>85</v>
      </c>
      <c r="AA279" s="8" t="s">
        <v>278</v>
      </c>
      <c r="AB279" s="8" t="s">
        <v>247</v>
      </c>
      <c r="AC279" s="8" t="s">
        <v>228</v>
      </c>
      <c r="AD279" s="8" t="s">
        <v>228</v>
      </c>
      <c r="AE279" s="8" t="s">
        <v>228</v>
      </c>
      <c r="AF279" s="8" t="s">
        <v>228</v>
      </c>
      <c r="AG279" s="8" t="s">
        <v>228</v>
      </c>
      <c r="AH279" s="8" t="s">
        <v>228</v>
      </c>
      <c r="AI279" s="8" t="s">
        <v>228</v>
      </c>
      <c r="AJ279" t="s">
        <v>468</v>
      </c>
      <c r="AK279">
        <v>1</v>
      </c>
      <c r="AL279">
        <v>1</v>
      </c>
      <c r="AM279" t="s">
        <v>82</v>
      </c>
      <c r="AN279" t="s">
        <v>67</v>
      </c>
      <c r="AO279" t="s">
        <v>526</v>
      </c>
      <c r="AP279" t="s">
        <v>109</v>
      </c>
      <c r="AQ279">
        <v>12</v>
      </c>
      <c r="AR279" t="s">
        <v>521</v>
      </c>
      <c r="AS279" t="s">
        <v>228</v>
      </c>
      <c r="AT279" t="s">
        <v>140</v>
      </c>
      <c r="AU279">
        <v>1</v>
      </c>
      <c r="AV279">
        <v>1</v>
      </c>
      <c r="AW279" t="s">
        <v>406</v>
      </c>
      <c r="AX279" t="s">
        <v>283</v>
      </c>
      <c r="AY279" t="s">
        <v>217</v>
      </c>
      <c r="AZ279">
        <v>1</v>
      </c>
      <c r="BA279" t="s">
        <v>408</v>
      </c>
      <c r="BB279" t="s">
        <v>542</v>
      </c>
      <c r="BC279" t="s">
        <v>395</v>
      </c>
      <c r="BD279" t="s">
        <v>228</v>
      </c>
      <c r="BE279" t="s">
        <v>522</v>
      </c>
      <c r="BF279" t="s">
        <v>523</v>
      </c>
      <c r="BG279" t="s">
        <v>407</v>
      </c>
      <c r="BH279" t="s">
        <v>544</v>
      </c>
      <c r="BI279" t="s">
        <v>524</v>
      </c>
      <c r="BJ279" t="s">
        <v>228</v>
      </c>
      <c r="BK279" t="s">
        <v>543</v>
      </c>
      <c r="BL279" t="s">
        <v>228</v>
      </c>
      <c r="BM279" t="s">
        <v>228</v>
      </c>
      <c r="BN279" t="s">
        <v>228</v>
      </c>
      <c r="BO279" t="s">
        <v>228</v>
      </c>
      <c r="BP279" t="s">
        <v>228</v>
      </c>
      <c r="BQ279" t="s">
        <v>228</v>
      </c>
      <c r="BR279" t="s">
        <v>228</v>
      </c>
      <c r="BS279" t="s">
        <v>409</v>
      </c>
      <c r="BT279">
        <v>1</v>
      </c>
    </row>
    <row r="280" spans="1:72" x14ac:dyDescent="0.15">
      <c r="A280" s="43">
        <v>2023</v>
      </c>
      <c r="B280" s="8">
        <v>1</v>
      </c>
      <c r="C280" s="8">
        <v>1</v>
      </c>
      <c r="D280" s="8">
        <v>19</v>
      </c>
      <c r="E280" s="8" t="s">
        <v>67</v>
      </c>
      <c r="F280" s="8" t="s">
        <v>57</v>
      </c>
      <c r="G280" s="8">
        <v>2016</v>
      </c>
      <c r="H280" s="8">
        <v>12</v>
      </c>
      <c r="I280" s="8" t="s">
        <v>521</v>
      </c>
      <c r="J280" s="8" t="s">
        <v>228</v>
      </c>
      <c r="K280" s="8">
        <v>1983</v>
      </c>
      <c r="L280" s="17">
        <v>1</v>
      </c>
      <c r="M280" s="8">
        <v>1</v>
      </c>
      <c r="N280" s="8" t="s">
        <v>48</v>
      </c>
      <c r="O280" s="8" t="s">
        <v>283</v>
      </c>
      <c r="P280" s="8" t="s">
        <v>217</v>
      </c>
      <c r="Q280" s="8">
        <v>3000</v>
      </c>
      <c r="R280" s="8" t="s">
        <v>57</v>
      </c>
      <c r="S280" s="8" t="s">
        <v>52</v>
      </c>
      <c r="T280" s="8" t="s">
        <v>69</v>
      </c>
      <c r="U280" s="8" t="s">
        <v>228</v>
      </c>
      <c r="V280" s="8">
        <v>500</v>
      </c>
      <c r="W280" s="8" t="s">
        <v>328</v>
      </c>
      <c r="X280" s="8">
        <v>3000</v>
      </c>
      <c r="Y280" s="8" t="s">
        <v>271</v>
      </c>
      <c r="Z280" s="8">
        <v>85</v>
      </c>
      <c r="AA280" s="8" t="s">
        <v>278</v>
      </c>
      <c r="AB280" s="8" t="s">
        <v>247</v>
      </c>
      <c r="AC280" s="8" t="s">
        <v>228</v>
      </c>
      <c r="AD280" s="8" t="s">
        <v>228</v>
      </c>
      <c r="AE280" s="8" t="s">
        <v>228</v>
      </c>
      <c r="AF280" s="8" t="s">
        <v>228</v>
      </c>
      <c r="AG280" s="8" t="s">
        <v>228</v>
      </c>
      <c r="AH280" s="8" t="s">
        <v>228</v>
      </c>
      <c r="AI280" s="8" t="s">
        <v>228</v>
      </c>
      <c r="AJ280" t="s">
        <v>468</v>
      </c>
      <c r="AK280">
        <v>1</v>
      </c>
      <c r="AL280">
        <v>1</v>
      </c>
      <c r="AM280" t="s">
        <v>82</v>
      </c>
      <c r="AN280" t="s">
        <v>67</v>
      </c>
      <c r="AO280" t="s">
        <v>526</v>
      </c>
      <c r="AP280" t="s">
        <v>109</v>
      </c>
      <c r="AQ280">
        <v>12</v>
      </c>
      <c r="AR280" t="s">
        <v>521</v>
      </c>
      <c r="AS280" t="s">
        <v>228</v>
      </c>
      <c r="AT280" t="s">
        <v>140</v>
      </c>
      <c r="AU280">
        <v>1</v>
      </c>
      <c r="AV280">
        <v>1</v>
      </c>
      <c r="AW280" t="s">
        <v>406</v>
      </c>
      <c r="AX280" t="s">
        <v>283</v>
      </c>
      <c r="AY280" t="s">
        <v>217</v>
      </c>
      <c r="AZ280">
        <v>1</v>
      </c>
      <c r="BA280" t="s">
        <v>408</v>
      </c>
      <c r="BB280" t="s">
        <v>405</v>
      </c>
      <c r="BC280" t="s">
        <v>395</v>
      </c>
      <c r="BD280" t="s">
        <v>228</v>
      </c>
      <c r="BE280" t="s">
        <v>522</v>
      </c>
      <c r="BF280" t="s">
        <v>523</v>
      </c>
      <c r="BG280" t="s">
        <v>407</v>
      </c>
      <c r="BH280" t="s">
        <v>544</v>
      </c>
      <c r="BI280" t="s">
        <v>524</v>
      </c>
      <c r="BJ280" t="s">
        <v>228</v>
      </c>
      <c r="BK280" t="s">
        <v>543</v>
      </c>
      <c r="BL280" t="s">
        <v>228</v>
      </c>
      <c r="BM280" t="s">
        <v>228</v>
      </c>
      <c r="BN280" t="s">
        <v>228</v>
      </c>
      <c r="BO280" t="s">
        <v>228</v>
      </c>
      <c r="BP280" t="s">
        <v>228</v>
      </c>
      <c r="BQ280" t="s">
        <v>228</v>
      </c>
      <c r="BR280" t="s">
        <v>228</v>
      </c>
      <c r="BS280" t="s">
        <v>409</v>
      </c>
      <c r="BT280">
        <v>0</v>
      </c>
    </row>
    <row r="281" spans="1:72" x14ac:dyDescent="0.15">
      <c r="A281" s="43">
        <v>2023</v>
      </c>
      <c r="B281" s="8">
        <v>1</v>
      </c>
      <c r="C281" s="8">
        <v>1</v>
      </c>
      <c r="D281" s="8">
        <v>18</v>
      </c>
      <c r="E281" s="8" t="s">
        <v>67</v>
      </c>
      <c r="F281" s="8" t="s">
        <v>57</v>
      </c>
      <c r="G281" s="8">
        <v>2016</v>
      </c>
      <c r="H281" s="8">
        <v>12</v>
      </c>
      <c r="I281" s="8" t="s">
        <v>521</v>
      </c>
      <c r="J281" s="8" t="s">
        <v>228</v>
      </c>
      <c r="K281" s="8">
        <v>1983</v>
      </c>
      <c r="L281" s="17">
        <v>1</v>
      </c>
      <c r="M281" s="8">
        <v>1</v>
      </c>
      <c r="N281" s="8" t="s">
        <v>48</v>
      </c>
      <c r="O281" s="8" t="s">
        <v>283</v>
      </c>
      <c r="P281" s="8" t="s">
        <v>217</v>
      </c>
      <c r="Q281" s="8">
        <v>3000</v>
      </c>
      <c r="R281" s="8" t="s">
        <v>57</v>
      </c>
      <c r="S281" s="8" t="s">
        <v>54</v>
      </c>
      <c r="T281" s="8" t="s">
        <v>69</v>
      </c>
      <c r="U281" s="8" t="s">
        <v>228</v>
      </c>
      <c r="V281" s="8">
        <v>500</v>
      </c>
      <c r="W281" s="8" t="s">
        <v>328</v>
      </c>
      <c r="X281" s="8">
        <v>3000</v>
      </c>
      <c r="Y281" s="8" t="s">
        <v>268</v>
      </c>
      <c r="Z281" s="8">
        <v>85</v>
      </c>
      <c r="AA281" s="8" t="s">
        <v>278</v>
      </c>
      <c r="AB281" s="8" t="s">
        <v>228</v>
      </c>
      <c r="AC281" s="8" t="s">
        <v>228</v>
      </c>
      <c r="AD281" s="8" t="s">
        <v>228</v>
      </c>
      <c r="AE281" s="8" t="s">
        <v>228</v>
      </c>
      <c r="AF281" s="8" t="s">
        <v>228</v>
      </c>
      <c r="AG281" s="8" t="s">
        <v>228</v>
      </c>
      <c r="AH281" s="8" t="s">
        <v>228</v>
      </c>
      <c r="AI281" s="8" t="s">
        <v>228</v>
      </c>
      <c r="AJ281" t="s">
        <v>468</v>
      </c>
      <c r="AK281">
        <v>1</v>
      </c>
      <c r="AL281">
        <v>1</v>
      </c>
      <c r="AM281" t="s">
        <v>83</v>
      </c>
      <c r="AN281" t="s">
        <v>67</v>
      </c>
      <c r="AO281" t="s">
        <v>526</v>
      </c>
      <c r="AP281" t="s">
        <v>109</v>
      </c>
      <c r="AQ281">
        <v>12</v>
      </c>
      <c r="AR281" t="s">
        <v>521</v>
      </c>
      <c r="AS281" t="s">
        <v>228</v>
      </c>
      <c r="AT281" t="s">
        <v>140</v>
      </c>
      <c r="AU281">
        <v>1</v>
      </c>
      <c r="AV281">
        <v>1</v>
      </c>
      <c r="AW281" t="s">
        <v>406</v>
      </c>
      <c r="AX281" t="s">
        <v>283</v>
      </c>
      <c r="AY281" t="s">
        <v>217</v>
      </c>
      <c r="AZ281">
        <v>1</v>
      </c>
      <c r="BA281" t="s">
        <v>408</v>
      </c>
      <c r="BB281" t="s">
        <v>541</v>
      </c>
      <c r="BC281" t="s">
        <v>395</v>
      </c>
      <c r="BD281" t="s">
        <v>228</v>
      </c>
      <c r="BE281" t="s">
        <v>522</v>
      </c>
      <c r="BF281" t="s">
        <v>523</v>
      </c>
      <c r="BG281" t="s">
        <v>407</v>
      </c>
      <c r="BH281" t="s">
        <v>396</v>
      </c>
      <c r="BI281" t="s">
        <v>524</v>
      </c>
      <c r="BJ281" t="s">
        <v>228</v>
      </c>
      <c r="BK281" t="s">
        <v>228</v>
      </c>
      <c r="BL281" t="s">
        <v>228</v>
      </c>
      <c r="BM281" t="s">
        <v>228</v>
      </c>
      <c r="BN281" t="s">
        <v>228</v>
      </c>
      <c r="BO281" t="s">
        <v>228</v>
      </c>
      <c r="BP281" t="s">
        <v>228</v>
      </c>
      <c r="BQ281" t="s">
        <v>228</v>
      </c>
      <c r="BR281" t="s">
        <v>228</v>
      </c>
      <c r="BS281" t="s">
        <v>409</v>
      </c>
      <c r="BT281">
        <v>1</v>
      </c>
    </row>
    <row r="282" spans="1:72" x14ac:dyDescent="0.15">
      <c r="A282" s="43">
        <v>2023</v>
      </c>
      <c r="B282" s="8">
        <v>1</v>
      </c>
      <c r="C282" s="8">
        <v>1</v>
      </c>
      <c r="D282" s="8">
        <v>18</v>
      </c>
      <c r="E282" s="8" t="s">
        <v>67</v>
      </c>
      <c r="F282" s="8" t="s">
        <v>57</v>
      </c>
      <c r="G282" s="8">
        <v>2016</v>
      </c>
      <c r="H282" s="8">
        <v>12</v>
      </c>
      <c r="I282" s="8" t="s">
        <v>521</v>
      </c>
      <c r="J282" s="8" t="s">
        <v>228</v>
      </c>
      <c r="K282" s="8">
        <v>1983</v>
      </c>
      <c r="L282" s="17">
        <v>1</v>
      </c>
      <c r="M282" s="8">
        <v>1</v>
      </c>
      <c r="N282" s="8" t="s">
        <v>48</v>
      </c>
      <c r="O282" s="8" t="s">
        <v>283</v>
      </c>
      <c r="P282" s="8" t="s">
        <v>217</v>
      </c>
      <c r="Q282" s="8">
        <v>3000</v>
      </c>
      <c r="R282" s="8" t="s">
        <v>57</v>
      </c>
      <c r="S282" s="8" t="s">
        <v>53</v>
      </c>
      <c r="T282" s="8" t="s">
        <v>69</v>
      </c>
      <c r="U282" s="8" t="s">
        <v>228</v>
      </c>
      <c r="V282" s="8">
        <v>500</v>
      </c>
      <c r="W282" s="8" t="s">
        <v>328</v>
      </c>
      <c r="X282" s="8">
        <v>3000</v>
      </c>
      <c r="Y282" s="8" t="s">
        <v>268</v>
      </c>
      <c r="Z282" s="8">
        <v>85</v>
      </c>
      <c r="AA282" s="8" t="s">
        <v>278</v>
      </c>
      <c r="AB282" s="8" t="s">
        <v>228</v>
      </c>
      <c r="AC282" s="8" t="s">
        <v>228</v>
      </c>
      <c r="AD282" s="8" t="s">
        <v>228</v>
      </c>
      <c r="AE282" s="8" t="s">
        <v>228</v>
      </c>
      <c r="AF282" s="8" t="s">
        <v>228</v>
      </c>
      <c r="AG282" s="8" t="s">
        <v>228</v>
      </c>
      <c r="AH282" s="8" t="s">
        <v>228</v>
      </c>
      <c r="AI282" s="8" t="s">
        <v>228</v>
      </c>
      <c r="AJ282" t="s">
        <v>468</v>
      </c>
      <c r="AK282">
        <v>1</v>
      </c>
      <c r="AL282">
        <v>1</v>
      </c>
      <c r="AM282" t="s">
        <v>83</v>
      </c>
      <c r="AN282" t="s">
        <v>67</v>
      </c>
      <c r="AO282" t="s">
        <v>526</v>
      </c>
      <c r="AP282" t="s">
        <v>109</v>
      </c>
      <c r="AQ282">
        <v>12</v>
      </c>
      <c r="AR282" t="s">
        <v>521</v>
      </c>
      <c r="AS282" t="s">
        <v>228</v>
      </c>
      <c r="AT282" t="s">
        <v>140</v>
      </c>
      <c r="AU282">
        <v>1</v>
      </c>
      <c r="AV282">
        <v>1</v>
      </c>
      <c r="AW282" t="s">
        <v>406</v>
      </c>
      <c r="AX282" t="s">
        <v>283</v>
      </c>
      <c r="AY282" t="s">
        <v>217</v>
      </c>
      <c r="AZ282">
        <v>1</v>
      </c>
      <c r="BA282" t="s">
        <v>408</v>
      </c>
      <c r="BB282" t="s">
        <v>542</v>
      </c>
      <c r="BC282" t="s">
        <v>395</v>
      </c>
      <c r="BD282" t="s">
        <v>228</v>
      </c>
      <c r="BE282" t="s">
        <v>522</v>
      </c>
      <c r="BF282" t="s">
        <v>523</v>
      </c>
      <c r="BG282" t="s">
        <v>407</v>
      </c>
      <c r="BH282" t="s">
        <v>396</v>
      </c>
      <c r="BI282" t="s">
        <v>524</v>
      </c>
      <c r="BJ282" t="s">
        <v>228</v>
      </c>
      <c r="BK282" t="s">
        <v>228</v>
      </c>
      <c r="BL282" t="s">
        <v>228</v>
      </c>
      <c r="BM282" t="s">
        <v>228</v>
      </c>
      <c r="BN282" t="s">
        <v>228</v>
      </c>
      <c r="BO282" t="s">
        <v>228</v>
      </c>
      <c r="BP282" t="s">
        <v>228</v>
      </c>
      <c r="BQ282" t="s">
        <v>228</v>
      </c>
      <c r="BR282" t="s">
        <v>228</v>
      </c>
      <c r="BS282" t="s">
        <v>409</v>
      </c>
      <c r="BT282">
        <v>1</v>
      </c>
    </row>
    <row r="283" spans="1:72" x14ac:dyDescent="0.15">
      <c r="A283" s="43">
        <v>2023</v>
      </c>
      <c r="B283" s="8">
        <v>1</v>
      </c>
      <c r="C283" s="8">
        <v>1</v>
      </c>
      <c r="D283" s="8">
        <v>18</v>
      </c>
      <c r="E283" s="8" t="s">
        <v>67</v>
      </c>
      <c r="F283" s="8" t="s">
        <v>57</v>
      </c>
      <c r="G283" s="8">
        <v>2016</v>
      </c>
      <c r="H283" s="8">
        <v>12</v>
      </c>
      <c r="I283" s="8" t="s">
        <v>521</v>
      </c>
      <c r="J283" s="8" t="s">
        <v>228</v>
      </c>
      <c r="K283" s="8">
        <v>1983</v>
      </c>
      <c r="L283" s="17">
        <v>1</v>
      </c>
      <c r="M283" s="8">
        <v>1</v>
      </c>
      <c r="N283" s="8" t="s">
        <v>48</v>
      </c>
      <c r="O283" s="8" t="s">
        <v>283</v>
      </c>
      <c r="P283" s="8" t="s">
        <v>217</v>
      </c>
      <c r="Q283" s="8">
        <v>3000</v>
      </c>
      <c r="R283" s="8" t="s">
        <v>57</v>
      </c>
      <c r="S283" s="8" t="s">
        <v>52</v>
      </c>
      <c r="T283" s="8" t="s">
        <v>69</v>
      </c>
      <c r="U283" s="8" t="s">
        <v>228</v>
      </c>
      <c r="V283" s="8">
        <v>500</v>
      </c>
      <c r="W283" s="8" t="s">
        <v>328</v>
      </c>
      <c r="X283" s="8">
        <v>3000</v>
      </c>
      <c r="Y283" s="8" t="s">
        <v>268</v>
      </c>
      <c r="Z283" s="8">
        <v>85</v>
      </c>
      <c r="AA283" s="8" t="s">
        <v>278</v>
      </c>
      <c r="AB283" s="8" t="s">
        <v>228</v>
      </c>
      <c r="AC283" s="8" t="s">
        <v>228</v>
      </c>
      <c r="AD283" s="8" t="s">
        <v>228</v>
      </c>
      <c r="AE283" s="8" t="s">
        <v>228</v>
      </c>
      <c r="AF283" s="8" t="s">
        <v>228</v>
      </c>
      <c r="AG283" s="8" t="s">
        <v>228</v>
      </c>
      <c r="AH283" s="8" t="s">
        <v>228</v>
      </c>
      <c r="AI283" s="8" t="s">
        <v>228</v>
      </c>
      <c r="AJ283" t="s">
        <v>468</v>
      </c>
      <c r="AK283">
        <v>1</v>
      </c>
      <c r="AL283">
        <v>1</v>
      </c>
      <c r="AM283" t="s">
        <v>83</v>
      </c>
      <c r="AN283" t="s">
        <v>67</v>
      </c>
      <c r="AO283" t="s">
        <v>526</v>
      </c>
      <c r="AP283" t="s">
        <v>109</v>
      </c>
      <c r="AQ283">
        <v>12</v>
      </c>
      <c r="AR283" t="s">
        <v>521</v>
      </c>
      <c r="AS283" t="s">
        <v>228</v>
      </c>
      <c r="AT283" t="s">
        <v>140</v>
      </c>
      <c r="AU283">
        <v>1</v>
      </c>
      <c r="AV283">
        <v>1</v>
      </c>
      <c r="AW283" t="s">
        <v>406</v>
      </c>
      <c r="AX283" t="s">
        <v>283</v>
      </c>
      <c r="AY283" t="s">
        <v>217</v>
      </c>
      <c r="AZ283">
        <v>1</v>
      </c>
      <c r="BA283" t="s">
        <v>408</v>
      </c>
      <c r="BB283" t="s">
        <v>405</v>
      </c>
      <c r="BC283" t="s">
        <v>395</v>
      </c>
      <c r="BD283" t="s">
        <v>228</v>
      </c>
      <c r="BE283" t="s">
        <v>522</v>
      </c>
      <c r="BF283" t="s">
        <v>523</v>
      </c>
      <c r="BG283" t="s">
        <v>407</v>
      </c>
      <c r="BH283" t="s">
        <v>396</v>
      </c>
      <c r="BI283" t="s">
        <v>524</v>
      </c>
      <c r="BJ283" t="s">
        <v>228</v>
      </c>
      <c r="BK283" t="s">
        <v>228</v>
      </c>
      <c r="BL283" t="s">
        <v>228</v>
      </c>
      <c r="BM283" t="s">
        <v>228</v>
      </c>
      <c r="BN283" t="s">
        <v>228</v>
      </c>
      <c r="BO283" t="s">
        <v>228</v>
      </c>
      <c r="BP283" t="s">
        <v>228</v>
      </c>
      <c r="BQ283" t="s">
        <v>228</v>
      </c>
      <c r="BR283" t="s">
        <v>228</v>
      </c>
      <c r="BS283" t="s">
        <v>409</v>
      </c>
      <c r="BT283">
        <v>1</v>
      </c>
    </row>
    <row r="284" spans="1:72" x14ac:dyDescent="0.15">
      <c r="A284" s="43">
        <v>2023</v>
      </c>
      <c r="B284" s="8">
        <v>1</v>
      </c>
      <c r="C284" s="8">
        <v>1</v>
      </c>
      <c r="D284" s="8">
        <v>18</v>
      </c>
      <c r="E284" s="8" t="s">
        <v>67</v>
      </c>
      <c r="F284" s="8" t="s">
        <v>57</v>
      </c>
      <c r="G284" s="8">
        <v>2016</v>
      </c>
      <c r="H284" s="8">
        <v>12</v>
      </c>
      <c r="I284" s="8" t="s">
        <v>521</v>
      </c>
      <c r="J284" s="8" t="s">
        <v>228</v>
      </c>
      <c r="K284" s="8">
        <v>1983</v>
      </c>
      <c r="L284" s="17">
        <v>1</v>
      </c>
      <c r="M284" s="8">
        <v>1</v>
      </c>
      <c r="N284" s="8" t="s">
        <v>48</v>
      </c>
      <c r="O284" s="8" t="s">
        <v>283</v>
      </c>
      <c r="P284" s="8" t="s">
        <v>217</v>
      </c>
      <c r="Q284" s="8">
        <v>3000</v>
      </c>
      <c r="R284" s="8" t="s">
        <v>57</v>
      </c>
      <c r="S284" s="8" t="s">
        <v>54</v>
      </c>
      <c r="T284" s="8" t="s">
        <v>69</v>
      </c>
      <c r="U284" s="8" t="s">
        <v>228</v>
      </c>
      <c r="V284" s="8">
        <v>500</v>
      </c>
      <c r="W284" s="8" t="s">
        <v>328</v>
      </c>
      <c r="X284" s="8">
        <v>3000</v>
      </c>
      <c r="Y284" s="8" t="s">
        <v>268</v>
      </c>
      <c r="Z284" s="8">
        <v>85</v>
      </c>
      <c r="AA284" s="8" t="s">
        <v>278</v>
      </c>
      <c r="AB284" s="8" t="s">
        <v>247</v>
      </c>
      <c r="AC284" s="8" t="s">
        <v>228</v>
      </c>
      <c r="AD284" s="8" t="s">
        <v>228</v>
      </c>
      <c r="AE284" s="8" t="s">
        <v>228</v>
      </c>
      <c r="AF284" s="8" t="s">
        <v>228</v>
      </c>
      <c r="AG284" s="8" t="s">
        <v>228</v>
      </c>
      <c r="AH284" s="8" t="s">
        <v>228</v>
      </c>
      <c r="AI284" s="8" t="s">
        <v>228</v>
      </c>
      <c r="AJ284" t="s">
        <v>468</v>
      </c>
      <c r="AK284">
        <v>1</v>
      </c>
      <c r="AL284">
        <v>1</v>
      </c>
      <c r="AM284" t="s">
        <v>83</v>
      </c>
      <c r="AN284" t="s">
        <v>67</v>
      </c>
      <c r="AO284" t="s">
        <v>526</v>
      </c>
      <c r="AP284" t="s">
        <v>109</v>
      </c>
      <c r="AQ284">
        <v>12</v>
      </c>
      <c r="AR284" t="s">
        <v>521</v>
      </c>
      <c r="AS284" t="s">
        <v>228</v>
      </c>
      <c r="AT284" t="s">
        <v>140</v>
      </c>
      <c r="AU284">
        <v>1</v>
      </c>
      <c r="AV284">
        <v>1</v>
      </c>
      <c r="AW284" t="s">
        <v>406</v>
      </c>
      <c r="AX284" t="s">
        <v>283</v>
      </c>
      <c r="AY284" t="s">
        <v>217</v>
      </c>
      <c r="AZ284">
        <v>1</v>
      </c>
      <c r="BA284" t="s">
        <v>408</v>
      </c>
      <c r="BB284" t="s">
        <v>541</v>
      </c>
      <c r="BC284" t="s">
        <v>395</v>
      </c>
      <c r="BD284" t="s">
        <v>228</v>
      </c>
      <c r="BE284" t="s">
        <v>522</v>
      </c>
      <c r="BF284" t="s">
        <v>523</v>
      </c>
      <c r="BG284" t="s">
        <v>407</v>
      </c>
      <c r="BH284" t="s">
        <v>396</v>
      </c>
      <c r="BI284" t="s">
        <v>524</v>
      </c>
      <c r="BJ284" t="s">
        <v>228</v>
      </c>
      <c r="BK284" t="s">
        <v>543</v>
      </c>
      <c r="BL284" t="s">
        <v>228</v>
      </c>
      <c r="BM284" t="s">
        <v>228</v>
      </c>
      <c r="BN284" t="s">
        <v>228</v>
      </c>
      <c r="BO284" t="s">
        <v>228</v>
      </c>
      <c r="BP284" t="s">
        <v>228</v>
      </c>
      <c r="BQ284" t="s">
        <v>228</v>
      </c>
      <c r="BR284" t="s">
        <v>228</v>
      </c>
      <c r="BS284" t="s">
        <v>409</v>
      </c>
      <c r="BT284">
        <v>1</v>
      </c>
    </row>
    <row r="285" spans="1:72" x14ac:dyDescent="0.15">
      <c r="A285" s="43">
        <v>2023</v>
      </c>
      <c r="B285" s="8">
        <v>1</v>
      </c>
      <c r="C285" s="8">
        <v>1</v>
      </c>
      <c r="D285" s="8">
        <v>18</v>
      </c>
      <c r="E285" s="8" t="s">
        <v>67</v>
      </c>
      <c r="F285" s="8" t="s">
        <v>57</v>
      </c>
      <c r="G285" s="8">
        <v>2016</v>
      </c>
      <c r="H285" s="8">
        <v>12</v>
      </c>
      <c r="I285" s="8" t="s">
        <v>521</v>
      </c>
      <c r="J285" s="8" t="s">
        <v>228</v>
      </c>
      <c r="K285" s="8">
        <v>1983</v>
      </c>
      <c r="L285" s="17">
        <v>1</v>
      </c>
      <c r="M285" s="8">
        <v>1</v>
      </c>
      <c r="N285" s="8" t="s">
        <v>48</v>
      </c>
      <c r="O285" s="8" t="s">
        <v>283</v>
      </c>
      <c r="P285" s="8" t="s">
        <v>217</v>
      </c>
      <c r="Q285" s="8">
        <v>3000</v>
      </c>
      <c r="R285" s="8" t="s">
        <v>57</v>
      </c>
      <c r="S285" s="8" t="s">
        <v>53</v>
      </c>
      <c r="T285" s="8" t="s">
        <v>69</v>
      </c>
      <c r="U285" s="8" t="s">
        <v>228</v>
      </c>
      <c r="V285" s="8">
        <v>500</v>
      </c>
      <c r="W285" s="8" t="s">
        <v>328</v>
      </c>
      <c r="X285" s="8">
        <v>3000</v>
      </c>
      <c r="Y285" s="8" t="s">
        <v>268</v>
      </c>
      <c r="Z285" s="8">
        <v>85</v>
      </c>
      <c r="AA285" s="8" t="s">
        <v>278</v>
      </c>
      <c r="AB285" s="8" t="s">
        <v>247</v>
      </c>
      <c r="AC285" s="8" t="s">
        <v>228</v>
      </c>
      <c r="AD285" s="8" t="s">
        <v>228</v>
      </c>
      <c r="AE285" s="8" t="s">
        <v>228</v>
      </c>
      <c r="AF285" s="8" t="s">
        <v>228</v>
      </c>
      <c r="AG285" s="8" t="s">
        <v>228</v>
      </c>
      <c r="AH285" s="8" t="s">
        <v>228</v>
      </c>
      <c r="AI285" s="8" t="s">
        <v>228</v>
      </c>
      <c r="AJ285" t="s">
        <v>468</v>
      </c>
      <c r="AK285">
        <v>1</v>
      </c>
      <c r="AL285">
        <v>1</v>
      </c>
      <c r="AM285" t="s">
        <v>83</v>
      </c>
      <c r="AN285" t="s">
        <v>67</v>
      </c>
      <c r="AO285" t="s">
        <v>526</v>
      </c>
      <c r="AP285" t="s">
        <v>109</v>
      </c>
      <c r="AQ285">
        <v>12</v>
      </c>
      <c r="AR285" t="s">
        <v>521</v>
      </c>
      <c r="AS285" t="s">
        <v>228</v>
      </c>
      <c r="AT285" t="s">
        <v>140</v>
      </c>
      <c r="AU285">
        <v>1</v>
      </c>
      <c r="AV285">
        <v>1</v>
      </c>
      <c r="AW285" t="s">
        <v>406</v>
      </c>
      <c r="AX285" t="s">
        <v>283</v>
      </c>
      <c r="AY285" t="s">
        <v>217</v>
      </c>
      <c r="AZ285">
        <v>1</v>
      </c>
      <c r="BA285" t="s">
        <v>408</v>
      </c>
      <c r="BB285" t="s">
        <v>542</v>
      </c>
      <c r="BC285" t="s">
        <v>395</v>
      </c>
      <c r="BD285" t="s">
        <v>228</v>
      </c>
      <c r="BE285" t="s">
        <v>522</v>
      </c>
      <c r="BF285" t="s">
        <v>523</v>
      </c>
      <c r="BG285" t="s">
        <v>407</v>
      </c>
      <c r="BH285" t="s">
        <v>396</v>
      </c>
      <c r="BI285" t="s">
        <v>524</v>
      </c>
      <c r="BJ285" t="s">
        <v>228</v>
      </c>
      <c r="BK285" t="s">
        <v>543</v>
      </c>
      <c r="BL285" t="s">
        <v>228</v>
      </c>
      <c r="BM285" t="s">
        <v>228</v>
      </c>
      <c r="BN285" t="s">
        <v>228</v>
      </c>
      <c r="BO285" t="s">
        <v>228</v>
      </c>
      <c r="BP285" t="s">
        <v>228</v>
      </c>
      <c r="BQ285" t="s">
        <v>228</v>
      </c>
      <c r="BR285" t="s">
        <v>228</v>
      </c>
      <c r="BS285" t="s">
        <v>409</v>
      </c>
      <c r="BT285">
        <v>1</v>
      </c>
    </row>
    <row r="286" spans="1:72" x14ac:dyDescent="0.15">
      <c r="A286" s="43">
        <v>2023</v>
      </c>
      <c r="B286" s="8">
        <v>1</v>
      </c>
      <c r="C286" s="8">
        <v>1</v>
      </c>
      <c r="D286" s="8">
        <v>18</v>
      </c>
      <c r="E286" s="8" t="s">
        <v>67</v>
      </c>
      <c r="F286" s="8" t="s">
        <v>57</v>
      </c>
      <c r="G286" s="8">
        <v>2016</v>
      </c>
      <c r="H286" s="8">
        <v>12</v>
      </c>
      <c r="I286" s="8" t="s">
        <v>521</v>
      </c>
      <c r="J286" s="8" t="s">
        <v>228</v>
      </c>
      <c r="K286" s="8">
        <v>1983</v>
      </c>
      <c r="L286" s="17">
        <v>1</v>
      </c>
      <c r="M286" s="8">
        <v>1</v>
      </c>
      <c r="N286" s="8" t="s">
        <v>48</v>
      </c>
      <c r="O286" s="8" t="s">
        <v>283</v>
      </c>
      <c r="P286" s="8" t="s">
        <v>217</v>
      </c>
      <c r="Q286" s="8">
        <v>3000</v>
      </c>
      <c r="R286" s="8" t="s">
        <v>57</v>
      </c>
      <c r="S286" s="8" t="s">
        <v>52</v>
      </c>
      <c r="T286" s="8" t="s">
        <v>69</v>
      </c>
      <c r="U286" s="8" t="s">
        <v>228</v>
      </c>
      <c r="V286" s="8">
        <v>500</v>
      </c>
      <c r="W286" s="8" t="s">
        <v>328</v>
      </c>
      <c r="X286" s="8">
        <v>3000</v>
      </c>
      <c r="Y286" s="8" t="s">
        <v>268</v>
      </c>
      <c r="Z286" s="8">
        <v>85</v>
      </c>
      <c r="AA286" s="8" t="s">
        <v>278</v>
      </c>
      <c r="AB286" s="8" t="s">
        <v>247</v>
      </c>
      <c r="AC286" s="8" t="s">
        <v>228</v>
      </c>
      <c r="AD286" s="8" t="s">
        <v>228</v>
      </c>
      <c r="AE286" s="8" t="s">
        <v>228</v>
      </c>
      <c r="AF286" s="8" t="s">
        <v>228</v>
      </c>
      <c r="AG286" s="8" t="s">
        <v>228</v>
      </c>
      <c r="AH286" s="8" t="s">
        <v>228</v>
      </c>
      <c r="AI286" s="8" t="s">
        <v>228</v>
      </c>
      <c r="AJ286" t="s">
        <v>468</v>
      </c>
      <c r="AK286">
        <v>1</v>
      </c>
      <c r="AL286">
        <v>1</v>
      </c>
      <c r="AM286" t="s">
        <v>83</v>
      </c>
      <c r="AN286" t="s">
        <v>67</v>
      </c>
      <c r="AO286" t="s">
        <v>526</v>
      </c>
      <c r="AP286" t="s">
        <v>109</v>
      </c>
      <c r="AQ286">
        <v>12</v>
      </c>
      <c r="AR286" t="s">
        <v>521</v>
      </c>
      <c r="AS286" t="s">
        <v>228</v>
      </c>
      <c r="AT286" t="s">
        <v>140</v>
      </c>
      <c r="AU286">
        <v>1</v>
      </c>
      <c r="AV286">
        <v>1</v>
      </c>
      <c r="AW286" t="s">
        <v>406</v>
      </c>
      <c r="AX286" t="s">
        <v>283</v>
      </c>
      <c r="AY286" t="s">
        <v>217</v>
      </c>
      <c r="AZ286">
        <v>1</v>
      </c>
      <c r="BA286" t="s">
        <v>408</v>
      </c>
      <c r="BB286" t="s">
        <v>405</v>
      </c>
      <c r="BC286" t="s">
        <v>395</v>
      </c>
      <c r="BD286" t="s">
        <v>228</v>
      </c>
      <c r="BE286" t="s">
        <v>522</v>
      </c>
      <c r="BF286" t="s">
        <v>523</v>
      </c>
      <c r="BG286" t="s">
        <v>407</v>
      </c>
      <c r="BH286" t="s">
        <v>396</v>
      </c>
      <c r="BI286" t="s">
        <v>524</v>
      </c>
      <c r="BJ286" t="s">
        <v>228</v>
      </c>
      <c r="BK286" t="s">
        <v>543</v>
      </c>
      <c r="BL286" t="s">
        <v>228</v>
      </c>
      <c r="BM286" t="s">
        <v>228</v>
      </c>
      <c r="BN286" t="s">
        <v>228</v>
      </c>
      <c r="BO286" t="s">
        <v>228</v>
      </c>
      <c r="BP286" t="s">
        <v>228</v>
      </c>
      <c r="BQ286" t="s">
        <v>228</v>
      </c>
      <c r="BR286" t="s">
        <v>228</v>
      </c>
      <c r="BS286" t="s">
        <v>409</v>
      </c>
      <c r="BT286">
        <v>1</v>
      </c>
    </row>
    <row r="287" spans="1:72" x14ac:dyDescent="0.15">
      <c r="A287" s="43">
        <v>2023</v>
      </c>
      <c r="B287" s="8">
        <v>1</v>
      </c>
      <c r="C287" s="8">
        <v>1</v>
      </c>
      <c r="D287" s="8">
        <v>18</v>
      </c>
      <c r="E287" s="8" t="s">
        <v>67</v>
      </c>
      <c r="F287" s="8" t="s">
        <v>57</v>
      </c>
      <c r="G287" s="8">
        <v>2016</v>
      </c>
      <c r="H287" s="8">
        <v>12</v>
      </c>
      <c r="I287" s="8" t="s">
        <v>521</v>
      </c>
      <c r="J287" s="8" t="s">
        <v>228</v>
      </c>
      <c r="K287" s="8">
        <v>1983</v>
      </c>
      <c r="L287" s="17">
        <v>1</v>
      </c>
      <c r="M287" s="8">
        <v>1</v>
      </c>
      <c r="N287" s="8" t="s">
        <v>48</v>
      </c>
      <c r="O287" s="8" t="s">
        <v>283</v>
      </c>
      <c r="P287" s="8" t="s">
        <v>217</v>
      </c>
      <c r="Q287" s="8">
        <v>3000</v>
      </c>
      <c r="R287" s="8" t="s">
        <v>57</v>
      </c>
      <c r="S287" s="8" t="s">
        <v>54</v>
      </c>
      <c r="T287" s="8" t="s">
        <v>69</v>
      </c>
      <c r="U287" s="8" t="s">
        <v>228</v>
      </c>
      <c r="V287" s="8">
        <v>500</v>
      </c>
      <c r="W287" s="8" t="s">
        <v>328</v>
      </c>
      <c r="X287" s="8">
        <v>3000</v>
      </c>
      <c r="Y287" s="8" t="s">
        <v>271</v>
      </c>
      <c r="Z287" s="8">
        <v>85</v>
      </c>
      <c r="AA287" s="8" t="s">
        <v>278</v>
      </c>
      <c r="AB287" s="8" t="s">
        <v>228</v>
      </c>
      <c r="AC287" s="8" t="s">
        <v>228</v>
      </c>
      <c r="AD287" s="8" t="s">
        <v>228</v>
      </c>
      <c r="AE287" s="8" t="s">
        <v>228</v>
      </c>
      <c r="AF287" s="8" t="s">
        <v>228</v>
      </c>
      <c r="AG287" s="8" t="s">
        <v>228</v>
      </c>
      <c r="AH287" s="8" t="s">
        <v>228</v>
      </c>
      <c r="AI287" s="8" t="s">
        <v>228</v>
      </c>
      <c r="AJ287" t="s">
        <v>468</v>
      </c>
      <c r="AK287">
        <v>1</v>
      </c>
      <c r="AL287">
        <v>1</v>
      </c>
      <c r="AM287" t="s">
        <v>83</v>
      </c>
      <c r="AN287" t="s">
        <v>67</v>
      </c>
      <c r="AO287" t="s">
        <v>526</v>
      </c>
      <c r="AP287" t="s">
        <v>109</v>
      </c>
      <c r="AQ287">
        <v>12</v>
      </c>
      <c r="AR287" t="s">
        <v>521</v>
      </c>
      <c r="AS287" t="s">
        <v>228</v>
      </c>
      <c r="AT287" t="s">
        <v>140</v>
      </c>
      <c r="AU287">
        <v>1</v>
      </c>
      <c r="AV287">
        <v>1</v>
      </c>
      <c r="AW287" t="s">
        <v>406</v>
      </c>
      <c r="AX287" t="s">
        <v>283</v>
      </c>
      <c r="AY287" t="s">
        <v>217</v>
      </c>
      <c r="AZ287">
        <v>1</v>
      </c>
      <c r="BA287" t="s">
        <v>408</v>
      </c>
      <c r="BB287" t="s">
        <v>541</v>
      </c>
      <c r="BC287" t="s">
        <v>395</v>
      </c>
      <c r="BD287" t="s">
        <v>228</v>
      </c>
      <c r="BE287" t="s">
        <v>522</v>
      </c>
      <c r="BF287" t="s">
        <v>523</v>
      </c>
      <c r="BG287" t="s">
        <v>407</v>
      </c>
      <c r="BH287" t="s">
        <v>544</v>
      </c>
      <c r="BI287" t="s">
        <v>524</v>
      </c>
      <c r="BJ287" t="s">
        <v>228</v>
      </c>
      <c r="BK287" t="s">
        <v>228</v>
      </c>
      <c r="BL287" t="s">
        <v>228</v>
      </c>
      <c r="BM287" t="s">
        <v>228</v>
      </c>
      <c r="BN287" t="s">
        <v>228</v>
      </c>
      <c r="BO287" t="s">
        <v>228</v>
      </c>
      <c r="BP287" t="s">
        <v>228</v>
      </c>
      <c r="BQ287" t="s">
        <v>228</v>
      </c>
      <c r="BR287" t="s">
        <v>228</v>
      </c>
      <c r="BS287" t="s">
        <v>409</v>
      </c>
      <c r="BT287">
        <v>1</v>
      </c>
    </row>
    <row r="288" spans="1:72" x14ac:dyDescent="0.15">
      <c r="A288" s="43">
        <v>2023</v>
      </c>
      <c r="B288" s="8">
        <v>1</v>
      </c>
      <c r="C288" s="8">
        <v>1</v>
      </c>
      <c r="D288" s="8">
        <v>18</v>
      </c>
      <c r="E288" s="8" t="s">
        <v>67</v>
      </c>
      <c r="F288" s="8" t="s">
        <v>57</v>
      </c>
      <c r="G288" s="8">
        <v>2016</v>
      </c>
      <c r="H288" s="8">
        <v>12</v>
      </c>
      <c r="I288" s="8" t="s">
        <v>521</v>
      </c>
      <c r="J288" s="8" t="s">
        <v>228</v>
      </c>
      <c r="K288" s="8">
        <v>1983</v>
      </c>
      <c r="L288" s="17">
        <v>1</v>
      </c>
      <c r="M288" s="8">
        <v>1</v>
      </c>
      <c r="N288" s="8" t="s">
        <v>48</v>
      </c>
      <c r="O288" s="8" t="s">
        <v>283</v>
      </c>
      <c r="P288" s="8" t="s">
        <v>217</v>
      </c>
      <c r="Q288" s="8">
        <v>3000</v>
      </c>
      <c r="R288" s="8" t="s">
        <v>57</v>
      </c>
      <c r="S288" s="8" t="s">
        <v>53</v>
      </c>
      <c r="T288" s="8" t="s">
        <v>69</v>
      </c>
      <c r="U288" s="8" t="s">
        <v>228</v>
      </c>
      <c r="V288" s="8">
        <v>500</v>
      </c>
      <c r="W288" s="8" t="s">
        <v>328</v>
      </c>
      <c r="X288" s="8">
        <v>3000</v>
      </c>
      <c r="Y288" s="8" t="s">
        <v>271</v>
      </c>
      <c r="Z288" s="8">
        <v>85</v>
      </c>
      <c r="AA288" s="8" t="s">
        <v>278</v>
      </c>
      <c r="AB288" s="8" t="s">
        <v>228</v>
      </c>
      <c r="AC288" s="8" t="s">
        <v>228</v>
      </c>
      <c r="AD288" s="8" t="s">
        <v>228</v>
      </c>
      <c r="AE288" s="8" t="s">
        <v>228</v>
      </c>
      <c r="AF288" s="8" t="s">
        <v>228</v>
      </c>
      <c r="AG288" s="8" t="s">
        <v>228</v>
      </c>
      <c r="AH288" s="8" t="s">
        <v>228</v>
      </c>
      <c r="AI288" s="8" t="s">
        <v>228</v>
      </c>
      <c r="AJ288" t="s">
        <v>468</v>
      </c>
      <c r="AK288">
        <v>1</v>
      </c>
      <c r="AL288">
        <v>1</v>
      </c>
      <c r="AM288" t="s">
        <v>83</v>
      </c>
      <c r="AN288" t="s">
        <v>67</v>
      </c>
      <c r="AO288" t="s">
        <v>526</v>
      </c>
      <c r="AP288" t="s">
        <v>109</v>
      </c>
      <c r="AQ288">
        <v>12</v>
      </c>
      <c r="AR288" t="s">
        <v>521</v>
      </c>
      <c r="AS288" t="s">
        <v>228</v>
      </c>
      <c r="AT288" t="s">
        <v>140</v>
      </c>
      <c r="AU288">
        <v>1</v>
      </c>
      <c r="AV288">
        <v>1</v>
      </c>
      <c r="AW288" t="s">
        <v>406</v>
      </c>
      <c r="AX288" t="s">
        <v>283</v>
      </c>
      <c r="AY288" t="s">
        <v>217</v>
      </c>
      <c r="AZ288">
        <v>1</v>
      </c>
      <c r="BA288" t="s">
        <v>408</v>
      </c>
      <c r="BB288" t="s">
        <v>542</v>
      </c>
      <c r="BC288" t="s">
        <v>395</v>
      </c>
      <c r="BD288" t="s">
        <v>228</v>
      </c>
      <c r="BE288" t="s">
        <v>522</v>
      </c>
      <c r="BF288" t="s">
        <v>523</v>
      </c>
      <c r="BG288" t="s">
        <v>407</v>
      </c>
      <c r="BH288" t="s">
        <v>544</v>
      </c>
      <c r="BI288" t="s">
        <v>524</v>
      </c>
      <c r="BJ288" t="s">
        <v>228</v>
      </c>
      <c r="BK288" t="s">
        <v>228</v>
      </c>
      <c r="BL288" t="s">
        <v>228</v>
      </c>
      <c r="BM288" t="s">
        <v>228</v>
      </c>
      <c r="BN288" t="s">
        <v>228</v>
      </c>
      <c r="BO288" t="s">
        <v>228</v>
      </c>
      <c r="BP288" t="s">
        <v>228</v>
      </c>
      <c r="BQ288" t="s">
        <v>228</v>
      </c>
      <c r="BR288" t="s">
        <v>228</v>
      </c>
      <c r="BS288" t="s">
        <v>409</v>
      </c>
      <c r="BT288">
        <v>1</v>
      </c>
    </row>
    <row r="289" spans="1:72" x14ac:dyDescent="0.15">
      <c r="A289" s="43">
        <v>2023</v>
      </c>
      <c r="B289" s="8">
        <v>1</v>
      </c>
      <c r="C289" s="8">
        <v>1</v>
      </c>
      <c r="D289" s="8">
        <v>18</v>
      </c>
      <c r="E289" s="8" t="s">
        <v>67</v>
      </c>
      <c r="F289" s="8" t="s">
        <v>57</v>
      </c>
      <c r="G289" s="8">
        <v>2016</v>
      </c>
      <c r="H289" s="8">
        <v>12</v>
      </c>
      <c r="I289" s="8" t="s">
        <v>521</v>
      </c>
      <c r="J289" s="8" t="s">
        <v>228</v>
      </c>
      <c r="K289" s="8">
        <v>1983</v>
      </c>
      <c r="L289" s="17">
        <v>1</v>
      </c>
      <c r="M289" s="8">
        <v>1</v>
      </c>
      <c r="N289" s="8" t="s">
        <v>48</v>
      </c>
      <c r="O289" s="8" t="s">
        <v>283</v>
      </c>
      <c r="P289" s="8" t="s">
        <v>217</v>
      </c>
      <c r="Q289" s="8">
        <v>3000</v>
      </c>
      <c r="R289" s="8" t="s">
        <v>57</v>
      </c>
      <c r="S289" s="8" t="s">
        <v>52</v>
      </c>
      <c r="T289" s="8" t="s">
        <v>69</v>
      </c>
      <c r="U289" s="8" t="s">
        <v>228</v>
      </c>
      <c r="V289" s="8">
        <v>500</v>
      </c>
      <c r="W289" s="8" t="s">
        <v>328</v>
      </c>
      <c r="X289" s="8">
        <v>3000</v>
      </c>
      <c r="Y289" s="8" t="s">
        <v>271</v>
      </c>
      <c r="Z289" s="8">
        <v>85</v>
      </c>
      <c r="AA289" s="8" t="s">
        <v>278</v>
      </c>
      <c r="AB289" s="8" t="s">
        <v>228</v>
      </c>
      <c r="AC289" s="8" t="s">
        <v>228</v>
      </c>
      <c r="AD289" s="8" t="s">
        <v>228</v>
      </c>
      <c r="AE289" s="8" t="s">
        <v>228</v>
      </c>
      <c r="AF289" s="8" t="s">
        <v>228</v>
      </c>
      <c r="AG289" s="8" t="s">
        <v>228</v>
      </c>
      <c r="AH289" s="8" t="s">
        <v>228</v>
      </c>
      <c r="AI289" s="8" t="s">
        <v>228</v>
      </c>
      <c r="AJ289" t="s">
        <v>468</v>
      </c>
      <c r="AK289">
        <v>1</v>
      </c>
      <c r="AL289">
        <v>1</v>
      </c>
      <c r="AM289" t="s">
        <v>83</v>
      </c>
      <c r="AN289" t="s">
        <v>67</v>
      </c>
      <c r="AO289" t="s">
        <v>526</v>
      </c>
      <c r="AP289" t="s">
        <v>109</v>
      </c>
      <c r="AQ289">
        <v>12</v>
      </c>
      <c r="AR289" t="s">
        <v>521</v>
      </c>
      <c r="AS289" t="s">
        <v>228</v>
      </c>
      <c r="AT289" t="s">
        <v>140</v>
      </c>
      <c r="AU289">
        <v>1</v>
      </c>
      <c r="AV289">
        <v>1</v>
      </c>
      <c r="AW289" t="s">
        <v>406</v>
      </c>
      <c r="AX289" t="s">
        <v>283</v>
      </c>
      <c r="AY289" t="s">
        <v>217</v>
      </c>
      <c r="AZ289">
        <v>1</v>
      </c>
      <c r="BA289" t="s">
        <v>408</v>
      </c>
      <c r="BB289" t="s">
        <v>405</v>
      </c>
      <c r="BC289" t="s">
        <v>395</v>
      </c>
      <c r="BD289" t="s">
        <v>228</v>
      </c>
      <c r="BE289" t="s">
        <v>522</v>
      </c>
      <c r="BF289" t="s">
        <v>523</v>
      </c>
      <c r="BG289" t="s">
        <v>407</v>
      </c>
      <c r="BH289" t="s">
        <v>544</v>
      </c>
      <c r="BI289" t="s">
        <v>524</v>
      </c>
      <c r="BJ289" t="s">
        <v>228</v>
      </c>
      <c r="BK289" t="s">
        <v>228</v>
      </c>
      <c r="BL289" t="s">
        <v>228</v>
      </c>
      <c r="BM289" t="s">
        <v>228</v>
      </c>
      <c r="BN289" t="s">
        <v>228</v>
      </c>
      <c r="BO289" t="s">
        <v>228</v>
      </c>
      <c r="BP289" t="s">
        <v>228</v>
      </c>
      <c r="BQ289" t="s">
        <v>228</v>
      </c>
      <c r="BR289" t="s">
        <v>228</v>
      </c>
      <c r="BS289" t="s">
        <v>409</v>
      </c>
      <c r="BT289">
        <v>1</v>
      </c>
    </row>
    <row r="290" spans="1:72" x14ac:dyDescent="0.15">
      <c r="A290" s="43">
        <v>2023</v>
      </c>
      <c r="B290" s="8">
        <v>1</v>
      </c>
      <c r="C290" s="8">
        <v>1</v>
      </c>
      <c r="D290" s="8">
        <v>18</v>
      </c>
      <c r="E290" s="8" t="s">
        <v>67</v>
      </c>
      <c r="F290" s="8" t="s">
        <v>57</v>
      </c>
      <c r="G290" s="8">
        <v>2016</v>
      </c>
      <c r="H290" s="8">
        <v>12</v>
      </c>
      <c r="I290" s="8" t="s">
        <v>521</v>
      </c>
      <c r="J290" s="8" t="s">
        <v>228</v>
      </c>
      <c r="K290" s="8">
        <v>1983</v>
      </c>
      <c r="L290" s="17">
        <v>1</v>
      </c>
      <c r="M290" s="8">
        <v>1</v>
      </c>
      <c r="N290" s="8" t="s">
        <v>48</v>
      </c>
      <c r="O290" s="8" t="s">
        <v>283</v>
      </c>
      <c r="P290" s="8" t="s">
        <v>217</v>
      </c>
      <c r="Q290" s="8">
        <v>3000</v>
      </c>
      <c r="R290" s="8" t="s">
        <v>57</v>
      </c>
      <c r="S290" s="8" t="s">
        <v>54</v>
      </c>
      <c r="T290" s="8" t="s">
        <v>69</v>
      </c>
      <c r="U290" s="8" t="s">
        <v>228</v>
      </c>
      <c r="V290" s="8">
        <v>500</v>
      </c>
      <c r="W290" s="8" t="s">
        <v>328</v>
      </c>
      <c r="X290" s="8">
        <v>3000</v>
      </c>
      <c r="Y290" s="8" t="s">
        <v>271</v>
      </c>
      <c r="Z290" s="8">
        <v>85</v>
      </c>
      <c r="AA290" s="8" t="s">
        <v>278</v>
      </c>
      <c r="AB290" s="8" t="s">
        <v>247</v>
      </c>
      <c r="AC290" s="8" t="s">
        <v>228</v>
      </c>
      <c r="AD290" s="8" t="s">
        <v>228</v>
      </c>
      <c r="AE290" s="8" t="s">
        <v>228</v>
      </c>
      <c r="AF290" s="8" t="s">
        <v>228</v>
      </c>
      <c r="AG290" s="8" t="s">
        <v>228</v>
      </c>
      <c r="AH290" s="8" t="s">
        <v>228</v>
      </c>
      <c r="AI290" s="8" t="s">
        <v>228</v>
      </c>
      <c r="AJ290" t="s">
        <v>468</v>
      </c>
      <c r="AK290">
        <v>1</v>
      </c>
      <c r="AL290">
        <v>1</v>
      </c>
      <c r="AM290" t="s">
        <v>83</v>
      </c>
      <c r="AN290" t="s">
        <v>67</v>
      </c>
      <c r="AO290" t="s">
        <v>526</v>
      </c>
      <c r="AP290" t="s">
        <v>109</v>
      </c>
      <c r="AQ290">
        <v>12</v>
      </c>
      <c r="AR290" t="s">
        <v>521</v>
      </c>
      <c r="AS290" t="s">
        <v>228</v>
      </c>
      <c r="AT290" t="s">
        <v>140</v>
      </c>
      <c r="AU290">
        <v>1</v>
      </c>
      <c r="AV290">
        <v>1</v>
      </c>
      <c r="AW290" t="s">
        <v>406</v>
      </c>
      <c r="AX290" t="s">
        <v>283</v>
      </c>
      <c r="AY290" t="s">
        <v>217</v>
      </c>
      <c r="AZ290">
        <v>1</v>
      </c>
      <c r="BA290" t="s">
        <v>408</v>
      </c>
      <c r="BB290" t="s">
        <v>541</v>
      </c>
      <c r="BC290" t="s">
        <v>395</v>
      </c>
      <c r="BD290" t="s">
        <v>228</v>
      </c>
      <c r="BE290" t="s">
        <v>522</v>
      </c>
      <c r="BF290" t="s">
        <v>523</v>
      </c>
      <c r="BG290" t="s">
        <v>407</v>
      </c>
      <c r="BH290" t="s">
        <v>544</v>
      </c>
      <c r="BI290" t="s">
        <v>524</v>
      </c>
      <c r="BJ290" t="s">
        <v>228</v>
      </c>
      <c r="BK290" t="s">
        <v>543</v>
      </c>
      <c r="BL290" t="s">
        <v>228</v>
      </c>
      <c r="BM290" t="s">
        <v>228</v>
      </c>
      <c r="BN290" t="s">
        <v>228</v>
      </c>
      <c r="BO290" t="s">
        <v>228</v>
      </c>
      <c r="BP290" t="s">
        <v>228</v>
      </c>
      <c r="BQ290" t="s">
        <v>228</v>
      </c>
      <c r="BR290" t="s">
        <v>228</v>
      </c>
      <c r="BS290" t="s">
        <v>409</v>
      </c>
      <c r="BT290">
        <v>1</v>
      </c>
    </row>
    <row r="291" spans="1:72" x14ac:dyDescent="0.15">
      <c r="A291" s="43">
        <v>2023</v>
      </c>
      <c r="B291" s="8">
        <v>1</v>
      </c>
      <c r="C291" s="8">
        <v>1</v>
      </c>
      <c r="D291" s="8">
        <v>18</v>
      </c>
      <c r="E291" s="8" t="s">
        <v>67</v>
      </c>
      <c r="F291" s="8" t="s">
        <v>57</v>
      </c>
      <c r="G291" s="8">
        <v>2016</v>
      </c>
      <c r="H291" s="8">
        <v>12</v>
      </c>
      <c r="I291" s="8" t="s">
        <v>521</v>
      </c>
      <c r="J291" s="8" t="s">
        <v>228</v>
      </c>
      <c r="K291" s="8">
        <v>1983</v>
      </c>
      <c r="L291" s="17">
        <v>1</v>
      </c>
      <c r="M291" s="8">
        <v>1</v>
      </c>
      <c r="N291" s="8" t="s">
        <v>48</v>
      </c>
      <c r="O291" s="8" t="s">
        <v>283</v>
      </c>
      <c r="P291" s="8" t="s">
        <v>217</v>
      </c>
      <c r="Q291" s="8">
        <v>3000</v>
      </c>
      <c r="R291" s="8" t="s">
        <v>57</v>
      </c>
      <c r="S291" s="8" t="s">
        <v>53</v>
      </c>
      <c r="T291" s="8" t="s">
        <v>69</v>
      </c>
      <c r="U291" s="8" t="s">
        <v>228</v>
      </c>
      <c r="V291" s="8">
        <v>500</v>
      </c>
      <c r="W291" s="8" t="s">
        <v>328</v>
      </c>
      <c r="X291" s="8">
        <v>3000</v>
      </c>
      <c r="Y291" s="8" t="s">
        <v>271</v>
      </c>
      <c r="Z291" s="8">
        <v>85</v>
      </c>
      <c r="AA291" s="8" t="s">
        <v>278</v>
      </c>
      <c r="AB291" s="8" t="s">
        <v>247</v>
      </c>
      <c r="AC291" s="8" t="s">
        <v>228</v>
      </c>
      <c r="AD291" s="8" t="s">
        <v>228</v>
      </c>
      <c r="AE291" s="8" t="s">
        <v>228</v>
      </c>
      <c r="AF291" s="8" t="s">
        <v>228</v>
      </c>
      <c r="AG291" s="8" t="s">
        <v>228</v>
      </c>
      <c r="AH291" s="8" t="s">
        <v>228</v>
      </c>
      <c r="AI291" s="8" t="s">
        <v>228</v>
      </c>
      <c r="AJ291" t="s">
        <v>468</v>
      </c>
      <c r="AK291">
        <v>1</v>
      </c>
      <c r="AL291">
        <v>1</v>
      </c>
      <c r="AM291" t="s">
        <v>83</v>
      </c>
      <c r="AN291" t="s">
        <v>67</v>
      </c>
      <c r="AO291" t="s">
        <v>526</v>
      </c>
      <c r="AP291" t="s">
        <v>109</v>
      </c>
      <c r="AQ291">
        <v>12</v>
      </c>
      <c r="AR291" t="s">
        <v>521</v>
      </c>
      <c r="AS291" t="s">
        <v>228</v>
      </c>
      <c r="AT291" t="s">
        <v>140</v>
      </c>
      <c r="AU291">
        <v>1</v>
      </c>
      <c r="AV291">
        <v>1</v>
      </c>
      <c r="AW291" t="s">
        <v>406</v>
      </c>
      <c r="AX291" t="s">
        <v>283</v>
      </c>
      <c r="AY291" t="s">
        <v>217</v>
      </c>
      <c r="AZ291">
        <v>1</v>
      </c>
      <c r="BA291" t="s">
        <v>408</v>
      </c>
      <c r="BB291" t="s">
        <v>542</v>
      </c>
      <c r="BC291" t="s">
        <v>395</v>
      </c>
      <c r="BD291" t="s">
        <v>228</v>
      </c>
      <c r="BE291" t="s">
        <v>522</v>
      </c>
      <c r="BF291" t="s">
        <v>523</v>
      </c>
      <c r="BG291" t="s">
        <v>407</v>
      </c>
      <c r="BH291" t="s">
        <v>544</v>
      </c>
      <c r="BI291" t="s">
        <v>524</v>
      </c>
      <c r="BJ291" t="s">
        <v>228</v>
      </c>
      <c r="BK291" t="s">
        <v>543</v>
      </c>
      <c r="BL291" t="s">
        <v>228</v>
      </c>
      <c r="BM291" t="s">
        <v>228</v>
      </c>
      <c r="BN291" t="s">
        <v>228</v>
      </c>
      <c r="BO291" t="s">
        <v>228</v>
      </c>
      <c r="BP291" t="s">
        <v>228</v>
      </c>
      <c r="BQ291" t="s">
        <v>228</v>
      </c>
      <c r="BR291" t="s">
        <v>228</v>
      </c>
      <c r="BS291" t="s">
        <v>409</v>
      </c>
      <c r="BT291">
        <v>1</v>
      </c>
    </row>
    <row r="292" spans="1:72" x14ac:dyDescent="0.15">
      <c r="A292" s="43">
        <v>2023</v>
      </c>
      <c r="B292" s="8">
        <v>1</v>
      </c>
      <c r="C292" s="8">
        <v>1</v>
      </c>
      <c r="D292" s="8">
        <v>18</v>
      </c>
      <c r="E292" s="8" t="s">
        <v>67</v>
      </c>
      <c r="F292" s="8" t="s">
        <v>57</v>
      </c>
      <c r="G292" s="8">
        <v>2016</v>
      </c>
      <c r="H292" s="8">
        <v>12</v>
      </c>
      <c r="I292" s="8" t="s">
        <v>521</v>
      </c>
      <c r="J292" s="8" t="s">
        <v>228</v>
      </c>
      <c r="K292" s="8">
        <v>1983</v>
      </c>
      <c r="L292" s="17">
        <v>1</v>
      </c>
      <c r="M292" s="8">
        <v>1</v>
      </c>
      <c r="N292" s="8" t="s">
        <v>48</v>
      </c>
      <c r="O292" s="8" t="s">
        <v>283</v>
      </c>
      <c r="P292" s="8" t="s">
        <v>217</v>
      </c>
      <c r="Q292" s="8">
        <v>3000</v>
      </c>
      <c r="R292" s="8" t="s">
        <v>57</v>
      </c>
      <c r="S292" s="8" t="s">
        <v>52</v>
      </c>
      <c r="T292" s="8" t="s">
        <v>69</v>
      </c>
      <c r="U292" s="8" t="s">
        <v>228</v>
      </c>
      <c r="V292" s="8">
        <v>500</v>
      </c>
      <c r="W292" s="8" t="s">
        <v>328</v>
      </c>
      <c r="X292" s="8">
        <v>3000</v>
      </c>
      <c r="Y292" s="8" t="s">
        <v>271</v>
      </c>
      <c r="Z292" s="8">
        <v>85</v>
      </c>
      <c r="AA292" s="8" t="s">
        <v>278</v>
      </c>
      <c r="AB292" s="8" t="s">
        <v>247</v>
      </c>
      <c r="AC292" s="8" t="s">
        <v>228</v>
      </c>
      <c r="AD292" s="8" t="s">
        <v>228</v>
      </c>
      <c r="AE292" s="8" t="s">
        <v>228</v>
      </c>
      <c r="AF292" s="8" t="s">
        <v>228</v>
      </c>
      <c r="AG292" s="8" t="s">
        <v>228</v>
      </c>
      <c r="AH292" s="8" t="s">
        <v>228</v>
      </c>
      <c r="AI292" s="8" t="s">
        <v>228</v>
      </c>
      <c r="AJ292" t="s">
        <v>468</v>
      </c>
      <c r="AK292">
        <v>1</v>
      </c>
      <c r="AL292">
        <v>1</v>
      </c>
      <c r="AM292" t="s">
        <v>83</v>
      </c>
      <c r="AN292" t="s">
        <v>67</v>
      </c>
      <c r="AO292" t="s">
        <v>526</v>
      </c>
      <c r="AP292" t="s">
        <v>109</v>
      </c>
      <c r="AQ292">
        <v>12</v>
      </c>
      <c r="AR292" t="s">
        <v>521</v>
      </c>
      <c r="AS292" t="s">
        <v>228</v>
      </c>
      <c r="AT292" t="s">
        <v>140</v>
      </c>
      <c r="AU292">
        <v>1</v>
      </c>
      <c r="AV292">
        <v>1</v>
      </c>
      <c r="AW292" t="s">
        <v>406</v>
      </c>
      <c r="AX292" t="s">
        <v>283</v>
      </c>
      <c r="AY292" t="s">
        <v>217</v>
      </c>
      <c r="AZ292">
        <v>1</v>
      </c>
      <c r="BA292" t="s">
        <v>408</v>
      </c>
      <c r="BB292" t="s">
        <v>405</v>
      </c>
      <c r="BC292" t="s">
        <v>395</v>
      </c>
      <c r="BD292" t="s">
        <v>228</v>
      </c>
      <c r="BE292" t="s">
        <v>522</v>
      </c>
      <c r="BF292" t="s">
        <v>523</v>
      </c>
      <c r="BG292" t="s">
        <v>407</v>
      </c>
      <c r="BH292" t="s">
        <v>544</v>
      </c>
      <c r="BI292" t="s">
        <v>524</v>
      </c>
      <c r="BJ292" t="s">
        <v>228</v>
      </c>
      <c r="BK292" t="s">
        <v>543</v>
      </c>
      <c r="BL292" t="s">
        <v>228</v>
      </c>
      <c r="BM292" t="s">
        <v>228</v>
      </c>
      <c r="BN292" t="s">
        <v>228</v>
      </c>
      <c r="BO292" t="s">
        <v>228</v>
      </c>
      <c r="BP292" t="s">
        <v>228</v>
      </c>
      <c r="BQ292" t="s">
        <v>228</v>
      </c>
      <c r="BR292" t="s">
        <v>228</v>
      </c>
      <c r="BS292" t="s">
        <v>409</v>
      </c>
      <c r="BT292">
        <v>0</v>
      </c>
    </row>
    <row r="293" spans="1:72" x14ac:dyDescent="0.15">
      <c r="A293" s="43">
        <v>2023</v>
      </c>
      <c r="B293" s="8">
        <v>1</v>
      </c>
      <c r="C293" s="8">
        <v>1</v>
      </c>
      <c r="D293" s="8">
        <v>17</v>
      </c>
      <c r="E293" s="8" t="s">
        <v>67</v>
      </c>
      <c r="F293" s="8" t="s">
        <v>57</v>
      </c>
      <c r="G293" s="8">
        <v>2016</v>
      </c>
      <c r="H293" s="8">
        <v>12</v>
      </c>
      <c r="I293" s="8" t="s">
        <v>521</v>
      </c>
      <c r="J293" s="8" t="s">
        <v>228</v>
      </c>
      <c r="K293" s="8">
        <v>1983</v>
      </c>
      <c r="L293" s="17">
        <v>1</v>
      </c>
      <c r="M293" s="8">
        <v>1</v>
      </c>
      <c r="N293" s="8" t="s">
        <v>48</v>
      </c>
      <c r="O293" s="8" t="s">
        <v>283</v>
      </c>
      <c r="P293" s="8" t="s">
        <v>217</v>
      </c>
      <c r="Q293" s="8">
        <v>3000</v>
      </c>
      <c r="R293" s="8" t="s">
        <v>57</v>
      </c>
      <c r="S293" s="8" t="s">
        <v>54</v>
      </c>
      <c r="T293" s="8" t="s">
        <v>69</v>
      </c>
      <c r="U293" s="8" t="s">
        <v>228</v>
      </c>
      <c r="V293" s="8">
        <v>500</v>
      </c>
      <c r="W293" s="8" t="s">
        <v>328</v>
      </c>
      <c r="X293" s="8">
        <v>3000</v>
      </c>
      <c r="Y293" s="8" t="s">
        <v>268</v>
      </c>
      <c r="Z293" s="8">
        <v>85</v>
      </c>
      <c r="AA293" s="8" t="s">
        <v>278</v>
      </c>
      <c r="AB293" s="8" t="s">
        <v>228</v>
      </c>
      <c r="AC293" s="8" t="s">
        <v>228</v>
      </c>
      <c r="AD293" s="8" t="s">
        <v>228</v>
      </c>
      <c r="AE293" s="8" t="s">
        <v>228</v>
      </c>
      <c r="AF293" s="8" t="s">
        <v>228</v>
      </c>
      <c r="AG293" s="8" t="s">
        <v>228</v>
      </c>
      <c r="AH293" s="8" t="s">
        <v>228</v>
      </c>
      <c r="AI293" s="8" t="s">
        <v>228</v>
      </c>
      <c r="AJ293" t="s">
        <v>468</v>
      </c>
      <c r="AK293">
        <v>1</v>
      </c>
      <c r="AL293">
        <v>1</v>
      </c>
      <c r="AM293" t="s">
        <v>84</v>
      </c>
      <c r="AN293" t="s">
        <v>67</v>
      </c>
      <c r="AO293" t="s">
        <v>526</v>
      </c>
      <c r="AP293" t="s">
        <v>109</v>
      </c>
      <c r="AQ293">
        <v>12</v>
      </c>
      <c r="AR293" t="s">
        <v>521</v>
      </c>
      <c r="AS293" t="s">
        <v>228</v>
      </c>
      <c r="AT293" t="s">
        <v>140</v>
      </c>
      <c r="AU293">
        <v>1</v>
      </c>
      <c r="AV293">
        <v>1</v>
      </c>
      <c r="AW293" t="s">
        <v>406</v>
      </c>
      <c r="AX293" t="s">
        <v>283</v>
      </c>
      <c r="AY293" t="s">
        <v>217</v>
      </c>
      <c r="AZ293">
        <v>1</v>
      </c>
      <c r="BA293" t="s">
        <v>408</v>
      </c>
      <c r="BB293" t="s">
        <v>541</v>
      </c>
      <c r="BC293" t="s">
        <v>395</v>
      </c>
      <c r="BD293" t="s">
        <v>228</v>
      </c>
      <c r="BE293" t="s">
        <v>522</v>
      </c>
      <c r="BF293" t="s">
        <v>523</v>
      </c>
      <c r="BG293" t="s">
        <v>407</v>
      </c>
      <c r="BH293" t="s">
        <v>396</v>
      </c>
      <c r="BI293" t="s">
        <v>524</v>
      </c>
      <c r="BJ293" t="s">
        <v>228</v>
      </c>
      <c r="BK293" t="s">
        <v>228</v>
      </c>
      <c r="BL293" t="s">
        <v>228</v>
      </c>
      <c r="BM293" t="s">
        <v>228</v>
      </c>
      <c r="BN293" t="s">
        <v>228</v>
      </c>
      <c r="BO293" t="s">
        <v>228</v>
      </c>
      <c r="BP293" t="s">
        <v>228</v>
      </c>
      <c r="BQ293" t="s">
        <v>228</v>
      </c>
      <c r="BR293" t="s">
        <v>228</v>
      </c>
      <c r="BS293" t="s">
        <v>409</v>
      </c>
      <c r="BT293">
        <v>1</v>
      </c>
    </row>
    <row r="294" spans="1:72" x14ac:dyDescent="0.15">
      <c r="A294" s="43">
        <v>2023</v>
      </c>
      <c r="B294" s="8">
        <v>1</v>
      </c>
      <c r="C294" s="8">
        <v>1</v>
      </c>
      <c r="D294" s="8">
        <v>17</v>
      </c>
      <c r="E294" s="8" t="s">
        <v>67</v>
      </c>
      <c r="F294" s="8" t="s">
        <v>57</v>
      </c>
      <c r="G294" s="8">
        <v>2016</v>
      </c>
      <c r="H294" s="8">
        <v>12</v>
      </c>
      <c r="I294" s="8" t="s">
        <v>521</v>
      </c>
      <c r="J294" s="8" t="s">
        <v>228</v>
      </c>
      <c r="K294" s="8">
        <v>1983</v>
      </c>
      <c r="L294" s="17">
        <v>1</v>
      </c>
      <c r="M294" s="8">
        <v>1</v>
      </c>
      <c r="N294" s="8" t="s">
        <v>48</v>
      </c>
      <c r="O294" s="8" t="s">
        <v>283</v>
      </c>
      <c r="P294" s="8" t="s">
        <v>217</v>
      </c>
      <c r="Q294" s="8">
        <v>3000</v>
      </c>
      <c r="R294" s="8" t="s">
        <v>57</v>
      </c>
      <c r="S294" s="8" t="s">
        <v>53</v>
      </c>
      <c r="T294" s="8" t="s">
        <v>69</v>
      </c>
      <c r="U294" s="8" t="s">
        <v>228</v>
      </c>
      <c r="V294" s="8">
        <v>500</v>
      </c>
      <c r="W294" s="8" t="s">
        <v>328</v>
      </c>
      <c r="X294" s="8">
        <v>3000</v>
      </c>
      <c r="Y294" s="8" t="s">
        <v>268</v>
      </c>
      <c r="Z294" s="8">
        <v>85</v>
      </c>
      <c r="AA294" s="8" t="s">
        <v>278</v>
      </c>
      <c r="AB294" s="8" t="s">
        <v>228</v>
      </c>
      <c r="AC294" s="8" t="s">
        <v>228</v>
      </c>
      <c r="AD294" s="8" t="s">
        <v>228</v>
      </c>
      <c r="AE294" s="8" t="s">
        <v>228</v>
      </c>
      <c r="AF294" s="8" t="s">
        <v>228</v>
      </c>
      <c r="AG294" s="8" t="s">
        <v>228</v>
      </c>
      <c r="AH294" s="8" t="s">
        <v>228</v>
      </c>
      <c r="AI294" s="8" t="s">
        <v>228</v>
      </c>
      <c r="AJ294" t="s">
        <v>468</v>
      </c>
      <c r="AK294">
        <v>1</v>
      </c>
      <c r="AL294">
        <v>1</v>
      </c>
      <c r="AM294" t="s">
        <v>84</v>
      </c>
      <c r="AN294" t="s">
        <v>67</v>
      </c>
      <c r="AO294" t="s">
        <v>526</v>
      </c>
      <c r="AP294" t="s">
        <v>109</v>
      </c>
      <c r="AQ294">
        <v>12</v>
      </c>
      <c r="AR294" t="s">
        <v>521</v>
      </c>
      <c r="AS294" t="s">
        <v>228</v>
      </c>
      <c r="AT294" t="s">
        <v>140</v>
      </c>
      <c r="AU294">
        <v>1</v>
      </c>
      <c r="AV294">
        <v>1</v>
      </c>
      <c r="AW294" t="s">
        <v>406</v>
      </c>
      <c r="AX294" t="s">
        <v>283</v>
      </c>
      <c r="AY294" t="s">
        <v>217</v>
      </c>
      <c r="AZ294">
        <v>1</v>
      </c>
      <c r="BA294" t="s">
        <v>408</v>
      </c>
      <c r="BB294" t="s">
        <v>542</v>
      </c>
      <c r="BC294" t="s">
        <v>395</v>
      </c>
      <c r="BD294" t="s">
        <v>228</v>
      </c>
      <c r="BE294" t="s">
        <v>522</v>
      </c>
      <c r="BF294" t="s">
        <v>523</v>
      </c>
      <c r="BG294" t="s">
        <v>407</v>
      </c>
      <c r="BH294" t="s">
        <v>396</v>
      </c>
      <c r="BI294" t="s">
        <v>524</v>
      </c>
      <c r="BJ294" t="s">
        <v>228</v>
      </c>
      <c r="BK294" t="s">
        <v>228</v>
      </c>
      <c r="BL294" t="s">
        <v>228</v>
      </c>
      <c r="BM294" t="s">
        <v>228</v>
      </c>
      <c r="BN294" t="s">
        <v>228</v>
      </c>
      <c r="BO294" t="s">
        <v>228</v>
      </c>
      <c r="BP294" t="s">
        <v>228</v>
      </c>
      <c r="BQ294" t="s">
        <v>228</v>
      </c>
      <c r="BR294" t="s">
        <v>228</v>
      </c>
      <c r="BS294" t="s">
        <v>409</v>
      </c>
      <c r="BT294">
        <v>1</v>
      </c>
    </row>
    <row r="295" spans="1:72" x14ac:dyDescent="0.15">
      <c r="A295" s="43">
        <v>2023</v>
      </c>
      <c r="B295" s="8">
        <v>1</v>
      </c>
      <c r="C295" s="8">
        <v>1</v>
      </c>
      <c r="D295" s="8">
        <v>17</v>
      </c>
      <c r="E295" s="8" t="s">
        <v>67</v>
      </c>
      <c r="F295" s="8" t="s">
        <v>57</v>
      </c>
      <c r="G295" s="8">
        <v>2016</v>
      </c>
      <c r="H295" s="8">
        <v>12</v>
      </c>
      <c r="I295" s="8" t="s">
        <v>521</v>
      </c>
      <c r="J295" s="8" t="s">
        <v>228</v>
      </c>
      <c r="K295" s="8">
        <v>1983</v>
      </c>
      <c r="L295" s="17">
        <v>1</v>
      </c>
      <c r="M295" s="8">
        <v>1</v>
      </c>
      <c r="N295" s="8" t="s">
        <v>48</v>
      </c>
      <c r="O295" s="8" t="s">
        <v>283</v>
      </c>
      <c r="P295" s="8" t="s">
        <v>217</v>
      </c>
      <c r="Q295" s="8">
        <v>3000</v>
      </c>
      <c r="R295" s="8" t="s">
        <v>57</v>
      </c>
      <c r="S295" s="8" t="s">
        <v>52</v>
      </c>
      <c r="T295" s="8" t="s">
        <v>69</v>
      </c>
      <c r="U295" s="8" t="s">
        <v>228</v>
      </c>
      <c r="V295" s="8">
        <v>500</v>
      </c>
      <c r="W295" s="8" t="s">
        <v>328</v>
      </c>
      <c r="X295" s="8">
        <v>3000</v>
      </c>
      <c r="Y295" s="8" t="s">
        <v>268</v>
      </c>
      <c r="Z295" s="8">
        <v>85</v>
      </c>
      <c r="AA295" s="8" t="s">
        <v>278</v>
      </c>
      <c r="AB295" s="8" t="s">
        <v>228</v>
      </c>
      <c r="AC295" s="8" t="s">
        <v>228</v>
      </c>
      <c r="AD295" s="8" t="s">
        <v>228</v>
      </c>
      <c r="AE295" s="8" t="s">
        <v>228</v>
      </c>
      <c r="AF295" s="8" t="s">
        <v>228</v>
      </c>
      <c r="AG295" s="8" t="s">
        <v>228</v>
      </c>
      <c r="AH295" s="8" t="s">
        <v>228</v>
      </c>
      <c r="AI295" s="8" t="s">
        <v>228</v>
      </c>
      <c r="AJ295" t="s">
        <v>468</v>
      </c>
      <c r="AK295">
        <v>1</v>
      </c>
      <c r="AL295">
        <v>1</v>
      </c>
      <c r="AM295" t="s">
        <v>84</v>
      </c>
      <c r="AN295" t="s">
        <v>67</v>
      </c>
      <c r="AO295" t="s">
        <v>526</v>
      </c>
      <c r="AP295" t="s">
        <v>109</v>
      </c>
      <c r="AQ295">
        <v>12</v>
      </c>
      <c r="AR295" t="s">
        <v>521</v>
      </c>
      <c r="AS295" t="s">
        <v>228</v>
      </c>
      <c r="AT295" t="s">
        <v>140</v>
      </c>
      <c r="AU295">
        <v>1</v>
      </c>
      <c r="AV295">
        <v>1</v>
      </c>
      <c r="AW295" t="s">
        <v>406</v>
      </c>
      <c r="AX295" t="s">
        <v>283</v>
      </c>
      <c r="AY295" t="s">
        <v>217</v>
      </c>
      <c r="AZ295">
        <v>1</v>
      </c>
      <c r="BA295" t="s">
        <v>408</v>
      </c>
      <c r="BB295" t="s">
        <v>405</v>
      </c>
      <c r="BC295" t="s">
        <v>395</v>
      </c>
      <c r="BD295" t="s">
        <v>228</v>
      </c>
      <c r="BE295" t="s">
        <v>522</v>
      </c>
      <c r="BF295" t="s">
        <v>523</v>
      </c>
      <c r="BG295" t="s">
        <v>407</v>
      </c>
      <c r="BH295" t="s">
        <v>396</v>
      </c>
      <c r="BI295" t="s">
        <v>524</v>
      </c>
      <c r="BJ295" t="s">
        <v>228</v>
      </c>
      <c r="BK295" t="s">
        <v>228</v>
      </c>
      <c r="BL295" t="s">
        <v>228</v>
      </c>
      <c r="BM295" t="s">
        <v>228</v>
      </c>
      <c r="BN295" t="s">
        <v>228</v>
      </c>
      <c r="BO295" t="s">
        <v>228</v>
      </c>
      <c r="BP295" t="s">
        <v>228</v>
      </c>
      <c r="BQ295" t="s">
        <v>228</v>
      </c>
      <c r="BR295" t="s">
        <v>228</v>
      </c>
      <c r="BS295" t="s">
        <v>409</v>
      </c>
      <c r="BT295">
        <v>1</v>
      </c>
    </row>
    <row r="296" spans="1:72" x14ac:dyDescent="0.15">
      <c r="A296" s="43">
        <v>2023</v>
      </c>
      <c r="B296" s="8">
        <v>1</v>
      </c>
      <c r="C296" s="8">
        <v>1</v>
      </c>
      <c r="D296" s="8">
        <v>17</v>
      </c>
      <c r="E296" s="8" t="s">
        <v>67</v>
      </c>
      <c r="F296" s="8" t="s">
        <v>57</v>
      </c>
      <c r="G296" s="8">
        <v>2016</v>
      </c>
      <c r="H296" s="8">
        <v>12</v>
      </c>
      <c r="I296" s="8" t="s">
        <v>521</v>
      </c>
      <c r="J296" s="8" t="s">
        <v>228</v>
      </c>
      <c r="K296" s="8">
        <v>1983</v>
      </c>
      <c r="L296" s="17">
        <v>1</v>
      </c>
      <c r="M296" s="8">
        <v>1</v>
      </c>
      <c r="N296" s="8" t="s">
        <v>48</v>
      </c>
      <c r="O296" s="8" t="s">
        <v>283</v>
      </c>
      <c r="P296" s="8" t="s">
        <v>217</v>
      </c>
      <c r="Q296" s="8">
        <v>3000</v>
      </c>
      <c r="R296" s="8" t="s">
        <v>57</v>
      </c>
      <c r="S296" s="8" t="s">
        <v>54</v>
      </c>
      <c r="T296" s="8" t="s">
        <v>69</v>
      </c>
      <c r="U296" s="8" t="s">
        <v>228</v>
      </c>
      <c r="V296" s="8">
        <v>500</v>
      </c>
      <c r="W296" s="8" t="s">
        <v>328</v>
      </c>
      <c r="X296" s="8">
        <v>3000</v>
      </c>
      <c r="Y296" s="8" t="s">
        <v>268</v>
      </c>
      <c r="Z296" s="8">
        <v>85</v>
      </c>
      <c r="AA296" s="8" t="s">
        <v>278</v>
      </c>
      <c r="AB296" s="8" t="s">
        <v>247</v>
      </c>
      <c r="AC296" s="8" t="s">
        <v>228</v>
      </c>
      <c r="AD296" s="8" t="s">
        <v>228</v>
      </c>
      <c r="AE296" s="8" t="s">
        <v>228</v>
      </c>
      <c r="AF296" s="8" t="s">
        <v>228</v>
      </c>
      <c r="AG296" s="8" t="s">
        <v>228</v>
      </c>
      <c r="AH296" s="8" t="s">
        <v>228</v>
      </c>
      <c r="AI296" s="8" t="s">
        <v>228</v>
      </c>
      <c r="AJ296" t="s">
        <v>468</v>
      </c>
      <c r="AK296">
        <v>1</v>
      </c>
      <c r="AL296">
        <v>1</v>
      </c>
      <c r="AM296" t="s">
        <v>84</v>
      </c>
      <c r="AN296" t="s">
        <v>67</v>
      </c>
      <c r="AO296" t="s">
        <v>526</v>
      </c>
      <c r="AP296" t="s">
        <v>109</v>
      </c>
      <c r="AQ296">
        <v>12</v>
      </c>
      <c r="AR296" t="s">
        <v>521</v>
      </c>
      <c r="AS296" t="s">
        <v>228</v>
      </c>
      <c r="AT296" t="s">
        <v>140</v>
      </c>
      <c r="AU296">
        <v>1</v>
      </c>
      <c r="AV296">
        <v>1</v>
      </c>
      <c r="AW296" t="s">
        <v>406</v>
      </c>
      <c r="AX296" t="s">
        <v>283</v>
      </c>
      <c r="AY296" t="s">
        <v>217</v>
      </c>
      <c r="AZ296">
        <v>1</v>
      </c>
      <c r="BA296" t="s">
        <v>408</v>
      </c>
      <c r="BB296" t="s">
        <v>541</v>
      </c>
      <c r="BC296" t="s">
        <v>395</v>
      </c>
      <c r="BD296" t="s">
        <v>228</v>
      </c>
      <c r="BE296" t="s">
        <v>522</v>
      </c>
      <c r="BF296" t="s">
        <v>523</v>
      </c>
      <c r="BG296" t="s">
        <v>407</v>
      </c>
      <c r="BH296" t="s">
        <v>396</v>
      </c>
      <c r="BI296" t="s">
        <v>524</v>
      </c>
      <c r="BJ296" t="s">
        <v>228</v>
      </c>
      <c r="BK296" t="s">
        <v>543</v>
      </c>
      <c r="BL296" t="s">
        <v>228</v>
      </c>
      <c r="BM296" t="s">
        <v>228</v>
      </c>
      <c r="BN296" t="s">
        <v>228</v>
      </c>
      <c r="BO296" t="s">
        <v>228</v>
      </c>
      <c r="BP296" t="s">
        <v>228</v>
      </c>
      <c r="BQ296" t="s">
        <v>228</v>
      </c>
      <c r="BR296" t="s">
        <v>228</v>
      </c>
      <c r="BS296" t="s">
        <v>409</v>
      </c>
      <c r="BT296">
        <v>1</v>
      </c>
    </row>
    <row r="297" spans="1:72" x14ac:dyDescent="0.15">
      <c r="A297" s="43">
        <v>2023</v>
      </c>
      <c r="B297" s="8">
        <v>1</v>
      </c>
      <c r="C297" s="8">
        <v>1</v>
      </c>
      <c r="D297" s="8">
        <v>17</v>
      </c>
      <c r="E297" s="8" t="s">
        <v>67</v>
      </c>
      <c r="F297" s="8" t="s">
        <v>57</v>
      </c>
      <c r="G297" s="8">
        <v>2016</v>
      </c>
      <c r="H297" s="8">
        <v>12</v>
      </c>
      <c r="I297" s="8" t="s">
        <v>521</v>
      </c>
      <c r="J297" s="8" t="s">
        <v>228</v>
      </c>
      <c r="K297" s="8">
        <v>1983</v>
      </c>
      <c r="L297" s="17">
        <v>1</v>
      </c>
      <c r="M297" s="8">
        <v>1</v>
      </c>
      <c r="N297" s="8" t="s">
        <v>48</v>
      </c>
      <c r="O297" s="8" t="s">
        <v>283</v>
      </c>
      <c r="P297" s="8" t="s">
        <v>217</v>
      </c>
      <c r="Q297" s="8">
        <v>3000</v>
      </c>
      <c r="R297" s="8" t="s">
        <v>57</v>
      </c>
      <c r="S297" s="8" t="s">
        <v>53</v>
      </c>
      <c r="T297" s="8" t="s">
        <v>69</v>
      </c>
      <c r="U297" s="8" t="s">
        <v>228</v>
      </c>
      <c r="V297" s="8">
        <v>500</v>
      </c>
      <c r="W297" s="8" t="s">
        <v>328</v>
      </c>
      <c r="X297" s="8">
        <v>3000</v>
      </c>
      <c r="Y297" s="8" t="s">
        <v>268</v>
      </c>
      <c r="Z297" s="8">
        <v>85</v>
      </c>
      <c r="AA297" s="8" t="s">
        <v>278</v>
      </c>
      <c r="AB297" s="8" t="s">
        <v>247</v>
      </c>
      <c r="AC297" s="8" t="s">
        <v>228</v>
      </c>
      <c r="AD297" s="8" t="s">
        <v>228</v>
      </c>
      <c r="AE297" s="8" t="s">
        <v>228</v>
      </c>
      <c r="AF297" s="8" t="s">
        <v>228</v>
      </c>
      <c r="AG297" s="8" t="s">
        <v>228</v>
      </c>
      <c r="AH297" s="8" t="s">
        <v>228</v>
      </c>
      <c r="AI297" s="8" t="s">
        <v>228</v>
      </c>
      <c r="AJ297" t="s">
        <v>468</v>
      </c>
      <c r="AK297">
        <v>1</v>
      </c>
      <c r="AL297">
        <v>1</v>
      </c>
      <c r="AM297" t="s">
        <v>84</v>
      </c>
      <c r="AN297" t="s">
        <v>67</v>
      </c>
      <c r="AO297" t="s">
        <v>526</v>
      </c>
      <c r="AP297" t="s">
        <v>109</v>
      </c>
      <c r="AQ297">
        <v>12</v>
      </c>
      <c r="AR297" t="s">
        <v>521</v>
      </c>
      <c r="AS297" t="s">
        <v>228</v>
      </c>
      <c r="AT297" t="s">
        <v>140</v>
      </c>
      <c r="AU297">
        <v>1</v>
      </c>
      <c r="AV297">
        <v>1</v>
      </c>
      <c r="AW297" t="s">
        <v>406</v>
      </c>
      <c r="AX297" t="s">
        <v>283</v>
      </c>
      <c r="AY297" t="s">
        <v>217</v>
      </c>
      <c r="AZ297">
        <v>1</v>
      </c>
      <c r="BA297" t="s">
        <v>408</v>
      </c>
      <c r="BB297" t="s">
        <v>542</v>
      </c>
      <c r="BC297" t="s">
        <v>395</v>
      </c>
      <c r="BD297" t="s">
        <v>228</v>
      </c>
      <c r="BE297" t="s">
        <v>522</v>
      </c>
      <c r="BF297" t="s">
        <v>523</v>
      </c>
      <c r="BG297" t="s">
        <v>407</v>
      </c>
      <c r="BH297" t="s">
        <v>396</v>
      </c>
      <c r="BI297" t="s">
        <v>524</v>
      </c>
      <c r="BJ297" t="s">
        <v>228</v>
      </c>
      <c r="BK297" t="s">
        <v>543</v>
      </c>
      <c r="BL297" t="s">
        <v>228</v>
      </c>
      <c r="BM297" t="s">
        <v>228</v>
      </c>
      <c r="BN297" t="s">
        <v>228</v>
      </c>
      <c r="BO297" t="s">
        <v>228</v>
      </c>
      <c r="BP297" t="s">
        <v>228</v>
      </c>
      <c r="BQ297" t="s">
        <v>228</v>
      </c>
      <c r="BR297" t="s">
        <v>228</v>
      </c>
      <c r="BS297" t="s">
        <v>409</v>
      </c>
      <c r="BT297">
        <v>1</v>
      </c>
    </row>
    <row r="298" spans="1:72" x14ac:dyDescent="0.15">
      <c r="A298" s="43">
        <v>2023</v>
      </c>
      <c r="B298" s="8">
        <v>1</v>
      </c>
      <c r="C298" s="8">
        <v>1</v>
      </c>
      <c r="D298" s="8">
        <v>17</v>
      </c>
      <c r="E298" s="8" t="s">
        <v>67</v>
      </c>
      <c r="F298" s="8" t="s">
        <v>57</v>
      </c>
      <c r="G298" s="8">
        <v>2016</v>
      </c>
      <c r="H298" s="8">
        <v>12</v>
      </c>
      <c r="I298" s="8" t="s">
        <v>521</v>
      </c>
      <c r="J298" s="8" t="s">
        <v>228</v>
      </c>
      <c r="K298" s="8">
        <v>1983</v>
      </c>
      <c r="L298" s="17">
        <v>1</v>
      </c>
      <c r="M298" s="8">
        <v>1</v>
      </c>
      <c r="N298" s="8" t="s">
        <v>48</v>
      </c>
      <c r="O298" s="8" t="s">
        <v>283</v>
      </c>
      <c r="P298" s="8" t="s">
        <v>217</v>
      </c>
      <c r="Q298" s="8">
        <v>3000</v>
      </c>
      <c r="R298" s="8" t="s">
        <v>57</v>
      </c>
      <c r="S298" s="8" t="s">
        <v>52</v>
      </c>
      <c r="T298" s="8" t="s">
        <v>69</v>
      </c>
      <c r="U298" s="8" t="s">
        <v>228</v>
      </c>
      <c r="V298" s="8">
        <v>500</v>
      </c>
      <c r="W298" s="8" t="s">
        <v>328</v>
      </c>
      <c r="X298" s="8">
        <v>3000</v>
      </c>
      <c r="Y298" s="8" t="s">
        <v>268</v>
      </c>
      <c r="Z298" s="8">
        <v>85</v>
      </c>
      <c r="AA298" s="8" t="s">
        <v>278</v>
      </c>
      <c r="AB298" s="8" t="s">
        <v>247</v>
      </c>
      <c r="AC298" s="8" t="s">
        <v>228</v>
      </c>
      <c r="AD298" s="8" t="s">
        <v>228</v>
      </c>
      <c r="AE298" s="8" t="s">
        <v>228</v>
      </c>
      <c r="AF298" s="8" t="s">
        <v>228</v>
      </c>
      <c r="AG298" s="8" t="s">
        <v>228</v>
      </c>
      <c r="AH298" s="8" t="s">
        <v>228</v>
      </c>
      <c r="AI298" s="8" t="s">
        <v>228</v>
      </c>
      <c r="AJ298" t="s">
        <v>468</v>
      </c>
      <c r="AK298">
        <v>1</v>
      </c>
      <c r="AL298">
        <v>1</v>
      </c>
      <c r="AM298" t="s">
        <v>84</v>
      </c>
      <c r="AN298" t="s">
        <v>67</v>
      </c>
      <c r="AO298" t="s">
        <v>526</v>
      </c>
      <c r="AP298" t="s">
        <v>109</v>
      </c>
      <c r="AQ298">
        <v>12</v>
      </c>
      <c r="AR298" t="s">
        <v>521</v>
      </c>
      <c r="AS298" t="s">
        <v>228</v>
      </c>
      <c r="AT298" t="s">
        <v>140</v>
      </c>
      <c r="AU298">
        <v>1</v>
      </c>
      <c r="AV298">
        <v>1</v>
      </c>
      <c r="AW298" t="s">
        <v>406</v>
      </c>
      <c r="AX298" t="s">
        <v>283</v>
      </c>
      <c r="AY298" t="s">
        <v>217</v>
      </c>
      <c r="AZ298">
        <v>1</v>
      </c>
      <c r="BA298" t="s">
        <v>408</v>
      </c>
      <c r="BB298" t="s">
        <v>405</v>
      </c>
      <c r="BC298" t="s">
        <v>395</v>
      </c>
      <c r="BD298" t="s">
        <v>228</v>
      </c>
      <c r="BE298" t="s">
        <v>522</v>
      </c>
      <c r="BF298" t="s">
        <v>523</v>
      </c>
      <c r="BG298" t="s">
        <v>407</v>
      </c>
      <c r="BH298" t="s">
        <v>396</v>
      </c>
      <c r="BI298" t="s">
        <v>524</v>
      </c>
      <c r="BJ298" t="s">
        <v>228</v>
      </c>
      <c r="BK298" t="s">
        <v>543</v>
      </c>
      <c r="BL298" t="s">
        <v>228</v>
      </c>
      <c r="BM298" t="s">
        <v>228</v>
      </c>
      <c r="BN298" t="s">
        <v>228</v>
      </c>
      <c r="BO298" t="s">
        <v>228</v>
      </c>
      <c r="BP298" t="s">
        <v>228</v>
      </c>
      <c r="BQ298" t="s">
        <v>228</v>
      </c>
      <c r="BR298" t="s">
        <v>228</v>
      </c>
      <c r="BS298" t="s">
        <v>409</v>
      </c>
      <c r="BT298">
        <v>1</v>
      </c>
    </row>
    <row r="299" spans="1:72" x14ac:dyDescent="0.15">
      <c r="A299" s="43">
        <v>2023</v>
      </c>
      <c r="B299" s="8">
        <v>1</v>
      </c>
      <c r="C299" s="8">
        <v>1</v>
      </c>
      <c r="D299" s="8">
        <v>17</v>
      </c>
      <c r="E299" s="8" t="s">
        <v>67</v>
      </c>
      <c r="F299" s="8" t="s">
        <v>57</v>
      </c>
      <c r="G299" s="8">
        <v>2016</v>
      </c>
      <c r="H299" s="8">
        <v>12</v>
      </c>
      <c r="I299" s="8" t="s">
        <v>521</v>
      </c>
      <c r="J299" s="8" t="s">
        <v>228</v>
      </c>
      <c r="K299" s="8">
        <v>1983</v>
      </c>
      <c r="L299" s="17">
        <v>1</v>
      </c>
      <c r="M299" s="8">
        <v>1</v>
      </c>
      <c r="N299" s="8" t="s">
        <v>48</v>
      </c>
      <c r="O299" s="8" t="s">
        <v>283</v>
      </c>
      <c r="P299" s="8" t="s">
        <v>217</v>
      </c>
      <c r="Q299" s="8">
        <v>3000</v>
      </c>
      <c r="R299" s="8" t="s">
        <v>57</v>
      </c>
      <c r="S299" s="8" t="s">
        <v>54</v>
      </c>
      <c r="T299" s="8" t="s">
        <v>69</v>
      </c>
      <c r="U299" s="8" t="s">
        <v>228</v>
      </c>
      <c r="V299" s="8">
        <v>500</v>
      </c>
      <c r="W299" s="8" t="s">
        <v>328</v>
      </c>
      <c r="X299" s="8">
        <v>3000</v>
      </c>
      <c r="Y299" s="8" t="s">
        <v>271</v>
      </c>
      <c r="Z299" s="8">
        <v>85</v>
      </c>
      <c r="AA299" s="8" t="s">
        <v>278</v>
      </c>
      <c r="AB299" s="8" t="s">
        <v>228</v>
      </c>
      <c r="AC299" s="8" t="s">
        <v>228</v>
      </c>
      <c r="AD299" s="8" t="s">
        <v>228</v>
      </c>
      <c r="AE299" s="8" t="s">
        <v>228</v>
      </c>
      <c r="AF299" s="8" t="s">
        <v>228</v>
      </c>
      <c r="AG299" s="8" t="s">
        <v>228</v>
      </c>
      <c r="AH299" s="8" t="s">
        <v>228</v>
      </c>
      <c r="AI299" s="8" t="s">
        <v>228</v>
      </c>
      <c r="AJ299" t="s">
        <v>468</v>
      </c>
      <c r="AK299">
        <v>1</v>
      </c>
      <c r="AL299">
        <v>1</v>
      </c>
      <c r="AM299" t="s">
        <v>84</v>
      </c>
      <c r="AN299" t="s">
        <v>67</v>
      </c>
      <c r="AO299" t="s">
        <v>526</v>
      </c>
      <c r="AP299" t="s">
        <v>109</v>
      </c>
      <c r="AQ299">
        <v>12</v>
      </c>
      <c r="AR299" t="s">
        <v>521</v>
      </c>
      <c r="AS299" t="s">
        <v>228</v>
      </c>
      <c r="AT299" t="s">
        <v>140</v>
      </c>
      <c r="AU299">
        <v>1</v>
      </c>
      <c r="AV299">
        <v>1</v>
      </c>
      <c r="AW299" t="s">
        <v>406</v>
      </c>
      <c r="AX299" t="s">
        <v>283</v>
      </c>
      <c r="AY299" t="s">
        <v>217</v>
      </c>
      <c r="AZ299">
        <v>1</v>
      </c>
      <c r="BA299" t="s">
        <v>408</v>
      </c>
      <c r="BB299" t="s">
        <v>541</v>
      </c>
      <c r="BC299" t="s">
        <v>395</v>
      </c>
      <c r="BD299" t="s">
        <v>228</v>
      </c>
      <c r="BE299" t="s">
        <v>522</v>
      </c>
      <c r="BF299" t="s">
        <v>523</v>
      </c>
      <c r="BG299" t="s">
        <v>407</v>
      </c>
      <c r="BH299" t="s">
        <v>544</v>
      </c>
      <c r="BI299" t="s">
        <v>524</v>
      </c>
      <c r="BJ299" t="s">
        <v>228</v>
      </c>
      <c r="BK299" t="s">
        <v>228</v>
      </c>
      <c r="BL299" t="s">
        <v>228</v>
      </c>
      <c r="BM299" t="s">
        <v>228</v>
      </c>
      <c r="BN299" t="s">
        <v>228</v>
      </c>
      <c r="BO299" t="s">
        <v>228</v>
      </c>
      <c r="BP299" t="s">
        <v>228</v>
      </c>
      <c r="BQ299" t="s">
        <v>228</v>
      </c>
      <c r="BR299" t="s">
        <v>228</v>
      </c>
      <c r="BS299" t="s">
        <v>409</v>
      </c>
      <c r="BT299">
        <v>1</v>
      </c>
    </row>
    <row r="300" spans="1:72" x14ac:dyDescent="0.15">
      <c r="A300" s="43">
        <v>2023</v>
      </c>
      <c r="B300" s="8">
        <v>1</v>
      </c>
      <c r="C300" s="8">
        <v>1</v>
      </c>
      <c r="D300" s="8">
        <v>17</v>
      </c>
      <c r="E300" s="8" t="s">
        <v>67</v>
      </c>
      <c r="F300" s="8" t="s">
        <v>57</v>
      </c>
      <c r="G300" s="8">
        <v>2016</v>
      </c>
      <c r="H300" s="8">
        <v>12</v>
      </c>
      <c r="I300" s="8" t="s">
        <v>521</v>
      </c>
      <c r="J300" s="8" t="s">
        <v>228</v>
      </c>
      <c r="K300" s="8">
        <v>1983</v>
      </c>
      <c r="L300" s="17">
        <v>1</v>
      </c>
      <c r="M300" s="8">
        <v>1</v>
      </c>
      <c r="N300" s="8" t="s">
        <v>48</v>
      </c>
      <c r="O300" s="8" t="s">
        <v>283</v>
      </c>
      <c r="P300" s="8" t="s">
        <v>217</v>
      </c>
      <c r="Q300" s="8">
        <v>3000</v>
      </c>
      <c r="R300" s="8" t="s">
        <v>57</v>
      </c>
      <c r="S300" s="8" t="s">
        <v>53</v>
      </c>
      <c r="T300" s="8" t="s">
        <v>69</v>
      </c>
      <c r="U300" s="8" t="s">
        <v>228</v>
      </c>
      <c r="V300" s="8">
        <v>500</v>
      </c>
      <c r="W300" s="8" t="s">
        <v>328</v>
      </c>
      <c r="X300" s="8">
        <v>3000</v>
      </c>
      <c r="Y300" s="8" t="s">
        <v>271</v>
      </c>
      <c r="Z300" s="8">
        <v>85</v>
      </c>
      <c r="AA300" s="8" t="s">
        <v>278</v>
      </c>
      <c r="AB300" s="8" t="s">
        <v>228</v>
      </c>
      <c r="AC300" s="8" t="s">
        <v>228</v>
      </c>
      <c r="AD300" s="8" t="s">
        <v>228</v>
      </c>
      <c r="AE300" s="8" t="s">
        <v>228</v>
      </c>
      <c r="AF300" s="8" t="s">
        <v>228</v>
      </c>
      <c r="AG300" s="8" t="s">
        <v>228</v>
      </c>
      <c r="AH300" s="8" t="s">
        <v>228</v>
      </c>
      <c r="AI300" s="8" t="s">
        <v>228</v>
      </c>
      <c r="AJ300" t="s">
        <v>468</v>
      </c>
      <c r="AK300">
        <v>1</v>
      </c>
      <c r="AL300">
        <v>1</v>
      </c>
      <c r="AM300" t="s">
        <v>84</v>
      </c>
      <c r="AN300" t="s">
        <v>67</v>
      </c>
      <c r="AO300" t="s">
        <v>526</v>
      </c>
      <c r="AP300" t="s">
        <v>109</v>
      </c>
      <c r="AQ300">
        <v>12</v>
      </c>
      <c r="AR300" t="s">
        <v>521</v>
      </c>
      <c r="AS300" t="s">
        <v>228</v>
      </c>
      <c r="AT300" t="s">
        <v>140</v>
      </c>
      <c r="AU300">
        <v>1</v>
      </c>
      <c r="AV300">
        <v>1</v>
      </c>
      <c r="AW300" t="s">
        <v>406</v>
      </c>
      <c r="AX300" t="s">
        <v>283</v>
      </c>
      <c r="AY300" t="s">
        <v>217</v>
      </c>
      <c r="AZ300">
        <v>1</v>
      </c>
      <c r="BA300" t="s">
        <v>408</v>
      </c>
      <c r="BB300" t="s">
        <v>542</v>
      </c>
      <c r="BC300" t="s">
        <v>395</v>
      </c>
      <c r="BD300" t="s">
        <v>228</v>
      </c>
      <c r="BE300" t="s">
        <v>522</v>
      </c>
      <c r="BF300" t="s">
        <v>523</v>
      </c>
      <c r="BG300" t="s">
        <v>407</v>
      </c>
      <c r="BH300" t="s">
        <v>544</v>
      </c>
      <c r="BI300" t="s">
        <v>524</v>
      </c>
      <c r="BJ300" t="s">
        <v>228</v>
      </c>
      <c r="BK300" t="s">
        <v>228</v>
      </c>
      <c r="BL300" t="s">
        <v>228</v>
      </c>
      <c r="BM300" t="s">
        <v>228</v>
      </c>
      <c r="BN300" t="s">
        <v>228</v>
      </c>
      <c r="BO300" t="s">
        <v>228</v>
      </c>
      <c r="BP300" t="s">
        <v>228</v>
      </c>
      <c r="BQ300" t="s">
        <v>228</v>
      </c>
      <c r="BR300" t="s">
        <v>228</v>
      </c>
      <c r="BS300" t="s">
        <v>409</v>
      </c>
      <c r="BT300">
        <v>1</v>
      </c>
    </row>
    <row r="301" spans="1:72" x14ac:dyDescent="0.15">
      <c r="A301" s="43">
        <v>2023</v>
      </c>
      <c r="B301" s="8">
        <v>1</v>
      </c>
      <c r="C301" s="8">
        <v>1</v>
      </c>
      <c r="D301" s="8">
        <v>17</v>
      </c>
      <c r="E301" s="8" t="s">
        <v>67</v>
      </c>
      <c r="F301" s="8" t="s">
        <v>57</v>
      </c>
      <c r="G301" s="8">
        <v>2016</v>
      </c>
      <c r="H301" s="8">
        <v>12</v>
      </c>
      <c r="I301" s="8" t="s">
        <v>521</v>
      </c>
      <c r="J301" s="8" t="s">
        <v>228</v>
      </c>
      <c r="K301" s="8">
        <v>1983</v>
      </c>
      <c r="L301" s="17">
        <v>1</v>
      </c>
      <c r="M301" s="8">
        <v>1</v>
      </c>
      <c r="N301" s="8" t="s">
        <v>48</v>
      </c>
      <c r="O301" s="8" t="s">
        <v>283</v>
      </c>
      <c r="P301" s="8" t="s">
        <v>217</v>
      </c>
      <c r="Q301" s="8">
        <v>3000</v>
      </c>
      <c r="R301" s="8" t="s">
        <v>57</v>
      </c>
      <c r="S301" s="8" t="s">
        <v>52</v>
      </c>
      <c r="T301" s="8" t="s">
        <v>69</v>
      </c>
      <c r="U301" s="8" t="s">
        <v>228</v>
      </c>
      <c r="V301" s="8">
        <v>500</v>
      </c>
      <c r="W301" s="8" t="s">
        <v>328</v>
      </c>
      <c r="X301" s="8">
        <v>3000</v>
      </c>
      <c r="Y301" s="8" t="s">
        <v>271</v>
      </c>
      <c r="Z301" s="8">
        <v>85</v>
      </c>
      <c r="AA301" s="8" t="s">
        <v>278</v>
      </c>
      <c r="AB301" s="8" t="s">
        <v>228</v>
      </c>
      <c r="AC301" s="8" t="s">
        <v>228</v>
      </c>
      <c r="AD301" s="8" t="s">
        <v>228</v>
      </c>
      <c r="AE301" s="8" t="s">
        <v>228</v>
      </c>
      <c r="AF301" s="8" t="s">
        <v>228</v>
      </c>
      <c r="AG301" s="8" t="s">
        <v>228</v>
      </c>
      <c r="AH301" s="8" t="s">
        <v>228</v>
      </c>
      <c r="AI301" s="8" t="s">
        <v>228</v>
      </c>
      <c r="AJ301" t="s">
        <v>468</v>
      </c>
      <c r="AK301">
        <v>1</v>
      </c>
      <c r="AL301">
        <v>1</v>
      </c>
      <c r="AM301" t="s">
        <v>84</v>
      </c>
      <c r="AN301" t="s">
        <v>67</v>
      </c>
      <c r="AO301" t="s">
        <v>526</v>
      </c>
      <c r="AP301" t="s">
        <v>109</v>
      </c>
      <c r="AQ301">
        <v>12</v>
      </c>
      <c r="AR301" t="s">
        <v>521</v>
      </c>
      <c r="AS301" t="s">
        <v>228</v>
      </c>
      <c r="AT301" t="s">
        <v>140</v>
      </c>
      <c r="AU301">
        <v>1</v>
      </c>
      <c r="AV301">
        <v>1</v>
      </c>
      <c r="AW301" t="s">
        <v>406</v>
      </c>
      <c r="AX301" t="s">
        <v>283</v>
      </c>
      <c r="AY301" t="s">
        <v>217</v>
      </c>
      <c r="AZ301">
        <v>1</v>
      </c>
      <c r="BA301" t="s">
        <v>408</v>
      </c>
      <c r="BB301" t="s">
        <v>405</v>
      </c>
      <c r="BC301" t="s">
        <v>395</v>
      </c>
      <c r="BD301" t="s">
        <v>228</v>
      </c>
      <c r="BE301" t="s">
        <v>522</v>
      </c>
      <c r="BF301" t="s">
        <v>523</v>
      </c>
      <c r="BG301" t="s">
        <v>407</v>
      </c>
      <c r="BH301" t="s">
        <v>544</v>
      </c>
      <c r="BI301" t="s">
        <v>524</v>
      </c>
      <c r="BJ301" t="s">
        <v>228</v>
      </c>
      <c r="BK301" t="s">
        <v>228</v>
      </c>
      <c r="BL301" t="s">
        <v>228</v>
      </c>
      <c r="BM301" t="s">
        <v>228</v>
      </c>
      <c r="BN301" t="s">
        <v>228</v>
      </c>
      <c r="BO301" t="s">
        <v>228</v>
      </c>
      <c r="BP301" t="s">
        <v>228</v>
      </c>
      <c r="BQ301" t="s">
        <v>228</v>
      </c>
      <c r="BR301" t="s">
        <v>228</v>
      </c>
      <c r="BS301" t="s">
        <v>409</v>
      </c>
      <c r="BT301">
        <v>1</v>
      </c>
    </row>
    <row r="302" spans="1:72" x14ac:dyDescent="0.15">
      <c r="A302" s="43">
        <v>2023</v>
      </c>
      <c r="B302" s="8">
        <v>1</v>
      </c>
      <c r="C302" s="8">
        <v>1</v>
      </c>
      <c r="D302" s="8">
        <v>17</v>
      </c>
      <c r="E302" s="8" t="s">
        <v>67</v>
      </c>
      <c r="F302" s="8" t="s">
        <v>57</v>
      </c>
      <c r="G302" s="8">
        <v>2016</v>
      </c>
      <c r="H302" s="8">
        <v>12</v>
      </c>
      <c r="I302" s="8" t="s">
        <v>521</v>
      </c>
      <c r="J302" s="8" t="s">
        <v>228</v>
      </c>
      <c r="K302" s="8">
        <v>1983</v>
      </c>
      <c r="L302" s="17">
        <v>1</v>
      </c>
      <c r="M302" s="8">
        <v>1</v>
      </c>
      <c r="N302" s="8" t="s">
        <v>48</v>
      </c>
      <c r="O302" s="8" t="s">
        <v>283</v>
      </c>
      <c r="P302" s="8" t="s">
        <v>217</v>
      </c>
      <c r="Q302" s="8">
        <v>3000</v>
      </c>
      <c r="R302" s="8" t="s">
        <v>57</v>
      </c>
      <c r="S302" s="8" t="s">
        <v>54</v>
      </c>
      <c r="T302" s="8" t="s">
        <v>69</v>
      </c>
      <c r="U302" s="8" t="s">
        <v>228</v>
      </c>
      <c r="V302" s="8">
        <v>500</v>
      </c>
      <c r="W302" s="8" t="s">
        <v>328</v>
      </c>
      <c r="X302" s="8">
        <v>3000</v>
      </c>
      <c r="Y302" s="8" t="s">
        <v>271</v>
      </c>
      <c r="Z302" s="8">
        <v>85</v>
      </c>
      <c r="AA302" s="8" t="s">
        <v>278</v>
      </c>
      <c r="AB302" s="8" t="s">
        <v>247</v>
      </c>
      <c r="AC302" s="8" t="s">
        <v>228</v>
      </c>
      <c r="AD302" s="8" t="s">
        <v>228</v>
      </c>
      <c r="AE302" s="8" t="s">
        <v>228</v>
      </c>
      <c r="AF302" s="8" t="s">
        <v>228</v>
      </c>
      <c r="AG302" s="8" t="s">
        <v>228</v>
      </c>
      <c r="AH302" s="8" t="s">
        <v>228</v>
      </c>
      <c r="AI302" s="8" t="s">
        <v>228</v>
      </c>
      <c r="AJ302" t="s">
        <v>468</v>
      </c>
      <c r="AK302">
        <v>1</v>
      </c>
      <c r="AL302">
        <v>1</v>
      </c>
      <c r="AM302" t="s">
        <v>84</v>
      </c>
      <c r="AN302" t="s">
        <v>67</v>
      </c>
      <c r="AO302" t="s">
        <v>526</v>
      </c>
      <c r="AP302" t="s">
        <v>109</v>
      </c>
      <c r="AQ302">
        <v>12</v>
      </c>
      <c r="AR302" t="s">
        <v>521</v>
      </c>
      <c r="AS302" t="s">
        <v>228</v>
      </c>
      <c r="AT302" t="s">
        <v>140</v>
      </c>
      <c r="AU302">
        <v>1</v>
      </c>
      <c r="AV302">
        <v>1</v>
      </c>
      <c r="AW302" t="s">
        <v>406</v>
      </c>
      <c r="AX302" t="s">
        <v>283</v>
      </c>
      <c r="AY302" t="s">
        <v>217</v>
      </c>
      <c r="AZ302">
        <v>1</v>
      </c>
      <c r="BA302" t="s">
        <v>408</v>
      </c>
      <c r="BB302" t="s">
        <v>541</v>
      </c>
      <c r="BC302" t="s">
        <v>395</v>
      </c>
      <c r="BD302" t="s">
        <v>228</v>
      </c>
      <c r="BE302" t="s">
        <v>522</v>
      </c>
      <c r="BF302" t="s">
        <v>523</v>
      </c>
      <c r="BG302" t="s">
        <v>407</v>
      </c>
      <c r="BH302" t="s">
        <v>544</v>
      </c>
      <c r="BI302" t="s">
        <v>524</v>
      </c>
      <c r="BJ302" t="s">
        <v>228</v>
      </c>
      <c r="BK302" t="s">
        <v>543</v>
      </c>
      <c r="BL302" t="s">
        <v>228</v>
      </c>
      <c r="BM302" t="s">
        <v>228</v>
      </c>
      <c r="BN302" t="s">
        <v>228</v>
      </c>
      <c r="BO302" t="s">
        <v>228</v>
      </c>
      <c r="BP302" t="s">
        <v>228</v>
      </c>
      <c r="BQ302" t="s">
        <v>228</v>
      </c>
      <c r="BR302" t="s">
        <v>228</v>
      </c>
      <c r="BS302" t="s">
        <v>409</v>
      </c>
      <c r="BT302">
        <v>1</v>
      </c>
    </row>
    <row r="303" spans="1:72" x14ac:dyDescent="0.15">
      <c r="A303" s="43">
        <v>2023</v>
      </c>
      <c r="B303" s="8">
        <v>1</v>
      </c>
      <c r="C303" s="8">
        <v>1</v>
      </c>
      <c r="D303" s="8">
        <v>17</v>
      </c>
      <c r="E303" s="8" t="s">
        <v>67</v>
      </c>
      <c r="F303" s="8" t="s">
        <v>57</v>
      </c>
      <c r="G303" s="8">
        <v>2016</v>
      </c>
      <c r="H303" s="8">
        <v>12</v>
      </c>
      <c r="I303" s="8" t="s">
        <v>521</v>
      </c>
      <c r="J303" s="8" t="s">
        <v>228</v>
      </c>
      <c r="K303" s="8">
        <v>1983</v>
      </c>
      <c r="L303" s="17">
        <v>1</v>
      </c>
      <c r="M303" s="8">
        <v>1</v>
      </c>
      <c r="N303" s="8" t="s">
        <v>48</v>
      </c>
      <c r="O303" s="8" t="s">
        <v>283</v>
      </c>
      <c r="P303" s="8" t="s">
        <v>217</v>
      </c>
      <c r="Q303" s="8">
        <v>3000</v>
      </c>
      <c r="R303" s="8" t="s">
        <v>57</v>
      </c>
      <c r="S303" s="8" t="s">
        <v>53</v>
      </c>
      <c r="T303" s="8" t="s">
        <v>69</v>
      </c>
      <c r="U303" s="8" t="s">
        <v>228</v>
      </c>
      <c r="V303" s="8">
        <v>500</v>
      </c>
      <c r="W303" s="8" t="s">
        <v>328</v>
      </c>
      <c r="X303" s="8">
        <v>3000</v>
      </c>
      <c r="Y303" s="8" t="s">
        <v>271</v>
      </c>
      <c r="Z303" s="8">
        <v>85</v>
      </c>
      <c r="AA303" s="8" t="s">
        <v>278</v>
      </c>
      <c r="AB303" s="8" t="s">
        <v>247</v>
      </c>
      <c r="AC303" s="8" t="s">
        <v>228</v>
      </c>
      <c r="AD303" s="8" t="s">
        <v>228</v>
      </c>
      <c r="AE303" s="8" t="s">
        <v>228</v>
      </c>
      <c r="AF303" s="8" t="s">
        <v>228</v>
      </c>
      <c r="AG303" s="8" t="s">
        <v>228</v>
      </c>
      <c r="AH303" s="8" t="s">
        <v>228</v>
      </c>
      <c r="AI303" s="8" t="s">
        <v>228</v>
      </c>
      <c r="AJ303" t="s">
        <v>468</v>
      </c>
      <c r="AK303">
        <v>1</v>
      </c>
      <c r="AL303">
        <v>1</v>
      </c>
      <c r="AM303" t="s">
        <v>84</v>
      </c>
      <c r="AN303" t="s">
        <v>67</v>
      </c>
      <c r="AO303" t="s">
        <v>526</v>
      </c>
      <c r="AP303" t="s">
        <v>109</v>
      </c>
      <c r="AQ303">
        <v>12</v>
      </c>
      <c r="AR303" t="s">
        <v>521</v>
      </c>
      <c r="AS303" t="s">
        <v>228</v>
      </c>
      <c r="AT303" t="s">
        <v>140</v>
      </c>
      <c r="AU303">
        <v>1</v>
      </c>
      <c r="AV303">
        <v>1</v>
      </c>
      <c r="AW303" t="s">
        <v>406</v>
      </c>
      <c r="AX303" t="s">
        <v>283</v>
      </c>
      <c r="AY303" t="s">
        <v>217</v>
      </c>
      <c r="AZ303">
        <v>1</v>
      </c>
      <c r="BA303" t="s">
        <v>408</v>
      </c>
      <c r="BB303" t="s">
        <v>542</v>
      </c>
      <c r="BC303" t="s">
        <v>395</v>
      </c>
      <c r="BD303" t="s">
        <v>228</v>
      </c>
      <c r="BE303" t="s">
        <v>522</v>
      </c>
      <c r="BF303" t="s">
        <v>523</v>
      </c>
      <c r="BG303" t="s">
        <v>407</v>
      </c>
      <c r="BH303" t="s">
        <v>544</v>
      </c>
      <c r="BI303" t="s">
        <v>524</v>
      </c>
      <c r="BJ303" t="s">
        <v>228</v>
      </c>
      <c r="BK303" t="s">
        <v>543</v>
      </c>
      <c r="BL303" t="s">
        <v>228</v>
      </c>
      <c r="BM303" t="s">
        <v>228</v>
      </c>
      <c r="BN303" t="s">
        <v>228</v>
      </c>
      <c r="BO303" t="s">
        <v>228</v>
      </c>
      <c r="BP303" t="s">
        <v>228</v>
      </c>
      <c r="BQ303" t="s">
        <v>228</v>
      </c>
      <c r="BR303" t="s">
        <v>228</v>
      </c>
      <c r="BS303" t="s">
        <v>409</v>
      </c>
      <c r="BT303">
        <v>1</v>
      </c>
    </row>
    <row r="304" spans="1:72" x14ac:dyDescent="0.15">
      <c r="A304" s="43">
        <v>2023</v>
      </c>
      <c r="B304" s="8">
        <v>1</v>
      </c>
      <c r="C304" s="8">
        <v>1</v>
      </c>
      <c r="D304" s="8">
        <v>17</v>
      </c>
      <c r="E304" s="8" t="s">
        <v>67</v>
      </c>
      <c r="F304" s="8" t="s">
        <v>57</v>
      </c>
      <c r="G304" s="8">
        <v>2016</v>
      </c>
      <c r="H304" s="8">
        <v>12</v>
      </c>
      <c r="I304" s="8" t="s">
        <v>521</v>
      </c>
      <c r="J304" s="8" t="s">
        <v>228</v>
      </c>
      <c r="K304" s="8">
        <v>1983</v>
      </c>
      <c r="L304" s="17">
        <v>1</v>
      </c>
      <c r="M304" s="8">
        <v>1</v>
      </c>
      <c r="N304" s="8" t="s">
        <v>48</v>
      </c>
      <c r="O304" s="8" t="s">
        <v>283</v>
      </c>
      <c r="P304" s="8" t="s">
        <v>217</v>
      </c>
      <c r="Q304" s="8">
        <v>3000</v>
      </c>
      <c r="R304" s="8" t="s">
        <v>57</v>
      </c>
      <c r="S304" s="8" t="s">
        <v>52</v>
      </c>
      <c r="T304" s="8" t="s">
        <v>69</v>
      </c>
      <c r="U304" s="8" t="s">
        <v>228</v>
      </c>
      <c r="V304" s="8">
        <v>500</v>
      </c>
      <c r="W304" s="8" t="s">
        <v>328</v>
      </c>
      <c r="X304" s="8">
        <v>3000</v>
      </c>
      <c r="Y304" s="8" t="s">
        <v>271</v>
      </c>
      <c r="Z304" s="8">
        <v>85</v>
      </c>
      <c r="AA304" s="8" t="s">
        <v>278</v>
      </c>
      <c r="AB304" s="8" t="s">
        <v>247</v>
      </c>
      <c r="AC304" s="8" t="s">
        <v>228</v>
      </c>
      <c r="AD304" s="8" t="s">
        <v>228</v>
      </c>
      <c r="AE304" s="8" t="s">
        <v>228</v>
      </c>
      <c r="AF304" s="8" t="s">
        <v>228</v>
      </c>
      <c r="AG304" s="8" t="s">
        <v>228</v>
      </c>
      <c r="AH304" s="8" t="s">
        <v>228</v>
      </c>
      <c r="AI304" s="8" t="s">
        <v>228</v>
      </c>
      <c r="AJ304" t="s">
        <v>468</v>
      </c>
      <c r="AK304">
        <v>1</v>
      </c>
      <c r="AL304">
        <v>1</v>
      </c>
      <c r="AM304" t="s">
        <v>84</v>
      </c>
      <c r="AN304" t="s">
        <v>67</v>
      </c>
      <c r="AO304" t="s">
        <v>526</v>
      </c>
      <c r="AP304" t="s">
        <v>109</v>
      </c>
      <c r="AQ304">
        <v>12</v>
      </c>
      <c r="AR304" t="s">
        <v>521</v>
      </c>
      <c r="AS304" t="s">
        <v>228</v>
      </c>
      <c r="AT304" t="s">
        <v>140</v>
      </c>
      <c r="AU304">
        <v>1</v>
      </c>
      <c r="AV304">
        <v>1</v>
      </c>
      <c r="AW304" t="s">
        <v>406</v>
      </c>
      <c r="AX304" t="s">
        <v>283</v>
      </c>
      <c r="AY304" t="s">
        <v>217</v>
      </c>
      <c r="AZ304">
        <v>1</v>
      </c>
      <c r="BA304" t="s">
        <v>408</v>
      </c>
      <c r="BB304" t="s">
        <v>405</v>
      </c>
      <c r="BC304" t="s">
        <v>395</v>
      </c>
      <c r="BD304" t="s">
        <v>228</v>
      </c>
      <c r="BE304" t="s">
        <v>522</v>
      </c>
      <c r="BF304" t="s">
        <v>523</v>
      </c>
      <c r="BG304" t="s">
        <v>407</v>
      </c>
      <c r="BH304" t="s">
        <v>544</v>
      </c>
      <c r="BI304" t="s">
        <v>524</v>
      </c>
      <c r="BJ304" t="s">
        <v>228</v>
      </c>
      <c r="BK304" t="s">
        <v>543</v>
      </c>
      <c r="BL304" t="s">
        <v>228</v>
      </c>
      <c r="BM304" t="s">
        <v>228</v>
      </c>
      <c r="BN304" t="s">
        <v>228</v>
      </c>
      <c r="BO304" t="s">
        <v>228</v>
      </c>
      <c r="BP304" t="s">
        <v>228</v>
      </c>
      <c r="BQ304" t="s">
        <v>228</v>
      </c>
      <c r="BR304" t="s">
        <v>228</v>
      </c>
      <c r="BS304" t="s">
        <v>409</v>
      </c>
      <c r="BT304">
        <v>0</v>
      </c>
    </row>
    <row r="305" spans="1:72" x14ac:dyDescent="0.15">
      <c r="A305" s="43">
        <v>2023</v>
      </c>
      <c r="B305" s="8">
        <v>1</v>
      </c>
      <c r="C305" s="8">
        <v>1</v>
      </c>
      <c r="D305" s="8">
        <v>16</v>
      </c>
      <c r="E305" s="8" t="s">
        <v>67</v>
      </c>
      <c r="F305" s="8" t="s">
        <v>57</v>
      </c>
      <c r="G305" s="8">
        <v>2016</v>
      </c>
      <c r="H305" s="8">
        <v>12</v>
      </c>
      <c r="I305" s="8" t="s">
        <v>521</v>
      </c>
      <c r="J305" s="8" t="s">
        <v>228</v>
      </c>
      <c r="K305" s="8">
        <v>1983</v>
      </c>
      <c r="L305" s="17">
        <v>1</v>
      </c>
      <c r="M305" s="8">
        <v>1</v>
      </c>
      <c r="N305" s="8" t="s">
        <v>48</v>
      </c>
      <c r="O305" s="8" t="s">
        <v>283</v>
      </c>
      <c r="P305" s="8" t="s">
        <v>217</v>
      </c>
      <c r="Q305" s="8">
        <v>3000</v>
      </c>
      <c r="R305" s="8" t="s">
        <v>57</v>
      </c>
      <c r="S305" s="8" t="s">
        <v>54</v>
      </c>
      <c r="T305" s="8" t="s">
        <v>69</v>
      </c>
      <c r="U305" s="8" t="s">
        <v>228</v>
      </c>
      <c r="V305" s="8">
        <v>500</v>
      </c>
      <c r="W305" s="8" t="s">
        <v>328</v>
      </c>
      <c r="X305" s="8">
        <v>3000</v>
      </c>
      <c r="Y305" s="8" t="s">
        <v>268</v>
      </c>
      <c r="Z305" s="8">
        <v>85</v>
      </c>
      <c r="AA305" s="8" t="s">
        <v>278</v>
      </c>
      <c r="AB305" s="8" t="s">
        <v>228</v>
      </c>
      <c r="AC305" s="8" t="s">
        <v>228</v>
      </c>
      <c r="AD305" s="8" t="s">
        <v>228</v>
      </c>
      <c r="AE305" s="8" t="s">
        <v>228</v>
      </c>
      <c r="AF305" s="8" t="s">
        <v>228</v>
      </c>
      <c r="AG305" s="8" t="s">
        <v>228</v>
      </c>
      <c r="AH305" s="8" t="s">
        <v>228</v>
      </c>
      <c r="AI305" s="8" t="s">
        <v>228</v>
      </c>
      <c r="AJ305" t="s">
        <v>468</v>
      </c>
      <c r="AK305">
        <v>1</v>
      </c>
      <c r="AL305">
        <v>1</v>
      </c>
      <c r="AM305" t="s">
        <v>85</v>
      </c>
      <c r="AN305" t="s">
        <v>67</v>
      </c>
      <c r="AO305" t="s">
        <v>526</v>
      </c>
      <c r="AP305" t="s">
        <v>109</v>
      </c>
      <c r="AQ305">
        <v>12</v>
      </c>
      <c r="AR305" t="s">
        <v>521</v>
      </c>
      <c r="AS305" t="s">
        <v>228</v>
      </c>
      <c r="AT305" t="s">
        <v>140</v>
      </c>
      <c r="AU305">
        <v>1</v>
      </c>
      <c r="AV305">
        <v>1</v>
      </c>
      <c r="AW305" t="s">
        <v>406</v>
      </c>
      <c r="AX305" t="s">
        <v>283</v>
      </c>
      <c r="AY305" t="s">
        <v>217</v>
      </c>
      <c r="AZ305">
        <v>1</v>
      </c>
      <c r="BA305" t="s">
        <v>408</v>
      </c>
      <c r="BB305" t="s">
        <v>541</v>
      </c>
      <c r="BC305" t="s">
        <v>395</v>
      </c>
      <c r="BD305" t="s">
        <v>228</v>
      </c>
      <c r="BE305" t="s">
        <v>522</v>
      </c>
      <c r="BF305" t="s">
        <v>523</v>
      </c>
      <c r="BG305" t="s">
        <v>407</v>
      </c>
      <c r="BH305" t="s">
        <v>396</v>
      </c>
      <c r="BI305" t="s">
        <v>524</v>
      </c>
      <c r="BJ305" t="s">
        <v>228</v>
      </c>
      <c r="BK305" t="s">
        <v>228</v>
      </c>
      <c r="BL305" t="s">
        <v>228</v>
      </c>
      <c r="BM305" t="s">
        <v>228</v>
      </c>
      <c r="BN305" t="s">
        <v>228</v>
      </c>
      <c r="BO305" t="s">
        <v>228</v>
      </c>
      <c r="BP305" t="s">
        <v>228</v>
      </c>
      <c r="BQ305" t="s">
        <v>228</v>
      </c>
      <c r="BR305" t="s">
        <v>228</v>
      </c>
      <c r="BS305" t="s">
        <v>409</v>
      </c>
      <c r="BT305">
        <v>1</v>
      </c>
    </row>
    <row r="306" spans="1:72" x14ac:dyDescent="0.15">
      <c r="A306" s="43">
        <v>2023</v>
      </c>
      <c r="B306" s="8">
        <v>1</v>
      </c>
      <c r="C306" s="8">
        <v>1</v>
      </c>
      <c r="D306" s="8">
        <v>16</v>
      </c>
      <c r="E306" s="8" t="s">
        <v>67</v>
      </c>
      <c r="F306" s="8" t="s">
        <v>57</v>
      </c>
      <c r="G306" s="8">
        <v>2016</v>
      </c>
      <c r="H306" s="8">
        <v>12</v>
      </c>
      <c r="I306" s="8" t="s">
        <v>521</v>
      </c>
      <c r="J306" s="8" t="s">
        <v>228</v>
      </c>
      <c r="K306" s="8">
        <v>1983</v>
      </c>
      <c r="L306" s="17">
        <v>1</v>
      </c>
      <c r="M306" s="8">
        <v>1</v>
      </c>
      <c r="N306" s="8" t="s">
        <v>48</v>
      </c>
      <c r="O306" s="8" t="s">
        <v>283</v>
      </c>
      <c r="P306" s="8" t="s">
        <v>217</v>
      </c>
      <c r="Q306" s="8">
        <v>3000</v>
      </c>
      <c r="R306" s="8" t="s">
        <v>57</v>
      </c>
      <c r="S306" s="8" t="s">
        <v>53</v>
      </c>
      <c r="T306" s="8" t="s">
        <v>69</v>
      </c>
      <c r="U306" s="8" t="s">
        <v>228</v>
      </c>
      <c r="V306" s="8">
        <v>500</v>
      </c>
      <c r="W306" s="8" t="s">
        <v>328</v>
      </c>
      <c r="X306" s="8">
        <v>3000</v>
      </c>
      <c r="Y306" s="8" t="s">
        <v>268</v>
      </c>
      <c r="Z306" s="8">
        <v>85</v>
      </c>
      <c r="AA306" s="8" t="s">
        <v>278</v>
      </c>
      <c r="AB306" s="8" t="s">
        <v>228</v>
      </c>
      <c r="AC306" s="8" t="s">
        <v>228</v>
      </c>
      <c r="AD306" s="8" t="s">
        <v>228</v>
      </c>
      <c r="AE306" s="8" t="s">
        <v>228</v>
      </c>
      <c r="AF306" s="8" t="s">
        <v>228</v>
      </c>
      <c r="AG306" s="8" t="s">
        <v>228</v>
      </c>
      <c r="AH306" s="8" t="s">
        <v>228</v>
      </c>
      <c r="AI306" s="8" t="s">
        <v>228</v>
      </c>
      <c r="AJ306" t="s">
        <v>468</v>
      </c>
      <c r="AK306">
        <v>1</v>
      </c>
      <c r="AL306">
        <v>1</v>
      </c>
      <c r="AM306" t="s">
        <v>85</v>
      </c>
      <c r="AN306" t="s">
        <v>67</v>
      </c>
      <c r="AO306" t="s">
        <v>526</v>
      </c>
      <c r="AP306" t="s">
        <v>109</v>
      </c>
      <c r="AQ306">
        <v>12</v>
      </c>
      <c r="AR306" t="s">
        <v>521</v>
      </c>
      <c r="AS306" t="s">
        <v>228</v>
      </c>
      <c r="AT306" t="s">
        <v>140</v>
      </c>
      <c r="AU306">
        <v>1</v>
      </c>
      <c r="AV306">
        <v>1</v>
      </c>
      <c r="AW306" t="s">
        <v>406</v>
      </c>
      <c r="AX306" t="s">
        <v>283</v>
      </c>
      <c r="AY306" t="s">
        <v>217</v>
      </c>
      <c r="AZ306">
        <v>1</v>
      </c>
      <c r="BA306" t="s">
        <v>408</v>
      </c>
      <c r="BB306" t="s">
        <v>542</v>
      </c>
      <c r="BC306" t="s">
        <v>395</v>
      </c>
      <c r="BD306" t="s">
        <v>228</v>
      </c>
      <c r="BE306" t="s">
        <v>522</v>
      </c>
      <c r="BF306" t="s">
        <v>523</v>
      </c>
      <c r="BG306" t="s">
        <v>407</v>
      </c>
      <c r="BH306" t="s">
        <v>396</v>
      </c>
      <c r="BI306" t="s">
        <v>524</v>
      </c>
      <c r="BJ306" t="s">
        <v>228</v>
      </c>
      <c r="BK306" t="s">
        <v>228</v>
      </c>
      <c r="BL306" t="s">
        <v>228</v>
      </c>
      <c r="BM306" t="s">
        <v>228</v>
      </c>
      <c r="BN306" t="s">
        <v>228</v>
      </c>
      <c r="BO306" t="s">
        <v>228</v>
      </c>
      <c r="BP306" t="s">
        <v>228</v>
      </c>
      <c r="BQ306" t="s">
        <v>228</v>
      </c>
      <c r="BR306" t="s">
        <v>228</v>
      </c>
      <c r="BS306" t="s">
        <v>409</v>
      </c>
      <c r="BT306">
        <v>1</v>
      </c>
    </row>
    <row r="307" spans="1:72" x14ac:dyDescent="0.15">
      <c r="A307" s="43">
        <v>2023</v>
      </c>
      <c r="B307" s="8">
        <v>1</v>
      </c>
      <c r="C307" s="8">
        <v>1</v>
      </c>
      <c r="D307" s="8">
        <v>16</v>
      </c>
      <c r="E307" s="8" t="s">
        <v>67</v>
      </c>
      <c r="F307" s="8" t="s">
        <v>57</v>
      </c>
      <c r="G307" s="8">
        <v>2016</v>
      </c>
      <c r="H307" s="8">
        <v>12</v>
      </c>
      <c r="I307" s="8" t="s">
        <v>521</v>
      </c>
      <c r="J307" s="8" t="s">
        <v>228</v>
      </c>
      <c r="K307" s="8">
        <v>1983</v>
      </c>
      <c r="L307" s="17">
        <v>1</v>
      </c>
      <c r="M307" s="8">
        <v>1</v>
      </c>
      <c r="N307" s="8" t="s">
        <v>48</v>
      </c>
      <c r="O307" s="8" t="s">
        <v>283</v>
      </c>
      <c r="P307" s="8" t="s">
        <v>217</v>
      </c>
      <c r="Q307" s="8">
        <v>3000</v>
      </c>
      <c r="R307" s="8" t="s">
        <v>57</v>
      </c>
      <c r="S307" s="8" t="s">
        <v>52</v>
      </c>
      <c r="T307" s="8" t="s">
        <v>69</v>
      </c>
      <c r="U307" s="8" t="s">
        <v>228</v>
      </c>
      <c r="V307" s="8">
        <v>500</v>
      </c>
      <c r="W307" s="8" t="s">
        <v>328</v>
      </c>
      <c r="X307" s="8">
        <v>3000</v>
      </c>
      <c r="Y307" s="8" t="s">
        <v>268</v>
      </c>
      <c r="Z307" s="8">
        <v>85</v>
      </c>
      <c r="AA307" s="8" t="s">
        <v>278</v>
      </c>
      <c r="AB307" s="8" t="s">
        <v>228</v>
      </c>
      <c r="AC307" s="8" t="s">
        <v>228</v>
      </c>
      <c r="AD307" s="8" t="s">
        <v>228</v>
      </c>
      <c r="AE307" s="8" t="s">
        <v>228</v>
      </c>
      <c r="AF307" s="8" t="s">
        <v>228</v>
      </c>
      <c r="AG307" s="8" t="s">
        <v>228</v>
      </c>
      <c r="AH307" s="8" t="s">
        <v>228</v>
      </c>
      <c r="AI307" s="8" t="s">
        <v>228</v>
      </c>
      <c r="AJ307" t="s">
        <v>468</v>
      </c>
      <c r="AK307">
        <v>1</v>
      </c>
      <c r="AL307">
        <v>1</v>
      </c>
      <c r="AM307" t="s">
        <v>85</v>
      </c>
      <c r="AN307" t="s">
        <v>67</v>
      </c>
      <c r="AO307" t="s">
        <v>526</v>
      </c>
      <c r="AP307" t="s">
        <v>109</v>
      </c>
      <c r="AQ307">
        <v>12</v>
      </c>
      <c r="AR307" t="s">
        <v>521</v>
      </c>
      <c r="AS307" t="s">
        <v>228</v>
      </c>
      <c r="AT307" t="s">
        <v>140</v>
      </c>
      <c r="AU307">
        <v>1</v>
      </c>
      <c r="AV307">
        <v>1</v>
      </c>
      <c r="AW307" t="s">
        <v>406</v>
      </c>
      <c r="AX307" t="s">
        <v>283</v>
      </c>
      <c r="AY307" t="s">
        <v>217</v>
      </c>
      <c r="AZ307">
        <v>1</v>
      </c>
      <c r="BA307" t="s">
        <v>408</v>
      </c>
      <c r="BB307" t="s">
        <v>405</v>
      </c>
      <c r="BC307" t="s">
        <v>395</v>
      </c>
      <c r="BD307" t="s">
        <v>228</v>
      </c>
      <c r="BE307" t="s">
        <v>522</v>
      </c>
      <c r="BF307" t="s">
        <v>523</v>
      </c>
      <c r="BG307" t="s">
        <v>407</v>
      </c>
      <c r="BH307" t="s">
        <v>396</v>
      </c>
      <c r="BI307" t="s">
        <v>524</v>
      </c>
      <c r="BJ307" t="s">
        <v>228</v>
      </c>
      <c r="BK307" t="s">
        <v>228</v>
      </c>
      <c r="BL307" t="s">
        <v>228</v>
      </c>
      <c r="BM307" t="s">
        <v>228</v>
      </c>
      <c r="BN307" t="s">
        <v>228</v>
      </c>
      <c r="BO307" t="s">
        <v>228</v>
      </c>
      <c r="BP307" t="s">
        <v>228</v>
      </c>
      <c r="BQ307" t="s">
        <v>228</v>
      </c>
      <c r="BR307" t="s">
        <v>228</v>
      </c>
      <c r="BS307" t="s">
        <v>409</v>
      </c>
      <c r="BT307">
        <v>1</v>
      </c>
    </row>
    <row r="308" spans="1:72" x14ac:dyDescent="0.15">
      <c r="A308" s="43">
        <v>2023</v>
      </c>
      <c r="B308" s="8">
        <v>1</v>
      </c>
      <c r="C308" s="8">
        <v>1</v>
      </c>
      <c r="D308" s="8">
        <v>16</v>
      </c>
      <c r="E308" s="8" t="s">
        <v>67</v>
      </c>
      <c r="F308" s="8" t="s">
        <v>57</v>
      </c>
      <c r="G308" s="8">
        <v>2016</v>
      </c>
      <c r="H308" s="8">
        <v>12</v>
      </c>
      <c r="I308" s="8" t="s">
        <v>521</v>
      </c>
      <c r="J308" s="8" t="s">
        <v>228</v>
      </c>
      <c r="K308" s="8">
        <v>1983</v>
      </c>
      <c r="L308" s="17">
        <v>1</v>
      </c>
      <c r="M308" s="8">
        <v>1</v>
      </c>
      <c r="N308" s="8" t="s">
        <v>48</v>
      </c>
      <c r="O308" s="8" t="s">
        <v>283</v>
      </c>
      <c r="P308" s="8" t="s">
        <v>217</v>
      </c>
      <c r="Q308" s="8">
        <v>3000</v>
      </c>
      <c r="R308" s="8" t="s">
        <v>57</v>
      </c>
      <c r="S308" s="8" t="s">
        <v>54</v>
      </c>
      <c r="T308" s="8" t="s">
        <v>69</v>
      </c>
      <c r="U308" s="8" t="s">
        <v>228</v>
      </c>
      <c r="V308" s="8">
        <v>500</v>
      </c>
      <c r="W308" s="8" t="s">
        <v>328</v>
      </c>
      <c r="X308" s="8">
        <v>3000</v>
      </c>
      <c r="Y308" s="8" t="s">
        <v>268</v>
      </c>
      <c r="Z308" s="8">
        <v>85</v>
      </c>
      <c r="AA308" s="8" t="s">
        <v>278</v>
      </c>
      <c r="AB308" s="8" t="s">
        <v>247</v>
      </c>
      <c r="AC308" s="8" t="s">
        <v>228</v>
      </c>
      <c r="AD308" s="8" t="s">
        <v>228</v>
      </c>
      <c r="AE308" s="8" t="s">
        <v>228</v>
      </c>
      <c r="AF308" s="8" t="s">
        <v>228</v>
      </c>
      <c r="AG308" s="8" t="s">
        <v>228</v>
      </c>
      <c r="AH308" s="8" t="s">
        <v>228</v>
      </c>
      <c r="AI308" s="8" t="s">
        <v>228</v>
      </c>
      <c r="AJ308" t="s">
        <v>468</v>
      </c>
      <c r="AK308">
        <v>1</v>
      </c>
      <c r="AL308">
        <v>1</v>
      </c>
      <c r="AM308" t="s">
        <v>85</v>
      </c>
      <c r="AN308" t="s">
        <v>67</v>
      </c>
      <c r="AO308" t="s">
        <v>526</v>
      </c>
      <c r="AP308" t="s">
        <v>109</v>
      </c>
      <c r="AQ308">
        <v>12</v>
      </c>
      <c r="AR308" t="s">
        <v>521</v>
      </c>
      <c r="AS308" t="s">
        <v>228</v>
      </c>
      <c r="AT308" t="s">
        <v>140</v>
      </c>
      <c r="AU308">
        <v>1</v>
      </c>
      <c r="AV308">
        <v>1</v>
      </c>
      <c r="AW308" t="s">
        <v>406</v>
      </c>
      <c r="AX308" t="s">
        <v>283</v>
      </c>
      <c r="AY308" t="s">
        <v>217</v>
      </c>
      <c r="AZ308">
        <v>1</v>
      </c>
      <c r="BA308" t="s">
        <v>408</v>
      </c>
      <c r="BB308" t="s">
        <v>541</v>
      </c>
      <c r="BC308" t="s">
        <v>395</v>
      </c>
      <c r="BD308" t="s">
        <v>228</v>
      </c>
      <c r="BE308" t="s">
        <v>522</v>
      </c>
      <c r="BF308" t="s">
        <v>523</v>
      </c>
      <c r="BG308" t="s">
        <v>407</v>
      </c>
      <c r="BH308" t="s">
        <v>396</v>
      </c>
      <c r="BI308" t="s">
        <v>524</v>
      </c>
      <c r="BJ308" t="s">
        <v>228</v>
      </c>
      <c r="BK308" t="s">
        <v>543</v>
      </c>
      <c r="BL308" t="s">
        <v>228</v>
      </c>
      <c r="BM308" t="s">
        <v>228</v>
      </c>
      <c r="BN308" t="s">
        <v>228</v>
      </c>
      <c r="BO308" t="s">
        <v>228</v>
      </c>
      <c r="BP308" t="s">
        <v>228</v>
      </c>
      <c r="BQ308" t="s">
        <v>228</v>
      </c>
      <c r="BR308" t="s">
        <v>228</v>
      </c>
      <c r="BS308" t="s">
        <v>409</v>
      </c>
      <c r="BT308">
        <v>1</v>
      </c>
    </row>
    <row r="309" spans="1:72" x14ac:dyDescent="0.15">
      <c r="A309" s="43">
        <v>2023</v>
      </c>
      <c r="B309" s="8">
        <v>1</v>
      </c>
      <c r="C309" s="8">
        <v>1</v>
      </c>
      <c r="D309" s="8">
        <v>16</v>
      </c>
      <c r="E309" s="8" t="s">
        <v>67</v>
      </c>
      <c r="F309" s="8" t="s">
        <v>57</v>
      </c>
      <c r="G309" s="8">
        <v>2016</v>
      </c>
      <c r="H309" s="8">
        <v>12</v>
      </c>
      <c r="I309" s="8" t="s">
        <v>521</v>
      </c>
      <c r="J309" s="8" t="s">
        <v>228</v>
      </c>
      <c r="K309" s="8">
        <v>1983</v>
      </c>
      <c r="L309" s="17">
        <v>1</v>
      </c>
      <c r="M309" s="8">
        <v>1</v>
      </c>
      <c r="N309" s="8" t="s">
        <v>48</v>
      </c>
      <c r="O309" s="8" t="s">
        <v>283</v>
      </c>
      <c r="P309" s="8" t="s">
        <v>217</v>
      </c>
      <c r="Q309" s="8">
        <v>3000</v>
      </c>
      <c r="R309" s="8" t="s">
        <v>57</v>
      </c>
      <c r="S309" s="8" t="s">
        <v>53</v>
      </c>
      <c r="T309" s="8" t="s">
        <v>69</v>
      </c>
      <c r="U309" s="8" t="s">
        <v>228</v>
      </c>
      <c r="V309" s="8">
        <v>500</v>
      </c>
      <c r="W309" s="8" t="s">
        <v>328</v>
      </c>
      <c r="X309" s="8">
        <v>3000</v>
      </c>
      <c r="Y309" s="8" t="s">
        <v>268</v>
      </c>
      <c r="Z309" s="8">
        <v>85</v>
      </c>
      <c r="AA309" s="8" t="s">
        <v>278</v>
      </c>
      <c r="AB309" s="8" t="s">
        <v>247</v>
      </c>
      <c r="AC309" s="8" t="s">
        <v>228</v>
      </c>
      <c r="AD309" s="8" t="s">
        <v>228</v>
      </c>
      <c r="AE309" s="8" t="s">
        <v>228</v>
      </c>
      <c r="AF309" s="8" t="s">
        <v>228</v>
      </c>
      <c r="AG309" s="8" t="s">
        <v>228</v>
      </c>
      <c r="AH309" s="8" t="s">
        <v>228</v>
      </c>
      <c r="AI309" s="8" t="s">
        <v>228</v>
      </c>
      <c r="AJ309" t="s">
        <v>468</v>
      </c>
      <c r="AK309">
        <v>1</v>
      </c>
      <c r="AL309">
        <v>1</v>
      </c>
      <c r="AM309" t="s">
        <v>85</v>
      </c>
      <c r="AN309" t="s">
        <v>67</v>
      </c>
      <c r="AO309" t="s">
        <v>526</v>
      </c>
      <c r="AP309" t="s">
        <v>109</v>
      </c>
      <c r="AQ309">
        <v>12</v>
      </c>
      <c r="AR309" t="s">
        <v>521</v>
      </c>
      <c r="AS309" t="s">
        <v>228</v>
      </c>
      <c r="AT309" t="s">
        <v>140</v>
      </c>
      <c r="AU309">
        <v>1</v>
      </c>
      <c r="AV309">
        <v>1</v>
      </c>
      <c r="AW309" t="s">
        <v>406</v>
      </c>
      <c r="AX309" t="s">
        <v>283</v>
      </c>
      <c r="AY309" t="s">
        <v>217</v>
      </c>
      <c r="AZ309">
        <v>1</v>
      </c>
      <c r="BA309" t="s">
        <v>408</v>
      </c>
      <c r="BB309" t="s">
        <v>542</v>
      </c>
      <c r="BC309" t="s">
        <v>395</v>
      </c>
      <c r="BD309" t="s">
        <v>228</v>
      </c>
      <c r="BE309" t="s">
        <v>522</v>
      </c>
      <c r="BF309" t="s">
        <v>523</v>
      </c>
      <c r="BG309" t="s">
        <v>407</v>
      </c>
      <c r="BH309" t="s">
        <v>396</v>
      </c>
      <c r="BI309" t="s">
        <v>524</v>
      </c>
      <c r="BJ309" t="s">
        <v>228</v>
      </c>
      <c r="BK309" t="s">
        <v>543</v>
      </c>
      <c r="BL309" t="s">
        <v>228</v>
      </c>
      <c r="BM309" t="s">
        <v>228</v>
      </c>
      <c r="BN309" t="s">
        <v>228</v>
      </c>
      <c r="BO309" t="s">
        <v>228</v>
      </c>
      <c r="BP309" t="s">
        <v>228</v>
      </c>
      <c r="BQ309" t="s">
        <v>228</v>
      </c>
      <c r="BR309" t="s">
        <v>228</v>
      </c>
      <c r="BS309" t="s">
        <v>409</v>
      </c>
      <c r="BT309">
        <v>1</v>
      </c>
    </row>
    <row r="310" spans="1:72" x14ac:dyDescent="0.15">
      <c r="A310" s="43">
        <v>2023</v>
      </c>
      <c r="B310" s="8">
        <v>1</v>
      </c>
      <c r="C310" s="8">
        <v>1</v>
      </c>
      <c r="D310" s="8">
        <v>16</v>
      </c>
      <c r="E310" s="8" t="s">
        <v>67</v>
      </c>
      <c r="F310" s="8" t="s">
        <v>57</v>
      </c>
      <c r="G310" s="8">
        <v>2016</v>
      </c>
      <c r="H310" s="8">
        <v>12</v>
      </c>
      <c r="I310" s="8" t="s">
        <v>521</v>
      </c>
      <c r="J310" s="8" t="s">
        <v>228</v>
      </c>
      <c r="K310" s="8">
        <v>1983</v>
      </c>
      <c r="L310" s="17">
        <v>1</v>
      </c>
      <c r="M310" s="8">
        <v>1</v>
      </c>
      <c r="N310" s="8" t="s">
        <v>48</v>
      </c>
      <c r="O310" s="8" t="s">
        <v>283</v>
      </c>
      <c r="P310" s="8" t="s">
        <v>217</v>
      </c>
      <c r="Q310" s="8">
        <v>3000</v>
      </c>
      <c r="R310" s="8" t="s">
        <v>57</v>
      </c>
      <c r="S310" s="8" t="s">
        <v>52</v>
      </c>
      <c r="T310" s="8" t="s">
        <v>69</v>
      </c>
      <c r="U310" s="8" t="s">
        <v>228</v>
      </c>
      <c r="V310" s="8">
        <v>500</v>
      </c>
      <c r="W310" s="8" t="s">
        <v>328</v>
      </c>
      <c r="X310" s="8">
        <v>3000</v>
      </c>
      <c r="Y310" s="8" t="s">
        <v>268</v>
      </c>
      <c r="Z310" s="8">
        <v>85</v>
      </c>
      <c r="AA310" s="8" t="s">
        <v>278</v>
      </c>
      <c r="AB310" s="8" t="s">
        <v>247</v>
      </c>
      <c r="AC310" s="8" t="s">
        <v>228</v>
      </c>
      <c r="AD310" s="8" t="s">
        <v>228</v>
      </c>
      <c r="AE310" s="8" t="s">
        <v>228</v>
      </c>
      <c r="AF310" s="8" t="s">
        <v>228</v>
      </c>
      <c r="AG310" s="8" t="s">
        <v>228</v>
      </c>
      <c r="AH310" s="8" t="s">
        <v>228</v>
      </c>
      <c r="AI310" s="8" t="s">
        <v>228</v>
      </c>
      <c r="AJ310" t="s">
        <v>468</v>
      </c>
      <c r="AK310">
        <v>1</v>
      </c>
      <c r="AL310">
        <v>1</v>
      </c>
      <c r="AM310" t="s">
        <v>85</v>
      </c>
      <c r="AN310" t="s">
        <v>67</v>
      </c>
      <c r="AO310" t="s">
        <v>526</v>
      </c>
      <c r="AP310" t="s">
        <v>109</v>
      </c>
      <c r="AQ310">
        <v>12</v>
      </c>
      <c r="AR310" t="s">
        <v>521</v>
      </c>
      <c r="AS310" t="s">
        <v>228</v>
      </c>
      <c r="AT310" t="s">
        <v>140</v>
      </c>
      <c r="AU310">
        <v>1</v>
      </c>
      <c r="AV310">
        <v>1</v>
      </c>
      <c r="AW310" t="s">
        <v>406</v>
      </c>
      <c r="AX310" t="s">
        <v>283</v>
      </c>
      <c r="AY310" t="s">
        <v>217</v>
      </c>
      <c r="AZ310">
        <v>1</v>
      </c>
      <c r="BA310" t="s">
        <v>408</v>
      </c>
      <c r="BB310" t="s">
        <v>405</v>
      </c>
      <c r="BC310" t="s">
        <v>395</v>
      </c>
      <c r="BD310" t="s">
        <v>228</v>
      </c>
      <c r="BE310" t="s">
        <v>522</v>
      </c>
      <c r="BF310" t="s">
        <v>523</v>
      </c>
      <c r="BG310" t="s">
        <v>407</v>
      </c>
      <c r="BH310" t="s">
        <v>396</v>
      </c>
      <c r="BI310" t="s">
        <v>524</v>
      </c>
      <c r="BJ310" t="s">
        <v>228</v>
      </c>
      <c r="BK310" t="s">
        <v>543</v>
      </c>
      <c r="BL310" t="s">
        <v>228</v>
      </c>
      <c r="BM310" t="s">
        <v>228</v>
      </c>
      <c r="BN310" t="s">
        <v>228</v>
      </c>
      <c r="BO310" t="s">
        <v>228</v>
      </c>
      <c r="BP310" t="s">
        <v>228</v>
      </c>
      <c r="BQ310" t="s">
        <v>228</v>
      </c>
      <c r="BR310" t="s">
        <v>228</v>
      </c>
      <c r="BS310" t="s">
        <v>409</v>
      </c>
      <c r="BT310">
        <v>1</v>
      </c>
    </row>
    <row r="311" spans="1:72" x14ac:dyDescent="0.15">
      <c r="A311" s="43">
        <v>2023</v>
      </c>
      <c r="B311" s="8">
        <v>1</v>
      </c>
      <c r="C311" s="8">
        <v>1</v>
      </c>
      <c r="D311" s="8">
        <v>16</v>
      </c>
      <c r="E311" s="8" t="s">
        <v>67</v>
      </c>
      <c r="F311" s="8" t="s">
        <v>57</v>
      </c>
      <c r="G311" s="8">
        <v>2016</v>
      </c>
      <c r="H311" s="8">
        <v>12</v>
      </c>
      <c r="I311" s="8" t="s">
        <v>521</v>
      </c>
      <c r="J311" s="8" t="s">
        <v>228</v>
      </c>
      <c r="K311" s="8">
        <v>1983</v>
      </c>
      <c r="L311" s="17">
        <v>1</v>
      </c>
      <c r="M311" s="8">
        <v>1</v>
      </c>
      <c r="N311" s="8" t="s">
        <v>48</v>
      </c>
      <c r="O311" s="8" t="s">
        <v>283</v>
      </c>
      <c r="P311" s="8" t="s">
        <v>217</v>
      </c>
      <c r="Q311" s="8">
        <v>3000</v>
      </c>
      <c r="R311" s="8" t="s">
        <v>57</v>
      </c>
      <c r="S311" s="8" t="s">
        <v>54</v>
      </c>
      <c r="T311" s="8" t="s">
        <v>69</v>
      </c>
      <c r="U311" s="8" t="s">
        <v>228</v>
      </c>
      <c r="V311" s="8">
        <v>500</v>
      </c>
      <c r="W311" s="8" t="s">
        <v>328</v>
      </c>
      <c r="X311" s="8">
        <v>3000</v>
      </c>
      <c r="Y311" s="8" t="s">
        <v>271</v>
      </c>
      <c r="Z311" s="8">
        <v>85</v>
      </c>
      <c r="AA311" s="8" t="s">
        <v>278</v>
      </c>
      <c r="AB311" s="8" t="s">
        <v>228</v>
      </c>
      <c r="AC311" s="8" t="s">
        <v>228</v>
      </c>
      <c r="AD311" s="8" t="s">
        <v>228</v>
      </c>
      <c r="AE311" s="8" t="s">
        <v>228</v>
      </c>
      <c r="AF311" s="8" t="s">
        <v>228</v>
      </c>
      <c r="AG311" s="8" t="s">
        <v>228</v>
      </c>
      <c r="AH311" s="8" t="s">
        <v>228</v>
      </c>
      <c r="AI311" s="8" t="s">
        <v>228</v>
      </c>
      <c r="AJ311" t="s">
        <v>468</v>
      </c>
      <c r="AK311">
        <v>1</v>
      </c>
      <c r="AL311">
        <v>1</v>
      </c>
      <c r="AM311" t="s">
        <v>85</v>
      </c>
      <c r="AN311" t="s">
        <v>67</v>
      </c>
      <c r="AO311" t="s">
        <v>526</v>
      </c>
      <c r="AP311" t="s">
        <v>109</v>
      </c>
      <c r="AQ311">
        <v>12</v>
      </c>
      <c r="AR311" t="s">
        <v>521</v>
      </c>
      <c r="AS311" t="s">
        <v>228</v>
      </c>
      <c r="AT311" t="s">
        <v>140</v>
      </c>
      <c r="AU311">
        <v>1</v>
      </c>
      <c r="AV311">
        <v>1</v>
      </c>
      <c r="AW311" t="s">
        <v>406</v>
      </c>
      <c r="AX311" t="s">
        <v>283</v>
      </c>
      <c r="AY311" t="s">
        <v>217</v>
      </c>
      <c r="AZ311">
        <v>1</v>
      </c>
      <c r="BA311" t="s">
        <v>408</v>
      </c>
      <c r="BB311" t="s">
        <v>541</v>
      </c>
      <c r="BC311" t="s">
        <v>395</v>
      </c>
      <c r="BD311" t="s">
        <v>228</v>
      </c>
      <c r="BE311" t="s">
        <v>522</v>
      </c>
      <c r="BF311" t="s">
        <v>523</v>
      </c>
      <c r="BG311" t="s">
        <v>407</v>
      </c>
      <c r="BH311" t="s">
        <v>544</v>
      </c>
      <c r="BI311" t="s">
        <v>524</v>
      </c>
      <c r="BJ311" t="s">
        <v>228</v>
      </c>
      <c r="BK311" t="s">
        <v>228</v>
      </c>
      <c r="BL311" t="s">
        <v>228</v>
      </c>
      <c r="BM311" t="s">
        <v>228</v>
      </c>
      <c r="BN311" t="s">
        <v>228</v>
      </c>
      <c r="BO311" t="s">
        <v>228</v>
      </c>
      <c r="BP311" t="s">
        <v>228</v>
      </c>
      <c r="BQ311" t="s">
        <v>228</v>
      </c>
      <c r="BR311" t="s">
        <v>228</v>
      </c>
      <c r="BS311" t="s">
        <v>409</v>
      </c>
      <c r="BT311">
        <v>1</v>
      </c>
    </row>
    <row r="312" spans="1:72" x14ac:dyDescent="0.15">
      <c r="A312" s="43">
        <v>2023</v>
      </c>
      <c r="B312" s="8">
        <v>1</v>
      </c>
      <c r="C312" s="8">
        <v>1</v>
      </c>
      <c r="D312" s="8">
        <v>16</v>
      </c>
      <c r="E312" s="8" t="s">
        <v>67</v>
      </c>
      <c r="F312" s="8" t="s">
        <v>57</v>
      </c>
      <c r="G312" s="8">
        <v>2016</v>
      </c>
      <c r="H312" s="8">
        <v>12</v>
      </c>
      <c r="I312" s="8" t="s">
        <v>521</v>
      </c>
      <c r="J312" s="8" t="s">
        <v>228</v>
      </c>
      <c r="K312" s="8">
        <v>1983</v>
      </c>
      <c r="L312" s="17">
        <v>1</v>
      </c>
      <c r="M312" s="8">
        <v>1</v>
      </c>
      <c r="N312" s="8" t="s">
        <v>48</v>
      </c>
      <c r="O312" s="8" t="s">
        <v>283</v>
      </c>
      <c r="P312" s="8" t="s">
        <v>217</v>
      </c>
      <c r="Q312" s="8">
        <v>3000</v>
      </c>
      <c r="R312" s="8" t="s">
        <v>57</v>
      </c>
      <c r="S312" s="8" t="s">
        <v>53</v>
      </c>
      <c r="T312" s="8" t="s">
        <v>69</v>
      </c>
      <c r="U312" s="8" t="s">
        <v>228</v>
      </c>
      <c r="V312" s="8">
        <v>500</v>
      </c>
      <c r="W312" s="8" t="s">
        <v>328</v>
      </c>
      <c r="X312" s="8">
        <v>3000</v>
      </c>
      <c r="Y312" s="8" t="s">
        <v>271</v>
      </c>
      <c r="Z312" s="8">
        <v>85</v>
      </c>
      <c r="AA312" s="8" t="s">
        <v>278</v>
      </c>
      <c r="AB312" s="8" t="s">
        <v>228</v>
      </c>
      <c r="AC312" s="8" t="s">
        <v>228</v>
      </c>
      <c r="AD312" s="8" t="s">
        <v>228</v>
      </c>
      <c r="AE312" s="8" t="s">
        <v>228</v>
      </c>
      <c r="AF312" s="8" t="s">
        <v>228</v>
      </c>
      <c r="AG312" s="8" t="s">
        <v>228</v>
      </c>
      <c r="AH312" s="8" t="s">
        <v>228</v>
      </c>
      <c r="AI312" s="8" t="s">
        <v>228</v>
      </c>
      <c r="AJ312" t="s">
        <v>468</v>
      </c>
      <c r="AK312">
        <v>1</v>
      </c>
      <c r="AL312">
        <v>1</v>
      </c>
      <c r="AM312" t="s">
        <v>85</v>
      </c>
      <c r="AN312" t="s">
        <v>67</v>
      </c>
      <c r="AO312" t="s">
        <v>526</v>
      </c>
      <c r="AP312" t="s">
        <v>109</v>
      </c>
      <c r="AQ312">
        <v>12</v>
      </c>
      <c r="AR312" t="s">
        <v>521</v>
      </c>
      <c r="AS312" t="s">
        <v>228</v>
      </c>
      <c r="AT312" t="s">
        <v>140</v>
      </c>
      <c r="AU312">
        <v>1</v>
      </c>
      <c r="AV312">
        <v>1</v>
      </c>
      <c r="AW312" t="s">
        <v>406</v>
      </c>
      <c r="AX312" t="s">
        <v>283</v>
      </c>
      <c r="AY312" t="s">
        <v>217</v>
      </c>
      <c r="AZ312">
        <v>1</v>
      </c>
      <c r="BA312" t="s">
        <v>408</v>
      </c>
      <c r="BB312" t="s">
        <v>542</v>
      </c>
      <c r="BC312" t="s">
        <v>395</v>
      </c>
      <c r="BD312" t="s">
        <v>228</v>
      </c>
      <c r="BE312" t="s">
        <v>522</v>
      </c>
      <c r="BF312" t="s">
        <v>523</v>
      </c>
      <c r="BG312" t="s">
        <v>407</v>
      </c>
      <c r="BH312" t="s">
        <v>544</v>
      </c>
      <c r="BI312" t="s">
        <v>524</v>
      </c>
      <c r="BJ312" t="s">
        <v>228</v>
      </c>
      <c r="BK312" t="s">
        <v>228</v>
      </c>
      <c r="BL312" t="s">
        <v>228</v>
      </c>
      <c r="BM312" t="s">
        <v>228</v>
      </c>
      <c r="BN312" t="s">
        <v>228</v>
      </c>
      <c r="BO312" t="s">
        <v>228</v>
      </c>
      <c r="BP312" t="s">
        <v>228</v>
      </c>
      <c r="BQ312" t="s">
        <v>228</v>
      </c>
      <c r="BR312" t="s">
        <v>228</v>
      </c>
      <c r="BS312" t="s">
        <v>409</v>
      </c>
      <c r="BT312">
        <v>1</v>
      </c>
    </row>
    <row r="313" spans="1:72" x14ac:dyDescent="0.15">
      <c r="A313" s="43">
        <v>2023</v>
      </c>
      <c r="B313" s="8">
        <v>1</v>
      </c>
      <c r="C313" s="8">
        <v>1</v>
      </c>
      <c r="D313" s="8">
        <v>16</v>
      </c>
      <c r="E313" s="8" t="s">
        <v>67</v>
      </c>
      <c r="F313" s="8" t="s">
        <v>57</v>
      </c>
      <c r="G313" s="8">
        <v>2016</v>
      </c>
      <c r="H313" s="8">
        <v>12</v>
      </c>
      <c r="I313" s="8" t="s">
        <v>521</v>
      </c>
      <c r="J313" s="8" t="s">
        <v>228</v>
      </c>
      <c r="K313" s="8">
        <v>1983</v>
      </c>
      <c r="L313" s="17">
        <v>1</v>
      </c>
      <c r="M313" s="8">
        <v>1</v>
      </c>
      <c r="N313" s="8" t="s">
        <v>48</v>
      </c>
      <c r="O313" s="8" t="s">
        <v>283</v>
      </c>
      <c r="P313" s="8" t="s">
        <v>217</v>
      </c>
      <c r="Q313" s="8">
        <v>3000</v>
      </c>
      <c r="R313" s="8" t="s">
        <v>57</v>
      </c>
      <c r="S313" s="8" t="s">
        <v>52</v>
      </c>
      <c r="T313" s="8" t="s">
        <v>69</v>
      </c>
      <c r="U313" s="8" t="s">
        <v>228</v>
      </c>
      <c r="V313" s="8">
        <v>500</v>
      </c>
      <c r="W313" s="8" t="s">
        <v>328</v>
      </c>
      <c r="X313" s="8">
        <v>3000</v>
      </c>
      <c r="Y313" s="8" t="s">
        <v>271</v>
      </c>
      <c r="Z313" s="8">
        <v>85</v>
      </c>
      <c r="AA313" s="8" t="s">
        <v>278</v>
      </c>
      <c r="AB313" s="8" t="s">
        <v>228</v>
      </c>
      <c r="AC313" s="8" t="s">
        <v>228</v>
      </c>
      <c r="AD313" s="8" t="s">
        <v>228</v>
      </c>
      <c r="AE313" s="8" t="s">
        <v>228</v>
      </c>
      <c r="AF313" s="8" t="s">
        <v>228</v>
      </c>
      <c r="AG313" s="8" t="s">
        <v>228</v>
      </c>
      <c r="AH313" s="8" t="s">
        <v>228</v>
      </c>
      <c r="AI313" s="8" t="s">
        <v>228</v>
      </c>
      <c r="AJ313" t="s">
        <v>468</v>
      </c>
      <c r="AK313">
        <v>1</v>
      </c>
      <c r="AL313">
        <v>1</v>
      </c>
      <c r="AM313" t="s">
        <v>85</v>
      </c>
      <c r="AN313" t="s">
        <v>67</v>
      </c>
      <c r="AO313" t="s">
        <v>526</v>
      </c>
      <c r="AP313" t="s">
        <v>109</v>
      </c>
      <c r="AQ313">
        <v>12</v>
      </c>
      <c r="AR313" t="s">
        <v>521</v>
      </c>
      <c r="AS313" t="s">
        <v>228</v>
      </c>
      <c r="AT313" t="s">
        <v>140</v>
      </c>
      <c r="AU313">
        <v>1</v>
      </c>
      <c r="AV313">
        <v>1</v>
      </c>
      <c r="AW313" t="s">
        <v>406</v>
      </c>
      <c r="AX313" t="s">
        <v>283</v>
      </c>
      <c r="AY313" t="s">
        <v>217</v>
      </c>
      <c r="AZ313">
        <v>1</v>
      </c>
      <c r="BA313" t="s">
        <v>408</v>
      </c>
      <c r="BB313" t="s">
        <v>405</v>
      </c>
      <c r="BC313" t="s">
        <v>395</v>
      </c>
      <c r="BD313" t="s">
        <v>228</v>
      </c>
      <c r="BE313" t="s">
        <v>522</v>
      </c>
      <c r="BF313" t="s">
        <v>523</v>
      </c>
      <c r="BG313" t="s">
        <v>407</v>
      </c>
      <c r="BH313" t="s">
        <v>544</v>
      </c>
      <c r="BI313" t="s">
        <v>524</v>
      </c>
      <c r="BJ313" t="s">
        <v>228</v>
      </c>
      <c r="BK313" t="s">
        <v>228</v>
      </c>
      <c r="BL313" t="s">
        <v>228</v>
      </c>
      <c r="BM313" t="s">
        <v>228</v>
      </c>
      <c r="BN313" t="s">
        <v>228</v>
      </c>
      <c r="BO313" t="s">
        <v>228</v>
      </c>
      <c r="BP313" t="s">
        <v>228</v>
      </c>
      <c r="BQ313" t="s">
        <v>228</v>
      </c>
      <c r="BR313" t="s">
        <v>228</v>
      </c>
      <c r="BS313" t="s">
        <v>409</v>
      </c>
      <c r="BT313">
        <v>1</v>
      </c>
    </row>
    <row r="314" spans="1:72" x14ac:dyDescent="0.15">
      <c r="A314" s="43">
        <v>2023</v>
      </c>
      <c r="B314" s="8">
        <v>1</v>
      </c>
      <c r="C314" s="8">
        <v>1</v>
      </c>
      <c r="D314" s="8">
        <v>16</v>
      </c>
      <c r="E314" s="8" t="s">
        <v>67</v>
      </c>
      <c r="F314" s="8" t="s">
        <v>57</v>
      </c>
      <c r="G314" s="8">
        <v>2016</v>
      </c>
      <c r="H314" s="8">
        <v>12</v>
      </c>
      <c r="I314" s="8" t="s">
        <v>521</v>
      </c>
      <c r="J314" s="8" t="s">
        <v>228</v>
      </c>
      <c r="K314" s="8">
        <v>1983</v>
      </c>
      <c r="L314" s="17">
        <v>1</v>
      </c>
      <c r="M314" s="8">
        <v>1</v>
      </c>
      <c r="N314" s="8" t="s">
        <v>48</v>
      </c>
      <c r="O314" s="8" t="s">
        <v>283</v>
      </c>
      <c r="P314" s="8" t="s">
        <v>217</v>
      </c>
      <c r="Q314" s="8">
        <v>3000</v>
      </c>
      <c r="R314" s="8" t="s">
        <v>57</v>
      </c>
      <c r="S314" s="8" t="s">
        <v>54</v>
      </c>
      <c r="T314" s="8" t="s">
        <v>69</v>
      </c>
      <c r="U314" s="8" t="s">
        <v>228</v>
      </c>
      <c r="V314" s="8">
        <v>500</v>
      </c>
      <c r="W314" s="8" t="s">
        <v>328</v>
      </c>
      <c r="X314" s="8">
        <v>3000</v>
      </c>
      <c r="Y314" s="8" t="s">
        <v>271</v>
      </c>
      <c r="Z314" s="8">
        <v>85</v>
      </c>
      <c r="AA314" s="8" t="s">
        <v>278</v>
      </c>
      <c r="AB314" s="8" t="s">
        <v>247</v>
      </c>
      <c r="AC314" s="8" t="s">
        <v>228</v>
      </c>
      <c r="AD314" s="8" t="s">
        <v>228</v>
      </c>
      <c r="AE314" s="8" t="s">
        <v>228</v>
      </c>
      <c r="AF314" s="8" t="s">
        <v>228</v>
      </c>
      <c r="AG314" s="8" t="s">
        <v>228</v>
      </c>
      <c r="AH314" s="8" t="s">
        <v>228</v>
      </c>
      <c r="AI314" s="8" t="s">
        <v>228</v>
      </c>
      <c r="AJ314" t="s">
        <v>468</v>
      </c>
      <c r="AK314">
        <v>1</v>
      </c>
      <c r="AL314">
        <v>1</v>
      </c>
      <c r="AM314" t="s">
        <v>85</v>
      </c>
      <c r="AN314" t="s">
        <v>67</v>
      </c>
      <c r="AO314" t="s">
        <v>526</v>
      </c>
      <c r="AP314" t="s">
        <v>109</v>
      </c>
      <c r="AQ314">
        <v>12</v>
      </c>
      <c r="AR314" t="s">
        <v>521</v>
      </c>
      <c r="AS314" t="s">
        <v>228</v>
      </c>
      <c r="AT314" t="s">
        <v>140</v>
      </c>
      <c r="AU314">
        <v>1</v>
      </c>
      <c r="AV314">
        <v>1</v>
      </c>
      <c r="AW314" t="s">
        <v>406</v>
      </c>
      <c r="AX314" t="s">
        <v>283</v>
      </c>
      <c r="AY314" t="s">
        <v>217</v>
      </c>
      <c r="AZ314">
        <v>1</v>
      </c>
      <c r="BA314" t="s">
        <v>408</v>
      </c>
      <c r="BB314" t="s">
        <v>541</v>
      </c>
      <c r="BC314" t="s">
        <v>395</v>
      </c>
      <c r="BD314" t="s">
        <v>228</v>
      </c>
      <c r="BE314" t="s">
        <v>522</v>
      </c>
      <c r="BF314" t="s">
        <v>523</v>
      </c>
      <c r="BG314" t="s">
        <v>407</v>
      </c>
      <c r="BH314" t="s">
        <v>544</v>
      </c>
      <c r="BI314" t="s">
        <v>524</v>
      </c>
      <c r="BJ314" t="s">
        <v>228</v>
      </c>
      <c r="BK314" t="s">
        <v>543</v>
      </c>
      <c r="BL314" t="s">
        <v>228</v>
      </c>
      <c r="BM314" t="s">
        <v>228</v>
      </c>
      <c r="BN314" t="s">
        <v>228</v>
      </c>
      <c r="BO314" t="s">
        <v>228</v>
      </c>
      <c r="BP314" t="s">
        <v>228</v>
      </c>
      <c r="BQ314" t="s">
        <v>228</v>
      </c>
      <c r="BR314" t="s">
        <v>228</v>
      </c>
      <c r="BS314" t="s">
        <v>409</v>
      </c>
      <c r="BT314">
        <v>1</v>
      </c>
    </row>
    <row r="315" spans="1:72" x14ac:dyDescent="0.15">
      <c r="A315" s="43">
        <v>2023</v>
      </c>
      <c r="B315" s="8">
        <v>1</v>
      </c>
      <c r="C315" s="8">
        <v>1</v>
      </c>
      <c r="D315" s="8">
        <v>16</v>
      </c>
      <c r="E315" s="8" t="s">
        <v>67</v>
      </c>
      <c r="F315" s="8" t="s">
        <v>57</v>
      </c>
      <c r="G315" s="8">
        <v>2016</v>
      </c>
      <c r="H315" s="8">
        <v>12</v>
      </c>
      <c r="I315" s="8" t="s">
        <v>521</v>
      </c>
      <c r="J315" s="8" t="s">
        <v>228</v>
      </c>
      <c r="K315" s="8">
        <v>1983</v>
      </c>
      <c r="L315" s="17">
        <v>1</v>
      </c>
      <c r="M315" s="8">
        <v>1</v>
      </c>
      <c r="N315" s="8" t="s">
        <v>48</v>
      </c>
      <c r="O315" s="8" t="s">
        <v>283</v>
      </c>
      <c r="P315" s="8" t="s">
        <v>217</v>
      </c>
      <c r="Q315" s="8">
        <v>3000</v>
      </c>
      <c r="R315" s="8" t="s">
        <v>57</v>
      </c>
      <c r="S315" s="8" t="s">
        <v>53</v>
      </c>
      <c r="T315" s="8" t="s">
        <v>69</v>
      </c>
      <c r="U315" s="8" t="s">
        <v>228</v>
      </c>
      <c r="V315" s="8">
        <v>500</v>
      </c>
      <c r="W315" s="8" t="s">
        <v>328</v>
      </c>
      <c r="X315" s="8">
        <v>3000</v>
      </c>
      <c r="Y315" s="8" t="s">
        <v>271</v>
      </c>
      <c r="Z315" s="8">
        <v>85</v>
      </c>
      <c r="AA315" s="8" t="s">
        <v>278</v>
      </c>
      <c r="AB315" s="8" t="s">
        <v>247</v>
      </c>
      <c r="AC315" s="8" t="s">
        <v>228</v>
      </c>
      <c r="AD315" s="8" t="s">
        <v>228</v>
      </c>
      <c r="AE315" s="8" t="s">
        <v>228</v>
      </c>
      <c r="AF315" s="8" t="s">
        <v>228</v>
      </c>
      <c r="AG315" s="8" t="s">
        <v>228</v>
      </c>
      <c r="AH315" s="8" t="s">
        <v>228</v>
      </c>
      <c r="AI315" s="8" t="s">
        <v>228</v>
      </c>
      <c r="AJ315" t="s">
        <v>468</v>
      </c>
      <c r="AK315">
        <v>1</v>
      </c>
      <c r="AL315">
        <v>1</v>
      </c>
      <c r="AM315" t="s">
        <v>85</v>
      </c>
      <c r="AN315" t="s">
        <v>67</v>
      </c>
      <c r="AO315" t="s">
        <v>526</v>
      </c>
      <c r="AP315" t="s">
        <v>109</v>
      </c>
      <c r="AQ315">
        <v>12</v>
      </c>
      <c r="AR315" t="s">
        <v>521</v>
      </c>
      <c r="AS315" t="s">
        <v>228</v>
      </c>
      <c r="AT315" t="s">
        <v>140</v>
      </c>
      <c r="AU315">
        <v>1</v>
      </c>
      <c r="AV315">
        <v>1</v>
      </c>
      <c r="AW315" t="s">
        <v>406</v>
      </c>
      <c r="AX315" t="s">
        <v>283</v>
      </c>
      <c r="AY315" t="s">
        <v>217</v>
      </c>
      <c r="AZ315">
        <v>1</v>
      </c>
      <c r="BA315" t="s">
        <v>408</v>
      </c>
      <c r="BB315" t="s">
        <v>542</v>
      </c>
      <c r="BC315" t="s">
        <v>395</v>
      </c>
      <c r="BD315" t="s">
        <v>228</v>
      </c>
      <c r="BE315" t="s">
        <v>522</v>
      </c>
      <c r="BF315" t="s">
        <v>523</v>
      </c>
      <c r="BG315" t="s">
        <v>407</v>
      </c>
      <c r="BH315" t="s">
        <v>544</v>
      </c>
      <c r="BI315" t="s">
        <v>524</v>
      </c>
      <c r="BJ315" t="s">
        <v>228</v>
      </c>
      <c r="BK315" t="s">
        <v>543</v>
      </c>
      <c r="BL315" t="s">
        <v>228</v>
      </c>
      <c r="BM315" t="s">
        <v>228</v>
      </c>
      <c r="BN315" t="s">
        <v>228</v>
      </c>
      <c r="BO315" t="s">
        <v>228</v>
      </c>
      <c r="BP315" t="s">
        <v>228</v>
      </c>
      <c r="BQ315" t="s">
        <v>228</v>
      </c>
      <c r="BR315" t="s">
        <v>228</v>
      </c>
      <c r="BS315" t="s">
        <v>409</v>
      </c>
      <c r="BT315">
        <v>1</v>
      </c>
    </row>
    <row r="316" spans="1:72" x14ac:dyDescent="0.15">
      <c r="A316" s="43">
        <v>2023</v>
      </c>
      <c r="B316" s="8">
        <v>1</v>
      </c>
      <c r="C316" s="8">
        <v>1</v>
      </c>
      <c r="D316" s="8">
        <v>16</v>
      </c>
      <c r="E316" s="8" t="s">
        <v>67</v>
      </c>
      <c r="F316" s="8" t="s">
        <v>57</v>
      </c>
      <c r="G316" s="8">
        <v>2016</v>
      </c>
      <c r="H316" s="8">
        <v>12</v>
      </c>
      <c r="I316" s="8" t="s">
        <v>521</v>
      </c>
      <c r="J316" s="8" t="s">
        <v>228</v>
      </c>
      <c r="K316" s="8">
        <v>1983</v>
      </c>
      <c r="L316" s="17">
        <v>1</v>
      </c>
      <c r="M316" s="8">
        <v>1</v>
      </c>
      <c r="N316" s="8" t="s">
        <v>48</v>
      </c>
      <c r="O316" s="8" t="s">
        <v>283</v>
      </c>
      <c r="P316" s="8" t="s">
        <v>217</v>
      </c>
      <c r="Q316" s="8">
        <v>3000</v>
      </c>
      <c r="R316" s="8" t="s">
        <v>57</v>
      </c>
      <c r="S316" s="8" t="s">
        <v>52</v>
      </c>
      <c r="T316" s="8" t="s">
        <v>69</v>
      </c>
      <c r="U316" s="8" t="s">
        <v>228</v>
      </c>
      <c r="V316" s="8">
        <v>500</v>
      </c>
      <c r="W316" s="8" t="s">
        <v>328</v>
      </c>
      <c r="X316" s="8">
        <v>3000</v>
      </c>
      <c r="Y316" s="8" t="s">
        <v>271</v>
      </c>
      <c r="Z316" s="8">
        <v>85</v>
      </c>
      <c r="AA316" s="8" t="s">
        <v>278</v>
      </c>
      <c r="AB316" s="8" t="s">
        <v>247</v>
      </c>
      <c r="AC316" s="8" t="s">
        <v>228</v>
      </c>
      <c r="AD316" s="8" t="s">
        <v>228</v>
      </c>
      <c r="AE316" s="8" t="s">
        <v>228</v>
      </c>
      <c r="AF316" s="8" t="s">
        <v>228</v>
      </c>
      <c r="AG316" s="8" t="s">
        <v>228</v>
      </c>
      <c r="AH316" s="8" t="s">
        <v>228</v>
      </c>
      <c r="AI316" s="8" t="s">
        <v>228</v>
      </c>
      <c r="AJ316" t="s">
        <v>468</v>
      </c>
      <c r="AK316">
        <v>1</v>
      </c>
      <c r="AL316">
        <v>1</v>
      </c>
      <c r="AM316" t="s">
        <v>85</v>
      </c>
      <c r="AN316" t="s">
        <v>67</v>
      </c>
      <c r="AO316" t="s">
        <v>526</v>
      </c>
      <c r="AP316" t="s">
        <v>109</v>
      </c>
      <c r="AQ316">
        <v>12</v>
      </c>
      <c r="AR316" t="s">
        <v>521</v>
      </c>
      <c r="AS316" t="s">
        <v>228</v>
      </c>
      <c r="AT316" t="s">
        <v>140</v>
      </c>
      <c r="AU316">
        <v>1</v>
      </c>
      <c r="AV316">
        <v>1</v>
      </c>
      <c r="AW316" t="s">
        <v>406</v>
      </c>
      <c r="AX316" t="s">
        <v>283</v>
      </c>
      <c r="AY316" t="s">
        <v>217</v>
      </c>
      <c r="AZ316">
        <v>1</v>
      </c>
      <c r="BA316" t="s">
        <v>408</v>
      </c>
      <c r="BB316" t="s">
        <v>405</v>
      </c>
      <c r="BC316" t="s">
        <v>395</v>
      </c>
      <c r="BD316" t="s">
        <v>228</v>
      </c>
      <c r="BE316" t="s">
        <v>522</v>
      </c>
      <c r="BF316" t="s">
        <v>523</v>
      </c>
      <c r="BG316" t="s">
        <v>407</v>
      </c>
      <c r="BH316" t="s">
        <v>544</v>
      </c>
      <c r="BI316" t="s">
        <v>524</v>
      </c>
      <c r="BJ316" t="s">
        <v>228</v>
      </c>
      <c r="BK316" t="s">
        <v>543</v>
      </c>
      <c r="BL316" t="s">
        <v>228</v>
      </c>
      <c r="BM316" t="s">
        <v>228</v>
      </c>
      <c r="BN316" t="s">
        <v>228</v>
      </c>
      <c r="BO316" t="s">
        <v>228</v>
      </c>
      <c r="BP316" t="s">
        <v>228</v>
      </c>
      <c r="BQ316" t="s">
        <v>228</v>
      </c>
      <c r="BR316" t="s">
        <v>228</v>
      </c>
      <c r="BS316" t="s">
        <v>409</v>
      </c>
      <c r="BT316">
        <v>0</v>
      </c>
    </row>
    <row r="317" spans="1:72" x14ac:dyDescent="0.15">
      <c r="A317" s="43">
        <v>2023</v>
      </c>
      <c r="B317" s="8">
        <v>1</v>
      </c>
      <c r="C317" s="8">
        <v>1</v>
      </c>
      <c r="D317" s="8">
        <v>15</v>
      </c>
      <c r="E317" s="8" t="s">
        <v>67</v>
      </c>
      <c r="F317" s="8" t="s">
        <v>57</v>
      </c>
      <c r="G317" s="8">
        <v>2016</v>
      </c>
      <c r="H317" s="8">
        <v>12</v>
      </c>
      <c r="I317" s="8" t="s">
        <v>521</v>
      </c>
      <c r="J317" s="8" t="s">
        <v>228</v>
      </c>
      <c r="K317" s="8">
        <v>1983</v>
      </c>
      <c r="L317" s="17">
        <v>1</v>
      </c>
      <c r="M317" s="8">
        <v>1</v>
      </c>
      <c r="N317" s="8" t="s">
        <v>48</v>
      </c>
      <c r="O317" s="8" t="s">
        <v>283</v>
      </c>
      <c r="P317" s="8" t="s">
        <v>217</v>
      </c>
      <c r="Q317" s="8">
        <v>3000</v>
      </c>
      <c r="R317" s="8" t="s">
        <v>57</v>
      </c>
      <c r="S317" s="8" t="s">
        <v>54</v>
      </c>
      <c r="T317" s="8" t="s">
        <v>69</v>
      </c>
      <c r="U317" s="8" t="s">
        <v>228</v>
      </c>
      <c r="V317" s="8">
        <v>500</v>
      </c>
      <c r="W317" s="8" t="s">
        <v>328</v>
      </c>
      <c r="X317" s="8">
        <v>3000</v>
      </c>
      <c r="Y317" s="8" t="s">
        <v>268</v>
      </c>
      <c r="Z317" s="8">
        <v>85</v>
      </c>
      <c r="AA317" s="8" t="s">
        <v>278</v>
      </c>
      <c r="AB317" s="8" t="s">
        <v>228</v>
      </c>
      <c r="AC317" s="8" t="s">
        <v>228</v>
      </c>
      <c r="AD317" s="8" t="s">
        <v>228</v>
      </c>
      <c r="AE317" s="8" t="s">
        <v>228</v>
      </c>
      <c r="AF317" s="8" t="s">
        <v>228</v>
      </c>
      <c r="AG317" s="8" t="s">
        <v>228</v>
      </c>
      <c r="AH317" s="8" t="s">
        <v>228</v>
      </c>
      <c r="AI317" s="8" t="s">
        <v>228</v>
      </c>
      <c r="AJ317" t="s">
        <v>468</v>
      </c>
      <c r="AK317">
        <v>1</v>
      </c>
      <c r="AL317">
        <v>1</v>
      </c>
      <c r="AM317" t="s">
        <v>86</v>
      </c>
      <c r="AN317" t="s">
        <v>67</v>
      </c>
      <c r="AO317" t="s">
        <v>526</v>
      </c>
      <c r="AP317" t="s">
        <v>109</v>
      </c>
      <c r="AQ317">
        <v>12</v>
      </c>
      <c r="AR317" t="s">
        <v>521</v>
      </c>
      <c r="AS317" t="s">
        <v>228</v>
      </c>
      <c r="AT317" t="s">
        <v>140</v>
      </c>
      <c r="AU317">
        <v>1</v>
      </c>
      <c r="AV317">
        <v>1</v>
      </c>
      <c r="AW317" t="s">
        <v>406</v>
      </c>
      <c r="AX317" t="s">
        <v>283</v>
      </c>
      <c r="AY317" t="s">
        <v>217</v>
      </c>
      <c r="AZ317">
        <v>1</v>
      </c>
      <c r="BA317" t="s">
        <v>408</v>
      </c>
      <c r="BB317" t="s">
        <v>541</v>
      </c>
      <c r="BC317" t="s">
        <v>395</v>
      </c>
      <c r="BD317" t="s">
        <v>228</v>
      </c>
      <c r="BE317" t="s">
        <v>522</v>
      </c>
      <c r="BF317" t="s">
        <v>523</v>
      </c>
      <c r="BG317" t="s">
        <v>407</v>
      </c>
      <c r="BH317" t="s">
        <v>396</v>
      </c>
      <c r="BI317" t="s">
        <v>524</v>
      </c>
      <c r="BJ317" t="s">
        <v>228</v>
      </c>
      <c r="BK317" t="s">
        <v>228</v>
      </c>
      <c r="BL317" t="s">
        <v>228</v>
      </c>
      <c r="BM317" t="s">
        <v>228</v>
      </c>
      <c r="BN317" t="s">
        <v>228</v>
      </c>
      <c r="BO317" t="s">
        <v>228</v>
      </c>
      <c r="BP317" t="s">
        <v>228</v>
      </c>
      <c r="BQ317" t="s">
        <v>228</v>
      </c>
      <c r="BR317" t="s">
        <v>228</v>
      </c>
      <c r="BS317" t="s">
        <v>409</v>
      </c>
      <c r="BT317">
        <v>1</v>
      </c>
    </row>
    <row r="318" spans="1:72" x14ac:dyDescent="0.15">
      <c r="A318" s="43">
        <v>2023</v>
      </c>
      <c r="B318" s="8">
        <v>1</v>
      </c>
      <c r="C318" s="8">
        <v>1</v>
      </c>
      <c r="D318" s="8">
        <v>15</v>
      </c>
      <c r="E318" s="8" t="s">
        <v>67</v>
      </c>
      <c r="F318" s="8" t="s">
        <v>57</v>
      </c>
      <c r="G318" s="8">
        <v>2016</v>
      </c>
      <c r="H318" s="8">
        <v>12</v>
      </c>
      <c r="I318" s="8" t="s">
        <v>521</v>
      </c>
      <c r="J318" s="8" t="s">
        <v>228</v>
      </c>
      <c r="K318" s="8">
        <v>1983</v>
      </c>
      <c r="L318" s="17">
        <v>1</v>
      </c>
      <c r="M318" s="8">
        <v>1</v>
      </c>
      <c r="N318" s="8" t="s">
        <v>48</v>
      </c>
      <c r="O318" s="8" t="s">
        <v>283</v>
      </c>
      <c r="P318" s="8" t="s">
        <v>217</v>
      </c>
      <c r="Q318" s="8">
        <v>3000</v>
      </c>
      <c r="R318" s="8" t="s">
        <v>57</v>
      </c>
      <c r="S318" s="8" t="s">
        <v>53</v>
      </c>
      <c r="T318" s="8" t="s">
        <v>69</v>
      </c>
      <c r="U318" s="8" t="s">
        <v>228</v>
      </c>
      <c r="V318" s="8">
        <v>500</v>
      </c>
      <c r="W318" s="8" t="s">
        <v>328</v>
      </c>
      <c r="X318" s="8">
        <v>3000</v>
      </c>
      <c r="Y318" s="8" t="s">
        <v>268</v>
      </c>
      <c r="Z318" s="8">
        <v>85</v>
      </c>
      <c r="AA318" s="8" t="s">
        <v>278</v>
      </c>
      <c r="AB318" s="8" t="s">
        <v>228</v>
      </c>
      <c r="AC318" s="8" t="s">
        <v>228</v>
      </c>
      <c r="AD318" s="8" t="s">
        <v>228</v>
      </c>
      <c r="AE318" s="8" t="s">
        <v>228</v>
      </c>
      <c r="AF318" s="8" t="s">
        <v>228</v>
      </c>
      <c r="AG318" s="8" t="s">
        <v>228</v>
      </c>
      <c r="AH318" s="8" t="s">
        <v>228</v>
      </c>
      <c r="AI318" s="8" t="s">
        <v>228</v>
      </c>
      <c r="AJ318" t="s">
        <v>468</v>
      </c>
      <c r="AK318">
        <v>1</v>
      </c>
      <c r="AL318">
        <v>1</v>
      </c>
      <c r="AM318" t="s">
        <v>86</v>
      </c>
      <c r="AN318" t="s">
        <v>67</v>
      </c>
      <c r="AO318" t="s">
        <v>526</v>
      </c>
      <c r="AP318" t="s">
        <v>109</v>
      </c>
      <c r="AQ318">
        <v>12</v>
      </c>
      <c r="AR318" t="s">
        <v>521</v>
      </c>
      <c r="AS318" t="s">
        <v>228</v>
      </c>
      <c r="AT318" t="s">
        <v>140</v>
      </c>
      <c r="AU318">
        <v>1</v>
      </c>
      <c r="AV318">
        <v>1</v>
      </c>
      <c r="AW318" t="s">
        <v>406</v>
      </c>
      <c r="AX318" t="s">
        <v>283</v>
      </c>
      <c r="AY318" t="s">
        <v>217</v>
      </c>
      <c r="AZ318">
        <v>1</v>
      </c>
      <c r="BA318" t="s">
        <v>408</v>
      </c>
      <c r="BB318" t="s">
        <v>542</v>
      </c>
      <c r="BC318" t="s">
        <v>395</v>
      </c>
      <c r="BD318" t="s">
        <v>228</v>
      </c>
      <c r="BE318" t="s">
        <v>522</v>
      </c>
      <c r="BF318" t="s">
        <v>523</v>
      </c>
      <c r="BG318" t="s">
        <v>407</v>
      </c>
      <c r="BH318" t="s">
        <v>396</v>
      </c>
      <c r="BI318" t="s">
        <v>524</v>
      </c>
      <c r="BJ318" t="s">
        <v>228</v>
      </c>
      <c r="BK318" t="s">
        <v>228</v>
      </c>
      <c r="BL318" t="s">
        <v>228</v>
      </c>
      <c r="BM318" t="s">
        <v>228</v>
      </c>
      <c r="BN318" t="s">
        <v>228</v>
      </c>
      <c r="BO318" t="s">
        <v>228</v>
      </c>
      <c r="BP318" t="s">
        <v>228</v>
      </c>
      <c r="BQ318" t="s">
        <v>228</v>
      </c>
      <c r="BR318" t="s">
        <v>228</v>
      </c>
      <c r="BS318" t="s">
        <v>409</v>
      </c>
      <c r="BT318">
        <v>1</v>
      </c>
    </row>
    <row r="319" spans="1:72" x14ac:dyDescent="0.15">
      <c r="A319" s="43">
        <v>2023</v>
      </c>
      <c r="B319" s="8">
        <v>1</v>
      </c>
      <c r="C319" s="8">
        <v>1</v>
      </c>
      <c r="D319" s="8">
        <v>15</v>
      </c>
      <c r="E319" s="8" t="s">
        <v>67</v>
      </c>
      <c r="F319" s="8" t="s">
        <v>57</v>
      </c>
      <c r="G319" s="8">
        <v>2016</v>
      </c>
      <c r="H319" s="8">
        <v>12</v>
      </c>
      <c r="I319" s="8" t="s">
        <v>521</v>
      </c>
      <c r="J319" s="8" t="s">
        <v>228</v>
      </c>
      <c r="K319" s="8">
        <v>1983</v>
      </c>
      <c r="L319" s="17">
        <v>1</v>
      </c>
      <c r="M319" s="8">
        <v>1</v>
      </c>
      <c r="N319" s="8" t="s">
        <v>48</v>
      </c>
      <c r="O319" s="8" t="s">
        <v>283</v>
      </c>
      <c r="P319" s="8" t="s">
        <v>217</v>
      </c>
      <c r="Q319" s="8">
        <v>3000</v>
      </c>
      <c r="R319" s="8" t="s">
        <v>57</v>
      </c>
      <c r="S319" s="8" t="s">
        <v>52</v>
      </c>
      <c r="T319" s="8" t="s">
        <v>69</v>
      </c>
      <c r="U319" s="8" t="s">
        <v>228</v>
      </c>
      <c r="V319" s="8">
        <v>500</v>
      </c>
      <c r="W319" s="8" t="s">
        <v>328</v>
      </c>
      <c r="X319" s="8">
        <v>3000</v>
      </c>
      <c r="Y319" s="8" t="s">
        <v>268</v>
      </c>
      <c r="Z319" s="8">
        <v>85</v>
      </c>
      <c r="AA319" s="8" t="s">
        <v>278</v>
      </c>
      <c r="AB319" s="8" t="s">
        <v>228</v>
      </c>
      <c r="AC319" s="8" t="s">
        <v>228</v>
      </c>
      <c r="AD319" s="8" t="s">
        <v>228</v>
      </c>
      <c r="AE319" s="8" t="s">
        <v>228</v>
      </c>
      <c r="AF319" s="8" t="s">
        <v>228</v>
      </c>
      <c r="AG319" s="8" t="s">
        <v>228</v>
      </c>
      <c r="AH319" s="8" t="s">
        <v>228</v>
      </c>
      <c r="AI319" s="8" t="s">
        <v>228</v>
      </c>
      <c r="AJ319" t="s">
        <v>468</v>
      </c>
      <c r="AK319">
        <v>1</v>
      </c>
      <c r="AL319">
        <v>1</v>
      </c>
      <c r="AM319" t="s">
        <v>86</v>
      </c>
      <c r="AN319" t="s">
        <v>67</v>
      </c>
      <c r="AO319" t="s">
        <v>526</v>
      </c>
      <c r="AP319" t="s">
        <v>109</v>
      </c>
      <c r="AQ319">
        <v>12</v>
      </c>
      <c r="AR319" t="s">
        <v>521</v>
      </c>
      <c r="AS319" t="s">
        <v>228</v>
      </c>
      <c r="AT319" t="s">
        <v>140</v>
      </c>
      <c r="AU319">
        <v>1</v>
      </c>
      <c r="AV319">
        <v>1</v>
      </c>
      <c r="AW319" t="s">
        <v>406</v>
      </c>
      <c r="AX319" t="s">
        <v>283</v>
      </c>
      <c r="AY319" t="s">
        <v>217</v>
      </c>
      <c r="AZ319">
        <v>1</v>
      </c>
      <c r="BA319" t="s">
        <v>408</v>
      </c>
      <c r="BB319" t="s">
        <v>405</v>
      </c>
      <c r="BC319" t="s">
        <v>395</v>
      </c>
      <c r="BD319" t="s">
        <v>228</v>
      </c>
      <c r="BE319" t="s">
        <v>522</v>
      </c>
      <c r="BF319" t="s">
        <v>523</v>
      </c>
      <c r="BG319" t="s">
        <v>407</v>
      </c>
      <c r="BH319" t="s">
        <v>396</v>
      </c>
      <c r="BI319" t="s">
        <v>524</v>
      </c>
      <c r="BJ319" t="s">
        <v>228</v>
      </c>
      <c r="BK319" t="s">
        <v>228</v>
      </c>
      <c r="BL319" t="s">
        <v>228</v>
      </c>
      <c r="BM319" t="s">
        <v>228</v>
      </c>
      <c r="BN319" t="s">
        <v>228</v>
      </c>
      <c r="BO319" t="s">
        <v>228</v>
      </c>
      <c r="BP319" t="s">
        <v>228</v>
      </c>
      <c r="BQ319" t="s">
        <v>228</v>
      </c>
      <c r="BR319" t="s">
        <v>228</v>
      </c>
      <c r="BS319" t="s">
        <v>409</v>
      </c>
      <c r="BT319">
        <v>1</v>
      </c>
    </row>
    <row r="320" spans="1:72" x14ac:dyDescent="0.15">
      <c r="A320" s="43">
        <v>2023</v>
      </c>
      <c r="B320" s="8">
        <v>1</v>
      </c>
      <c r="C320" s="8">
        <v>1</v>
      </c>
      <c r="D320" s="8">
        <v>15</v>
      </c>
      <c r="E320" s="8" t="s">
        <v>67</v>
      </c>
      <c r="F320" s="8" t="s">
        <v>57</v>
      </c>
      <c r="G320" s="8">
        <v>2016</v>
      </c>
      <c r="H320" s="8">
        <v>12</v>
      </c>
      <c r="I320" s="8" t="s">
        <v>521</v>
      </c>
      <c r="J320" s="8" t="s">
        <v>228</v>
      </c>
      <c r="K320" s="8">
        <v>1983</v>
      </c>
      <c r="L320" s="17">
        <v>1</v>
      </c>
      <c r="M320" s="8">
        <v>1</v>
      </c>
      <c r="N320" s="8" t="s">
        <v>48</v>
      </c>
      <c r="O320" s="8" t="s">
        <v>283</v>
      </c>
      <c r="P320" s="8" t="s">
        <v>217</v>
      </c>
      <c r="Q320" s="8">
        <v>3000</v>
      </c>
      <c r="R320" s="8" t="s">
        <v>57</v>
      </c>
      <c r="S320" s="8" t="s">
        <v>54</v>
      </c>
      <c r="T320" s="8" t="s">
        <v>69</v>
      </c>
      <c r="U320" s="8" t="s">
        <v>228</v>
      </c>
      <c r="V320" s="8">
        <v>500</v>
      </c>
      <c r="W320" s="8" t="s">
        <v>328</v>
      </c>
      <c r="X320" s="8">
        <v>3000</v>
      </c>
      <c r="Y320" s="8" t="s">
        <v>268</v>
      </c>
      <c r="Z320" s="8">
        <v>85</v>
      </c>
      <c r="AA320" s="8" t="s">
        <v>278</v>
      </c>
      <c r="AB320" s="8" t="s">
        <v>247</v>
      </c>
      <c r="AC320" s="8" t="s">
        <v>228</v>
      </c>
      <c r="AD320" s="8" t="s">
        <v>228</v>
      </c>
      <c r="AE320" s="8" t="s">
        <v>228</v>
      </c>
      <c r="AF320" s="8" t="s">
        <v>228</v>
      </c>
      <c r="AG320" s="8" t="s">
        <v>228</v>
      </c>
      <c r="AH320" s="8" t="s">
        <v>228</v>
      </c>
      <c r="AI320" s="8" t="s">
        <v>228</v>
      </c>
      <c r="AJ320" t="s">
        <v>468</v>
      </c>
      <c r="AK320">
        <v>1</v>
      </c>
      <c r="AL320">
        <v>1</v>
      </c>
      <c r="AM320" t="s">
        <v>86</v>
      </c>
      <c r="AN320" t="s">
        <v>67</v>
      </c>
      <c r="AO320" t="s">
        <v>526</v>
      </c>
      <c r="AP320" t="s">
        <v>109</v>
      </c>
      <c r="AQ320">
        <v>12</v>
      </c>
      <c r="AR320" t="s">
        <v>521</v>
      </c>
      <c r="AS320" t="s">
        <v>228</v>
      </c>
      <c r="AT320" t="s">
        <v>140</v>
      </c>
      <c r="AU320">
        <v>1</v>
      </c>
      <c r="AV320">
        <v>1</v>
      </c>
      <c r="AW320" t="s">
        <v>406</v>
      </c>
      <c r="AX320" t="s">
        <v>283</v>
      </c>
      <c r="AY320" t="s">
        <v>217</v>
      </c>
      <c r="AZ320">
        <v>1</v>
      </c>
      <c r="BA320" t="s">
        <v>408</v>
      </c>
      <c r="BB320" t="s">
        <v>541</v>
      </c>
      <c r="BC320" t="s">
        <v>395</v>
      </c>
      <c r="BD320" t="s">
        <v>228</v>
      </c>
      <c r="BE320" t="s">
        <v>522</v>
      </c>
      <c r="BF320" t="s">
        <v>523</v>
      </c>
      <c r="BG320" t="s">
        <v>407</v>
      </c>
      <c r="BH320" t="s">
        <v>396</v>
      </c>
      <c r="BI320" t="s">
        <v>524</v>
      </c>
      <c r="BJ320" t="s">
        <v>228</v>
      </c>
      <c r="BK320" t="s">
        <v>543</v>
      </c>
      <c r="BL320" t="s">
        <v>228</v>
      </c>
      <c r="BM320" t="s">
        <v>228</v>
      </c>
      <c r="BN320" t="s">
        <v>228</v>
      </c>
      <c r="BO320" t="s">
        <v>228</v>
      </c>
      <c r="BP320" t="s">
        <v>228</v>
      </c>
      <c r="BQ320" t="s">
        <v>228</v>
      </c>
      <c r="BR320" t="s">
        <v>228</v>
      </c>
      <c r="BS320" t="s">
        <v>409</v>
      </c>
      <c r="BT320">
        <v>1</v>
      </c>
    </row>
    <row r="321" spans="1:72" x14ac:dyDescent="0.15">
      <c r="A321" s="43">
        <v>2023</v>
      </c>
      <c r="B321" s="8">
        <v>1</v>
      </c>
      <c r="C321" s="8">
        <v>1</v>
      </c>
      <c r="D321" s="8">
        <v>15</v>
      </c>
      <c r="E321" s="8" t="s">
        <v>67</v>
      </c>
      <c r="F321" s="8" t="s">
        <v>57</v>
      </c>
      <c r="G321" s="8">
        <v>2016</v>
      </c>
      <c r="H321" s="8">
        <v>12</v>
      </c>
      <c r="I321" s="8" t="s">
        <v>521</v>
      </c>
      <c r="J321" s="8" t="s">
        <v>228</v>
      </c>
      <c r="K321" s="8">
        <v>1983</v>
      </c>
      <c r="L321" s="17">
        <v>1</v>
      </c>
      <c r="M321" s="8">
        <v>1</v>
      </c>
      <c r="N321" s="8" t="s">
        <v>48</v>
      </c>
      <c r="O321" s="8" t="s">
        <v>283</v>
      </c>
      <c r="P321" s="8" t="s">
        <v>217</v>
      </c>
      <c r="Q321" s="8">
        <v>3000</v>
      </c>
      <c r="R321" s="8" t="s">
        <v>57</v>
      </c>
      <c r="S321" s="8" t="s">
        <v>53</v>
      </c>
      <c r="T321" s="8" t="s">
        <v>69</v>
      </c>
      <c r="U321" s="8" t="s">
        <v>228</v>
      </c>
      <c r="V321" s="8">
        <v>500</v>
      </c>
      <c r="W321" s="8" t="s">
        <v>328</v>
      </c>
      <c r="X321" s="8">
        <v>3000</v>
      </c>
      <c r="Y321" s="8" t="s">
        <v>268</v>
      </c>
      <c r="Z321" s="8">
        <v>85</v>
      </c>
      <c r="AA321" s="8" t="s">
        <v>278</v>
      </c>
      <c r="AB321" s="8" t="s">
        <v>247</v>
      </c>
      <c r="AC321" s="8" t="s">
        <v>228</v>
      </c>
      <c r="AD321" s="8" t="s">
        <v>228</v>
      </c>
      <c r="AE321" s="8" t="s">
        <v>228</v>
      </c>
      <c r="AF321" s="8" t="s">
        <v>228</v>
      </c>
      <c r="AG321" s="8" t="s">
        <v>228</v>
      </c>
      <c r="AH321" s="8" t="s">
        <v>228</v>
      </c>
      <c r="AI321" s="8" t="s">
        <v>228</v>
      </c>
      <c r="AJ321" t="s">
        <v>468</v>
      </c>
      <c r="AK321">
        <v>1</v>
      </c>
      <c r="AL321">
        <v>1</v>
      </c>
      <c r="AM321" t="s">
        <v>86</v>
      </c>
      <c r="AN321" t="s">
        <v>67</v>
      </c>
      <c r="AO321" t="s">
        <v>526</v>
      </c>
      <c r="AP321" t="s">
        <v>109</v>
      </c>
      <c r="AQ321">
        <v>12</v>
      </c>
      <c r="AR321" t="s">
        <v>521</v>
      </c>
      <c r="AS321" t="s">
        <v>228</v>
      </c>
      <c r="AT321" t="s">
        <v>140</v>
      </c>
      <c r="AU321">
        <v>1</v>
      </c>
      <c r="AV321">
        <v>1</v>
      </c>
      <c r="AW321" t="s">
        <v>406</v>
      </c>
      <c r="AX321" t="s">
        <v>283</v>
      </c>
      <c r="AY321" t="s">
        <v>217</v>
      </c>
      <c r="AZ321">
        <v>1</v>
      </c>
      <c r="BA321" t="s">
        <v>408</v>
      </c>
      <c r="BB321" t="s">
        <v>542</v>
      </c>
      <c r="BC321" t="s">
        <v>395</v>
      </c>
      <c r="BD321" t="s">
        <v>228</v>
      </c>
      <c r="BE321" t="s">
        <v>522</v>
      </c>
      <c r="BF321" t="s">
        <v>523</v>
      </c>
      <c r="BG321" t="s">
        <v>407</v>
      </c>
      <c r="BH321" t="s">
        <v>396</v>
      </c>
      <c r="BI321" t="s">
        <v>524</v>
      </c>
      <c r="BJ321" t="s">
        <v>228</v>
      </c>
      <c r="BK321" t="s">
        <v>543</v>
      </c>
      <c r="BL321" t="s">
        <v>228</v>
      </c>
      <c r="BM321" t="s">
        <v>228</v>
      </c>
      <c r="BN321" t="s">
        <v>228</v>
      </c>
      <c r="BO321" t="s">
        <v>228</v>
      </c>
      <c r="BP321" t="s">
        <v>228</v>
      </c>
      <c r="BQ321" t="s">
        <v>228</v>
      </c>
      <c r="BR321" t="s">
        <v>228</v>
      </c>
      <c r="BS321" t="s">
        <v>409</v>
      </c>
      <c r="BT321">
        <v>1</v>
      </c>
    </row>
    <row r="322" spans="1:72" x14ac:dyDescent="0.15">
      <c r="A322" s="43">
        <v>2023</v>
      </c>
      <c r="B322" s="8">
        <v>1</v>
      </c>
      <c r="C322" s="8">
        <v>1</v>
      </c>
      <c r="D322" s="8">
        <v>15</v>
      </c>
      <c r="E322" s="8" t="s">
        <v>67</v>
      </c>
      <c r="F322" s="8" t="s">
        <v>57</v>
      </c>
      <c r="G322" s="8">
        <v>2016</v>
      </c>
      <c r="H322" s="8">
        <v>12</v>
      </c>
      <c r="I322" s="8" t="s">
        <v>521</v>
      </c>
      <c r="J322" s="8" t="s">
        <v>228</v>
      </c>
      <c r="K322" s="8">
        <v>1983</v>
      </c>
      <c r="L322" s="17">
        <v>1</v>
      </c>
      <c r="M322" s="8">
        <v>1</v>
      </c>
      <c r="N322" s="8" t="s">
        <v>48</v>
      </c>
      <c r="O322" s="8" t="s">
        <v>283</v>
      </c>
      <c r="P322" s="8" t="s">
        <v>217</v>
      </c>
      <c r="Q322" s="8">
        <v>3000</v>
      </c>
      <c r="R322" s="8" t="s">
        <v>57</v>
      </c>
      <c r="S322" s="8" t="s">
        <v>52</v>
      </c>
      <c r="T322" s="8" t="s">
        <v>69</v>
      </c>
      <c r="U322" s="8" t="s">
        <v>228</v>
      </c>
      <c r="V322" s="8">
        <v>500</v>
      </c>
      <c r="W322" s="8" t="s">
        <v>328</v>
      </c>
      <c r="X322" s="8">
        <v>3000</v>
      </c>
      <c r="Y322" s="8" t="s">
        <v>268</v>
      </c>
      <c r="Z322" s="8">
        <v>85</v>
      </c>
      <c r="AA322" s="8" t="s">
        <v>278</v>
      </c>
      <c r="AB322" s="8" t="s">
        <v>247</v>
      </c>
      <c r="AC322" s="8" t="s">
        <v>228</v>
      </c>
      <c r="AD322" s="8" t="s">
        <v>228</v>
      </c>
      <c r="AE322" s="8" t="s">
        <v>228</v>
      </c>
      <c r="AF322" s="8" t="s">
        <v>228</v>
      </c>
      <c r="AG322" s="8" t="s">
        <v>228</v>
      </c>
      <c r="AH322" s="8" t="s">
        <v>228</v>
      </c>
      <c r="AI322" s="8" t="s">
        <v>228</v>
      </c>
      <c r="AJ322" t="s">
        <v>468</v>
      </c>
      <c r="AK322">
        <v>1</v>
      </c>
      <c r="AL322">
        <v>1</v>
      </c>
      <c r="AM322" t="s">
        <v>86</v>
      </c>
      <c r="AN322" t="s">
        <v>67</v>
      </c>
      <c r="AO322" t="s">
        <v>526</v>
      </c>
      <c r="AP322" t="s">
        <v>109</v>
      </c>
      <c r="AQ322">
        <v>12</v>
      </c>
      <c r="AR322" t="s">
        <v>521</v>
      </c>
      <c r="AS322" t="s">
        <v>228</v>
      </c>
      <c r="AT322" t="s">
        <v>140</v>
      </c>
      <c r="AU322">
        <v>1</v>
      </c>
      <c r="AV322">
        <v>1</v>
      </c>
      <c r="AW322" t="s">
        <v>406</v>
      </c>
      <c r="AX322" t="s">
        <v>283</v>
      </c>
      <c r="AY322" t="s">
        <v>217</v>
      </c>
      <c r="AZ322">
        <v>1</v>
      </c>
      <c r="BA322" t="s">
        <v>408</v>
      </c>
      <c r="BB322" t="s">
        <v>405</v>
      </c>
      <c r="BC322" t="s">
        <v>395</v>
      </c>
      <c r="BD322" t="s">
        <v>228</v>
      </c>
      <c r="BE322" t="s">
        <v>522</v>
      </c>
      <c r="BF322" t="s">
        <v>523</v>
      </c>
      <c r="BG322" t="s">
        <v>407</v>
      </c>
      <c r="BH322" t="s">
        <v>396</v>
      </c>
      <c r="BI322" t="s">
        <v>524</v>
      </c>
      <c r="BJ322" t="s">
        <v>228</v>
      </c>
      <c r="BK322" t="s">
        <v>543</v>
      </c>
      <c r="BL322" t="s">
        <v>228</v>
      </c>
      <c r="BM322" t="s">
        <v>228</v>
      </c>
      <c r="BN322" t="s">
        <v>228</v>
      </c>
      <c r="BO322" t="s">
        <v>228</v>
      </c>
      <c r="BP322" t="s">
        <v>228</v>
      </c>
      <c r="BQ322" t="s">
        <v>228</v>
      </c>
      <c r="BR322" t="s">
        <v>228</v>
      </c>
      <c r="BS322" t="s">
        <v>409</v>
      </c>
      <c r="BT322">
        <v>1</v>
      </c>
    </row>
    <row r="323" spans="1:72" x14ac:dyDescent="0.15">
      <c r="A323" s="43">
        <v>2023</v>
      </c>
      <c r="B323" s="8">
        <v>1</v>
      </c>
      <c r="C323" s="8">
        <v>1</v>
      </c>
      <c r="D323" s="8">
        <v>15</v>
      </c>
      <c r="E323" s="8" t="s">
        <v>67</v>
      </c>
      <c r="F323" s="8" t="s">
        <v>57</v>
      </c>
      <c r="G323" s="8">
        <v>2016</v>
      </c>
      <c r="H323" s="8">
        <v>12</v>
      </c>
      <c r="I323" s="8" t="s">
        <v>521</v>
      </c>
      <c r="J323" s="8" t="s">
        <v>228</v>
      </c>
      <c r="K323" s="8">
        <v>1983</v>
      </c>
      <c r="L323" s="17">
        <v>1</v>
      </c>
      <c r="M323" s="8">
        <v>1</v>
      </c>
      <c r="N323" s="8" t="s">
        <v>48</v>
      </c>
      <c r="O323" s="8" t="s">
        <v>283</v>
      </c>
      <c r="P323" s="8" t="s">
        <v>217</v>
      </c>
      <c r="Q323" s="8">
        <v>3000</v>
      </c>
      <c r="R323" s="8" t="s">
        <v>57</v>
      </c>
      <c r="S323" s="8" t="s">
        <v>54</v>
      </c>
      <c r="T323" s="8" t="s">
        <v>69</v>
      </c>
      <c r="U323" s="8" t="s">
        <v>228</v>
      </c>
      <c r="V323" s="8">
        <v>500</v>
      </c>
      <c r="W323" s="8" t="s">
        <v>328</v>
      </c>
      <c r="X323" s="8">
        <v>3000</v>
      </c>
      <c r="Y323" s="8" t="s">
        <v>271</v>
      </c>
      <c r="Z323" s="8">
        <v>85</v>
      </c>
      <c r="AA323" s="8" t="s">
        <v>278</v>
      </c>
      <c r="AB323" s="8" t="s">
        <v>228</v>
      </c>
      <c r="AC323" s="8" t="s">
        <v>228</v>
      </c>
      <c r="AD323" s="8" t="s">
        <v>228</v>
      </c>
      <c r="AE323" s="8" t="s">
        <v>228</v>
      </c>
      <c r="AF323" s="8" t="s">
        <v>228</v>
      </c>
      <c r="AG323" s="8" t="s">
        <v>228</v>
      </c>
      <c r="AH323" s="8" t="s">
        <v>228</v>
      </c>
      <c r="AI323" s="8" t="s">
        <v>228</v>
      </c>
      <c r="AJ323" t="s">
        <v>468</v>
      </c>
      <c r="AK323">
        <v>1</v>
      </c>
      <c r="AL323">
        <v>1</v>
      </c>
      <c r="AM323" t="s">
        <v>86</v>
      </c>
      <c r="AN323" t="s">
        <v>67</v>
      </c>
      <c r="AO323" t="s">
        <v>526</v>
      </c>
      <c r="AP323" t="s">
        <v>109</v>
      </c>
      <c r="AQ323">
        <v>12</v>
      </c>
      <c r="AR323" t="s">
        <v>521</v>
      </c>
      <c r="AS323" t="s">
        <v>228</v>
      </c>
      <c r="AT323" t="s">
        <v>140</v>
      </c>
      <c r="AU323">
        <v>1</v>
      </c>
      <c r="AV323">
        <v>1</v>
      </c>
      <c r="AW323" t="s">
        <v>406</v>
      </c>
      <c r="AX323" t="s">
        <v>283</v>
      </c>
      <c r="AY323" t="s">
        <v>217</v>
      </c>
      <c r="AZ323">
        <v>1</v>
      </c>
      <c r="BA323" t="s">
        <v>408</v>
      </c>
      <c r="BB323" t="s">
        <v>541</v>
      </c>
      <c r="BC323" t="s">
        <v>395</v>
      </c>
      <c r="BD323" t="s">
        <v>228</v>
      </c>
      <c r="BE323" t="s">
        <v>522</v>
      </c>
      <c r="BF323" t="s">
        <v>523</v>
      </c>
      <c r="BG323" t="s">
        <v>407</v>
      </c>
      <c r="BH323" t="s">
        <v>544</v>
      </c>
      <c r="BI323" t="s">
        <v>524</v>
      </c>
      <c r="BJ323" t="s">
        <v>228</v>
      </c>
      <c r="BK323" t="s">
        <v>228</v>
      </c>
      <c r="BL323" t="s">
        <v>228</v>
      </c>
      <c r="BM323" t="s">
        <v>228</v>
      </c>
      <c r="BN323" t="s">
        <v>228</v>
      </c>
      <c r="BO323" t="s">
        <v>228</v>
      </c>
      <c r="BP323" t="s">
        <v>228</v>
      </c>
      <c r="BQ323" t="s">
        <v>228</v>
      </c>
      <c r="BR323" t="s">
        <v>228</v>
      </c>
      <c r="BS323" t="s">
        <v>409</v>
      </c>
      <c r="BT323">
        <v>1</v>
      </c>
    </row>
    <row r="324" spans="1:72" x14ac:dyDescent="0.15">
      <c r="A324" s="43">
        <v>2023</v>
      </c>
      <c r="B324" s="8">
        <v>1</v>
      </c>
      <c r="C324" s="8">
        <v>1</v>
      </c>
      <c r="D324" s="8">
        <v>15</v>
      </c>
      <c r="E324" s="8" t="s">
        <v>67</v>
      </c>
      <c r="F324" s="8" t="s">
        <v>57</v>
      </c>
      <c r="G324" s="8">
        <v>2016</v>
      </c>
      <c r="H324" s="8">
        <v>12</v>
      </c>
      <c r="I324" s="8" t="s">
        <v>521</v>
      </c>
      <c r="J324" s="8" t="s">
        <v>228</v>
      </c>
      <c r="K324" s="8">
        <v>1983</v>
      </c>
      <c r="L324" s="17">
        <v>1</v>
      </c>
      <c r="M324" s="8">
        <v>1</v>
      </c>
      <c r="N324" s="8" t="s">
        <v>48</v>
      </c>
      <c r="O324" s="8" t="s">
        <v>283</v>
      </c>
      <c r="P324" s="8" t="s">
        <v>217</v>
      </c>
      <c r="Q324" s="8">
        <v>3000</v>
      </c>
      <c r="R324" s="8" t="s">
        <v>57</v>
      </c>
      <c r="S324" s="8" t="s">
        <v>53</v>
      </c>
      <c r="T324" s="8" t="s">
        <v>69</v>
      </c>
      <c r="U324" s="8" t="s">
        <v>228</v>
      </c>
      <c r="V324" s="8">
        <v>500</v>
      </c>
      <c r="W324" s="8" t="s">
        <v>328</v>
      </c>
      <c r="X324" s="8">
        <v>3000</v>
      </c>
      <c r="Y324" s="8" t="s">
        <v>271</v>
      </c>
      <c r="Z324" s="8">
        <v>85</v>
      </c>
      <c r="AA324" s="8" t="s">
        <v>278</v>
      </c>
      <c r="AB324" s="8" t="s">
        <v>228</v>
      </c>
      <c r="AC324" s="8" t="s">
        <v>228</v>
      </c>
      <c r="AD324" s="8" t="s">
        <v>228</v>
      </c>
      <c r="AE324" s="8" t="s">
        <v>228</v>
      </c>
      <c r="AF324" s="8" t="s">
        <v>228</v>
      </c>
      <c r="AG324" s="8" t="s">
        <v>228</v>
      </c>
      <c r="AH324" s="8" t="s">
        <v>228</v>
      </c>
      <c r="AI324" s="8" t="s">
        <v>228</v>
      </c>
      <c r="AJ324" t="s">
        <v>468</v>
      </c>
      <c r="AK324">
        <v>1</v>
      </c>
      <c r="AL324">
        <v>1</v>
      </c>
      <c r="AM324" t="s">
        <v>86</v>
      </c>
      <c r="AN324" t="s">
        <v>67</v>
      </c>
      <c r="AO324" t="s">
        <v>526</v>
      </c>
      <c r="AP324" t="s">
        <v>109</v>
      </c>
      <c r="AQ324">
        <v>12</v>
      </c>
      <c r="AR324" t="s">
        <v>521</v>
      </c>
      <c r="AS324" t="s">
        <v>228</v>
      </c>
      <c r="AT324" t="s">
        <v>140</v>
      </c>
      <c r="AU324">
        <v>1</v>
      </c>
      <c r="AV324">
        <v>1</v>
      </c>
      <c r="AW324" t="s">
        <v>406</v>
      </c>
      <c r="AX324" t="s">
        <v>283</v>
      </c>
      <c r="AY324" t="s">
        <v>217</v>
      </c>
      <c r="AZ324">
        <v>1</v>
      </c>
      <c r="BA324" t="s">
        <v>408</v>
      </c>
      <c r="BB324" t="s">
        <v>542</v>
      </c>
      <c r="BC324" t="s">
        <v>395</v>
      </c>
      <c r="BD324" t="s">
        <v>228</v>
      </c>
      <c r="BE324" t="s">
        <v>522</v>
      </c>
      <c r="BF324" t="s">
        <v>523</v>
      </c>
      <c r="BG324" t="s">
        <v>407</v>
      </c>
      <c r="BH324" t="s">
        <v>544</v>
      </c>
      <c r="BI324" t="s">
        <v>524</v>
      </c>
      <c r="BJ324" t="s">
        <v>228</v>
      </c>
      <c r="BK324" t="s">
        <v>228</v>
      </c>
      <c r="BL324" t="s">
        <v>228</v>
      </c>
      <c r="BM324" t="s">
        <v>228</v>
      </c>
      <c r="BN324" t="s">
        <v>228</v>
      </c>
      <c r="BO324" t="s">
        <v>228</v>
      </c>
      <c r="BP324" t="s">
        <v>228</v>
      </c>
      <c r="BQ324" t="s">
        <v>228</v>
      </c>
      <c r="BR324" t="s">
        <v>228</v>
      </c>
      <c r="BS324" t="s">
        <v>409</v>
      </c>
      <c r="BT324">
        <v>1</v>
      </c>
    </row>
    <row r="325" spans="1:72" x14ac:dyDescent="0.15">
      <c r="A325" s="43">
        <v>2023</v>
      </c>
      <c r="B325" s="8">
        <v>1</v>
      </c>
      <c r="C325" s="8">
        <v>1</v>
      </c>
      <c r="D325" s="8">
        <v>15</v>
      </c>
      <c r="E325" s="8" t="s">
        <v>67</v>
      </c>
      <c r="F325" s="8" t="s">
        <v>57</v>
      </c>
      <c r="G325" s="8">
        <v>2016</v>
      </c>
      <c r="H325" s="8">
        <v>12</v>
      </c>
      <c r="I325" s="8" t="s">
        <v>521</v>
      </c>
      <c r="J325" s="8" t="s">
        <v>228</v>
      </c>
      <c r="K325" s="8">
        <v>1983</v>
      </c>
      <c r="L325" s="17">
        <v>1</v>
      </c>
      <c r="M325" s="8">
        <v>1</v>
      </c>
      <c r="N325" s="8" t="s">
        <v>48</v>
      </c>
      <c r="O325" s="8" t="s">
        <v>283</v>
      </c>
      <c r="P325" s="8" t="s">
        <v>217</v>
      </c>
      <c r="Q325" s="8">
        <v>3000</v>
      </c>
      <c r="R325" s="8" t="s">
        <v>57</v>
      </c>
      <c r="S325" s="8" t="s">
        <v>52</v>
      </c>
      <c r="T325" s="8" t="s">
        <v>69</v>
      </c>
      <c r="U325" s="8" t="s">
        <v>228</v>
      </c>
      <c r="V325" s="8">
        <v>500</v>
      </c>
      <c r="W325" s="8" t="s">
        <v>328</v>
      </c>
      <c r="X325" s="8">
        <v>3000</v>
      </c>
      <c r="Y325" s="8" t="s">
        <v>271</v>
      </c>
      <c r="Z325" s="8">
        <v>85</v>
      </c>
      <c r="AA325" s="8" t="s">
        <v>278</v>
      </c>
      <c r="AB325" s="8" t="s">
        <v>228</v>
      </c>
      <c r="AC325" s="8" t="s">
        <v>228</v>
      </c>
      <c r="AD325" s="8" t="s">
        <v>228</v>
      </c>
      <c r="AE325" s="8" t="s">
        <v>228</v>
      </c>
      <c r="AF325" s="8" t="s">
        <v>228</v>
      </c>
      <c r="AG325" s="8" t="s">
        <v>228</v>
      </c>
      <c r="AH325" s="8" t="s">
        <v>228</v>
      </c>
      <c r="AI325" s="8" t="s">
        <v>228</v>
      </c>
      <c r="AJ325" t="s">
        <v>468</v>
      </c>
      <c r="AK325">
        <v>1</v>
      </c>
      <c r="AL325">
        <v>1</v>
      </c>
      <c r="AM325" t="s">
        <v>86</v>
      </c>
      <c r="AN325" t="s">
        <v>67</v>
      </c>
      <c r="AO325" t="s">
        <v>526</v>
      </c>
      <c r="AP325" t="s">
        <v>109</v>
      </c>
      <c r="AQ325">
        <v>12</v>
      </c>
      <c r="AR325" t="s">
        <v>521</v>
      </c>
      <c r="AS325" t="s">
        <v>228</v>
      </c>
      <c r="AT325" t="s">
        <v>140</v>
      </c>
      <c r="AU325">
        <v>1</v>
      </c>
      <c r="AV325">
        <v>1</v>
      </c>
      <c r="AW325" t="s">
        <v>406</v>
      </c>
      <c r="AX325" t="s">
        <v>283</v>
      </c>
      <c r="AY325" t="s">
        <v>217</v>
      </c>
      <c r="AZ325">
        <v>1</v>
      </c>
      <c r="BA325" t="s">
        <v>408</v>
      </c>
      <c r="BB325" t="s">
        <v>405</v>
      </c>
      <c r="BC325" t="s">
        <v>395</v>
      </c>
      <c r="BD325" t="s">
        <v>228</v>
      </c>
      <c r="BE325" t="s">
        <v>522</v>
      </c>
      <c r="BF325" t="s">
        <v>523</v>
      </c>
      <c r="BG325" t="s">
        <v>407</v>
      </c>
      <c r="BH325" t="s">
        <v>544</v>
      </c>
      <c r="BI325" t="s">
        <v>524</v>
      </c>
      <c r="BJ325" t="s">
        <v>228</v>
      </c>
      <c r="BK325" t="s">
        <v>228</v>
      </c>
      <c r="BL325" t="s">
        <v>228</v>
      </c>
      <c r="BM325" t="s">
        <v>228</v>
      </c>
      <c r="BN325" t="s">
        <v>228</v>
      </c>
      <c r="BO325" t="s">
        <v>228</v>
      </c>
      <c r="BP325" t="s">
        <v>228</v>
      </c>
      <c r="BQ325" t="s">
        <v>228</v>
      </c>
      <c r="BR325" t="s">
        <v>228</v>
      </c>
      <c r="BS325" t="s">
        <v>409</v>
      </c>
      <c r="BT325">
        <v>1</v>
      </c>
    </row>
    <row r="326" spans="1:72" x14ac:dyDescent="0.15">
      <c r="A326" s="43">
        <v>2023</v>
      </c>
      <c r="B326" s="8">
        <v>1</v>
      </c>
      <c r="C326" s="8">
        <v>1</v>
      </c>
      <c r="D326" s="8">
        <v>15</v>
      </c>
      <c r="E326" s="8" t="s">
        <v>67</v>
      </c>
      <c r="F326" s="8" t="s">
        <v>57</v>
      </c>
      <c r="G326" s="8">
        <v>2016</v>
      </c>
      <c r="H326" s="8">
        <v>12</v>
      </c>
      <c r="I326" s="8" t="s">
        <v>521</v>
      </c>
      <c r="J326" s="8" t="s">
        <v>228</v>
      </c>
      <c r="K326" s="8">
        <v>1983</v>
      </c>
      <c r="L326" s="17">
        <v>1</v>
      </c>
      <c r="M326" s="8">
        <v>1</v>
      </c>
      <c r="N326" s="8" t="s">
        <v>48</v>
      </c>
      <c r="O326" s="8" t="s">
        <v>283</v>
      </c>
      <c r="P326" s="8" t="s">
        <v>217</v>
      </c>
      <c r="Q326" s="8">
        <v>3000</v>
      </c>
      <c r="R326" s="8" t="s">
        <v>57</v>
      </c>
      <c r="S326" s="8" t="s">
        <v>54</v>
      </c>
      <c r="T326" s="8" t="s">
        <v>69</v>
      </c>
      <c r="U326" s="8" t="s">
        <v>228</v>
      </c>
      <c r="V326" s="8">
        <v>500</v>
      </c>
      <c r="W326" s="8" t="s">
        <v>328</v>
      </c>
      <c r="X326" s="8">
        <v>3000</v>
      </c>
      <c r="Y326" s="8" t="s">
        <v>271</v>
      </c>
      <c r="Z326" s="8">
        <v>85</v>
      </c>
      <c r="AA326" s="8" t="s">
        <v>278</v>
      </c>
      <c r="AB326" s="8" t="s">
        <v>247</v>
      </c>
      <c r="AC326" s="8" t="s">
        <v>228</v>
      </c>
      <c r="AD326" s="8" t="s">
        <v>228</v>
      </c>
      <c r="AE326" s="8" t="s">
        <v>228</v>
      </c>
      <c r="AF326" s="8" t="s">
        <v>228</v>
      </c>
      <c r="AG326" s="8" t="s">
        <v>228</v>
      </c>
      <c r="AH326" s="8" t="s">
        <v>228</v>
      </c>
      <c r="AI326" s="8" t="s">
        <v>228</v>
      </c>
      <c r="AJ326" t="s">
        <v>468</v>
      </c>
      <c r="AK326">
        <v>1</v>
      </c>
      <c r="AL326">
        <v>1</v>
      </c>
      <c r="AM326" t="s">
        <v>86</v>
      </c>
      <c r="AN326" t="s">
        <v>67</v>
      </c>
      <c r="AO326" t="s">
        <v>526</v>
      </c>
      <c r="AP326" t="s">
        <v>109</v>
      </c>
      <c r="AQ326">
        <v>12</v>
      </c>
      <c r="AR326" t="s">
        <v>521</v>
      </c>
      <c r="AS326" t="s">
        <v>228</v>
      </c>
      <c r="AT326" t="s">
        <v>140</v>
      </c>
      <c r="AU326">
        <v>1</v>
      </c>
      <c r="AV326">
        <v>1</v>
      </c>
      <c r="AW326" t="s">
        <v>406</v>
      </c>
      <c r="AX326" t="s">
        <v>283</v>
      </c>
      <c r="AY326" t="s">
        <v>217</v>
      </c>
      <c r="AZ326">
        <v>1</v>
      </c>
      <c r="BA326" t="s">
        <v>408</v>
      </c>
      <c r="BB326" t="s">
        <v>541</v>
      </c>
      <c r="BC326" t="s">
        <v>395</v>
      </c>
      <c r="BD326" t="s">
        <v>228</v>
      </c>
      <c r="BE326" t="s">
        <v>522</v>
      </c>
      <c r="BF326" t="s">
        <v>523</v>
      </c>
      <c r="BG326" t="s">
        <v>407</v>
      </c>
      <c r="BH326" t="s">
        <v>544</v>
      </c>
      <c r="BI326" t="s">
        <v>524</v>
      </c>
      <c r="BJ326" t="s">
        <v>228</v>
      </c>
      <c r="BK326" t="s">
        <v>543</v>
      </c>
      <c r="BL326" t="s">
        <v>228</v>
      </c>
      <c r="BM326" t="s">
        <v>228</v>
      </c>
      <c r="BN326" t="s">
        <v>228</v>
      </c>
      <c r="BO326" t="s">
        <v>228</v>
      </c>
      <c r="BP326" t="s">
        <v>228</v>
      </c>
      <c r="BQ326" t="s">
        <v>228</v>
      </c>
      <c r="BR326" t="s">
        <v>228</v>
      </c>
      <c r="BS326" t="s">
        <v>409</v>
      </c>
      <c r="BT326">
        <v>1</v>
      </c>
    </row>
    <row r="327" spans="1:72" x14ac:dyDescent="0.15">
      <c r="A327" s="43">
        <v>2023</v>
      </c>
      <c r="B327" s="8">
        <v>1</v>
      </c>
      <c r="C327" s="8">
        <v>1</v>
      </c>
      <c r="D327" s="8">
        <v>15</v>
      </c>
      <c r="E327" s="8" t="s">
        <v>67</v>
      </c>
      <c r="F327" s="8" t="s">
        <v>57</v>
      </c>
      <c r="G327" s="8">
        <v>2016</v>
      </c>
      <c r="H327" s="8">
        <v>12</v>
      </c>
      <c r="I327" s="8" t="s">
        <v>521</v>
      </c>
      <c r="J327" s="8" t="s">
        <v>228</v>
      </c>
      <c r="K327" s="8">
        <v>1983</v>
      </c>
      <c r="L327" s="17">
        <v>1</v>
      </c>
      <c r="M327" s="8">
        <v>1</v>
      </c>
      <c r="N327" s="8" t="s">
        <v>48</v>
      </c>
      <c r="O327" s="8" t="s">
        <v>283</v>
      </c>
      <c r="P327" s="8" t="s">
        <v>217</v>
      </c>
      <c r="Q327" s="8">
        <v>3000</v>
      </c>
      <c r="R327" s="8" t="s">
        <v>57</v>
      </c>
      <c r="S327" s="8" t="s">
        <v>53</v>
      </c>
      <c r="T327" s="8" t="s">
        <v>69</v>
      </c>
      <c r="U327" s="8" t="s">
        <v>228</v>
      </c>
      <c r="V327" s="8">
        <v>500</v>
      </c>
      <c r="W327" s="8" t="s">
        <v>328</v>
      </c>
      <c r="X327" s="8">
        <v>3000</v>
      </c>
      <c r="Y327" s="8" t="s">
        <v>271</v>
      </c>
      <c r="Z327" s="8">
        <v>85</v>
      </c>
      <c r="AA327" s="8" t="s">
        <v>278</v>
      </c>
      <c r="AB327" s="8" t="s">
        <v>247</v>
      </c>
      <c r="AC327" s="8" t="s">
        <v>228</v>
      </c>
      <c r="AD327" s="8" t="s">
        <v>228</v>
      </c>
      <c r="AE327" s="8" t="s">
        <v>228</v>
      </c>
      <c r="AF327" s="8" t="s">
        <v>228</v>
      </c>
      <c r="AG327" s="8" t="s">
        <v>228</v>
      </c>
      <c r="AH327" s="8" t="s">
        <v>228</v>
      </c>
      <c r="AI327" s="8" t="s">
        <v>228</v>
      </c>
      <c r="AJ327" t="s">
        <v>468</v>
      </c>
      <c r="AK327">
        <v>1</v>
      </c>
      <c r="AL327">
        <v>1</v>
      </c>
      <c r="AM327" t="s">
        <v>86</v>
      </c>
      <c r="AN327" t="s">
        <v>67</v>
      </c>
      <c r="AO327" t="s">
        <v>526</v>
      </c>
      <c r="AP327" t="s">
        <v>109</v>
      </c>
      <c r="AQ327">
        <v>12</v>
      </c>
      <c r="AR327" t="s">
        <v>521</v>
      </c>
      <c r="AS327" t="s">
        <v>228</v>
      </c>
      <c r="AT327" t="s">
        <v>140</v>
      </c>
      <c r="AU327">
        <v>1</v>
      </c>
      <c r="AV327">
        <v>1</v>
      </c>
      <c r="AW327" t="s">
        <v>406</v>
      </c>
      <c r="AX327" t="s">
        <v>283</v>
      </c>
      <c r="AY327" t="s">
        <v>217</v>
      </c>
      <c r="AZ327">
        <v>1</v>
      </c>
      <c r="BA327" t="s">
        <v>408</v>
      </c>
      <c r="BB327" t="s">
        <v>542</v>
      </c>
      <c r="BC327" t="s">
        <v>395</v>
      </c>
      <c r="BD327" t="s">
        <v>228</v>
      </c>
      <c r="BE327" t="s">
        <v>522</v>
      </c>
      <c r="BF327" t="s">
        <v>523</v>
      </c>
      <c r="BG327" t="s">
        <v>407</v>
      </c>
      <c r="BH327" t="s">
        <v>544</v>
      </c>
      <c r="BI327" t="s">
        <v>524</v>
      </c>
      <c r="BJ327" t="s">
        <v>228</v>
      </c>
      <c r="BK327" t="s">
        <v>543</v>
      </c>
      <c r="BL327" t="s">
        <v>228</v>
      </c>
      <c r="BM327" t="s">
        <v>228</v>
      </c>
      <c r="BN327" t="s">
        <v>228</v>
      </c>
      <c r="BO327" t="s">
        <v>228</v>
      </c>
      <c r="BP327" t="s">
        <v>228</v>
      </c>
      <c r="BQ327" t="s">
        <v>228</v>
      </c>
      <c r="BR327" t="s">
        <v>228</v>
      </c>
      <c r="BS327" t="s">
        <v>409</v>
      </c>
      <c r="BT327">
        <v>1</v>
      </c>
    </row>
    <row r="328" spans="1:72" x14ac:dyDescent="0.15">
      <c r="A328" s="43">
        <v>2023</v>
      </c>
      <c r="B328" s="8">
        <v>1</v>
      </c>
      <c r="C328" s="8">
        <v>1</v>
      </c>
      <c r="D328" s="8">
        <v>15</v>
      </c>
      <c r="E328" s="8" t="s">
        <v>67</v>
      </c>
      <c r="F328" s="8" t="s">
        <v>57</v>
      </c>
      <c r="G328" s="8">
        <v>2016</v>
      </c>
      <c r="H328" s="8">
        <v>12</v>
      </c>
      <c r="I328" s="8" t="s">
        <v>521</v>
      </c>
      <c r="J328" s="8" t="s">
        <v>228</v>
      </c>
      <c r="K328" s="8">
        <v>1983</v>
      </c>
      <c r="L328" s="17">
        <v>1</v>
      </c>
      <c r="M328" s="8">
        <v>1</v>
      </c>
      <c r="N328" s="8" t="s">
        <v>48</v>
      </c>
      <c r="O328" s="8" t="s">
        <v>283</v>
      </c>
      <c r="P328" s="8" t="s">
        <v>217</v>
      </c>
      <c r="Q328" s="8">
        <v>3000</v>
      </c>
      <c r="R328" s="8" t="s">
        <v>57</v>
      </c>
      <c r="S328" s="8" t="s">
        <v>52</v>
      </c>
      <c r="T328" s="8" t="s">
        <v>69</v>
      </c>
      <c r="U328" s="8" t="s">
        <v>228</v>
      </c>
      <c r="V328" s="8">
        <v>500</v>
      </c>
      <c r="W328" s="8" t="s">
        <v>328</v>
      </c>
      <c r="X328" s="8">
        <v>3000</v>
      </c>
      <c r="Y328" s="8" t="s">
        <v>271</v>
      </c>
      <c r="Z328" s="8">
        <v>85</v>
      </c>
      <c r="AA328" s="8" t="s">
        <v>278</v>
      </c>
      <c r="AB328" s="8" t="s">
        <v>247</v>
      </c>
      <c r="AC328" s="8" t="s">
        <v>228</v>
      </c>
      <c r="AD328" s="8" t="s">
        <v>228</v>
      </c>
      <c r="AE328" s="8" t="s">
        <v>228</v>
      </c>
      <c r="AF328" s="8" t="s">
        <v>228</v>
      </c>
      <c r="AG328" s="8" t="s">
        <v>228</v>
      </c>
      <c r="AH328" s="8" t="s">
        <v>228</v>
      </c>
      <c r="AI328" s="8" t="s">
        <v>228</v>
      </c>
      <c r="AJ328" t="s">
        <v>468</v>
      </c>
      <c r="AK328">
        <v>1</v>
      </c>
      <c r="AL328">
        <v>1</v>
      </c>
      <c r="AM328" t="s">
        <v>86</v>
      </c>
      <c r="AN328" t="s">
        <v>67</v>
      </c>
      <c r="AO328" t="s">
        <v>526</v>
      </c>
      <c r="AP328" t="s">
        <v>109</v>
      </c>
      <c r="AQ328">
        <v>12</v>
      </c>
      <c r="AR328" t="s">
        <v>521</v>
      </c>
      <c r="AS328" t="s">
        <v>228</v>
      </c>
      <c r="AT328" t="s">
        <v>140</v>
      </c>
      <c r="AU328">
        <v>1</v>
      </c>
      <c r="AV328">
        <v>1</v>
      </c>
      <c r="AW328" t="s">
        <v>406</v>
      </c>
      <c r="AX328" t="s">
        <v>283</v>
      </c>
      <c r="AY328" t="s">
        <v>217</v>
      </c>
      <c r="AZ328">
        <v>1</v>
      </c>
      <c r="BA328" t="s">
        <v>408</v>
      </c>
      <c r="BB328" t="s">
        <v>405</v>
      </c>
      <c r="BC328" t="s">
        <v>395</v>
      </c>
      <c r="BD328" t="s">
        <v>228</v>
      </c>
      <c r="BE328" t="s">
        <v>522</v>
      </c>
      <c r="BF328" t="s">
        <v>523</v>
      </c>
      <c r="BG328" t="s">
        <v>407</v>
      </c>
      <c r="BH328" t="s">
        <v>544</v>
      </c>
      <c r="BI328" t="s">
        <v>524</v>
      </c>
      <c r="BJ328" t="s">
        <v>228</v>
      </c>
      <c r="BK328" t="s">
        <v>543</v>
      </c>
      <c r="BL328" t="s">
        <v>228</v>
      </c>
      <c r="BM328" t="s">
        <v>228</v>
      </c>
      <c r="BN328" t="s">
        <v>228</v>
      </c>
      <c r="BO328" t="s">
        <v>228</v>
      </c>
      <c r="BP328" t="s">
        <v>228</v>
      </c>
      <c r="BQ328" t="s">
        <v>228</v>
      </c>
      <c r="BR328" t="s">
        <v>228</v>
      </c>
      <c r="BS328" t="s">
        <v>409</v>
      </c>
      <c r="BT328">
        <v>0</v>
      </c>
    </row>
    <row r="329" spans="1:72" x14ac:dyDescent="0.15">
      <c r="A329" s="43">
        <v>2023</v>
      </c>
      <c r="B329" s="8">
        <v>1</v>
      </c>
      <c r="C329" s="8">
        <v>1</v>
      </c>
      <c r="D329" s="8">
        <v>14</v>
      </c>
      <c r="E329" s="8" t="s">
        <v>67</v>
      </c>
      <c r="F329" s="8" t="s">
        <v>57</v>
      </c>
      <c r="G329" s="8">
        <v>2016</v>
      </c>
      <c r="H329" s="8">
        <v>12</v>
      </c>
      <c r="I329" s="8" t="s">
        <v>521</v>
      </c>
      <c r="J329" s="8" t="s">
        <v>228</v>
      </c>
      <c r="K329" s="8">
        <v>1983</v>
      </c>
      <c r="L329" s="17">
        <v>1</v>
      </c>
      <c r="M329" s="8">
        <v>1</v>
      </c>
      <c r="N329" s="8" t="s">
        <v>48</v>
      </c>
      <c r="O329" s="8" t="s">
        <v>283</v>
      </c>
      <c r="P329" s="8" t="s">
        <v>217</v>
      </c>
      <c r="Q329" s="8">
        <v>3000</v>
      </c>
      <c r="R329" s="8" t="s">
        <v>57</v>
      </c>
      <c r="S329" s="8" t="s">
        <v>54</v>
      </c>
      <c r="T329" s="8" t="s">
        <v>69</v>
      </c>
      <c r="U329" s="8" t="s">
        <v>228</v>
      </c>
      <c r="V329" s="8">
        <v>500</v>
      </c>
      <c r="W329" s="8" t="s">
        <v>328</v>
      </c>
      <c r="X329" s="8">
        <v>3000</v>
      </c>
      <c r="Y329" s="8" t="s">
        <v>268</v>
      </c>
      <c r="Z329" s="8">
        <v>85</v>
      </c>
      <c r="AA329" s="8" t="s">
        <v>278</v>
      </c>
      <c r="AB329" s="8" t="s">
        <v>228</v>
      </c>
      <c r="AC329" s="8" t="s">
        <v>228</v>
      </c>
      <c r="AD329" s="8" t="s">
        <v>228</v>
      </c>
      <c r="AE329" s="8" t="s">
        <v>228</v>
      </c>
      <c r="AF329" s="8" t="s">
        <v>228</v>
      </c>
      <c r="AG329" s="8" t="s">
        <v>228</v>
      </c>
      <c r="AH329" s="8" t="s">
        <v>228</v>
      </c>
      <c r="AI329" s="8" t="s">
        <v>228</v>
      </c>
      <c r="AJ329" t="s">
        <v>468</v>
      </c>
      <c r="AK329">
        <v>1</v>
      </c>
      <c r="AL329">
        <v>1</v>
      </c>
      <c r="AM329" t="s">
        <v>87</v>
      </c>
      <c r="AN329" t="s">
        <v>67</v>
      </c>
      <c r="AO329" t="s">
        <v>526</v>
      </c>
      <c r="AP329" t="s">
        <v>109</v>
      </c>
      <c r="AQ329">
        <v>12</v>
      </c>
      <c r="AR329" t="s">
        <v>521</v>
      </c>
      <c r="AS329" t="s">
        <v>228</v>
      </c>
      <c r="AT329" t="s">
        <v>140</v>
      </c>
      <c r="AU329">
        <v>1</v>
      </c>
      <c r="AV329">
        <v>1</v>
      </c>
      <c r="AW329" t="s">
        <v>406</v>
      </c>
      <c r="AX329" t="s">
        <v>283</v>
      </c>
      <c r="AY329" t="s">
        <v>217</v>
      </c>
      <c r="AZ329">
        <v>1</v>
      </c>
      <c r="BA329" t="s">
        <v>408</v>
      </c>
      <c r="BB329" t="s">
        <v>541</v>
      </c>
      <c r="BC329" t="s">
        <v>395</v>
      </c>
      <c r="BD329" t="s">
        <v>228</v>
      </c>
      <c r="BE329" t="s">
        <v>522</v>
      </c>
      <c r="BF329" t="s">
        <v>523</v>
      </c>
      <c r="BG329" t="s">
        <v>407</v>
      </c>
      <c r="BH329" t="s">
        <v>396</v>
      </c>
      <c r="BI329" t="s">
        <v>524</v>
      </c>
      <c r="BJ329" t="s">
        <v>228</v>
      </c>
      <c r="BK329" t="s">
        <v>228</v>
      </c>
      <c r="BL329" t="s">
        <v>228</v>
      </c>
      <c r="BM329" t="s">
        <v>228</v>
      </c>
      <c r="BN329" t="s">
        <v>228</v>
      </c>
      <c r="BO329" t="s">
        <v>228</v>
      </c>
      <c r="BP329" t="s">
        <v>228</v>
      </c>
      <c r="BQ329" t="s">
        <v>228</v>
      </c>
      <c r="BR329" t="s">
        <v>228</v>
      </c>
      <c r="BS329" t="s">
        <v>409</v>
      </c>
      <c r="BT329">
        <v>1</v>
      </c>
    </row>
    <row r="330" spans="1:72" x14ac:dyDescent="0.15">
      <c r="A330" s="43">
        <v>2023</v>
      </c>
      <c r="B330" s="8">
        <v>1</v>
      </c>
      <c r="C330" s="8">
        <v>1</v>
      </c>
      <c r="D330" s="8">
        <v>14</v>
      </c>
      <c r="E330" s="8" t="s">
        <v>67</v>
      </c>
      <c r="F330" s="8" t="s">
        <v>57</v>
      </c>
      <c r="G330" s="8">
        <v>2016</v>
      </c>
      <c r="H330" s="8">
        <v>12</v>
      </c>
      <c r="I330" s="8" t="s">
        <v>521</v>
      </c>
      <c r="J330" s="8" t="s">
        <v>228</v>
      </c>
      <c r="K330" s="8">
        <v>1983</v>
      </c>
      <c r="L330" s="17">
        <v>1</v>
      </c>
      <c r="M330" s="8">
        <v>1</v>
      </c>
      <c r="N330" s="8" t="s">
        <v>48</v>
      </c>
      <c r="O330" s="8" t="s">
        <v>283</v>
      </c>
      <c r="P330" s="8" t="s">
        <v>217</v>
      </c>
      <c r="Q330" s="8">
        <v>3000</v>
      </c>
      <c r="R330" s="8" t="s">
        <v>57</v>
      </c>
      <c r="S330" s="8" t="s">
        <v>53</v>
      </c>
      <c r="T330" s="8" t="s">
        <v>69</v>
      </c>
      <c r="U330" s="8" t="s">
        <v>228</v>
      </c>
      <c r="V330" s="8">
        <v>500</v>
      </c>
      <c r="W330" s="8" t="s">
        <v>328</v>
      </c>
      <c r="X330" s="8">
        <v>3000</v>
      </c>
      <c r="Y330" s="8" t="s">
        <v>268</v>
      </c>
      <c r="Z330" s="8">
        <v>85</v>
      </c>
      <c r="AA330" s="8" t="s">
        <v>278</v>
      </c>
      <c r="AB330" s="8" t="s">
        <v>228</v>
      </c>
      <c r="AC330" s="8" t="s">
        <v>228</v>
      </c>
      <c r="AD330" s="8" t="s">
        <v>228</v>
      </c>
      <c r="AE330" s="8" t="s">
        <v>228</v>
      </c>
      <c r="AF330" s="8" t="s">
        <v>228</v>
      </c>
      <c r="AG330" s="8" t="s">
        <v>228</v>
      </c>
      <c r="AH330" s="8" t="s">
        <v>228</v>
      </c>
      <c r="AI330" s="8" t="s">
        <v>228</v>
      </c>
      <c r="AJ330" t="s">
        <v>468</v>
      </c>
      <c r="AK330">
        <v>1</v>
      </c>
      <c r="AL330">
        <v>1</v>
      </c>
      <c r="AM330" t="s">
        <v>87</v>
      </c>
      <c r="AN330" t="s">
        <v>67</v>
      </c>
      <c r="AO330" t="s">
        <v>526</v>
      </c>
      <c r="AP330" t="s">
        <v>109</v>
      </c>
      <c r="AQ330">
        <v>12</v>
      </c>
      <c r="AR330" t="s">
        <v>521</v>
      </c>
      <c r="AS330" t="s">
        <v>228</v>
      </c>
      <c r="AT330" t="s">
        <v>140</v>
      </c>
      <c r="AU330">
        <v>1</v>
      </c>
      <c r="AV330">
        <v>1</v>
      </c>
      <c r="AW330" t="s">
        <v>406</v>
      </c>
      <c r="AX330" t="s">
        <v>283</v>
      </c>
      <c r="AY330" t="s">
        <v>217</v>
      </c>
      <c r="AZ330">
        <v>1</v>
      </c>
      <c r="BA330" t="s">
        <v>408</v>
      </c>
      <c r="BB330" t="s">
        <v>542</v>
      </c>
      <c r="BC330" t="s">
        <v>395</v>
      </c>
      <c r="BD330" t="s">
        <v>228</v>
      </c>
      <c r="BE330" t="s">
        <v>522</v>
      </c>
      <c r="BF330" t="s">
        <v>523</v>
      </c>
      <c r="BG330" t="s">
        <v>407</v>
      </c>
      <c r="BH330" t="s">
        <v>396</v>
      </c>
      <c r="BI330" t="s">
        <v>524</v>
      </c>
      <c r="BJ330" t="s">
        <v>228</v>
      </c>
      <c r="BK330" t="s">
        <v>228</v>
      </c>
      <c r="BL330" t="s">
        <v>228</v>
      </c>
      <c r="BM330" t="s">
        <v>228</v>
      </c>
      <c r="BN330" t="s">
        <v>228</v>
      </c>
      <c r="BO330" t="s">
        <v>228</v>
      </c>
      <c r="BP330" t="s">
        <v>228</v>
      </c>
      <c r="BQ330" t="s">
        <v>228</v>
      </c>
      <c r="BR330" t="s">
        <v>228</v>
      </c>
      <c r="BS330" t="s">
        <v>409</v>
      </c>
      <c r="BT330">
        <v>1</v>
      </c>
    </row>
    <row r="331" spans="1:72" x14ac:dyDescent="0.15">
      <c r="A331" s="43">
        <v>2023</v>
      </c>
      <c r="B331" s="8">
        <v>1</v>
      </c>
      <c r="C331" s="8">
        <v>1</v>
      </c>
      <c r="D331" s="8">
        <v>14</v>
      </c>
      <c r="E331" s="8" t="s">
        <v>67</v>
      </c>
      <c r="F331" s="8" t="s">
        <v>57</v>
      </c>
      <c r="G331" s="8">
        <v>2016</v>
      </c>
      <c r="H331" s="8">
        <v>12</v>
      </c>
      <c r="I331" s="8" t="s">
        <v>521</v>
      </c>
      <c r="J331" s="8" t="s">
        <v>228</v>
      </c>
      <c r="K331" s="8">
        <v>1983</v>
      </c>
      <c r="L331" s="17">
        <v>1</v>
      </c>
      <c r="M331" s="8">
        <v>1</v>
      </c>
      <c r="N331" s="8" t="s">
        <v>48</v>
      </c>
      <c r="O331" s="8" t="s">
        <v>283</v>
      </c>
      <c r="P331" s="8" t="s">
        <v>217</v>
      </c>
      <c r="Q331" s="8">
        <v>3000</v>
      </c>
      <c r="R331" s="8" t="s">
        <v>57</v>
      </c>
      <c r="S331" s="8" t="s">
        <v>52</v>
      </c>
      <c r="T331" s="8" t="s">
        <v>69</v>
      </c>
      <c r="U331" s="8" t="s">
        <v>228</v>
      </c>
      <c r="V331" s="8">
        <v>500</v>
      </c>
      <c r="W331" s="8" t="s">
        <v>328</v>
      </c>
      <c r="X331" s="8">
        <v>3000</v>
      </c>
      <c r="Y331" s="8" t="s">
        <v>268</v>
      </c>
      <c r="Z331" s="8">
        <v>85</v>
      </c>
      <c r="AA331" s="8" t="s">
        <v>278</v>
      </c>
      <c r="AB331" s="8" t="s">
        <v>228</v>
      </c>
      <c r="AC331" s="8" t="s">
        <v>228</v>
      </c>
      <c r="AD331" s="8" t="s">
        <v>228</v>
      </c>
      <c r="AE331" s="8" t="s">
        <v>228</v>
      </c>
      <c r="AF331" s="8" t="s">
        <v>228</v>
      </c>
      <c r="AG331" s="8" t="s">
        <v>228</v>
      </c>
      <c r="AH331" s="8" t="s">
        <v>228</v>
      </c>
      <c r="AI331" s="8" t="s">
        <v>228</v>
      </c>
      <c r="AJ331" t="s">
        <v>468</v>
      </c>
      <c r="AK331">
        <v>1</v>
      </c>
      <c r="AL331">
        <v>1</v>
      </c>
      <c r="AM331" t="s">
        <v>87</v>
      </c>
      <c r="AN331" t="s">
        <v>67</v>
      </c>
      <c r="AO331" t="s">
        <v>526</v>
      </c>
      <c r="AP331" t="s">
        <v>109</v>
      </c>
      <c r="AQ331">
        <v>12</v>
      </c>
      <c r="AR331" t="s">
        <v>521</v>
      </c>
      <c r="AS331" t="s">
        <v>228</v>
      </c>
      <c r="AT331" t="s">
        <v>140</v>
      </c>
      <c r="AU331">
        <v>1</v>
      </c>
      <c r="AV331">
        <v>1</v>
      </c>
      <c r="AW331" t="s">
        <v>406</v>
      </c>
      <c r="AX331" t="s">
        <v>283</v>
      </c>
      <c r="AY331" t="s">
        <v>217</v>
      </c>
      <c r="AZ331">
        <v>1</v>
      </c>
      <c r="BA331" t="s">
        <v>408</v>
      </c>
      <c r="BB331" t="s">
        <v>405</v>
      </c>
      <c r="BC331" t="s">
        <v>395</v>
      </c>
      <c r="BD331" t="s">
        <v>228</v>
      </c>
      <c r="BE331" t="s">
        <v>522</v>
      </c>
      <c r="BF331" t="s">
        <v>523</v>
      </c>
      <c r="BG331" t="s">
        <v>407</v>
      </c>
      <c r="BH331" t="s">
        <v>396</v>
      </c>
      <c r="BI331" t="s">
        <v>524</v>
      </c>
      <c r="BJ331" t="s">
        <v>228</v>
      </c>
      <c r="BK331" t="s">
        <v>228</v>
      </c>
      <c r="BL331" t="s">
        <v>228</v>
      </c>
      <c r="BM331" t="s">
        <v>228</v>
      </c>
      <c r="BN331" t="s">
        <v>228</v>
      </c>
      <c r="BO331" t="s">
        <v>228</v>
      </c>
      <c r="BP331" t="s">
        <v>228</v>
      </c>
      <c r="BQ331" t="s">
        <v>228</v>
      </c>
      <c r="BR331" t="s">
        <v>228</v>
      </c>
      <c r="BS331" t="s">
        <v>409</v>
      </c>
      <c r="BT331">
        <v>1</v>
      </c>
    </row>
    <row r="332" spans="1:72" x14ac:dyDescent="0.15">
      <c r="A332" s="43">
        <v>2023</v>
      </c>
      <c r="B332" s="8">
        <v>1</v>
      </c>
      <c r="C332" s="8">
        <v>1</v>
      </c>
      <c r="D332" s="8">
        <v>14</v>
      </c>
      <c r="E332" s="8" t="s">
        <v>67</v>
      </c>
      <c r="F332" s="8" t="s">
        <v>57</v>
      </c>
      <c r="G332" s="8">
        <v>2016</v>
      </c>
      <c r="H332" s="8">
        <v>12</v>
      </c>
      <c r="I332" s="8" t="s">
        <v>521</v>
      </c>
      <c r="J332" s="8" t="s">
        <v>228</v>
      </c>
      <c r="K332" s="8">
        <v>1983</v>
      </c>
      <c r="L332" s="17">
        <v>1</v>
      </c>
      <c r="M332" s="8">
        <v>1</v>
      </c>
      <c r="N332" s="8" t="s">
        <v>48</v>
      </c>
      <c r="O332" s="8" t="s">
        <v>283</v>
      </c>
      <c r="P332" s="8" t="s">
        <v>217</v>
      </c>
      <c r="Q332" s="8">
        <v>3000</v>
      </c>
      <c r="R332" s="8" t="s">
        <v>57</v>
      </c>
      <c r="S332" s="8" t="s">
        <v>54</v>
      </c>
      <c r="T332" s="8" t="s">
        <v>69</v>
      </c>
      <c r="U332" s="8" t="s">
        <v>228</v>
      </c>
      <c r="V332" s="8">
        <v>500</v>
      </c>
      <c r="W332" s="8" t="s">
        <v>328</v>
      </c>
      <c r="X332" s="8">
        <v>3000</v>
      </c>
      <c r="Y332" s="8" t="s">
        <v>268</v>
      </c>
      <c r="Z332" s="8">
        <v>85</v>
      </c>
      <c r="AA332" s="8" t="s">
        <v>278</v>
      </c>
      <c r="AB332" s="8" t="s">
        <v>247</v>
      </c>
      <c r="AC332" s="8" t="s">
        <v>228</v>
      </c>
      <c r="AD332" s="8" t="s">
        <v>228</v>
      </c>
      <c r="AE332" s="8" t="s">
        <v>228</v>
      </c>
      <c r="AF332" s="8" t="s">
        <v>228</v>
      </c>
      <c r="AG332" s="8" t="s">
        <v>228</v>
      </c>
      <c r="AH332" s="8" t="s">
        <v>228</v>
      </c>
      <c r="AI332" s="8" t="s">
        <v>228</v>
      </c>
      <c r="AJ332" t="s">
        <v>468</v>
      </c>
      <c r="AK332">
        <v>1</v>
      </c>
      <c r="AL332">
        <v>1</v>
      </c>
      <c r="AM332" t="s">
        <v>87</v>
      </c>
      <c r="AN332" t="s">
        <v>67</v>
      </c>
      <c r="AO332" t="s">
        <v>526</v>
      </c>
      <c r="AP332" t="s">
        <v>109</v>
      </c>
      <c r="AQ332">
        <v>12</v>
      </c>
      <c r="AR332" t="s">
        <v>521</v>
      </c>
      <c r="AS332" t="s">
        <v>228</v>
      </c>
      <c r="AT332" t="s">
        <v>140</v>
      </c>
      <c r="AU332">
        <v>1</v>
      </c>
      <c r="AV332">
        <v>1</v>
      </c>
      <c r="AW332" t="s">
        <v>406</v>
      </c>
      <c r="AX332" t="s">
        <v>283</v>
      </c>
      <c r="AY332" t="s">
        <v>217</v>
      </c>
      <c r="AZ332">
        <v>1</v>
      </c>
      <c r="BA332" t="s">
        <v>408</v>
      </c>
      <c r="BB332" t="s">
        <v>541</v>
      </c>
      <c r="BC332" t="s">
        <v>395</v>
      </c>
      <c r="BD332" t="s">
        <v>228</v>
      </c>
      <c r="BE332" t="s">
        <v>522</v>
      </c>
      <c r="BF332" t="s">
        <v>523</v>
      </c>
      <c r="BG332" t="s">
        <v>407</v>
      </c>
      <c r="BH332" t="s">
        <v>396</v>
      </c>
      <c r="BI332" t="s">
        <v>524</v>
      </c>
      <c r="BJ332" t="s">
        <v>228</v>
      </c>
      <c r="BK332" t="s">
        <v>543</v>
      </c>
      <c r="BL332" t="s">
        <v>228</v>
      </c>
      <c r="BM332" t="s">
        <v>228</v>
      </c>
      <c r="BN332" t="s">
        <v>228</v>
      </c>
      <c r="BO332" t="s">
        <v>228</v>
      </c>
      <c r="BP332" t="s">
        <v>228</v>
      </c>
      <c r="BQ332" t="s">
        <v>228</v>
      </c>
      <c r="BR332" t="s">
        <v>228</v>
      </c>
      <c r="BS332" t="s">
        <v>409</v>
      </c>
      <c r="BT332">
        <v>1</v>
      </c>
    </row>
    <row r="333" spans="1:72" x14ac:dyDescent="0.15">
      <c r="A333" s="43">
        <v>2023</v>
      </c>
      <c r="B333" s="8">
        <v>1</v>
      </c>
      <c r="C333" s="8">
        <v>1</v>
      </c>
      <c r="D333" s="8">
        <v>14</v>
      </c>
      <c r="E333" s="8" t="s">
        <v>67</v>
      </c>
      <c r="F333" s="8" t="s">
        <v>57</v>
      </c>
      <c r="G333" s="8">
        <v>2016</v>
      </c>
      <c r="H333" s="8">
        <v>12</v>
      </c>
      <c r="I333" s="8" t="s">
        <v>521</v>
      </c>
      <c r="J333" s="8" t="s">
        <v>228</v>
      </c>
      <c r="K333" s="8">
        <v>1983</v>
      </c>
      <c r="L333" s="17">
        <v>1</v>
      </c>
      <c r="M333" s="8">
        <v>1</v>
      </c>
      <c r="N333" s="8" t="s">
        <v>48</v>
      </c>
      <c r="O333" s="8" t="s">
        <v>283</v>
      </c>
      <c r="P333" s="8" t="s">
        <v>217</v>
      </c>
      <c r="Q333" s="8">
        <v>3000</v>
      </c>
      <c r="R333" s="8" t="s">
        <v>57</v>
      </c>
      <c r="S333" s="8" t="s">
        <v>53</v>
      </c>
      <c r="T333" s="8" t="s">
        <v>69</v>
      </c>
      <c r="U333" s="8" t="s">
        <v>228</v>
      </c>
      <c r="V333" s="8">
        <v>500</v>
      </c>
      <c r="W333" s="8" t="s">
        <v>328</v>
      </c>
      <c r="X333" s="8">
        <v>3000</v>
      </c>
      <c r="Y333" s="8" t="s">
        <v>268</v>
      </c>
      <c r="Z333" s="8">
        <v>85</v>
      </c>
      <c r="AA333" s="8" t="s">
        <v>278</v>
      </c>
      <c r="AB333" s="8" t="s">
        <v>247</v>
      </c>
      <c r="AC333" s="8" t="s">
        <v>228</v>
      </c>
      <c r="AD333" s="8" t="s">
        <v>228</v>
      </c>
      <c r="AE333" s="8" t="s">
        <v>228</v>
      </c>
      <c r="AF333" s="8" t="s">
        <v>228</v>
      </c>
      <c r="AG333" s="8" t="s">
        <v>228</v>
      </c>
      <c r="AH333" s="8" t="s">
        <v>228</v>
      </c>
      <c r="AI333" s="8" t="s">
        <v>228</v>
      </c>
      <c r="AJ333" t="s">
        <v>468</v>
      </c>
      <c r="AK333">
        <v>1</v>
      </c>
      <c r="AL333">
        <v>1</v>
      </c>
      <c r="AM333" t="s">
        <v>87</v>
      </c>
      <c r="AN333" t="s">
        <v>67</v>
      </c>
      <c r="AO333" t="s">
        <v>526</v>
      </c>
      <c r="AP333" t="s">
        <v>109</v>
      </c>
      <c r="AQ333">
        <v>12</v>
      </c>
      <c r="AR333" t="s">
        <v>521</v>
      </c>
      <c r="AS333" t="s">
        <v>228</v>
      </c>
      <c r="AT333" t="s">
        <v>140</v>
      </c>
      <c r="AU333">
        <v>1</v>
      </c>
      <c r="AV333">
        <v>1</v>
      </c>
      <c r="AW333" t="s">
        <v>406</v>
      </c>
      <c r="AX333" t="s">
        <v>283</v>
      </c>
      <c r="AY333" t="s">
        <v>217</v>
      </c>
      <c r="AZ333">
        <v>1</v>
      </c>
      <c r="BA333" t="s">
        <v>408</v>
      </c>
      <c r="BB333" t="s">
        <v>542</v>
      </c>
      <c r="BC333" t="s">
        <v>395</v>
      </c>
      <c r="BD333" t="s">
        <v>228</v>
      </c>
      <c r="BE333" t="s">
        <v>522</v>
      </c>
      <c r="BF333" t="s">
        <v>523</v>
      </c>
      <c r="BG333" t="s">
        <v>407</v>
      </c>
      <c r="BH333" t="s">
        <v>396</v>
      </c>
      <c r="BI333" t="s">
        <v>524</v>
      </c>
      <c r="BJ333" t="s">
        <v>228</v>
      </c>
      <c r="BK333" t="s">
        <v>543</v>
      </c>
      <c r="BL333" t="s">
        <v>228</v>
      </c>
      <c r="BM333" t="s">
        <v>228</v>
      </c>
      <c r="BN333" t="s">
        <v>228</v>
      </c>
      <c r="BO333" t="s">
        <v>228</v>
      </c>
      <c r="BP333" t="s">
        <v>228</v>
      </c>
      <c r="BQ333" t="s">
        <v>228</v>
      </c>
      <c r="BR333" t="s">
        <v>228</v>
      </c>
      <c r="BS333" t="s">
        <v>409</v>
      </c>
      <c r="BT333">
        <v>1</v>
      </c>
    </row>
    <row r="334" spans="1:72" x14ac:dyDescent="0.15">
      <c r="A334" s="43">
        <v>2023</v>
      </c>
      <c r="B334" s="8">
        <v>1</v>
      </c>
      <c r="C334" s="8">
        <v>1</v>
      </c>
      <c r="D334" s="8">
        <v>14</v>
      </c>
      <c r="E334" s="8" t="s">
        <v>67</v>
      </c>
      <c r="F334" s="8" t="s">
        <v>57</v>
      </c>
      <c r="G334" s="8">
        <v>2016</v>
      </c>
      <c r="H334" s="8">
        <v>12</v>
      </c>
      <c r="I334" s="8" t="s">
        <v>521</v>
      </c>
      <c r="J334" s="8" t="s">
        <v>228</v>
      </c>
      <c r="K334" s="8">
        <v>1983</v>
      </c>
      <c r="L334" s="17">
        <v>1</v>
      </c>
      <c r="M334" s="8">
        <v>1</v>
      </c>
      <c r="N334" s="8" t="s">
        <v>48</v>
      </c>
      <c r="O334" s="8" t="s">
        <v>283</v>
      </c>
      <c r="P334" s="8" t="s">
        <v>217</v>
      </c>
      <c r="Q334" s="8">
        <v>3000</v>
      </c>
      <c r="R334" s="8" t="s">
        <v>57</v>
      </c>
      <c r="S334" s="8" t="s">
        <v>52</v>
      </c>
      <c r="T334" s="8" t="s">
        <v>69</v>
      </c>
      <c r="U334" s="8" t="s">
        <v>228</v>
      </c>
      <c r="V334" s="8">
        <v>500</v>
      </c>
      <c r="W334" s="8" t="s">
        <v>328</v>
      </c>
      <c r="X334" s="8">
        <v>3000</v>
      </c>
      <c r="Y334" s="8" t="s">
        <v>268</v>
      </c>
      <c r="Z334" s="8">
        <v>85</v>
      </c>
      <c r="AA334" s="8" t="s">
        <v>278</v>
      </c>
      <c r="AB334" s="8" t="s">
        <v>247</v>
      </c>
      <c r="AC334" s="8" t="s">
        <v>228</v>
      </c>
      <c r="AD334" s="8" t="s">
        <v>228</v>
      </c>
      <c r="AE334" s="8" t="s">
        <v>228</v>
      </c>
      <c r="AF334" s="8" t="s">
        <v>228</v>
      </c>
      <c r="AG334" s="8" t="s">
        <v>228</v>
      </c>
      <c r="AH334" s="8" t="s">
        <v>228</v>
      </c>
      <c r="AI334" s="8" t="s">
        <v>228</v>
      </c>
      <c r="AJ334" t="s">
        <v>468</v>
      </c>
      <c r="AK334">
        <v>1</v>
      </c>
      <c r="AL334">
        <v>1</v>
      </c>
      <c r="AM334" t="s">
        <v>87</v>
      </c>
      <c r="AN334" t="s">
        <v>67</v>
      </c>
      <c r="AO334" t="s">
        <v>526</v>
      </c>
      <c r="AP334" t="s">
        <v>109</v>
      </c>
      <c r="AQ334">
        <v>12</v>
      </c>
      <c r="AR334" t="s">
        <v>521</v>
      </c>
      <c r="AS334" t="s">
        <v>228</v>
      </c>
      <c r="AT334" t="s">
        <v>140</v>
      </c>
      <c r="AU334">
        <v>1</v>
      </c>
      <c r="AV334">
        <v>1</v>
      </c>
      <c r="AW334" t="s">
        <v>406</v>
      </c>
      <c r="AX334" t="s">
        <v>283</v>
      </c>
      <c r="AY334" t="s">
        <v>217</v>
      </c>
      <c r="AZ334">
        <v>1</v>
      </c>
      <c r="BA334" t="s">
        <v>408</v>
      </c>
      <c r="BB334" t="s">
        <v>405</v>
      </c>
      <c r="BC334" t="s">
        <v>395</v>
      </c>
      <c r="BD334" t="s">
        <v>228</v>
      </c>
      <c r="BE334" t="s">
        <v>522</v>
      </c>
      <c r="BF334" t="s">
        <v>523</v>
      </c>
      <c r="BG334" t="s">
        <v>407</v>
      </c>
      <c r="BH334" t="s">
        <v>396</v>
      </c>
      <c r="BI334" t="s">
        <v>524</v>
      </c>
      <c r="BJ334" t="s">
        <v>228</v>
      </c>
      <c r="BK334" t="s">
        <v>543</v>
      </c>
      <c r="BL334" t="s">
        <v>228</v>
      </c>
      <c r="BM334" t="s">
        <v>228</v>
      </c>
      <c r="BN334" t="s">
        <v>228</v>
      </c>
      <c r="BO334" t="s">
        <v>228</v>
      </c>
      <c r="BP334" t="s">
        <v>228</v>
      </c>
      <c r="BQ334" t="s">
        <v>228</v>
      </c>
      <c r="BR334" t="s">
        <v>228</v>
      </c>
      <c r="BS334" t="s">
        <v>409</v>
      </c>
      <c r="BT334">
        <v>1</v>
      </c>
    </row>
    <row r="335" spans="1:72" x14ac:dyDescent="0.15">
      <c r="A335" s="43">
        <v>2023</v>
      </c>
      <c r="B335" s="8">
        <v>1</v>
      </c>
      <c r="C335" s="8">
        <v>1</v>
      </c>
      <c r="D335" s="8">
        <v>14</v>
      </c>
      <c r="E335" s="8" t="s">
        <v>67</v>
      </c>
      <c r="F335" s="8" t="s">
        <v>57</v>
      </c>
      <c r="G335" s="8">
        <v>2016</v>
      </c>
      <c r="H335" s="8">
        <v>12</v>
      </c>
      <c r="I335" s="8" t="s">
        <v>521</v>
      </c>
      <c r="J335" s="8" t="s">
        <v>228</v>
      </c>
      <c r="K335" s="8">
        <v>1983</v>
      </c>
      <c r="L335" s="17">
        <v>1</v>
      </c>
      <c r="M335" s="8">
        <v>1</v>
      </c>
      <c r="N335" s="8" t="s">
        <v>48</v>
      </c>
      <c r="O335" s="8" t="s">
        <v>283</v>
      </c>
      <c r="P335" s="8" t="s">
        <v>217</v>
      </c>
      <c r="Q335" s="8">
        <v>3000</v>
      </c>
      <c r="R335" s="8" t="s">
        <v>57</v>
      </c>
      <c r="S335" s="8" t="s">
        <v>54</v>
      </c>
      <c r="T335" s="8" t="s">
        <v>69</v>
      </c>
      <c r="U335" s="8" t="s">
        <v>228</v>
      </c>
      <c r="V335" s="8">
        <v>500</v>
      </c>
      <c r="W335" s="8" t="s">
        <v>328</v>
      </c>
      <c r="X335" s="8">
        <v>3000</v>
      </c>
      <c r="Y335" s="8" t="s">
        <v>271</v>
      </c>
      <c r="Z335" s="8">
        <v>85</v>
      </c>
      <c r="AA335" s="8" t="s">
        <v>278</v>
      </c>
      <c r="AB335" s="8" t="s">
        <v>228</v>
      </c>
      <c r="AC335" s="8" t="s">
        <v>228</v>
      </c>
      <c r="AD335" s="8" t="s">
        <v>228</v>
      </c>
      <c r="AE335" s="8" t="s">
        <v>228</v>
      </c>
      <c r="AF335" s="8" t="s">
        <v>228</v>
      </c>
      <c r="AG335" s="8" t="s">
        <v>228</v>
      </c>
      <c r="AH335" s="8" t="s">
        <v>228</v>
      </c>
      <c r="AI335" s="8" t="s">
        <v>228</v>
      </c>
      <c r="AJ335" t="s">
        <v>468</v>
      </c>
      <c r="AK335">
        <v>1</v>
      </c>
      <c r="AL335">
        <v>1</v>
      </c>
      <c r="AM335" t="s">
        <v>87</v>
      </c>
      <c r="AN335" t="s">
        <v>67</v>
      </c>
      <c r="AO335" t="s">
        <v>526</v>
      </c>
      <c r="AP335" t="s">
        <v>109</v>
      </c>
      <c r="AQ335">
        <v>12</v>
      </c>
      <c r="AR335" t="s">
        <v>521</v>
      </c>
      <c r="AS335" t="s">
        <v>228</v>
      </c>
      <c r="AT335" t="s">
        <v>140</v>
      </c>
      <c r="AU335">
        <v>1</v>
      </c>
      <c r="AV335">
        <v>1</v>
      </c>
      <c r="AW335" t="s">
        <v>406</v>
      </c>
      <c r="AX335" t="s">
        <v>283</v>
      </c>
      <c r="AY335" t="s">
        <v>217</v>
      </c>
      <c r="AZ335">
        <v>1</v>
      </c>
      <c r="BA335" t="s">
        <v>408</v>
      </c>
      <c r="BB335" t="s">
        <v>541</v>
      </c>
      <c r="BC335" t="s">
        <v>395</v>
      </c>
      <c r="BD335" t="s">
        <v>228</v>
      </c>
      <c r="BE335" t="s">
        <v>522</v>
      </c>
      <c r="BF335" t="s">
        <v>523</v>
      </c>
      <c r="BG335" t="s">
        <v>407</v>
      </c>
      <c r="BH335" t="s">
        <v>544</v>
      </c>
      <c r="BI335" t="s">
        <v>524</v>
      </c>
      <c r="BJ335" t="s">
        <v>228</v>
      </c>
      <c r="BK335" t="s">
        <v>228</v>
      </c>
      <c r="BL335" t="s">
        <v>228</v>
      </c>
      <c r="BM335" t="s">
        <v>228</v>
      </c>
      <c r="BN335" t="s">
        <v>228</v>
      </c>
      <c r="BO335" t="s">
        <v>228</v>
      </c>
      <c r="BP335" t="s">
        <v>228</v>
      </c>
      <c r="BQ335" t="s">
        <v>228</v>
      </c>
      <c r="BR335" t="s">
        <v>228</v>
      </c>
      <c r="BS335" t="s">
        <v>409</v>
      </c>
      <c r="BT335">
        <v>1</v>
      </c>
    </row>
    <row r="336" spans="1:72" x14ac:dyDescent="0.15">
      <c r="A336" s="43">
        <v>2023</v>
      </c>
      <c r="B336" s="8">
        <v>1</v>
      </c>
      <c r="C336" s="8">
        <v>1</v>
      </c>
      <c r="D336" s="8">
        <v>14</v>
      </c>
      <c r="E336" s="8" t="s">
        <v>67</v>
      </c>
      <c r="F336" s="8" t="s">
        <v>57</v>
      </c>
      <c r="G336" s="8">
        <v>2016</v>
      </c>
      <c r="H336" s="8">
        <v>12</v>
      </c>
      <c r="I336" s="8" t="s">
        <v>521</v>
      </c>
      <c r="J336" s="8" t="s">
        <v>228</v>
      </c>
      <c r="K336" s="8">
        <v>1983</v>
      </c>
      <c r="L336" s="17">
        <v>1</v>
      </c>
      <c r="M336" s="8">
        <v>1</v>
      </c>
      <c r="N336" s="8" t="s">
        <v>48</v>
      </c>
      <c r="O336" s="8" t="s">
        <v>283</v>
      </c>
      <c r="P336" s="8" t="s">
        <v>217</v>
      </c>
      <c r="Q336" s="8">
        <v>3000</v>
      </c>
      <c r="R336" s="8" t="s">
        <v>57</v>
      </c>
      <c r="S336" s="8" t="s">
        <v>53</v>
      </c>
      <c r="T336" s="8" t="s">
        <v>69</v>
      </c>
      <c r="U336" s="8" t="s">
        <v>228</v>
      </c>
      <c r="V336" s="8">
        <v>500</v>
      </c>
      <c r="W336" s="8" t="s">
        <v>328</v>
      </c>
      <c r="X336" s="8">
        <v>3000</v>
      </c>
      <c r="Y336" s="8" t="s">
        <v>271</v>
      </c>
      <c r="Z336" s="8">
        <v>85</v>
      </c>
      <c r="AA336" s="8" t="s">
        <v>278</v>
      </c>
      <c r="AB336" s="8" t="s">
        <v>228</v>
      </c>
      <c r="AC336" s="8" t="s">
        <v>228</v>
      </c>
      <c r="AD336" s="8" t="s">
        <v>228</v>
      </c>
      <c r="AE336" s="8" t="s">
        <v>228</v>
      </c>
      <c r="AF336" s="8" t="s">
        <v>228</v>
      </c>
      <c r="AG336" s="8" t="s">
        <v>228</v>
      </c>
      <c r="AH336" s="8" t="s">
        <v>228</v>
      </c>
      <c r="AI336" s="8" t="s">
        <v>228</v>
      </c>
      <c r="AJ336" t="s">
        <v>468</v>
      </c>
      <c r="AK336">
        <v>1</v>
      </c>
      <c r="AL336">
        <v>1</v>
      </c>
      <c r="AM336" t="s">
        <v>87</v>
      </c>
      <c r="AN336" t="s">
        <v>67</v>
      </c>
      <c r="AO336" t="s">
        <v>526</v>
      </c>
      <c r="AP336" t="s">
        <v>109</v>
      </c>
      <c r="AQ336">
        <v>12</v>
      </c>
      <c r="AR336" t="s">
        <v>521</v>
      </c>
      <c r="AS336" t="s">
        <v>228</v>
      </c>
      <c r="AT336" t="s">
        <v>140</v>
      </c>
      <c r="AU336">
        <v>1</v>
      </c>
      <c r="AV336">
        <v>1</v>
      </c>
      <c r="AW336" t="s">
        <v>406</v>
      </c>
      <c r="AX336" t="s">
        <v>283</v>
      </c>
      <c r="AY336" t="s">
        <v>217</v>
      </c>
      <c r="AZ336">
        <v>1</v>
      </c>
      <c r="BA336" t="s">
        <v>408</v>
      </c>
      <c r="BB336" t="s">
        <v>542</v>
      </c>
      <c r="BC336" t="s">
        <v>395</v>
      </c>
      <c r="BD336" t="s">
        <v>228</v>
      </c>
      <c r="BE336" t="s">
        <v>522</v>
      </c>
      <c r="BF336" t="s">
        <v>523</v>
      </c>
      <c r="BG336" t="s">
        <v>407</v>
      </c>
      <c r="BH336" t="s">
        <v>544</v>
      </c>
      <c r="BI336" t="s">
        <v>524</v>
      </c>
      <c r="BJ336" t="s">
        <v>228</v>
      </c>
      <c r="BK336" t="s">
        <v>228</v>
      </c>
      <c r="BL336" t="s">
        <v>228</v>
      </c>
      <c r="BM336" t="s">
        <v>228</v>
      </c>
      <c r="BN336" t="s">
        <v>228</v>
      </c>
      <c r="BO336" t="s">
        <v>228</v>
      </c>
      <c r="BP336" t="s">
        <v>228</v>
      </c>
      <c r="BQ336" t="s">
        <v>228</v>
      </c>
      <c r="BR336" t="s">
        <v>228</v>
      </c>
      <c r="BS336" t="s">
        <v>409</v>
      </c>
      <c r="BT336">
        <v>1</v>
      </c>
    </row>
    <row r="337" spans="1:72" x14ac:dyDescent="0.15">
      <c r="A337" s="43">
        <v>2023</v>
      </c>
      <c r="B337" s="8">
        <v>1</v>
      </c>
      <c r="C337" s="8">
        <v>1</v>
      </c>
      <c r="D337" s="8">
        <v>14</v>
      </c>
      <c r="E337" s="8" t="s">
        <v>67</v>
      </c>
      <c r="F337" s="8" t="s">
        <v>57</v>
      </c>
      <c r="G337" s="8">
        <v>2016</v>
      </c>
      <c r="H337" s="8">
        <v>12</v>
      </c>
      <c r="I337" s="8" t="s">
        <v>521</v>
      </c>
      <c r="J337" s="8" t="s">
        <v>228</v>
      </c>
      <c r="K337" s="8">
        <v>1983</v>
      </c>
      <c r="L337" s="17">
        <v>1</v>
      </c>
      <c r="M337" s="8">
        <v>1</v>
      </c>
      <c r="N337" s="8" t="s">
        <v>48</v>
      </c>
      <c r="O337" s="8" t="s">
        <v>283</v>
      </c>
      <c r="P337" s="8" t="s">
        <v>217</v>
      </c>
      <c r="Q337" s="8">
        <v>3000</v>
      </c>
      <c r="R337" s="8" t="s">
        <v>57</v>
      </c>
      <c r="S337" s="8" t="s">
        <v>52</v>
      </c>
      <c r="T337" s="8" t="s">
        <v>69</v>
      </c>
      <c r="U337" s="8" t="s">
        <v>228</v>
      </c>
      <c r="V337" s="8">
        <v>500</v>
      </c>
      <c r="W337" s="8" t="s">
        <v>328</v>
      </c>
      <c r="X337" s="8">
        <v>3000</v>
      </c>
      <c r="Y337" s="8" t="s">
        <v>271</v>
      </c>
      <c r="Z337" s="8">
        <v>85</v>
      </c>
      <c r="AA337" s="8" t="s">
        <v>278</v>
      </c>
      <c r="AB337" s="8" t="s">
        <v>228</v>
      </c>
      <c r="AC337" s="8" t="s">
        <v>228</v>
      </c>
      <c r="AD337" s="8" t="s">
        <v>228</v>
      </c>
      <c r="AE337" s="8" t="s">
        <v>228</v>
      </c>
      <c r="AF337" s="8" t="s">
        <v>228</v>
      </c>
      <c r="AG337" s="8" t="s">
        <v>228</v>
      </c>
      <c r="AH337" s="8" t="s">
        <v>228</v>
      </c>
      <c r="AI337" s="8" t="s">
        <v>228</v>
      </c>
      <c r="AJ337" t="s">
        <v>468</v>
      </c>
      <c r="AK337">
        <v>1</v>
      </c>
      <c r="AL337">
        <v>1</v>
      </c>
      <c r="AM337" t="s">
        <v>87</v>
      </c>
      <c r="AN337" t="s">
        <v>67</v>
      </c>
      <c r="AO337" t="s">
        <v>526</v>
      </c>
      <c r="AP337" t="s">
        <v>109</v>
      </c>
      <c r="AQ337">
        <v>12</v>
      </c>
      <c r="AR337" t="s">
        <v>521</v>
      </c>
      <c r="AS337" t="s">
        <v>228</v>
      </c>
      <c r="AT337" t="s">
        <v>140</v>
      </c>
      <c r="AU337">
        <v>1</v>
      </c>
      <c r="AV337">
        <v>1</v>
      </c>
      <c r="AW337" t="s">
        <v>406</v>
      </c>
      <c r="AX337" t="s">
        <v>283</v>
      </c>
      <c r="AY337" t="s">
        <v>217</v>
      </c>
      <c r="AZ337">
        <v>1</v>
      </c>
      <c r="BA337" t="s">
        <v>408</v>
      </c>
      <c r="BB337" t="s">
        <v>405</v>
      </c>
      <c r="BC337" t="s">
        <v>395</v>
      </c>
      <c r="BD337" t="s">
        <v>228</v>
      </c>
      <c r="BE337" t="s">
        <v>522</v>
      </c>
      <c r="BF337" t="s">
        <v>523</v>
      </c>
      <c r="BG337" t="s">
        <v>407</v>
      </c>
      <c r="BH337" t="s">
        <v>544</v>
      </c>
      <c r="BI337" t="s">
        <v>524</v>
      </c>
      <c r="BJ337" t="s">
        <v>228</v>
      </c>
      <c r="BK337" t="s">
        <v>228</v>
      </c>
      <c r="BL337" t="s">
        <v>228</v>
      </c>
      <c r="BM337" t="s">
        <v>228</v>
      </c>
      <c r="BN337" t="s">
        <v>228</v>
      </c>
      <c r="BO337" t="s">
        <v>228</v>
      </c>
      <c r="BP337" t="s">
        <v>228</v>
      </c>
      <c r="BQ337" t="s">
        <v>228</v>
      </c>
      <c r="BR337" t="s">
        <v>228</v>
      </c>
      <c r="BS337" t="s">
        <v>409</v>
      </c>
      <c r="BT337">
        <v>1</v>
      </c>
    </row>
    <row r="338" spans="1:72" x14ac:dyDescent="0.15">
      <c r="A338" s="43">
        <v>2023</v>
      </c>
      <c r="B338" s="8">
        <v>1</v>
      </c>
      <c r="C338" s="8">
        <v>1</v>
      </c>
      <c r="D338" s="8">
        <v>14</v>
      </c>
      <c r="E338" s="8" t="s">
        <v>67</v>
      </c>
      <c r="F338" s="8" t="s">
        <v>57</v>
      </c>
      <c r="G338" s="8">
        <v>2016</v>
      </c>
      <c r="H338" s="8">
        <v>12</v>
      </c>
      <c r="I338" s="8" t="s">
        <v>521</v>
      </c>
      <c r="J338" s="8" t="s">
        <v>228</v>
      </c>
      <c r="K338" s="8">
        <v>1983</v>
      </c>
      <c r="L338" s="17">
        <v>1</v>
      </c>
      <c r="M338" s="8">
        <v>1</v>
      </c>
      <c r="N338" s="8" t="s">
        <v>48</v>
      </c>
      <c r="O338" s="8" t="s">
        <v>283</v>
      </c>
      <c r="P338" s="8" t="s">
        <v>217</v>
      </c>
      <c r="Q338" s="8">
        <v>3000</v>
      </c>
      <c r="R338" s="8" t="s">
        <v>57</v>
      </c>
      <c r="S338" s="8" t="s">
        <v>54</v>
      </c>
      <c r="T338" s="8" t="s">
        <v>69</v>
      </c>
      <c r="U338" s="8" t="s">
        <v>228</v>
      </c>
      <c r="V338" s="8">
        <v>500</v>
      </c>
      <c r="W338" s="8" t="s">
        <v>328</v>
      </c>
      <c r="X338" s="8">
        <v>3000</v>
      </c>
      <c r="Y338" s="8" t="s">
        <v>271</v>
      </c>
      <c r="Z338" s="8">
        <v>85</v>
      </c>
      <c r="AA338" s="8" t="s">
        <v>278</v>
      </c>
      <c r="AB338" s="8" t="s">
        <v>247</v>
      </c>
      <c r="AC338" s="8" t="s">
        <v>228</v>
      </c>
      <c r="AD338" s="8" t="s">
        <v>228</v>
      </c>
      <c r="AE338" s="8" t="s">
        <v>228</v>
      </c>
      <c r="AF338" s="8" t="s">
        <v>228</v>
      </c>
      <c r="AG338" s="8" t="s">
        <v>228</v>
      </c>
      <c r="AH338" s="8" t="s">
        <v>228</v>
      </c>
      <c r="AI338" s="8" t="s">
        <v>228</v>
      </c>
      <c r="AJ338" t="s">
        <v>468</v>
      </c>
      <c r="AK338">
        <v>1</v>
      </c>
      <c r="AL338">
        <v>1</v>
      </c>
      <c r="AM338" t="s">
        <v>87</v>
      </c>
      <c r="AN338" t="s">
        <v>67</v>
      </c>
      <c r="AO338" t="s">
        <v>526</v>
      </c>
      <c r="AP338" t="s">
        <v>109</v>
      </c>
      <c r="AQ338">
        <v>12</v>
      </c>
      <c r="AR338" t="s">
        <v>521</v>
      </c>
      <c r="AS338" t="s">
        <v>228</v>
      </c>
      <c r="AT338" t="s">
        <v>140</v>
      </c>
      <c r="AU338">
        <v>1</v>
      </c>
      <c r="AV338">
        <v>1</v>
      </c>
      <c r="AW338" t="s">
        <v>406</v>
      </c>
      <c r="AX338" t="s">
        <v>283</v>
      </c>
      <c r="AY338" t="s">
        <v>217</v>
      </c>
      <c r="AZ338">
        <v>1</v>
      </c>
      <c r="BA338" t="s">
        <v>408</v>
      </c>
      <c r="BB338" t="s">
        <v>541</v>
      </c>
      <c r="BC338" t="s">
        <v>395</v>
      </c>
      <c r="BD338" t="s">
        <v>228</v>
      </c>
      <c r="BE338" t="s">
        <v>522</v>
      </c>
      <c r="BF338" t="s">
        <v>523</v>
      </c>
      <c r="BG338" t="s">
        <v>407</v>
      </c>
      <c r="BH338" t="s">
        <v>544</v>
      </c>
      <c r="BI338" t="s">
        <v>524</v>
      </c>
      <c r="BJ338" t="s">
        <v>228</v>
      </c>
      <c r="BK338" t="s">
        <v>543</v>
      </c>
      <c r="BL338" t="s">
        <v>228</v>
      </c>
      <c r="BM338" t="s">
        <v>228</v>
      </c>
      <c r="BN338" t="s">
        <v>228</v>
      </c>
      <c r="BO338" t="s">
        <v>228</v>
      </c>
      <c r="BP338" t="s">
        <v>228</v>
      </c>
      <c r="BQ338" t="s">
        <v>228</v>
      </c>
      <c r="BR338" t="s">
        <v>228</v>
      </c>
      <c r="BS338" t="s">
        <v>409</v>
      </c>
      <c r="BT338">
        <v>1</v>
      </c>
    </row>
    <row r="339" spans="1:72" x14ac:dyDescent="0.15">
      <c r="A339" s="43">
        <v>2023</v>
      </c>
      <c r="B339" s="8">
        <v>1</v>
      </c>
      <c r="C339" s="8">
        <v>1</v>
      </c>
      <c r="D339" s="8">
        <v>14</v>
      </c>
      <c r="E339" s="8" t="s">
        <v>67</v>
      </c>
      <c r="F339" s="8" t="s">
        <v>57</v>
      </c>
      <c r="G339" s="8">
        <v>2016</v>
      </c>
      <c r="H339" s="8">
        <v>12</v>
      </c>
      <c r="I339" s="8" t="s">
        <v>521</v>
      </c>
      <c r="J339" s="8" t="s">
        <v>228</v>
      </c>
      <c r="K339" s="8">
        <v>1983</v>
      </c>
      <c r="L339" s="17">
        <v>1</v>
      </c>
      <c r="M339" s="8">
        <v>1</v>
      </c>
      <c r="N339" s="8" t="s">
        <v>48</v>
      </c>
      <c r="O339" s="8" t="s">
        <v>283</v>
      </c>
      <c r="P339" s="8" t="s">
        <v>217</v>
      </c>
      <c r="Q339" s="8">
        <v>3000</v>
      </c>
      <c r="R339" s="8" t="s">
        <v>57</v>
      </c>
      <c r="S339" s="8" t="s">
        <v>53</v>
      </c>
      <c r="T339" s="8" t="s">
        <v>69</v>
      </c>
      <c r="U339" s="8" t="s">
        <v>228</v>
      </c>
      <c r="V339" s="8">
        <v>500</v>
      </c>
      <c r="W339" s="8" t="s">
        <v>328</v>
      </c>
      <c r="X339" s="8">
        <v>3000</v>
      </c>
      <c r="Y339" s="8" t="s">
        <v>271</v>
      </c>
      <c r="Z339" s="8">
        <v>85</v>
      </c>
      <c r="AA339" s="8" t="s">
        <v>278</v>
      </c>
      <c r="AB339" s="8" t="s">
        <v>247</v>
      </c>
      <c r="AC339" s="8" t="s">
        <v>228</v>
      </c>
      <c r="AD339" s="8" t="s">
        <v>228</v>
      </c>
      <c r="AE339" s="8" t="s">
        <v>228</v>
      </c>
      <c r="AF339" s="8" t="s">
        <v>228</v>
      </c>
      <c r="AG339" s="8" t="s">
        <v>228</v>
      </c>
      <c r="AH339" s="8" t="s">
        <v>228</v>
      </c>
      <c r="AI339" s="8" t="s">
        <v>228</v>
      </c>
      <c r="AJ339" t="s">
        <v>468</v>
      </c>
      <c r="AK339">
        <v>1</v>
      </c>
      <c r="AL339">
        <v>1</v>
      </c>
      <c r="AM339" t="s">
        <v>87</v>
      </c>
      <c r="AN339" t="s">
        <v>67</v>
      </c>
      <c r="AO339" t="s">
        <v>526</v>
      </c>
      <c r="AP339" t="s">
        <v>109</v>
      </c>
      <c r="AQ339">
        <v>12</v>
      </c>
      <c r="AR339" t="s">
        <v>521</v>
      </c>
      <c r="AS339" t="s">
        <v>228</v>
      </c>
      <c r="AT339" t="s">
        <v>140</v>
      </c>
      <c r="AU339">
        <v>1</v>
      </c>
      <c r="AV339">
        <v>1</v>
      </c>
      <c r="AW339" t="s">
        <v>406</v>
      </c>
      <c r="AX339" t="s">
        <v>283</v>
      </c>
      <c r="AY339" t="s">
        <v>217</v>
      </c>
      <c r="AZ339">
        <v>1</v>
      </c>
      <c r="BA339" t="s">
        <v>408</v>
      </c>
      <c r="BB339" t="s">
        <v>542</v>
      </c>
      <c r="BC339" t="s">
        <v>395</v>
      </c>
      <c r="BD339" t="s">
        <v>228</v>
      </c>
      <c r="BE339" t="s">
        <v>522</v>
      </c>
      <c r="BF339" t="s">
        <v>523</v>
      </c>
      <c r="BG339" t="s">
        <v>407</v>
      </c>
      <c r="BH339" t="s">
        <v>544</v>
      </c>
      <c r="BI339" t="s">
        <v>524</v>
      </c>
      <c r="BJ339" t="s">
        <v>228</v>
      </c>
      <c r="BK339" t="s">
        <v>543</v>
      </c>
      <c r="BL339" t="s">
        <v>228</v>
      </c>
      <c r="BM339" t="s">
        <v>228</v>
      </c>
      <c r="BN339" t="s">
        <v>228</v>
      </c>
      <c r="BO339" t="s">
        <v>228</v>
      </c>
      <c r="BP339" t="s">
        <v>228</v>
      </c>
      <c r="BQ339" t="s">
        <v>228</v>
      </c>
      <c r="BR339" t="s">
        <v>228</v>
      </c>
      <c r="BS339" t="s">
        <v>409</v>
      </c>
      <c r="BT339">
        <v>1</v>
      </c>
    </row>
    <row r="340" spans="1:72" x14ac:dyDescent="0.15">
      <c r="A340" s="43">
        <v>2023</v>
      </c>
      <c r="B340" s="8">
        <v>1</v>
      </c>
      <c r="C340" s="8">
        <v>1</v>
      </c>
      <c r="D340" s="8">
        <v>14</v>
      </c>
      <c r="E340" s="8" t="s">
        <v>67</v>
      </c>
      <c r="F340" s="8" t="s">
        <v>57</v>
      </c>
      <c r="G340" s="8">
        <v>2016</v>
      </c>
      <c r="H340" s="8">
        <v>12</v>
      </c>
      <c r="I340" s="8" t="s">
        <v>521</v>
      </c>
      <c r="J340" s="8" t="s">
        <v>228</v>
      </c>
      <c r="K340" s="8">
        <v>1983</v>
      </c>
      <c r="L340" s="17">
        <v>1</v>
      </c>
      <c r="M340" s="8">
        <v>1</v>
      </c>
      <c r="N340" s="8" t="s">
        <v>48</v>
      </c>
      <c r="O340" s="8" t="s">
        <v>283</v>
      </c>
      <c r="P340" s="8" t="s">
        <v>217</v>
      </c>
      <c r="Q340" s="8">
        <v>3000</v>
      </c>
      <c r="R340" s="8" t="s">
        <v>57</v>
      </c>
      <c r="S340" s="8" t="s">
        <v>52</v>
      </c>
      <c r="T340" s="8" t="s">
        <v>69</v>
      </c>
      <c r="U340" s="8" t="s">
        <v>228</v>
      </c>
      <c r="V340" s="8">
        <v>500</v>
      </c>
      <c r="W340" s="8" t="s">
        <v>328</v>
      </c>
      <c r="X340" s="8">
        <v>3000</v>
      </c>
      <c r="Y340" s="8" t="s">
        <v>271</v>
      </c>
      <c r="Z340" s="8">
        <v>85</v>
      </c>
      <c r="AA340" s="8" t="s">
        <v>278</v>
      </c>
      <c r="AB340" s="8" t="s">
        <v>247</v>
      </c>
      <c r="AC340" s="8" t="s">
        <v>228</v>
      </c>
      <c r="AD340" s="8" t="s">
        <v>228</v>
      </c>
      <c r="AE340" s="8" t="s">
        <v>228</v>
      </c>
      <c r="AF340" s="8" t="s">
        <v>228</v>
      </c>
      <c r="AG340" s="8" t="s">
        <v>228</v>
      </c>
      <c r="AH340" s="8" t="s">
        <v>228</v>
      </c>
      <c r="AI340" s="8" t="s">
        <v>228</v>
      </c>
      <c r="AJ340" t="s">
        <v>468</v>
      </c>
      <c r="AK340">
        <v>1</v>
      </c>
      <c r="AL340">
        <v>1</v>
      </c>
      <c r="AM340" t="s">
        <v>87</v>
      </c>
      <c r="AN340" t="s">
        <v>67</v>
      </c>
      <c r="AO340" t="s">
        <v>526</v>
      </c>
      <c r="AP340" t="s">
        <v>109</v>
      </c>
      <c r="AQ340">
        <v>12</v>
      </c>
      <c r="AR340" t="s">
        <v>521</v>
      </c>
      <c r="AS340" t="s">
        <v>228</v>
      </c>
      <c r="AT340" t="s">
        <v>140</v>
      </c>
      <c r="AU340">
        <v>1</v>
      </c>
      <c r="AV340">
        <v>1</v>
      </c>
      <c r="AW340" t="s">
        <v>406</v>
      </c>
      <c r="AX340" t="s">
        <v>283</v>
      </c>
      <c r="AY340" t="s">
        <v>217</v>
      </c>
      <c r="AZ340">
        <v>1</v>
      </c>
      <c r="BA340" t="s">
        <v>408</v>
      </c>
      <c r="BB340" t="s">
        <v>405</v>
      </c>
      <c r="BC340" t="s">
        <v>395</v>
      </c>
      <c r="BD340" t="s">
        <v>228</v>
      </c>
      <c r="BE340" t="s">
        <v>522</v>
      </c>
      <c r="BF340" t="s">
        <v>523</v>
      </c>
      <c r="BG340" t="s">
        <v>407</v>
      </c>
      <c r="BH340" t="s">
        <v>544</v>
      </c>
      <c r="BI340" t="s">
        <v>524</v>
      </c>
      <c r="BJ340" t="s">
        <v>228</v>
      </c>
      <c r="BK340" t="s">
        <v>543</v>
      </c>
      <c r="BL340" t="s">
        <v>228</v>
      </c>
      <c r="BM340" t="s">
        <v>228</v>
      </c>
      <c r="BN340" t="s">
        <v>228</v>
      </c>
      <c r="BO340" t="s">
        <v>228</v>
      </c>
      <c r="BP340" t="s">
        <v>228</v>
      </c>
      <c r="BQ340" t="s">
        <v>228</v>
      </c>
      <c r="BR340" t="s">
        <v>228</v>
      </c>
      <c r="BS340" t="s">
        <v>409</v>
      </c>
      <c r="BT340">
        <v>0</v>
      </c>
    </row>
    <row r="341" spans="1:72" x14ac:dyDescent="0.15">
      <c r="A341" s="43">
        <v>2023</v>
      </c>
      <c r="B341" s="8">
        <v>1</v>
      </c>
      <c r="C341" s="8">
        <v>1</v>
      </c>
      <c r="D341" s="8">
        <v>13</v>
      </c>
      <c r="E341" s="8" t="s">
        <v>67</v>
      </c>
      <c r="F341" s="8" t="s">
        <v>57</v>
      </c>
      <c r="G341" s="8">
        <v>2016</v>
      </c>
      <c r="H341" s="8">
        <v>12</v>
      </c>
      <c r="I341" s="8" t="s">
        <v>521</v>
      </c>
      <c r="J341" s="8" t="s">
        <v>228</v>
      </c>
      <c r="K341" s="8">
        <v>1983</v>
      </c>
      <c r="L341" s="17">
        <v>1</v>
      </c>
      <c r="M341" s="8">
        <v>1</v>
      </c>
      <c r="N341" s="8" t="s">
        <v>48</v>
      </c>
      <c r="O341" s="8" t="s">
        <v>283</v>
      </c>
      <c r="P341" s="8" t="s">
        <v>217</v>
      </c>
      <c r="Q341" s="8">
        <v>3000</v>
      </c>
      <c r="R341" s="8" t="s">
        <v>57</v>
      </c>
      <c r="S341" s="8" t="s">
        <v>54</v>
      </c>
      <c r="T341" s="8" t="s">
        <v>69</v>
      </c>
      <c r="U341" s="8" t="s">
        <v>228</v>
      </c>
      <c r="V341" s="8">
        <v>500</v>
      </c>
      <c r="W341" s="8" t="s">
        <v>328</v>
      </c>
      <c r="X341" s="8">
        <v>3000</v>
      </c>
      <c r="Y341" s="8" t="s">
        <v>268</v>
      </c>
      <c r="Z341" s="8">
        <v>85</v>
      </c>
      <c r="AA341" s="8" t="s">
        <v>278</v>
      </c>
      <c r="AB341" s="8" t="s">
        <v>228</v>
      </c>
      <c r="AC341" s="8" t="s">
        <v>228</v>
      </c>
      <c r="AD341" s="8" t="s">
        <v>228</v>
      </c>
      <c r="AE341" s="8" t="s">
        <v>228</v>
      </c>
      <c r="AF341" s="8" t="s">
        <v>228</v>
      </c>
      <c r="AG341" s="8" t="s">
        <v>228</v>
      </c>
      <c r="AH341" s="8" t="s">
        <v>228</v>
      </c>
      <c r="AI341" s="8" t="s">
        <v>228</v>
      </c>
      <c r="AJ341" t="s">
        <v>468</v>
      </c>
      <c r="AK341">
        <v>1</v>
      </c>
      <c r="AL341">
        <v>1</v>
      </c>
      <c r="AM341" t="s">
        <v>88</v>
      </c>
      <c r="AN341" t="s">
        <v>67</v>
      </c>
      <c r="AO341" t="s">
        <v>526</v>
      </c>
      <c r="AP341" t="s">
        <v>109</v>
      </c>
      <c r="AQ341">
        <v>12</v>
      </c>
      <c r="AR341" t="s">
        <v>521</v>
      </c>
      <c r="AS341" t="s">
        <v>228</v>
      </c>
      <c r="AT341" t="s">
        <v>140</v>
      </c>
      <c r="AU341">
        <v>1</v>
      </c>
      <c r="AV341">
        <v>1</v>
      </c>
      <c r="AW341" t="s">
        <v>406</v>
      </c>
      <c r="AX341" t="s">
        <v>283</v>
      </c>
      <c r="AY341" t="s">
        <v>217</v>
      </c>
      <c r="AZ341">
        <v>1</v>
      </c>
      <c r="BA341" t="s">
        <v>408</v>
      </c>
      <c r="BB341" t="s">
        <v>541</v>
      </c>
      <c r="BC341" t="s">
        <v>395</v>
      </c>
      <c r="BD341" t="s">
        <v>228</v>
      </c>
      <c r="BE341" t="s">
        <v>522</v>
      </c>
      <c r="BF341" t="s">
        <v>523</v>
      </c>
      <c r="BG341" t="s">
        <v>407</v>
      </c>
      <c r="BH341" t="s">
        <v>396</v>
      </c>
      <c r="BI341" t="s">
        <v>524</v>
      </c>
      <c r="BJ341" t="s">
        <v>228</v>
      </c>
      <c r="BK341" t="s">
        <v>228</v>
      </c>
      <c r="BL341" t="s">
        <v>228</v>
      </c>
      <c r="BM341" t="s">
        <v>228</v>
      </c>
      <c r="BN341" t="s">
        <v>228</v>
      </c>
      <c r="BO341" t="s">
        <v>228</v>
      </c>
      <c r="BP341" t="s">
        <v>228</v>
      </c>
      <c r="BQ341" t="s">
        <v>228</v>
      </c>
      <c r="BR341" t="s">
        <v>228</v>
      </c>
      <c r="BS341" t="s">
        <v>409</v>
      </c>
      <c r="BT341">
        <v>1</v>
      </c>
    </row>
    <row r="342" spans="1:72" x14ac:dyDescent="0.15">
      <c r="A342" s="43">
        <v>2023</v>
      </c>
      <c r="B342" s="8">
        <v>1</v>
      </c>
      <c r="C342" s="8">
        <v>1</v>
      </c>
      <c r="D342" s="8">
        <v>13</v>
      </c>
      <c r="E342" s="8" t="s">
        <v>67</v>
      </c>
      <c r="F342" s="8" t="s">
        <v>57</v>
      </c>
      <c r="G342" s="8">
        <v>2016</v>
      </c>
      <c r="H342" s="8">
        <v>12</v>
      </c>
      <c r="I342" s="8" t="s">
        <v>521</v>
      </c>
      <c r="J342" s="8" t="s">
        <v>228</v>
      </c>
      <c r="K342" s="8">
        <v>1983</v>
      </c>
      <c r="L342" s="17">
        <v>1</v>
      </c>
      <c r="M342" s="8">
        <v>1</v>
      </c>
      <c r="N342" s="8" t="s">
        <v>48</v>
      </c>
      <c r="O342" s="8" t="s">
        <v>283</v>
      </c>
      <c r="P342" s="8" t="s">
        <v>217</v>
      </c>
      <c r="Q342" s="8">
        <v>3000</v>
      </c>
      <c r="R342" s="8" t="s">
        <v>57</v>
      </c>
      <c r="S342" s="8" t="s">
        <v>53</v>
      </c>
      <c r="T342" s="8" t="s">
        <v>69</v>
      </c>
      <c r="U342" s="8" t="s">
        <v>228</v>
      </c>
      <c r="V342" s="8">
        <v>500</v>
      </c>
      <c r="W342" s="8" t="s">
        <v>328</v>
      </c>
      <c r="X342" s="8">
        <v>3000</v>
      </c>
      <c r="Y342" s="8" t="s">
        <v>268</v>
      </c>
      <c r="Z342" s="8">
        <v>85</v>
      </c>
      <c r="AA342" s="8" t="s">
        <v>278</v>
      </c>
      <c r="AB342" s="8" t="s">
        <v>228</v>
      </c>
      <c r="AC342" s="8" t="s">
        <v>228</v>
      </c>
      <c r="AD342" s="8" t="s">
        <v>228</v>
      </c>
      <c r="AE342" s="8" t="s">
        <v>228</v>
      </c>
      <c r="AF342" s="8" t="s">
        <v>228</v>
      </c>
      <c r="AG342" s="8" t="s">
        <v>228</v>
      </c>
      <c r="AH342" s="8" t="s">
        <v>228</v>
      </c>
      <c r="AI342" s="8" t="s">
        <v>228</v>
      </c>
      <c r="AJ342" t="s">
        <v>468</v>
      </c>
      <c r="AK342">
        <v>1</v>
      </c>
      <c r="AL342">
        <v>1</v>
      </c>
      <c r="AM342" t="s">
        <v>88</v>
      </c>
      <c r="AN342" t="s">
        <v>67</v>
      </c>
      <c r="AO342" t="s">
        <v>526</v>
      </c>
      <c r="AP342" t="s">
        <v>109</v>
      </c>
      <c r="AQ342">
        <v>12</v>
      </c>
      <c r="AR342" t="s">
        <v>521</v>
      </c>
      <c r="AS342" t="s">
        <v>228</v>
      </c>
      <c r="AT342" t="s">
        <v>140</v>
      </c>
      <c r="AU342">
        <v>1</v>
      </c>
      <c r="AV342">
        <v>1</v>
      </c>
      <c r="AW342" t="s">
        <v>406</v>
      </c>
      <c r="AX342" t="s">
        <v>283</v>
      </c>
      <c r="AY342" t="s">
        <v>217</v>
      </c>
      <c r="AZ342">
        <v>1</v>
      </c>
      <c r="BA342" t="s">
        <v>408</v>
      </c>
      <c r="BB342" t="s">
        <v>542</v>
      </c>
      <c r="BC342" t="s">
        <v>395</v>
      </c>
      <c r="BD342" t="s">
        <v>228</v>
      </c>
      <c r="BE342" t="s">
        <v>522</v>
      </c>
      <c r="BF342" t="s">
        <v>523</v>
      </c>
      <c r="BG342" t="s">
        <v>407</v>
      </c>
      <c r="BH342" t="s">
        <v>396</v>
      </c>
      <c r="BI342" t="s">
        <v>524</v>
      </c>
      <c r="BJ342" t="s">
        <v>228</v>
      </c>
      <c r="BK342" t="s">
        <v>228</v>
      </c>
      <c r="BL342" t="s">
        <v>228</v>
      </c>
      <c r="BM342" t="s">
        <v>228</v>
      </c>
      <c r="BN342" t="s">
        <v>228</v>
      </c>
      <c r="BO342" t="s">
        <v>228</v>
      </c>
      <c r="BP342" t="s">
        <v>228</v>
      </c>
      <c r="BQ342" t="s">
        <v>228</v>
      </c>
      <c r="BR342" t="s">
        <v>228</v>
      </c>
      <c r="BS342" t="s">
        <v>409</v>
      </c>
      <c r="BT342">
        <v>1</v>
      </c>
    </row>
    <row r="343" spans="1:72" x14ac:dyDescent="0.15">
      <c r="A343" s="43">
        <v>2023</v>
      </c>
      <c r="B343" s="8">
        <v>1</v>
      </c>
      <c r="C343" s="8">
        <v>1</v>
      </c>
      <c r="D343" s="8">
        <v>13</v>
      </c>
      <c r="E343" s="8" t="s">
        <v>67</v>
      </c>
      <c r="F343" s="8" t="s">
        <v>57</v>
      </c>
      <c r="G343" s="8">
        <v>2016</v>
      </c>
      <c r="H343" s="8">
        <v>12</v>
      </c>
      <c r="I343" s="8" t="s">
        <v>521</v>
      </c>
      <c r="J343" s="8" t="s">
        <v>228</v>
      </c>
      <c r="K343" s="8">
        <v>1983</v>
      </c>
      <c r="L343" s="17">
        <v>1</v>
      </c>
      <c r="M343" s="8">
        <v>1</v>
      </c>
      <c r="N343" s="8" t="s">
        <v>48</v>
      </c>
      <c r="O343" s="8" t="s">
        <v>283</v>
      </c>
      <c r="P343" s="8" t="s">
        <v>217</v>
      </c>
      <c r="Q343" s="8">
        <v>3000</v>
      </c>
      <c r="R343" s="8" t="s">
        <v>57</v>
      </c>
      <c r="S343" s="8" t="s">
        <v>52</v>
      </c>
      <c r="T343" s="8" t="s">
        <v>69</v>
      </c>
      <c r="U343" s="8" t="s">
        <v>228</v>
      </c>
      <c r="V343" s="8">
        <v>500</v>
      </c>
      <c r="W343" s="8" t="s">
        <v>328</v>
      </c>
      <c r="X343" s="8">
        <v>3000</v>
      </c>
      <c r="Y343" s="8" t="s">
        <v>268</v>
      </c>
      <c r="Z343" s="8">
        <v>85</v>
      </c>
      <c r="AA343" s="8" t="s">
        <v>278</v>
      </c>
      <c r="AB343" s="8" t="s">
        <v>228</v>
      </c>
      <c r="AC343" s="8" t="s">
        <v>228</v>
      </c>
      <c r="AD343" s="8" t="s">
        <v>228</v>
      </c>
      <c r="AE343" s="8" t="s">
        <v>228</v>
      </c>
      <c r="AF343" s="8" t="s">
        <v>228</v>
      </c>
      <c r="AG343" s="8" t="s">
        <v>228</v>
      </c>
      <c r="AH343" s="8" t="s">
        <v>228</v>
      </c>
      <c r="AI343" s="8" t="s">
        <v>228</v>
      </c>
      <c r="AJ343" t="s">
        <v>468</v>
      </c>
      <c r="AK343">
        <v>1</v>
      </c>
      <c r="AL343">
        <v>1</v>
      </c>
      <c r="AM343" t="s">
        <v>88</v>
      </c>
      <c r="AN343" t="s">
        <v>67</v>
      </c>
      <c r="AO343" t="s">
        <v>526</v>
      </c>
      <c r="AP343" t="s">
        <v>109</v>
      </c>
      <c r="AQ343">
        <v>12</v>
      </c>
      <c r="AR343" t="s">
        <v>521</v>
      </c>
      <c r="AS343" t="s">
        <v>228</v>
      </c>
      <c r="AT343" t="s">
        <v>140</v>
      </c>
      <c r="AU343">
        <v>1</v>
      </c>
      <c r="AV343">
        <v>1</v>
      </c>
      <c r="AW343" t="s">
        <v>406</v>
      </c>
      <c r="AX343" t="s">
        <v>283</v>
      </c>
      <c r="AY343" t="s">
        <v>217</v>
      </c>
      <c r="AZ343">
        <v>1</v>
      </c>
      <c r="BA343" t="s">
        <v>408</v>
      </c>
      <c r="BB343" t="s">
        <v>405</v>
      </c>
      <c r="BC343" t="s">
        <v>395</v>
      </c>
      <c r="BD343" t="s">
        <v>228</v>
      </c>
      <c r="BE343" t="s">
        <v>522</v>
      </c>
      <c r="BF343" t="s">
        <v>523</v>
      </c>
      <c r="BG343" t="s">
        <v>407</v>
      </c>
      <c r="BH343" t="s">
        <v>396</v>
      </c>
      <c r="BI343" t="s">
        <v>524</v>
      </c>
      <c r="BJ343" t="s">
        <v>228</v>
      </c>
      <c r="BK343" t="s">
        <v>228</v>
      </c>
      <c r="BL343" t="s">
        <v>228</v>
      </c>
      <c r="BM343" t="s">
        <v>228</v>
      </c>
      <c r="BN343" t="s">
        <v>228</v>
      </c>
      <c r="BO343" t="s">
        <v>228</v>
      </c>
      <c r="BP343" t="s">
        <v>228</v>
      </c>
      <c r="BQ343" t="s">
        <v>228</v>
      </c>
      <c r="BR343" t="s">
        <v>228</v>
      </c>
      <c r="BS343" t="s">
        <v>409</v>
      </c>
      <c r="BT343">
        <v>1</v>
      </c>
    </row>
    <row r="344" spans="1:72" x14ac:dyDescent="0.15">
      <c r="A344" s="43">
        <v>2023</v>
      </c>
      <c r="B344" s="8">
        <v>1</v>
      </c>
      <c r="C344" s="8">
        <v>1</v>
      </c>
      <c r="D344" s="8">
        <v>13</v>
      </c>
      <c r="E344" s="8" t="s">
        <v>67</v>
      </c>
      <c r="F344" s="8" t="s">
        <v>57</v>
      </c>
      <c r="G344" s="8">
        <v>2016</v>
      </c>
      <c r="H344" s="8">
        <v>12</v>
      </c>
      <c r="I344" s="8" t="s">
        <v>521</v>
      </c>
      <c r="J344" s="8" t="s">
        <v>228</v>
      </c>
      <c r="K344" s="8">
        <v>1983</v>
      </c>
      <c r="L344" s="17">
        <v>1</v>
      </c>
      <c r="M344" s="8">
        <v>1</v>
      </c>
      <c r="N344" s="8" t="s">
        <v>48</v>
      </c>
      <c r="O344" s="8" t="s">
        <v>283</v>
      </c>
      <c r="P344" s="8" t="s">
        <v>217</v>
      </c>
      <c r="Q344" s="8">
        <v>3000</v>
      </c>
      <c r="R344" s="8" t="s">
        <v>57</v>
      </c>
      <c r="S344" s="8" t="s">
        <v>54</v>
      </c>
      <c r="T344" s="8" t="s">
        <v>69</v>
      </c>
      <c r="U344" s="8" t="s">
        <v>228</v>
      </c>
      <c r="V344" s="8">
        <v>500</v>
      </c>
      <c r="W344" s="8" t="s">
        <v>328</v>
      </c>
      <c r="X344" s="8">
        <v>3000</v>
      </c>
      <c r="Y344" s="8" t="s">
        <v>268</v>
      </c>
      <c r="Z344" s="8">
        <v>85</v>
      </c>
      <c r="AA344" s="8" t="s">
        <v>278</v>
      </c>
      <c r="AB344" s="8" t="s">
        <v>247</v>
      </c>
      <c r="AC344" s="8" t="s">
        <v>228</v>
      </c>
      <c r="AD344" s="8" t="s">
        <v>228</v>
      </c>
      <c r="AE344" s="8" t="s">
        <v>228</v>
      </c>
      <c r="AF344" s="8" t="s">
        <v>228</v>
      </c>
      <c r="AG344" s="8" t="s">
        <v>228</v>
      </c>
      <c r="AH344" s="8" t="s">
        <v>228</v>
      </c>
      <c r="AI344" s="8" t="s">
        <v>228</v>
      </c>
      <c r="AJ344" t="s">
        <v>468</v>
      </c>
      <c r="AK344">
        <v>1</v>
      </c>
      <c r="AL344">
        <v>1</v>
      </c>
      <c r="AM344" t="s">
        <v>88</v>
      </c>
      <c r="AN344" t="s">
        <v>67</v>
      </c>
      <c r="AO344" t="s">
        <v>526</v>
      </c>
      <c r="AP344" t="s">
        <v>109</v>
      </c>
      <c r="AQ344">
        <v>12</v>
      </c>
      <c r="AR344" t="s">
        <v>521</v>
      </c>
      <c r="AS344" t="s">
        <v>228</v>
      </c>
      <c r="AT344" t="s">
        <v>140</v>
      </c>
      <c r="AU344">
        <v>1</v>
      </c>
      <c r="AV344">
        <v>1</v>
      </c>
      <c r="AW344" t="s">
        <v>406</v>
      </c>
      <c r="AX344" t="s">
        <v>283</v>
      </c>
      <c r="AY344" t="s">
        <v>217</v>
      </c>
      <c r="AZ344">
        <v>1</v>
      </c>
      <c r="BA344" t="s">
        <v>408</v>
      </c>
      <c r="BB344" t="s">
        <v>541</v>
      </c>
      <c r="BC344" t="s">
        <v>395</v>
      </c>
      <c r="BD344" t="s">
        <v>228</v>
      </c>
      <c r="BE344" t="s">
        <v>522</v>
      </c>
      <c r="BF344" t="s">
        <v>523</v>
      </c>
      <c r="BG344" t="s">
        <v>407</v>
      </c>
      <c r="BH344" t="s">
        <v>396</v>
      </c>
      <c r="BI344" t="s">
        <v>524</v>
      </c>
      <c r="BJ344" t="s">
        <v>228</v>
      </c>
      <c r="BK344" t="s">
        <v>543</v>
      </c>
      <c r="BL344" t="s">
        <v>228</v>
      </c>
      <c r="BM344" t="s">
        <v>228</v>
      </c>
      <c r="BN344" t="s">
        <v>228</v>
      </c>
      <c r="BO344" t="s">
        <v>228</v>
      </c>
      <c r="BP344" t="s">
        <v>228</v>
      </c>
      <c r="BQ344" t="s">
        <v>228</v>
      </c>
      <c r="BR344" t="s">
        <v>228</v>
      </c>
      <c r="BS344" t="s">
        <v>409</v>
      </c>
      <c r="BT344">
        <v>1</v>
      </c>
    </row>
    <row r="345" spans="1:72" x14ac:dyDescent="0.15">
      <c r="A345" s="43">
        <v>2023</v>
      </c>
      <c r="B345" s="8">
        <v>1</v>
      </c>
      <c r="C345" s="8">
        <v>1</v>
      </c>
      <c r="D345" s="8">
        <v>13</v>
      </c>
      <c r="E345" s="8" t="s">
        <v>67</v>
      </c>
      <c r="F345" s="8" t="s">
        <v>57</v>
      </c>
      <c r="G345" s="8">
        <v>2016</v>
      </c>
      <c r="H345" s="8">
        <v>12</v>
      </c>
      <c r="I345" s="8" t="s">
        <v>521</v>
      </c>
      <c r="J345" s="8" t="s">
        <v>228</v>
      </c>
      <c r="K345" s="8">
        <v>1983</v>
      </c>
      <c r="L345" s="17">
        <v>1</v>
      </c>
      <c r="M345" s="8">
        <v>1</v>
      </c>
      <c r="N345" s="8" t="s">
        <v>48</v>
      </c>
      <c r="O345" s="8" t="s">
        <v>283</v>
      </c>
      <c r="P345" s="8" t="s">
        <v>217</v>
      </c>
      <c r="Q345" s="8">
        <v>3000</v>
      </c>
      <c r="R345" s="8" t="s">
        <v>57</v>
      </c>
      <c r="S345" s="8" t="s">
        <v>53</v>
      </c>
      <c r="T345" s="8" t="s">
        <v>69</v>
      </c>
      <c r="U345" s="8" t="s">
        <v>228</v>
      </c>
      <c r="V345" s="8">
        <v>500</v>
      </c>
      <c r="W345" s="8" t="s">
        <v>328</v>
      </c>
      <c r="X345" s="8">
        <v>3000</v>
      </c>
      <c r="Y345" s="8" t="s">
        <v>268</v>
      </c>
      <c r="Z345" s="8">
        <v>85</v>
      </c>
      <c r="AA345" s="8" t="s">
        <v>278</v>
      </c>
      <c r="AB345" s="8" t="s">
        <v>247</v>
      </c>
      <c r="AC345" s="8" t="s">
        <v>228</v>
      </c>
      <c r="AD345" s="8" t="s">
        <v>228</v>
      </c>
      <c r="AE345" s="8" t="s">
        <v>228</v>
      </c>
      <c r="AF345" s="8" t="s">
        <v>228</v>
      </c>
      <c r="AG345" s="8" t="s">
        <v>228</v>
      </c>
      <c r="AH345" s="8" t="s">
        <v>228</v>
      </c>
      <c r="AI345" s="8" t="s">
        <v>228</v>
      </c>
      <c r="AJ345" t="s">
        <v>468</v>
      </c>
      <c r="AK345">
        <v>1</v>
      </c>
      <c r="AL345">
        <v>1</v>
      </c>
      <c r="AM345" t="s">
        <v>88</v>
      </c>
      <c r="AN345" t="s">
        <v>67</v>
      </c>
      <c r="AO345" t="s">
        <v>526</v>
      </c>
      <c r="AP345" t="s">
        <v>109</v>
      </c>
      <c r="AQ345">
        <v>12</v>
      </c>
      <c r="AR345" t="s">
        <v>521</v>
      </c>
      <c r="AS345" t="s">
        <v>228</v>
      </c>
      <c r="AT345" t="s">
        <v>140</v>
      </c>
      <c r="AU345">
        <v>1</v>
      </c>
      <c r="AV345">
        <v>1</v>
      </c>
      <c r="AW345" t="s">
        <v>406</v>
      </c>
      <c r="AX345" t="s">
        <v>283</v>
      </c>
      <c r="AY345" t="s">
        <v>217</v>
      </c>
      <c r="AZ345">
        <v>1</v>
      </c>
      <c r="BA345" t="s">
        <v>408</v>
      </c>
      <c r="BB345" t="s">
        <v>542</v>
      </c>
      <c r="BC345" t="s">
        <v>395</v>
      </c>
      <c r="BD345" t="s">
        <v>228</v>
      </c>
      <c r="BE345" t="s">
        <v>522</v>
      </c>
      <c r="BF345" t="s">
        <v>523</v>
      </c>
      <c r="BG345" t="s">
        <v>407</v>
      </c>
      <c r="BH345" t="s">
        <v>396</v>
      </c>
      <c r="BI345" t="s">
        <v>524</v>
      </c>
      <c r="BJ345" t="s">
        <v>228</v>
      </c>
      <c r="BK345" t="s">
        <v>543</v>
      </c>
      <c r="BL345" t="s">
        <v>228</v>
      </c>
      <c r="BM345" t="s">
        <v>228</v>
      </c>
      <c r="BN345" t="s">
        <v>228</v>
      </c>
      <c r="BO345" t="s">
        <v>228</v>
      </c>
      <c r="BP345" t="s">
        <v>228</v>
      </c>
      <c r="BQ345" t="s">
        <v>228</v>
      </c>
      <c r="BR345" t="s">
        <v>228</v>
      </c>
      <c r="BS345" t="s">
        <v>409</v>
      </c>
      <c r="BT345">
        <v>1</v>
      </c>
    </row>
    <row r="346" spans="1:72" x14ac:dyDescent="0.15">
      <c r="A346" s="43">
        <v>2023</v>
      </c>
      <c r="B346" s="8">
        <v>1</v>
      </c>
      <c r="C346" s="8">
        <v>1</v>
      </c>
      <c r="D346" s="8">
        <v>13</v>
      </c>
      <c r="E346" s="8" t="s">
        <v>67</v>
      </c>
      <c r="F346" s="8" t="s">
        <v>57</v>
      </c>
      <c r="G346" s="8">
        <v>2016</v>
      </c>
      <c r="H346" s="8">
        <v>12</v>
      </c>
      <c r="I346" s="8" t="s">
        <v>521</v>
      </c>
      <c r="J346" s="8" t="s">
        <v>228</v>
      </c>
      <c r="K346" s="8">
        <v>1983</v>
      </c>
      <c r="L346" s="17">
        <v>1</v>
      </c>
      <c r="M346" s="8">
        <v>1</v>
      </c>
      <c r="N346" s="8" t="s">
        <v>48</v>
      </c>
      <c r="O346" s="8" t="s">
        <v>283</v>
      </c>
      <c r="P346" s="8" t="s">
        <v>217</v>
      </c>
      <c r="Q346" s="8">
        <v>3000</v>
      </c>
      <c r="R346" s="8" t="s">
        <v>57</v>
      </c>
      <c r="S346" s="8" t="s">
        <v>52</v>
      </c>
      <c r="T346" s="8" t="s">
        <v>69</v>
      </c>
      <c r="U346" s="8" t="s">
        <v>228</v>
      </c>
      <c r="V346" s="8">
        <v>500</v>
      </c>
      <c r="W346" s="8" t="s">
        <v>328</v>
      </c>
      <c r="X346" s="8">
        <v>3000</v>
      </c>
      <c r="Y346" s="8" t="s">
        <v>268</v>
      </c>
      <c r="Z346" s="8">
        <v>85</v>
      </c>
      <c r="AA346" s="8" t="s">
        <v>278</v>
      </c>
      <c r="AB346" s="8" t="s">
        <v>247</v>
      </c>
      <c r="AC346" s="8" t="s">
        <v>228</v>
      </c>
      <c r="AD346" s="8" t="s">
        <v>228</v>
      </c>
      <c r="AE346" s="8" t="s">
        <v>228</v>
      </c>
      <c r="AF346" s="8" t="s">
        <v>228</v>
      </c>
      <c r="AG346" s="8" t="s">
        <v>228</v>
      </c>
      <c r="AH346" s="8" t="s">
        <v>228</v>
      </c>
      <c r="AI346" s="8" t="s">
        <v>228</v>
      </c>
      <c r="AJ346" t="s">
        <v>468</v>
      </c>
      <c r="AK346">
        <v>1</v>
      </c>
      <c r="AL346">
        <v>1</v>
      </c>
      <c r="AM346" t="s">
        <v>88</v>
      </c>
      <c r="AN346" t="s">
        <v>67</v>
      </c>
      <c r="AO346" t="s">
        <v>526</v>
      </c>
      <c r="AP346" t="s">
        <v>109</v>
      </c>
      <c r="AQ346">
        <v>12</v>
      </c>
      <c r="AR346" t="s">
        <v>521</v>
      </c>
      <c r="AS346" t="s">
        <v>228</v>
      </c>
      <c r="AT346" t="s">
        <v>140</v>
      </c>
      <c r="AU346">
        <v>1</v>
      </c>
      <c r="AV346">
        <v>1</v>
      </c>
      <c r="AW346" t="s">
        <v>406</v>
      </c>
      <c r="AX346" t="s">
        <v>283</v>
      </c>
      <c r="AY346" t="s">
        <v>217</v>
      </c>
      <c r="AZ346">
        <v>1</v>
      </c>
      <c r="BA346" t="s">
        <v>408</v>
      </c>
      <c r="BB346" t="s">
        <v>405</v>
      </c>
      <c r="BC346" t="s">
        <v>395</v>
      </c>
      <c r="BD346" t="s">
        <v>228</v>
      </c>
      <c r="BE346" t="s">
        <v>522</v>
      </c>
      <c r="BF346" t="s">
        <v>523</v>
      </c>
      <c r="BG346" t="s">
        <v>407</v>
      </c>
      <c r="BH346" t="s">
        <v>396</v>
      </c>
      <c r="BI346" t="s">
        <v>524</v>
      </c>
      <c r="BJ346" t="s">
        <v>228</v>
      </c>
      <c r="BK346" t="s">
        <v>543</v>
      </c>
      <c r="BL346" t="s">
        <v>228</v>
      </c>
      <c r="BM346" t="s">
        <v>228</v>
      </c>
      <c r="BN346" t="s">
        <v>228</v>
      </c>
      <c r="BO346" t="s">
        <v>228</v>
      </c>
      <c r="BP346" t="s">
        <v>228</v>
      </c>
      <c r="BQ346" t="s">
        <v>228</v>
      </c>
      <c r="BR346" t="s">
        <v>228</v>
      </c>
      <c r="BS346" t="s">
        <v>409</v>
      </c>
      <c r="BT346">
        <v>1</v>
      </c>
    </row>
    <row r="347" spans="1:72" x14ac:dyDescent="0.15">
      <c r="A347" s="43">
        <v>2023</v>
      </c>
      <c r="B347" s="8">
        <v>1</v>
      </c>
      <c r="C347" s="8">
        <v>1</v>
      </c>
      <c r="D347" s="8">
        <v>13</v>
      </c>
      <c r="E347" s="8" t="s">
        <v>67</v>
      </c>
      <c r="F347" s="8" t="s">
        <v>57</v>
      </c>
      <c r="G347" s="8">
        <v>2016</v>
      </c>
      <c r="H347" s="8">
        <v>12</v>
      </c>
      <c r="I347" s="8" t="s">
        <v>521</v>
      </c>
      <c r="J347" s="8" t="s">
        <v>228</v>
      </c>
      <c r="K347" s="8">
        <v>1983</v>
      </c>
      <c r="L347" s="17">
        <v>1</v>
      </c>
      <c r="M347" s="8">
        <v>1</v>
      </c>
      <c r="N347" s="8" t="s">
        <v>48</v>
      </c>
      <c r="O347" s="8" t="s">
        <v>283</v>
      </c>
      <c r="P347" s="8" t="s">
        <v>217</v>
      </c>
      <c r="Q347" s="8">
        <v>3000</v>
      </c>
      <c r="R347" s="8" t="s">
        <v>57</v>
      </c>
      <c r="S347" s="8" t="s">
        <v>54</v>
      </c>
      <c r="T347" s="8" t="s">
        <v>69</v>
      </c>
      <c r="U347" s="8" t="s">
        <v>228</v>
      </c>
      <c r="V347" s="8">
        <v>500</v>
      </c>
      <c r="W347" s="8" t="s">
        <v>328</v>
      </c>
      <c r="X347" s="8">
        <v>3000</v>
      </c>
      <c r="Y347" s="8" t="s">
        <v>271</v>
      </c>
      <c r="Z347" s="8">
        <v>85</v>
      </c>
      <c r="AA347" s="8" t="s">
        <v>278</v>
      </c>
      <c r="AB347" s="8" t="s">
        <v>228</v>
      </c>
      <c r="AC347" s="8" t="s">
        <v>228</v>
      </c>
      <c r="AD347" s="8" t="s">
        <v>228</v>
      </c>
      <c r="AE347" s="8" t="s">
        <v>228</v>
      </c>
      <c r="AF347" s="8" t="s">
        <v>228</v>
      </c>
      <c r="AG347" s="8" t="s">
        <v>228</v>
      </c>
      <c r="AH347" s="8" t="s">
        <v>228</v>
      </c>
      <c r="AI347" s="8" t="s">
        <v>228</v>
      </c>
      <c r="AJ347" t="s">
        <v>468</v>
      </c>
      <c r="AK347">
        <v>1</v>
      </c>
      <c r="AL347">
        <v>1</v>
      </c>
      <c r="AM347" t="s">
        <v>88</v>
      </c>
      <c r="AN347" t="s">
        <v>67</v>
      </c>
      <c r="AO347" t="s">
        <v>526</v>
      </c>
      <c r="AP347" t="s">
        <v>109</v>
      </c>
      <c r="AQ347">
        <v>12</v>
      </c>
      <c r="AR347" t="s">
        <v>521</v>
      </c>
      <c r="AS347" t="s">
        <v>228</v>
      </c>
      <c r="AT347" t="s">
        <v>140</v>
      </c>
      <c r="AU347">
        <v>1</v>
      </c>
      <c r="AV347">
        <v>1</v>
      </c>
      <c r="AW347" t="s">
        <v>406</v>
      </c>
      <c r="AX347" t="s">
        <v>283</v>
      </c>
      <c r="AY347" t="s">
        <v>217</v>
      </c>
      <c r="AZ347">
        <v>1</v>
      </c>
      <c r="BA347" t="s">
        <v>408</v>
      </c>
      <c r="BB347" t="s">
        <v>541</v>
      </c>
      <c r="BC347" t="s">
        <v>395</v>
      </c>
      <c r="BD347" t="s">
        <v>228</v>
      </c>
      <c r="BE347" t="s">
        <v>522</v>
      </c>
      <c r="BF347" t="s">
        <v>523</v>
      </c>
      <c r="BG347" t="s">
        <v>407</v>
      </c>
      <c r="BH347" t="s">
        <v>544</v>
      </c>
      <c r="BI347" t="s">
        <v>524</v>
      </c>
      <c r="BJ347" t="s">
        <v>228</v>
      </c>
      <c r="BK347" t="s">
        <v>228</v>
      </c>
      <c r="BL347" t="s">
        <v>228</v>
      </c>
      <c r="BM347" t="s">
        <v>228</v>
      </c>
      <c r="BN347" t="s">
        <v>228</v>
      </c>
      <c r="BO347" t="s">
        <v>228</v>
      </c>
      <c r="BP347" t="s">
        <v>228</v>
      </c>
      <c r="BQ347" t="s">
        <v>228</v>
      </c>
      <c r="BR347" t="s">
        <v>228</v>
      </c>
      <c r="BS347" t="s">
        <v>409</v>
      </c>
      <c r="BT347">
        <v>1</v>
      </c>
    </row>
    <row r="348" spans="1:72" x14ac:dyDescent="0.15">
      <c r="A348" s="43">
        <v>2023</v>
      </c>
      <c r="B348" s="8">
        <v>1</v>
      </c>
      <c r="C348" s="8">
        <v>1</v>
      </c>
      <c r="D348" s="8">
        <v>13</v>
      </c>
      <c r="E348" s="8" t="s">
        <v>67</v>
      </c>
      <c r="F348" s="8" t="s">
        <v>57</v>
      </c>
      <c r="G348" s="8">
        <v>2016</v>
      </c>
      <c r="H348" s="8">
        <v>12</v>
      </c>
      <c r="I348" s="8" t="s">
        <v>521</v>
      </c>
      <c r="J348" s="8" t="s">
        <v>228</v>
      </c>
      <c r="K348" s="8">
        <v>1983</v>
      </c>
      <c r="L348" s="17">
        <v>1</v>
      </c>
      <c r="M348" s="8">
        <v>1</v>
      </c>
      <c r="N348" s="8" t="s">
        <v>48</v>
      </c>
      <c r="O348" s="8" t="s">
        <v>283</v>
      </c>
      <c r="P348" s="8" t="s">
        <v>217</v>
      </c>
      <c r="Q348" s="8">
        <v>3000</v>
      </c>
      <c r="R348" s="8" t="s">
        <v>57</v>
      </c>
      <c r="S348" s="8" t="s">
        <v>53</v>
      </c>
      <c r="T348" s="8" t="s">
        <v>69</v>
      </c>
      <c r="U348" s="8" t="s">
        <v>228</v>
      </c>
      <c r="V348" s="8">
        <v>500</v>
      </c>
      <c r="W348" s="8" t="s">
        <v>328</v>
      </c>
      <c r="X348" s="8">
        <v>3000</v>
      </c>
      <c r="Y348" s="8" t="s">
        <v>271</v>
      </c>
      <c r="Z348" s="8">
        <v>85</v>
      </c>
      <c r="AA348" s="8" t="s">
        <v>278</v>
      </c>
      <c r="AB348" s="8" t="s">
        <v>228</v>
      </c>
      <c r="AC348" s="8" t="s">
        <v>228</v>
      </c>
      <c r="AD348" s="8" t="s">
        <v>228</v>
      </c>
      <c r="AE348" s="8" t="s">
        <v>228</v>
      </c>
      <c r="AF348" s="8" t="s">
        <v>228</v>
      </c>
      <c r="AG348" s="8" t="s">
        <v>228</v>
      </c>
      <c r="AH348" s="8" t="s">
        <v>228</v>
      </c>
      <c r="AI348" s="8" t="s">
        <v>228</v>
      </c>
      <c r="AJ348" t="s">
        <v>468</v>
      </c>
      <c r="AK348">
        <v>1</v>
      </c>
      <c r="AL348">
        <v>1</v>
      </c>
      <c r="AM348" t="s">
        <v>88</v>
      </c>
      <c r="AN348" t="s">
        <v>67</v>
      </c>
      <c r="AO348" t="s">
        <v>526</v>
      </c>
      <c r="AP348" t="s">
        <v>109</v>
      </c>
      <c r="AQ348">
        <v>12</v>
      </c>
      <c r="AR348" t="s">
        <v>521</v>
      </c>
      <c r="AS348" t="s">
        <v>228</v>
      </c>
      <c r="AT348" t="s">
        <v>140</v>
      </c>
      <c r="AU348">
        <v>1</v>
      </c>
      <c r="AV348">
        <v>1</v>
      </c>
      <c r="AW348" t="s">
        <v>406</v>
      </c>
      <c r="AX348" t="s">
        <v>283</v>
      </c>
      <c r="AY348" t="s">
        <v>217</v>
      </c>
      <c r="AZ348">
        <v>1</v>
      </c>
      <c r="BA348" t="s">
        <v>408</v>
      </c>
      <c r="BB348" t="s">
        <v>542</v>
      </c>
      <c r="BC348" t="s">
        <v>395</v>
      </c>
      <c r="BD348" t="s">
        <v>228</v>
      </c>
      <c r="BE348" t="s">
        <v>522</v>
      </c>
      <c r="BF348" t="s">
        <v>523</v>
      </c>
      <c r="BG348" t="s">
        <v>407</v>
      </c>
      <c r="BH348" t="s">
        <v>544</v>
      </c>
      <c r="BI348" t="s">
        <v>524</v>
      </c>
      <c r="BJ348" t="s">
        <v>228</v>
      </c>
      <c r="BK348" t="s">
        <v>228</v>
      </c>
      <c r="BL348" t="s">
        <v>228</v>
      </c>
      <c r="BM348" t="s">
        <v>228</v>
      </c>
      <c r="BN348" t="s">
        <v>228</v>
      </c>
      <c r="BO348" t="s">
        <v>228</v>
      </c>
      <c r="BP348" t="s">
        <v>228</v>
      </c>
      <c r="BQ348" t="s">
        <v>228</v>
      </c>
      <c r="BR348" t="s">
        <v>228</v>
      </c>
      <c r="BS348" t="s">
        <v>409</v>
      </c>
      <c r="BT348">
        <v>1</v>
      </c>
    </row>
    <row r="349" spans="1:72" x14ac:dyDescent="0.15">
      <c r="A349" s="43">
        <v>2023</v>
      </c>
      <c r="B349" s="8">
        <v>1</v>
      </c>
      <c r="C349" s="8">
        <v>1</v>
      </c>
      <c r="D349" s="8">
        <v>13</v>
      </c>
      <c r="E349" s="8" t="s">
        <v>67</v>
      </c>
      <c r="F349" s="8" t="s">
        <v>57</v>
      </c>
      <c r="G349" s="8">
        <v>2016</v>
      </c>
      <c r="H349" s="8">
        <v>12</v>
      </c>
      <c r="I349" s="8" t="s">
        <v>521</v>
      </c>
      <c r="J349" s="8" t="s">
        <v>228</v>
      </c>
      <c r="K349" s="8">
        <v>1983</v>
      </c>
      <c r="L349" s="17">
        <v>1</v>
      </c>
      <c r="M349" s="8">
        <v>1</v>
      </c>
      <c r="N349" s="8" t="s">
        <v>48</v>
      </c>
      <c r="O349" s="8" t="s">
        <v>283</v>
      </c>
      <c r="P349" s="8" t="s">
        <v>217</v>
      </c>
      <c r="Q349" s="8">
        <v>3000</v>
      </c>
      <c r="R349" s="8" t="s">
        <v>57</v>
      </c>
      <c r="S349" s="8" t="s">
        <v>52</v>
      </c>
      <c r="T349" s="8" t="s">
        <v>69</v>
      </c>
      <c r="U349" s="8" t="s">
        <v>228</v>
      </c>
      <c r="V349" s="8">
        <v>500</v>
      </c>
      <c r="W349" s="8" t="s">
        <v>328</v>
      </c>
      <c r="X349" s="8">
        <v>3000</v>
      </c>
      <c r="Y349" s="8" t="s">
        <v>271</v>
      </c>
      <c r="Z349" s="8">
        <v>85</v>
      </c>
      <c r="AA349" s="8" t="s">
        <v>278</v>
      </c>
      <c r="AB349" s="8" t="s">
        <v>228</v>
      </c>
      <c r="AC349" s="8" t="s">
        <v>228</v>
      </c>
      <c r="AD349" s="8" t="s">
        <v>228</v>
      </c>
      <c r="AE349" s="8" t="s">
        <v>228</v>
      </c>
      <c r="AF349" s="8" t="s">
        <v>228</v>
      </c>
      <c r="AG349" s="8" t="s">
        <v>228</v>
      </c>
      <c r="AH349" s="8" t="s">
        <v>228</v>
      </c>
      <c r="AI349" s="8" t="s">
        <v>228</v>
      </c>
      <c r="AJ349" t="s">
        <v>468</v>
      </c>
      <c r="AK349">
        <v>1</v>
      </c>
      <c r="AL349">
        <v>1</v>
      </c>
      <c r="AM349" t="s">
        <v>88</v>
      </c>
      <c r="AN349" t="s">
        <v>67</v>
      </c>
      <c r="AO349" t="s">
        <v>526</v>
      </c>
      <c r="AP349" t="s">
        <v>109</v>
      </c>
      <c r="AQ349">
        <v>12</v>
      </c>
      <c r="AR349" t="s">
        <v>521</v>
      </c>
      <c r="AS349" t="s">
        <v>228</v>
      </c>
      <c r="AT349" t="s">
        <v>140</v>
      </c>
      <c r="AU349">
        <v>1</v>
      </c>
      <c r="AV349">
        <v>1</v>
      </c>
      <c r="AW349" t="s">
        <v>406</v>
      </c>
      <c r="AX349" t="s">
        <v>283</v>
      </c>
      <c r="AY349" t="s">
        <v>217</v>
      </c>
      <c r="AZ349">
        <v>1</v>
      </c>
      <c r="BA349" t="s">
        <v>408</v>
      </c>
      <c r="BB349" t="s">
        <v>405</v>
      </c>
      <c r="BC349" t="s">
        <v>395</v>
      </c>
      <c r="BD349" t="s">
        <v>228</v>
      </c>
      <c r="BE349" t="s">
        <v>522</v>
      </c>
      <c r="BF349" t="s">
        <v>523</v>
      </c>
      <c r="BG349" t="s">
        <v>407</v>
      </c>
      <c r="BH349" t="s">
        <v>544</v>
      </c>
      <c r="BI349" t="s">
        <v>524</v>
      </c>
      <c r="BJ349" t="s">
        <v>228</v>
      </c>
      <c r="BK349" t="s">
        <v>228</v>
      </c>
      <c r="BL349" t="s">
        <v>228</v>
      </c>
      <c r="BM349" t="s">
        <v>228</v>
      </c>
      <c r="BN349" t="s">
        <v>228</v>
      </c>
      <c r="BO349" t="s">
        <v>228</v>
      </c>
      <c r="BP349" t="s">
        <v>228</v>
      </c>
      <c r="BQ349" t="s">
        <v>228</v>
      </c>
      <c r="BR349" t="s">
        <v>228</v>
      </c>
      <c r="BS349" t="s">
        <v>409</v>
      </c>
      <c r="BT349">
        <v>1</v>
      </c>
    </row>
    <row r="350" spans="1:72" x14ac:dyDescent="0.15">
      <c r="A350" s="43">
        <v>2023</v>
      </c>
      <c r="B350" s="8">
        <v>1</v>
      </c>
      <c r="C350" s="8">
        <v>1</v>
      </c>
      <c r="D350" s="8">
        <v>13</v>
      </c>
      <c r="E350" s="8" t="s">
        <v>67</v>
      </c>
      <c r="F350" s="8" t="s">
        <v>57</v>
      </c>
      <c r="G350" s="8">
        <v>2016</v>
      </c>
      <c r="H350" s="8">
        <v>12</v>
      </c>
      <c r="I350" s="8" t="s">
        <v>521</v>
      </c>
      <c r="J350" s="8" t="s">
        <v>228</v>
      </c>
      <c r="K350" s="8">
        <v>1983</v>
      </c>
      <c r="L350" s="17">
        <v>1</v>
      </c>
      <c r="M350" s="8">
        <v>1</v>
      </c>
      <c r="N350" s="8" t="s">
        <v>48</v>
      </c>
      <c r="O350" s="8" t="s">
        <v>283</v>
      </c>
      <c r="P350" s="8" t="s">
        <v>217</v>
      </c>
      <c r="Q350" s="8">
        <v>3000</v>
      </c>
      <c r="R350" s="8" t="s">
        <v>57</v>
      </c>
      <c r="S350" s="8" t="s">
        <v>54</v>
      </c>
      <c r="T350" s="8" t="s">
        <v>69</v>
      </c>
      <c r="U350" s="8" t="s">
        <v>228</v>
      </c>
      <c r="V350" s="8">
        <v>500</v>
      </c>
      <c r="W350" s="8" t="s">
        <v>328</v>
      </c>
      <c r="X350" s="8">
        <v>3000</v>
      </c>
      <c r="Y350" s="8" t="s">
        <v>271</v>
      </c>
      <c r="Z350" s="8">
        <v>85</v>
      </c>
      <c r="AA350" s="8" t="s">
        <v>278</v>
      </c>
      <c r="AB350" s="8" t="s">
        <v>247</v>
      </c>
      <c r="AC350" s="8" t="s">
        <v>228</v>
      </c>
      <c r="AD350" s="8" t="s">
        <v>228</v>
      </c>
      <c r="AE350" s="8" t="s">
        <v>228</v>
      </c>
      <c r="AF350" s="8" t="s">
        <v>228</v>
      </c>
      <c r="AG350" s="8" t="s">
        <v>228</v>
      </c>
      <c r="AH350" s="8" t="s">
        <v>228</v>
      </c>
      <c r="AI350" s="8" t="s">
        <v>228</v>
      </c>
      <c r="AJ350" t="s">
        <v>468</v>
      </c>
      <c r="AK350">
        <v>1</v>
      </c>
      <c r="AL350">
        <v>1</v>
      </c>
      <c r="AM350" t="s">
        <v>88</v>
      </c>
      <c r="AN350" t="s">
        <v>67</v>
      </c>
      <c r="AO350" t="s">
        <v>526</v>
      </c>
      <c r="AP350" t="s">
        <v>109</v>
      </c>
      <c r="AQ350">
        <v>12</v>
      </c>
      <c r="AR350" t="s">
        <v>521</v>
      </c>
      <c r="AS350" t="s">
        <v>228</v>
      </c>
      <c r="AT350" t="s">
        <v>140</v>
      </c>
      <c r="AU350">
        <v>1</v>
      </c>
      <c r="AV350">
        <v>1</v>
      </c>
      <c r="AW350" t="s">
        <v>406</v>
      </c>
      <c r="AX350" t="s">
        <v>283</v>
      </c>
      <c r="AY350" t="s">
        <v>217</v>
      </c>
      <c r="AZ350">
        <v>1</v>
      </c>
      <c r="BA350" t="s">
        <v>408</v>
      </c>
      <c r="BB350" t="s">
        <v>541</v>
      </c>
      <c r="BC350" t="s">
        <v>395</v>
      </c>
      <c r="BD350" t="s">
        <v>228</v>
      </c>
      <c r="BE350" t="s">
        <v>522</v>
      </c>
      <c r="BF350" t="s">
        <v>523</v>
      </c>
      <c r="BG350" t="s">
        <v>407</v>
      </c>
      <c r="BH350" t="s">
        <v>544</v>
      </c>
      <c r="BI350" t="s">
        <v>524</v>
      </c>
      <c r="BJ350" t="s">
        <v>228</v>
      </c>
      <c r="BK350" t="s">
        <v>543</v>
      </c>
      <c r="BL350" t="s">
        <v>228</v>
      </c>
      <c r="BM350" t="s">
        <v>228</v>
      </c>
      <c r="BN350" t="s">
        <v>228</v>
      </c>
      <c r="BO350" t="s">
        <v>228</v>
      </c>
      <c r="BP350" t="s">
        <v>228</v>
      </c>
      <c r="BQ350" t="s">
        <v>228</v>
      </c>
      <c r="BR350" t="s">
        <v>228</v>
      </c>
      <c r="BS350" t="s">
        <v>409</v>
      </c>
      <c r="BT350">
        <v>1</v>
      </c>
    </row>
    <row r="351" spans="1:72" x14ac:dyDescent="0.15">
      <c r="A351" s="43">
        <v>2023</v>
      </c>
      <c r="B351" s="8">
        <v>1</v>
      </c>
      <c r="C351" s="8">
        <v>1</v>
      </c>
      <c r="D351" s="8">
        <v>13</v>
      </c>
      <c r="E351" s="8" t="s">
        <v>67</v>
      </c>
      <c r="F351" s="8" t="s">
        <v>57</v>
      </c>
      <c r="G351" s="8">
        <v>2016</v>
      </c>
      <c r="H351" s="8">
        <v>12</v>
      </c>
      <c r="I351" s="8" t="s">
        <v>521</v>
      </c>
      <c r="J351" s="8" t="s">
        <v>228</v>
      </c>
      <c r="K351" s="8">
        <v>1983</v>
      </c>
      <c r="L351" s="17">
        <v>1</v>
      </c>
      <c r="M351" s="8">
        <v>1</v>
      </c>
      <c r="N351" s="8" t="s">
        <v>48</v>
      </c>
      <c r="O351" s="8" t="s">
        <v>283</v>
      </c>
      <c r="P351" s="8" t="s">
        <v>217</v>
      </c>
      <c r="Q351" s="8">
        <v>3000</v>
      </c>
      <c r="R351" s="8" t="s">
        <v>57</v>
      </c>
      <c r="S351" s="8" t="s">
        <v>53</v>
      </c>
      <c r="T351" s="8" t="s">
        <v>69</v>
      </c>
      <c r="U351" s="8" t="s">
        <v>228</v>
      </c>
      <c r="V351" s="8">
        <v>500</v>
      </c>
      <c r="W351" s="8" t="s">
        <v>328</v>
      </c>
      <c r="X351" s="8">
        <v>3000</v>
      </c>
      <c r="Y351" s="8" t="s">
        <v>271</v>
      </c>
      <c r="Z351" s="8">
        <v>85</v>
      </c>
      <c r="AA351" s="8" t="s">
        <v>278</v>
      </c>
      <c r="AB351" s="8" t="s">
        <v>247</v>
      </c>
      <c r="AC351" s="8" t="s">
        <v>228</v>
      </c>
      <c r="AD351" s="8" t="s">
        <v>228</v>
      </c>
      <c r="AE351" s="8" t="s">
        <v>228</v>
      </c>
      <c r="AF351" s="8" t="s">
        <v>228</v>
      </c>
      <c r="AG351" s="8" t="s">
        <v>228</v>
      </c>
      <c r="AH351" s="8" t="s">
        <v>228</v>
      </c>
      <c r="AI351" s="8" t="s">
        <v>228</v>
      </c>
      <c r="AJ351" t="s">
        <v>468</v>
      </c>
      <c r="AK351">
        <v>1</v>
      </c>
      <c r="AL351">
        <v>1</v>
      </c>
      <c r="AM351" t="s">
        <v>88</v>
      </c>
      <c r="AN351" t="s">
        <v>67</v>
      </c>
      <c r="AO351" t="s">
        <v>526</v>
      </c>
      <c r="AP351" t="s">
        <v>109</v>
      </c>
      <c r="AQ351">
        <v>12</v>
      </c>
      <c r="AR351" t="s">
        <v>521</v>
      </c>
      <c r="AS351" t="s">
        <v>228</v>
      </c>
      <c r="AT351" t="s">
        <v>140</v>
      </c>
      <c r="AU351">
        <v>1</v>
      </c>
      <c r="AV351">
        <v>1</v>
      </c>
      <c r="AW351" t="s">
        <v>406</v>
      </c>
      <c r="AX351" t="s">
        <v>283</v>
      </c>
      <c r="AY351" t="s">
        <v>217</v>
      </c>
      <c r="AZ351">
        <v>1</v>
      </c>
      <c r="BA351" t="s">
        <v>408</v>
      </c>
      <c r="BB351" t="s">
        <v>542</v>
      </c>
      <c r="BC351" t="s">
        <v>395</v>
      </c>
      <c r="BD351" t="s">
        <v>228</v>
      </c>
      <c r="BE351" t="s">
        <v>522</v>
      </c>
      <c r="BF351" t="s">
        <v>523</v>
      </c>
      <c r="BG351" t="s">
        <v>407</v>
      </c>
      <c r="BH351" t="s">
        <v>544</v>
      </c>
      <c r="BI351" t="s">
        <v>524</v>
      </c>
      <c r="BJ351" t="s">
        <v>228</v>
      </c>
      <c r="BK351" t="s">
        <v>543</v>
      </c>
      <c r="BL351" t="s">
        <v>228</v>
      </c>
      <c r="BM351" t="s">
        <v>228</v>
      </c>
      <c r="BN351" t="s">
        <v>228</v>
      </c>
      <c r="BO351" t="s">
        <v>228</v>
      </c>
      <c r="BP351" t="s">
        <v>228</v>
      </c>
      <c r="BQ351" t="s">
        <v>228</v>
      </c>
      <c r="BR351" t="s">
        <v>228</v>
      </c>
      <c r="BS351" t="s">
        <v>409</v>
      </c>
      <c r="BT351">
        <v>1</v>
      </c>
    </row>
    <row r="352" spans="1:72" x14ac:dyDescent="0.15">
      <c r="A352" s="43">
        <v>2023</v>
      </c>
      <c r="B352" s="8">
        <v>1</v>
      </c>
      <c r="C352" s="8">
        <v>1</v>
      </c>
      <c r="D352" s="8">
        <v>13</v>
      </c>
      <c r="E352" s="8" t="s">
        <v>67</v>
      </c>
      <c r="F352" s="8" t="s">
        <v>57</v>
      </c>
      <c r="G352" s="8">
        <v>2016</v>
      </c>
      <c r="H352" s="8">
        <v>12</v>
      </c>
      <c r="I352" s="8" t="s">
        <v>521</v>
      </c>
      <c r="J352" s="8" t="s">
        <v>228</v>
      </c>
      <c r="K352" s="8">
        <v>1983</v>
      </c>
      <c r="L352" s="17">
        <v>1</v>
      </c>
      <c r="M352" s="8">
        <v>1</v>
      </c>
      <c r="N352" s="8" t="s">
        <v>48</v>
      </c>
      <c r="O352" s="8" t="s">
        <v>283</v>
      </c>
      <c r="P352" s="8" t="s">
        <v>217</v>
      </c>
      <c r="Q352" s="8">
        <v>3000</v>
      </c>
      <c r="R352" s="8" t="s">
        <v>57</v>
      </c>
      <c r="S352" s="8" t="s">
        <v>52</v>
      </c>
      <c r="T352" s="8" t="s">
        <v>69</v>
      </c>
      <c r="U352" s="8" t="s">
        <v>228</v>
      </c>
      <c r="V352" s="8">
        <v>500</v>
      </c>
      <c r="W352" s="8" t="s">
        <v>328</v>
      </c>
      <c r="X352" s="8">
        <v>3000</v>
      </c>
      <c r="Y352" s="8" t="s">
        <v>271</v>
      </c>
      <c r="Z352" s="8">
        <v>85</v>
      </c>
      <c r="AA352" s="8" t="s">
        <v>278</v>
      </c>
      <c r="AB352" s="8" t="s">
        <v>247</v>
      </c>
      <c r="AC352" s="8" t="s">
        <v>228</v>
      </c>
      <c r="AD352" s="8" t="s">
        <v>228</v>
      </c>
      <c r="AE352" s="8" t="s">
        <v>228</v>
      </c>
      <c r="AF352" s="8" t="s">
        <v>228</v>
      </c>
      <c r="AG352" s="8" t="s">
        <v>228</v>
      </c>
      <c r="AH352" s="8" t="s">
        <v>228</v>
      </c>
      <c r="AI352" s="8" t="s">
        <v>228</v>
      </c>
      <c r="AJ352" t="s">
        <v>468</v>
      </c>
      <c r="AK352">
        <v>1</v>
      </c>
      <c r="AL352">
        <v>1</v>
      </c>
      <c r="AM352" t="s">
        <v>88</v>
      </c>
      <c r="AN352" t="s">
        <v>67</v>
      </c>
      <c r="AO352" t="s">
        <v>526</v>
      </c>
      <c r="AP352" t="s">
        <v>109</v>
      </c>
      <c r="AQ352">
        <v>12</v>
      </c>
      <c r="AR352" t="s">
        <v>521</v>
      </c>
      <c r="AS352" t="s">
        <v>228</v>
      </c>
      <c r="AT352" t="s">
        <v>140</v>
      </c>
      <c r="AU352">
        <v>1</v>
      </c>
      <c r="AV352">
        <v>1</v>
      </c>
      <c r="AW352" t="s">
        <v>406</v>
      </c>
      <c r="AX352" t="s">
        <v>283</v>
      </c>
      <c r="AY352" t="s">
        <v>217</v>
      </c>
      <c r="AZ352">
        <v>1</v>
      </c>
      <c r="BA352" t="s">
        <v>408</v>
      </c>
      <c r="BB352" t="s">
        <v>405</v>
      </c>
      <c r="BC352" t="s">
        <v>395</v>
      </c>
      <c r="BD352" t="s">
        <v>228</v>
      </c>
      <c r="BE352" t="s">
        <v>522</v>
      </c>
      <c r="BF352" t="s">
        <v>523</v>
      </c>
      <c r="BG352" t="s">
        <v>407</v>
      </c>
      <c r="BH352" t="s">
        <v>544</v>
      </c>
      <c r="BI352" t="s">
        <v>524</v>
      </c>
      <c r="BJ352" t="s">
        <v>228</v>
      </c>
      <c r="BK352" t="s">
        <v>543</v>
      </c>
      <c r="BL352" t="s">
        <v>228</v>
      </c>
      <c r="BM352" t="s">
        <v>228</v>
      </c>
      <c r="BN352" t="s">
        <v>228</v>
      </c>
      <c r="BO352" t="s">
        <v>228</v>
      </c>
      <c r="BP352" t="s">
        <v>228</v>
      </c>
      <c r="BQ352" t="s">
        <v>228</v>
      </c>
      <c r="BR352" t="s">
        <v>228</v>
      </c>
      <c r="BS352" t="s">
        <v>409</v>
      </c>
      <c r="BT352">
        <v>0</v>
      </c>
    </row>
    <row r="353" spans="1:72" x14ac:dyDescent="0.15">
      <c r="A353" s="43">
        <v>2023</v>
      </c>
      <c r="B353" s="8">
        <v>1</v>
      </c>
      <c r="C353" s="8">
        <v>1</v>
      </c>
      <c r="D353" s="8">
        <v>12</v>
      </c>
      <c r="E353" s="8" t="s">
        <v>67</v>
      </c>
      <c r="F353" s="8" t="s">
        <v>57</v>
      </c>
      <c r="G353" s="8">
        <v>2016</v>
      </c>
      <c r="H353" s="8">
        <v>12</v>
      </c>
      <c r="I353" s="8" t="s">
        <v>521</v>
      </c>
      <c r="J353" s="8" t="s">
        <v>228</v>
      </c>
      <c r="K353" s="8">
        <v>1983</v>
      </c>
      <c r="L353" s="17">
        <v>1</v>
      </c>
      <c r="M353" s="8">
        <v>1</v>
      </c>
      <c r="N353" s="8" t="s">
        <v>48</v>
      </c>
      <c r="O353" s="8" t="s">
        <v>283</v>
      </c>
      <c r="P353" s="8" t="s">
        <v>217</v>
      </c>
      <c r="Q353" s="8">
        <v>3000</v>
      </c>
      <c r="R353" s="8" t="s">
        <v>57</v>
      </c>
      <c r="S353" s="8" t="s">
        <v>54</v>
      </c>
      <c r="T353" s="8" t="s">
        <v>69</v>
      </c>
      <c r="U353" s="8" t="s">
        <v>228</v>
      </c>
      <c r="V353" s="8">
        <v>500</v>
      </c>
      <c r="W353" s="8" t="s">
        <v>328</v>
      </c>
      <c r="X353" s="8">
        <v>3000</v>
      </c>
      <c r="Y353" s="8" t="s">
        <v>268</v>
      </c>
      <c r="Z353" s="8">
        <v>85</v>
      </c>
      <c r="AA353" s="8" t="s">
        <v>278</v>
      </c>
      <c r="AB353" s="8" t="s">
        <v>228</v>
      </c>
      <c r="AC353" s="8" t="s">
        <v>228</v>
      </c>
      <c r="AD353" s="8" t="s">
        <v>228</v>
      </c>
      <c r="AE353" s="8" t="s">
        <v>228</v>
      </c>
      <c r="AF353" s="8" t="s">
        <v>228</v>
      </c>
      <c r="AG353" s="8" t="s">
        <v>228</v>
      </c>
      <c r="AH353" s="8" t="s">
        <v>228</v>
      </c>
      <c r="AI353" s="8" t="s">
        <v>228</v>
      </c>
      <c r="AJ353" t="s">
        <v>468</v>
      </c>
      <c r="AK353">
        <v>1</v>
      </c>
      <c r="AL353">
        <v>1</v>
      </c>
      <c r="AM353" t="s">
        <v>89</v>
      </c>
      <c r="AN353" t="s">
        <v>67</v>
      </c>
      <c r="AO353" t="s">
        <v>526</v>
      </c>
      <c r="AP353" t="s">
        <v>109</v>
      </c>
      <c r="AQ353">
        <v>12</v>
      </c>
      <c r="AR353" t="s">
        <v>521</v>
      </c>
      <c r="AS353" t="s">
        <v>228</v>
      </c>
      <c r="AT353" t="s">
        <v>140</v>
      </c>
      <c r="AU353">
        <v>1</v>
      </c>
      <c r="AV353">
        <v>1</v>
      </c>
      <c r="AW353" t="s">
        <v>406</v>
      </c>
      <c r="AX353" t="s">
        <v>283</v>
      </c>
      <c r="AY353" t="s">
        <v>217</v>
      </c>
      <c r="AZ353">
        <v>1</v>
      </c>
      <c r="BA353" t="s">
        <v>408</v>
      </c>
      <c r="BB353" t="s">
        <v>541</v>
      </c>
      <c r="BC353" t="s">
        <v>395</v>
      </c>
      <c r="BD353" t="s">
        <v>228</v>
      </c>
      <c r="BE353" t="s">
        <v>522</v>
      </c>
      <c r="BF353" t="s">
        <v>523</v>
      </c>
      <c r="BG353" t="s">
        <v>407</v>
      </c>
      <c r="BH353" t="s">
        <v>396</v>
      </c>
      <c r="BI353" t="s">
        <v>524</v>
      </c>
      <c r="BJ353" t="s">
        <v>228</v>
      </c>
      <c r="BK353" t="s">
        <v>228</v>
      </c>
      <c r="BL353" t="s">
        <v>228</v>
      </c>
      <c r="BM353" t="s">
        <v>228</v>
      </c>
      <c r="BN353" t="s">
        <v>228</v>
      </c>
      <c r="BO353" t="s">
        <v>228</v>
      </c>
      <c r="BP353" t="s">
        <v>228</v>
      </c>
      <c r="BQ353" t="s">
        <v>228</v>
      </c>
      <c r="BR353" t="s">
        <v>228</v>
      </c>
      <c r="BS353" t="s">
        <v>409</v>
      </c>
      <c r="BT353">
        <v>1</v>
      </c>
    </row>
    <row r="354" spans="1:72" x14ac:dyDescent="0.15">
      <c r="A354" s="43">
        <v>2023</v>
      </c>
      <c r="B354" s="8">
        <v>1</v>
      </c>
      <c r="C354" s="8">
        <v>1</v>
      </c>
      <c r="D354" s="8">
        <v>12</v>
      </c>
      <c r="E354" s="8" t="s">
        <v>67</v>
      </c>
      <c r="F354" s="8" t="s">
        <v>57</v>
      </c>
      <c r="G354" s="8">
        <v>2016</v>
      </c>
      <c r="H354" s="8">
        <v>12</v>
      </c>
      <c r="I354" s="8" t="s">
        <v>521</v>
      </c>
      <c r="J354" s="8" t="s">
        <v>228</v>
      </c>
      <c r="K354" s="8">
        <v>1983</v>
      </c>
      <c r="L354" s="17">
        <v>1</v>
      </c>
      <c r="M354" s="8">
        <v>1</v>
      </c>
      <c r="N354" s="8" t="s">
        <v>48</v>
      </c>
      <c r="O354" s="8" t="s">
        <v>283</v>
      </c>
      <c r="P354" s="8" t="s">
        <v>217</v>
      </c>
      <c r="Q354" s="8">
        <v>3000</v>
      </c>
      <c r="R354" s="8" t="s">
        <v>57</v>
      </c>
      <c r="S354" s="8" t="s">
        <v>53</v>
      </c>
      <c r="T354" s="8" t="s">
        <v>69</v>
      </c>
      <c r="U354" s="8" t="s">
        <v>228</v>
      </c>
      <c r="V354" s="8">
        <v>500</v>
      </c>
      <c r="W354" s="8" t="s">
        <v>328</v>
      </c>
      <c r="X354" s="8">
        <v>3000</v>
      </c>
      <c r="Y354" s="8" t="s">
        <v>268</v>
      </c>
      <c r="Z354" s="8">
        <v>85</v>
      </c>
      <c r="AA354" s="8" t="s">
        <v>278</v>
      </c>
      <c r="AB354" s="8" t="s">
        <v>228</v>
      </c>
      <c r="AC354" s="8" t="s">
        <v>228</v>
      </c>
      <c r="AD354" s="8" t="s">
        <v>228</v>
      </c>
      <c r="AE354" s="8" t="s">
        <v>228</v>
      </c>
      <c r="AF354" s="8" t="s">
        <v>228</v>
      </c>
      <c r="AG354" s="8" t="s">
        <v>228</v>
      </c>
      <c r="AH354" s="8" t="s">
        <v>228</v>
      </c>
      <c r="AI354" s="8" t="s">
        <v>228</v>
      </c>
      <c r="AJ354" t="s">
        <v>468</v>
      </c>
      <c r="AK354">
        <v>1</v>
      </c>
      <c r="AL354">
        <v>1</v>
      </c>
      <c r="AM354" t="s">
        <v>89</v>
      </c>
      <c r="AN354" t="s">
        <v>67</v>
      </c>
      <c r="AO354" t="s">
        <v>526</v>
      </c>
      <c r="AP354" t="s">
        <v>109</v>
      </c>
      <c r="AQ354">
        <v>12</v>
      </c>
      <c r="AR354" t="s">
        <v>521</v>
      </c>
      <c r="AS354" t="s">
        <v>228</v>
      </c>
      <c r="AT354" t="s">
        <v>140</v>
      </c>
      <c r="AU354">
        <v>1</v>
      </c>
      <c r="AV354">
        <v>1</v>
      </c>
      <c r="AW354" t="s">
        <v>406</v>
      </c>
      <c r="AX354" t="s">
        <v>283</v>
      </c>
      <c r="AY354" t="s">
        <v>217</v>
      </c>
      <c r="AZ354">
        <v>1</v>
      </c>
      <c r="BA354" t="s">
        <v>408</v>
      </c>
      <c r="BB354" t="s">
        <v>542</v>
      </c>
      <c r="BC354" t="s">
        <v>395</v>
      </c>
      <c r="BD354" t="s">
        <v>228</v>
      </c>
      <c r="BE354" t="s">
        <v>522</v>
      </c>
      <c r="BF354" t="s">
        <v>523</v>
      </c>
      <c r="BG354" t="s">
        <v>407</v>
      </c>
      <c r="BH354" t="s">
        <v>396</v>
      </c>
      <c r="BI354" t="s">
        <v>524</v>
      </c>
      <c r="BJ354" t="s">
        <v>228</v>
      </c>
      <c r="BK354" t="s">
        <v>228</v>
      </c>
      <c r="BL354" t="s">
        <v>228</v>
      </c>
      <c r="BM354" t="s">
        <v>228</v>
      </c>
      <c r="BN354" t="s">
        <v>228</v>
      </c>
      <c r="BO354" t="s">
        <v>228</v>
      </c>
      <c r="BP354" t="s">
        <v>228</v>
      </c>
      <c r="BQ354" t="s">
        <v>228</v>
      </c>
      <c r="BR354" t="s">
        <v>228</v>
      </c>
      <c r="BS354" t="s">
        <v>409</v>
      </c>
      <c r="BT354">
        <v>1</v>
      </c>
    </row>
    <row r="355" spans="1:72" x14ac:dyDescent="0.15">
      <c r="A355" s="43">
        <v>2023</v>
      </c>
      <c r="B355" s="8">
        <v>1</v>
      </c>
      <c r="C355" s="8">
        <v>1</v>
      </c>
      <c r="D355" s="8">
        <v>12</v>
      </c>
      <c r="E355" s="8" t="s">
        <v>67</v>
      </c>
      <c r="F355" s="8" t="s">
        <v>57</v>
      </c>
      <c r="G355" s="8">
        <v>2016</v>
      </c>
      <c r="H355" s="8">
        <v>12</v>
      </c>
      <c r="I355" s="8" t="s">
        <v>521</v>
      </c>
      <c r="J355" s="8" t="s">
        <v>228</v>
      </c>
      <c r="K355" s="8">
        <v>1983</v>
      </c>
      <c r="L355" s="17">
        <v>1</v>
      </c>
      <c r="M355" s="8">
        <v>1</v>
      </c>
      <c r="N355" s="8" t="s">
        <v>48</v>
      </c>
      <c r="O355" s="8" t="s">
        <v>283</v>
      </c>
      <c r="P355" s="8" t="s">
        <v>217</v>
      </c>
      <c r="Q355" s="8">
        <v>3000</v>
      </c>
      <c r="R355" s="8" t="s">
        <v>57</v>
      </c>
      <c r="S355" s="8" t="s">
        <v>52</v>
      </c>
      <c r="T355" s="8" t="s">
        <v>69</v>
      </c>
      <c r="U355" s="8" t="s">
        <v>228</v>
      </c>
      <c r="V355" s="8">
        <v>500</v>
      </c>
      <c r="W355" s="8" t="s">
        <v>328</v>
      </c>
      <c r="X355" s="8">
        <v>3000</v>
      </c>
      <c r="Y355" s="8" t="s">
        <v>268</v>
      </c>
      <c r="Z355" s="8">
        <v>85</v>
      </c>
      <c r="AA355" s="8" t="s">
        <v>278</v>
      </c>
      <c r="AB355" s="8" t="s">
        <v>228</v>
      </c>
      <c r="AC355" s="8" t="s">
        <v>228</v>
      </c>
      <c r="AD355" s="8" t="s">
        <v>228</v>
      </c>
      <c r="AE355" s="8" t="s">
        <v>228</v>
      </c>
      <c r="AF355" s="8" t="s">
        <v>228</v>
      </c>
      <c r="AG355" s="8" t="s">
        <v>228</v>
      </c>
      <c r="AH355" s="8" t="s">
        <v>228</v>
      </c>
      <c r="AI355" s="8" t="s">
        <v>228</v>
      </c>
      <c r="AJ355" t="s">
        <v>468</v>
      </c>
      <c r="AK355">
        <v>1</v>
      </c>
      <c r="AL355">
        <v>1</v>
      </c>
      <c r="AM355" t="s">
        <v>89</v>
      </c>
      <c r="AN355" t="s">
        <v>67</v>
      </c>
      <c r="AO355" t="s">
        <v>526</v>
      </c>
      <c r="AP355" t="s">
        <v>109</v>
      </c>
      <c r="AQ355">
        <v>12</v>
      </c>
      <c r="AR355" t="s">
        <v>521</v>
      </c>
      <c r="AS355" t="s">
        <v>228</v>
      </c>
      <c r="AT355" t="s">
        <v>140</v>
      </c>
      <c r="AU355">
        <v>1</v>
      </c>
      <c r="AV355">
        <v>1</v>
      </c>
      <c r="AW355" t="s">
        <v>406</v>
      </c>
      <c r="AX355" t="s">
        <v>283</v>
      </c>
      <c r="AY355" t="s">
        <v>217</v>
      </c>
      <c r="AZ355">
        <v>1</v>
      </c>
      <c r="BA355" t="s">
        <v>408</v>
      </c>
      <c r="BB355" t="s">
        <v>405</v>
      </c>
      <c r="BC355" t="s">
        <v>395</v>
      </c>
      <c r="BD355" t="s">
        <v>228</v>
      </c>
      <c r="BE355" t="s">
        <v>522</v>
      </c>
      <c r="BF355" t="s">
        <v>523</v>
      </c>
      <c r="BG355" t="s">
        <v>407</v>
      </c>
      <c r="BH355" t="s">
        <v>396</v>
      </c>
      <c r="BI355" t="s">
        <v>524</v>
      </c>
      <c r="BJ355" t="s">
        <v>228</v>
      </c>
      <c r="BK355" t="s">
        <v>228</v>
      </c>
      <c r="BL355" t="s">
        <v>228</v>
      </c>
      <c r="BM355" t="s">
        <v>228</v>
      </c>
      <c r="BN355" t="s">
        <v>228</v>
      </c>
      <c r="BO355" t="s">
        <v>228</v>
      </c>
      <c r="BP355" t="s">
        <v>228</v>
      </c>
      <c r="BQ355" t="s">
        <v>228</v>
      </c>
      <c r="BR355" t="s">
        <v>228</v>
      </c>
      <c r="BS355" t="s">
        <v>409</v>
      </c>
      <c r="BT355">
        <v>1</v>
      </c>
    </row>
    <row r="356" spans="1:72" x14ac:dyDescent="0.15">
      <c r="A356" s="43">
        <v>2023</v>
      </c>
      <c r="B356" s="8">
        <v>1</v>
      </c>
      <c r="C356" s="8">
        <v>1</v>
      </c>
      <c r="D356" s="8">
        <v>12</v>
      </c>
      <c r="E356" s="8" t="s">
        <v>67</v>
      </c>
      <c r="F356" s="8" t="s">
        <v>57</v>
      </c>
      <c r="G356" s="8">
        <v>2016</v>
      </c>
      <c r="H356" s="8">
        <v>12</v>
      </c>
      <c r="I356" s="8" t="s">
        <v>521</v>
      </c>
      <c r="J356" s="8" t="s">
        <v>228</v>
      </c>
      <c r="K356" s="8">
        <v>1983</v>
      </c>
      <c r="L356" s="17">
        <v>1</v>
      </c>
      <c r="M356" s="8">
        <v>1</v>
      </c>
      <c r="N356" s="8" t="s">
        <v>48</v>
      </c>
      <c r="O356" s="8" t="s">
        <v>283</v>
      </c>
      <c r="P356" s="8" t="s">
        <v>217</v>
      </c>
      <c r="Q356" s="8">
        <v>3000</v>
      </c>
      <c r="R356" s="8" t="s">
        <v>57</v>
      </c>
      <c r="S356" s="8" t="s">
        <v>54</v>
      </c>
      <c r="T356" s="8" t="s">
        <v>69</v>
      </c>
      <c r="U356" s="8" t="s">
        <v>228</v>
      </c>
      <c r="V356" s="8">
        <v>500</v>
      </c>
      <c r="W356" s="8" t="s">
        <v>328</v>
      </c>
      <c r="X356" s="8">
        <v>3000</v>
      </c>
      <c r="Y356" s="8" t="s">
        <v>268</v>
      </c>
      <c r="Z356" s="8">
        <v>85</v>
      </c>
      <c r="AA356" s="8" t="s">
        <v>278</v>
      </c>
      <c r="AB356" s="8" t="s">
        <v>247</v>
      </c>
      <c r="AC356" s="8" t="s">
        <v>228</v>
      </c>
      <c r="AD356" s="8" t="s">
        <v>228</v>
      </c>
      <c r="AE356" s="8" t="s">
        <v>228</v>
      </c>
      <c r="AF356" s="8" t="s">
        <v>228</v>
      </c>
      <c r="AG356" s="8" t="s">
        <v>228</v>
      </c>
      <c r="AH356" s="8" t="s">
        <v>228</v>
      </c>
      <c r="AI356" s="8" t="s">
        <v>228</v>
      </c>
      <c r="AJ356" t="s">
        <v>468</v>
      </c>
      <c r="AK356">
        <v>1</v>
      </c>
      <c r="AL356">
        <v>1</v>
      </c>
      <c r="AM356" t="s">
        <v>89</v>
      </c>
      <c r="AN356" t="s">
        <v>67</v>
      </c>
      <c r="AO356" t="s">
        <v>526</v>
      </c>
      <c r="AP356" t="s">
        <v>109</v>
      </c>
      <c r="AQ356">
        <v>12</v>
      </c>
      <c r="AR356" t="s">
        <v>521</v>
      </c>
      <c r="AS356" t="s">
        <v>228</v>
      </c>
      <c r="AT356" t="s">
        <v>140</v>
      </c>
      <c r="AU356">
        <v>1</v>
      </c>
      <c r="AV356">
        <v>1</v>
      </c>
      <c r="AW356" t="s">
        <v>406</v>
      </c>
      <c r="AX356" t="s">
        <v>283</v>
      </c>
      <c r="AY356" t="s">
        <v>217</v>
      </c>
      <c r="AZ356">
        <v>1</v>
      </c>
      <c r="BA356" t="s">
        <v>408</v>
      </c>
      <c r="BB356" t="s">
        <v>541</v>
      </c>
      <c r="BC356" t="s">
        <v>395</v>
      </c>
      <c r="BD356" t="s">
        <v>228</v>
      </c>
      <c r="BE356" t="s">
        <v>522</v>
      </c>
      <c r="BF356" t="s">
        <v>523</v>
      </c>
      <c r="BG356" t="s">
        <v>407</v>
      </c>
      <c r="BH356" t="s">
        <v>396</v>
      </c>
      <c r="BI356" t="s">
        <v>524</v>
      </c>
      <c r="BJ356" t="s">
        <v>228</v>
      </c>
      <c r="BK356" t="s">
        <v>543</v>
      </c>
      <c r="BL356" t="s">
        <v>228</v>
      </c>
      <c r="BM356" t="s">
        <v>228</v>
      </c>
      <c r="BN356" t="s">
        <v>228</v>
      </c>
      <c r="BO356" t="s">
        <v>228</v>
      </c>
      <c r="BP356" t="s">
        <v>228</v>
      </c>
      <c r="BQ356" t="s">
        <v>228</v>
      </c>
      <c r="BR356" t="s">
        <v>228</v>
      </c>
      <c r="BS356" t="s">
        <v>409</v>
      </c>
      <c r="BT356">
        <v>1</v>
      </c>
    </row>
    <row r="357" spans="1:72" x14ac:dyDescent="0.15">
      <c r="A357" s="43">
        <v>2023</v>
      </c>
      <c r="B357" s="8">
        <v>1</v>
      </c>
      <c r="C357" s="8">
        <v>1</v>
      </c>
      <c r="D357" s="8">
        <v>12</v>
      </c>
      <c r="E357" s="8" t="s">
        <v>67</v>
      </c>
      <c r="F357" s="8" t="s">
        <v>57</v>
      </c>
      <c r="G357" s="8">
        <v>2016</v>
      </c>
      <c r="H357" s="8">
        <v>12</v>
      </c>
      <c r="I357" s="8" t="s">
        <v>521</v>
      </c>
      <c r="J357" s="8" t="s">
        <v>228</v>
      </c>
      <c r="K357" s="8">
        <v>1983</v>
      </c>
      <c r="L357" s="17">
        <v>1</v>
      </c>
      <c r="M357" s="8">
        <v>1</v>
      </c>
      <c r="N357" s="8" t="s">
        <v>48</v>
      </c>
      <c r="O357" s="8" t="s">
        <v>283</v>
      </c>
      <c r="P357" s="8" t="s">
        <v>217</v>
      </c>
      <c r="Q357" s="8">
        <v>3000</v>
      </c>
      <c r="R357" s="8" t="s">
        <v>57</v>
      </c>
      <c r="S357" s="8" t="s">
        <v>53</v>
      </c>
      <c r="T357" s="8" t="s">
        <v>69</v>
      </c>
      <c r="U357" s="8" t="s">
        <v>228</v>
      </c>
      <c r="V357" s="8">
        <v>500</v>
      </c>
      <c r="W357" s="8" t="s">
        <v>328</v>
      </c>
      <c r="X357" s="8">
        <v>3000</v>
      </c>
      <c r="Y357" s="8" t="s">
        <v>268</v>
      </c>
      <c r="Z357" s="8">
        <v>85</v>
      </c>
      <c r="AA357" s="8" t="s">
        <v>278</v>
      </c>
      <c r="AB357" s="8" t="s">
        <v>247</v>
      </c>
      <c r="AC357" s="8" t="s">
        <v>228</v>
      </c>
      <c r="AD357" s="8" t="s">
        <v>228</v>
      </c>
      <c r="AE357" s="8" t="s">
        <v>228</v>
      </c>
      <c r="AF357" s="8" t="s">
        <v>228</v>
      </c>
      <c r="AG357" s="8" t="s">
        <v>228</v>
      </c>
      <c r="AH357" s="8" t="s">
        <v>228</v>
      </c>
      <c r="AI357" s="8" t="s">
        <v>228</v>
      </c>
      <c r="AJ357" t="s">
        <v>468</v>
      </c>
      <c r="AK357">
        <v>1</v>
      </c>
      <c r="AL357">
        <v>1</v>
      </c>
      <c r="AM357" t="s">
        <v>89</v>
      </c>
      <c r="AN357" t="s">
        <v>67</v>
      </c>
      <c r="AO357" t="s">
        <v>526</v>
      </c>
      <c r="AP357" t="s">
        <v>109</v>
      </c>
      <c r="AQ357">
        <v>12</v>
      </c>
      <c r="AR357" t="s">
        <v>521</v>
      </c>
      <c r="AS357" t="s">
        <v>228</v>
      </c>
      <c r="AT357" t="s">
        <v>140</v>
      </c>
      <c r="AU357">
        <v>1</v>
      </c>
      <c r="AV357">
        <v>1</v>
      </c>
      <c r="AW357" t="s">
        <v>406</v>
      </c>
      <c r="AX357" t="s">
        <v>283</v>
      </c>
      <c r="AY357" t="s">
        <v>217</v>
      </c>
      <c r="AZ357">
        <v>1</v>
      </c>
      <c r="BA357" t="s">
        <v>408</v>
      </c>
      <c r="BB357" t="s">
        <v>542</v>
      </c>
      <c r="BC357" t="s">
        <v>395</v>
      </c>
      <c r="BD357" t="s">
        <v>228</v>
      </c>
      <c r="BE357" t="s">
        <v>522</v>
      </c>
      <c r="BF357" t="s">
        <v>523</v>
      </c>
      <c r="BG357" t="s">
        <v>407</v>
      </c>
      <c r="BH357" t="s">
        <v>396</v>
      </c>
      <c r="BI357" t="s">
        <v>524</v>
      </c>
      <c r="BJ357" t="s">
        <v>228</v>
      </c>
      <c r="BK357" t="s">
        <v>543</v>
      </c>
      <c r="BL357" t="s">
        <v>228</v>
      </c>
      <c r="BM357" t="s">
        <v>228</v>
      </c>
      <c r="BN357" t="s">
        <v>228</v>
      </c>
      <c r="BO357" t="s">
        <v>228</v>
      </c>
      <c r="BP357" t="s">
        <v>228</v>
      </c>
      <c r="BQ357" t="s">
        <v>228</v>
      </c>
      <c r="BR357" t="s">
        <v>228</v>
      </c>
      <c r="BS357" t="s">
        <v>409</v>
      </c>
      <c r="BT357">
        <v>1</v>
      </c>
    </row>
    <row r="358" spans="1:72" x14ac:dyDescent="0.15">
      <c r="A358" s="43">
        <v>2023</v>
      </c>
      <c r="B358" s="8">
        <v>1</v>
      </c>
      <c r="C358" s="8">
        <v>1</v>
      </c>
      <c r="D358" s="8">
        <v>12</v>
      </c>
      <c r="E358" s="8" t="s">
        <v>67</v>
      </c>
      <c r="F358" s="8" t="s">
        <v>57</v>
      </c>
      <c r="G358" s="8">
        <v>2016</v>
      </c>
      <c r="H358" s="8">
        <v>12</v>
      </c>
      <c r="I358" s="8" t="s">
        <v>521</v>
      </c>
      <c r="J358" s="8" t="s">
        <v>228</v>
      </c>
      <c r="K358" s="8">
        <v>1983</v>
      </c>
      <c r="L358" s="17">
        <v>1</v>
      </c>
      <c r="M358" s="8">
        <v>1</v>
      </c>
      <c r="N358" s="8" t="s">
        <v>48</v>
      </c>
      <c r="O358" s="8" t="s">
        <v>283</v>
      </c>
      <c r="P358" s="8" t="s">
        <v>217</v>
      </c>
      <c r="Q358" s="8">
        <v>3000</v>
      </c>
      <c r="R358" s="8" t="s">
        <v>57</v>
      </c>
      <c r="S358" s="8" t="s">
        <v>52</v>
      </c>
      <c r="T358" s="8" t="s">
        <v>69</v>
      </c>
      <c r="U358" s="8" t="s">
        <v>228</v>
      </c>
      <c r="V358" s="8">
        <v>500</v>
      </c>
      <c r="W358" s="8" t="s">
        <v>328</v>
      </c>
      <c r="X358" s="8">
        <v>3000</v>
      </c>
      <c r="Y358" s="8" t="s">
        <v>268</v>
      </c>
      <c r="Z358" s="8">
        <v>85</v>
      </c>
      <c r="AA358" s="8" t="s">
        <v>278</v>
      </c>
      <c r="AB358" s="8" t="s">
        <v>247</v>
      </c>
      <c r="AC358" s="8" t="s">
        <v>228</v>
      </c>
      <c r="AD358" s="8" t="s">
        <v>228</v>
      </c>
      <c r="AE358" s="8" t="s">
        <v>228</v>
      </c>
      <c r="AF358" s="8" t="s">
        <v>228</v>
      </c>
      <c r="AG358" s="8" t="s">
        <v>228</v>
      </c>
      <c r="AH358" s="8" t="s">
        <v>228</v>
      </c>
      <c r="AI358" s="8" t="s">
        <v>228</v>
      </c>
      <c r="AJ358" t="s">
        <v>468</v>
      </c>
      <c r="AK358">
        <v>1</v>
      </c>
      <c r="AL358">
        <v>1</v>
      </c>
      <c r="AM358" t="s">
        <v>89</v>
      </c>
      <c r="AN358" t="s">
        <v>67</v>
      </c>
      <c r="AO358" t="s">
        <v>526</v>
      </c>
      <c r="AP358" t="s">
        <v>109</v>
      </c>
      <c r="AQ358">
        <v>12</v>
      </c>
      <c r="AR358" t="s">
        <v>521</v>
      </c>
      <c r="AS358" t="s">
        <v>228</v>
      </c>
      <c r="AT358" t="s">
        <v>140</v>
      </c>
      <c r="AU358">
        <v>1</v>
      </c>
      <c r="AV358">
        <v>1</v>
      </c>
      <c r="AW358" t="s">
        <v>406</v>
      </c>
      <c r="AX358" t="s">
        <v>283</v>
      </c>
      <c r="AY358" t="s">
        <v>217</v>
      </c>
      <c r="AZ358">
        <v>1</v>
      </c>
      <c r="BA358" t="s">
        <v>408</v>
      </c>
      <c r="BB358" t="s">
        <v>405</v>
      </c>
      <c r="BC358" t="s">
        <v>395</v>
      </c>
      <c r="BD358" t="s">
        <v>228</v>
      </c>
      <c r="BE358" t="s">
        <v>522</v>
      </c>
      <c r="BF358" t="s">
        <v>523</v>
      </c>
      <c r="BG358" t="s">
        <v>407</v>
      </c>
      <c r="BH358" t="s">
        <v>396</v>
      </c>
      <c r="BI358" t="s">
        <v>524</v>
      </c>
      <c r="BJ358" t="s">
        <v>228</v>
      </c>
      <c r="BK358" t="s">
        <v>543</v>
      </c>
      <c r="BL358" t="s">
        <v>228</v>
      </c>
      <c r="BM358" t="s">
        <v>228</v>
      </c>
      <c r="BN358" t="s">
        <v>228</v>
      </c>
      <c r="BO358" t="s">
        <v>228</v>
      </c>
      <c r="BP358" t="s">
        <v>228</v>
      </c>
      <c r="BQ358" t="s">
        <v>228</v>
      </c>
      <c r="BR358" t="s">
        <v>228</v>
      </c>
      <c r="BS358" t="s">
        <v>409</v>
      </c>
      <c r="BT358">
        <v>1</v>
      </c>
    </row>
    <row r="359" spans="1:72" x14ac:dyDescent="0.15">
      <c r="A359" s="43">
        <v>2023</v>
      </c>
      <c r="B359" s="8">
        <v>1</v>
      </c>
      <c r="C359" s="8">
        <v>1</v>
      </c>
      <c r="D359" s="8">
        <v>12</v>
      </c>
      <c r="E359" s="8" t="s">
        <v>67</v>
      </c>
      <c r="F359" s="8" t="s">
        <v>57</v>
      </c>
      <c r="G359" s="8">
        <v>2016</v>
      </c>
      <c r="H359" s="8">
        <v>12</v>
      </c>
      <c r="I359" s="8" t="s">
        <v>521</v>
      </c>
      <c r="J359" s="8" t="s">
        <v>228</v>
      </c>
      <c r="K359" s="8">
        <v>1983</v>
      </c>
      <c r="L359" s="17">
        <v>1</v>
      </c>
      <c r="M359" s="8">
        <v>1</v>
      </c>
      <c r="N359" s="8" t="s">
        <v>48</v>
      </c>
      <c r="O359" s="8" t="s">
        <v>283</v>
      </c>
      <c r="P359" s="8" t="s">
        <v>217</v>
      </c>
      <c r="Q359" s="8">
        <v>3000</v>
      </c>
      <c r="R359" s="8" t="s">
        <v>57</v>
      </c>
      <c r="S359" s="8" t="s">
        <v>54</v>
      </c>
      <c r="T359" s="8" t="s">
        <v>69</v>
      </c>
      <c r="U359" s="8" t="s">
        <v>228</v>
      </c>
      <c r="V359" s="8">
        <v>500</v>
      </c>
      <c r="W359" s="8" t="s">
        <v>328</v>
      </c>
      <c r="X359" s="8">
        <v>3000</v>
      </c>
      <c r="Y359" s="8" t="s">
        <v>271</v>
      </c>
      <c r="Z359" s="8">
        <v>85</v>
      </c>
      <c r="AA359" s="8" t="s">
        <v>278</v>
      </c>
      <c r="AB359" s="8" t="s">
        <v>228</v>
      </c>
      <c r="AC359" s="8" t="s">
        <v>228</v>
      </c>
      <c r="AD359" s="8" t="s">
        <v>228</v>
      </c>
      <c r="AE359" s="8" t="s">
        <v>228</v>
      </c>
      <c r="AF359" s="8" t="s">
        <v>228</v>
      </c>
      <c r="AG359" s="8" t="s">
        <v>228</v>
      </c>
      <c r="AH359" s="8" t="s">
        <v>228</v>
      </c>
      <c r="AI359" s="8" t="s">
        <v>228</v>
      </c>
      <c r="AJ359" t="s">
        <v>468</v>
      </c>
      <c r="AK359">
        <v>1</v>
      </c>
      <c r="AL359">
        <v>1</v>
      </c>
      <c r="AM359" t="s">
        <v>89</v>
      </c>
      <c r="AN359" t="s">
        <v>67</v>
      </c>
      <c r="AO359" t="s">
        <v>526</v>
      </c>
      <c r="AP359" t="s">
        <v>109</v>
      </c>
      <c r="AQ359">
        <v>12</v>
      </c>
      <c r="AR359" t="s">
        <v>521</v>
      </c>
      <c r="AS359" t="s">
        <v>228</v>
      </c>
      <c r="AT359" t="s">
        <v>140</v>
      </c>
      <c r="AU359">
        <v>1</v>
      </c>
      <c r="AV359">
        <v>1</v>
      </c>
      <c r="AW359" t="s">
        <v>406</v>
      </c>
      <c r="AX359" t="s">
        <v>283</v>
      </c>
      <c r="AY359" t="s">
        <v>217</v>
      </c>
      <c r="AZ359">
        <v>1</v>
      </c>
      <c r="BA359" t="s">
        <v>408</v>
      </c>
      <c r="BB359" t="s">
        <v>541</v>
      </c>
      <c r="BC359" t="s">
        <v>395</v>
      </c>
      <c r="BD359" t="s">
        <v>228</v>
      </c>
      <c r="BE359" t="s">
        <v>522</v>
      </c>
      <c r="BF359" t="s">
        <v>523</v>
      </c>
      <c r="BG359" t="s">
        <v>407</v>
      </c>
      <c r="BH359" t="s">
        <v>544</v>
      </c>
      <c r="BI359" t="s">
        <v>524</v>
      </c>
      <c r="BJ359" t="s">
        <v>228</v>
      </c>
      <c r="BK359" t="s">
        <v>228</v>
      </c>
      <c r="BL359" t="s">
        <v>228</v>
      </c>
      <c r="BM359" t="s">
        <v>228</v>
      </c>
      <c r="BN359" t="s">
        <v>228</v>
      </c>
      <c r="BO359" t="s">
        <v>228</v>
      </c>
      <c r="BP359" t="s">
        <v>228</v>
      </c>
      <c r="BQ359" t="s">
        <v>228</v>
      </c>
      <c r="BR359" t="s">
        <v>228</v>
      </c>
      <c r="BS359" t="s">
        <v>409</v>
      </c>
      <c r="BT359">
        <v>1</v>
      </c>
    </row>
    <row r="360" spans="1:72" x14ac:dyDescent="0.15">
      <c r="A360" s="43">
        <v>2023</v>
      </c>
      <c r="B360" s="8">
        <v>1</v>
      </c>
      <c r="C360" s="8">
        <v>1</v>
      </c>
      <c r="D360" s="8">
        <v>12</v>
      </c>
      <c r="E360" s="8" t="s">
        <v>67</v>
      </c>
      <c r="F360" s="8" t="s">
        <v>57</v>
      </c>
      <c r="G360" s="8">
        <v>2016</v>
      </c>
      <c r="H360" s="8">
        <v>12</v>
      </c>
      <c r="I360" s="8" t="s">
        <v>521</v>
      </c>
      <c r="J360" s="8" t="s">
        <v>228</v>
      </c>
      <c r="K360" s="8">
        <v>1983</v>
      </c>
      <c r="L360" s="17">
        <v>1</v>
      </c>
      <c r="M360" s="8">
        <v>1</v>
      </c>
      <c r="N360" s="8" t="s">
        <v>48</v>
      </c>
      <c r="O360" s="8" t="s">
        <v>283</v>
      </c>
      <c r="P360" s="8" t="s">
        <v>217</v>
      </c>
      <c r="Q360" s="8">
        <v>3000</v>
      </c>
      <c r="R360" s="8" t="s">
        <v>57</v>
      </c>
      <c r="S360" s="8" t="s">
        <v>53</v>
      </c>
      <c r="T360" s="8" t="s">
        <v>69</v>
      </c>
      <c r="U360" s="8" t="s">
        <v>228</v>
      </c>
      <c r="V360" s="8">
        <v>500</v>
      </c>
      <c r="W360" s="8" t="s">
        <v>328</v>
      </c>
      <c r="X360" s="8">
        <v>3000</v>
      </c>
      <c r="Y360" s="8" t="s">
        <v>271</v>
      </c>
      <c r="Z360" s="8">
        <v>85</v>
      </c>
      <c r="AA360" s="8" t="s">
        <v>278</v>
      </c>
      <c r="AB360" s="8" t="s">
        <v>228</v>
      </c>
      <c r="AC360" s="8" t="s">
        <v>228</v>
      </c>
      <c r="AD360" s="8" t="s">
        <v>228</v>
      </c>
      <c r="AE360" s="8" t="s">
        <v>228</v>
      </c>
      <c r="AF360" s="8" t="s">
        <v>228</v>
      </c>
      <c r="AG360" s="8" t="s">
        <v>228</v>
      </c>
      <c r="AH360" s="8" t="s">
        <v>228</v>
      </c>
      <c r="AI360" s="8" t="s">
        <v>228</v>
      </c>
      <c r="AJ360" t="s">
        <v>468</v>
      </c>
      <c r="AK360">
        <v>1</v>
      </c>
      <c r="AL360">
        <v>1</v>
      </c>
      <c r="AM360" t="s">
        <v>89</v>
      </c>
      <c r="AN360" t="s">
        <v>67</v>
      </c>
      <c r="AO360" t="s">
        <v>526</v>
      </c>
      <c r="AP360" t="s">
        <v>109</v>
      </c>
      <c r="AQ360">
        <v>12</v>
      </c>
      <c r="AR360" t="s">
        <v>521</v>
      </c>
      <c r="AS360" t="s">
        <v>228</v>
      </c>
      <c r="AT360" t="s">
        <v>140</v>
      </c>
      <c r="AU360">
        <v>1</v>
      </c>
      <c r="AV360">
        <v>1</v>
      </c>
      <c r="AW360" t="s">
        <v>406</v>
      </c>
      <c r="AX360" t="s">
        <v>283</v>
      </c>
      <c r="AY360" t="s">
        <v>217</v>
      </c>
      <c r="AZ360">
        <v>1</v>
      </c>
      <c r="BA360" t="s">
        <v>408</v>
      </c>
      <c r="BB360" t="s">
        <v>542</v>
      </c>
      <c r="BC360" t="s">
        <v>395</v>
      </c>
      <c r="BD360" t="s">
        <v>228</v>
      </c>
      <c r="BE360" t="s">
        <v>522</v>
      </c>
      <c r="BF360" t="s">
        <v>523</v>
      </c>
      <c r="BG360" t="s">
        <v>407</v>
      </c>
      <c r="BH360" t="s">
        <v>544</v>
      </c>
      <c r="BI360" t="s">
        <v>524</v>
      </c>
      <c r="BJ360" t="s">
        <v>228</v>
      </c>
      <c r="BK360" t="s">
        <v>228</v>
      </c>
      <c r="BL360" t="s">
        <v>228</v>
      </c>
      <c r="BM360" t="s">
        <v>228</v>
      </c>
      <c r="BN360" t="s">
        <v>228</v>
      </c>
      <c r="BO360" t="s">
        <v>228</v>
      </c>
      <c r="BP360" t="s">
        <v>228</v>
      </c>
      <c r="BQ360" t="s">
        <v>228</v>
      </c>
      <c r="BR360" t="s">
        <v>228</v>
      </c>
      <c r="BS360" t="s">
        <v>409</v>
      </c>
      <c r="BT360">
        <v>1</v>
      </c>
    </row>
    <row r="361" spans="1:72" x14ac:dyDescent="0.15">
      <c r="A361" s="43">
        <v>2023</v>
      </c>
      <c r="B361" s="8">
        <v>1</v>
      </c>
      <c r="C361" s="8">
        <v>1</v>
      </c>
      <c r="D361" s="8">
        <v>12</v>
      </c>
      <c r="E361" s="8" t="s">
        <v>67</v>
      </c>
      <c r="F361" s="8" t="s">
        <v>57</v>
      </c>
      <c r="G361" s="8">
        <v>2016</v>
      </c>
      <c r="H361" s="8">
        <v>12</v>
      </c>
      <c r="I361" s="8" t="s">
        <v>521</v>
      </c>
      <c r="J361" s="8" t="s">
        <v>228</v>
      </c>
      <c r="K361" s="8">
        <v>1983</v>
      </c>
      <c r="L361" s="17">
        <v>1</v>
      </c>
      <c r="M361" s="8">
        <v>1</v>
      </c>
      <c r="N361" s="8" t="s">
        <v>48</v>
      </c>
      <c r="O361" s="8" t="s">
        <v>283</v>
      </c>
      <c r="P361" s="8" t="s">
        <v>217</v>
      </c>
      <c r="Q361" s="8">
        <v>3000</v>
      </c>
      <c r="R361" s="8" t="s">
        <v>57</v>
      </c>
      <c r="S361" s="8" t="s">
        <v>52</v>
      </c>
      <c r="T361" s="8" t="s">
        <v>69</v>
      </c>
      <c r="U361" s="8" t="s">
        <v>228</v>
      </c>
      <c r="V361" s="8">
        <v>500</v>
      </c>
      <c r="W361" s="8" t="s">
        <v>328</v>
      </c>
      <c r="X361" s="8">
        <v>3000</v>
      </c>
      <c r="Y361" s="8" t="s">
        <v>271</v>
      </c>
      <c r="Z361" s="8">
        <v>85</v>
      </c>
      <c r="AA361" s="8" t="s">
        <v>278</v>
      </c>
      <c r="AB361" s="8" t="s">
        <v>228</v>
      </c>
      <c r="AC361" s="8" t="s">
        <v>228</v>
      </c>
      <c r="AD361" s="8" t="s">
        <v>228</v>
      </c>
      <c r="AE361" s="8" t="s">
        <v>228</v>
      </c>
      <c r="AF361" s="8" t="s">
        <v>228</v>
      </c>
      <c r="AG361" s="8" t="s">
        <v>228</v>
      </c>
      <c r="AH361" s="8" t="s">
        <v>228</v>
      </c>
      <c r="AI361" s="8" t="s">
        <v>228</v>
      </c>
      <c r="AJ361" t="s">
        <v>468</v>
      </c>
      <c r="AK361">
        <v>1</v>
      </c>
      <c r="AL361">
        <v>1</v>
      </c>
      <c r="AM361" t="s">
        <v>89</v>
      </c>
      <c r="AN361" t="s">
        <v>67</v>
      </c>
      <c r="AO361" t="s">
        <v>526</v>
      </c>
      <c r="AP361" t="s">
        <v>109</v>
      </c>
      <c r="AQ361">
        <v>12</v>
      </c>
      <c r="AR361" t="s">
        <v>521</v>
      </c>
      <c r="AS361" t="s">
        <v>228</v>
      </c>
      <c r="AT361" t="s">
        <v>140</v>
      </c>
      <c r="AU361">
        <v>1</v>
      </c>
      <c r="AV361">
        <v>1</v>
      </c>
      <c r="AW361" t="s">
        <v>406</v>
      </c>
      <c r="AX361" t="s">
        <v>283</v>
      </c>
      <c r="AY361" t="s">
        <v>217</v>
      </c>
      <c r="AZ361">
        <v>1</v>
      </c>
      <c r="BA361" t="s">
        <v>408</v>
      </c>
      <c r="BB361" t="s">
        <v>405</v>
      </c>
      <c r="BC361" t="s">
        <v>395</v>
      </c>
      <c r="BD361" t="s">
        <v>228</v>
      </c>
      <c r="BE361" t="s">
        <v>522</v>
      </c>
      <c r="BF361" t="s">
        <v>523</v>
      </c>
      <c r="BG361" t="s">
        <v>407</v>
      </c>
      <c r="BH361" t="s">
        <v>544</v>
      </c>
      <c r="BI361" t="s">
        <v>524</v>
      </c>
      <c r="BJ361" t="s">
        <v>228</v>
      </c>
      <c r="BK361" t="s">
        <v>228</v>
      </c>
      <c r="BL361" t="s">
        <v>228</v>
      </c>
      <c r="BM361" t="s">
        <v>228</v>
      </c>
      <c r="BN361" t="s">
        <v>228</v>
      </c>
      <c r="BO361" t="s">
        <v>228</v>
      </c>
      <c r="BP361" t="s">
        <v>228</v>
      </c>
      <c r="BQ361" t="s">
        <v>228</v>
      </c>
      <c r="BR361" t="s">
        <v>228</v>
      </c>
      <c r="BS361" t="s">
        <v>409</v>
      </c>
      <c r="BT361">
        <v>1</v>
      </c>
    </row>
    <row r="362" spans="1:72" x14ac:dyDescent="0.15">
      <c r="A362" s="43">
        <v>2023</v>
      </c>
      <c r="B362" s="8">
        <v>1</v>
      </c>
      <c r="C362" s="8">
        <v>1</v>
      </c>
      <c r="D362" s="8">
        <v>12</v>
      </c>
      <c r="E362" s="8" t="s">
        <v>67</v>
      </c>
      <c r="F362" s="8" t="s">
        <v>57</v>
      </c>
      <c r="G362" s="8">
        <v>2016</v>
      </c>
      <c r="H362" s="8">
        <v>12</v>
      </c>
      <c r="I362" s="8" t="s">
        <v>521</v>
      </c>
      <c r="J362" s="8" t="s">
        <v>228</v>
      </c>
      <c r="K362" s="8">
        <v>1983</v>
      </c>
      <c r="L362" s="17">
        <v>1</v>
      </c>
      <c r="M362" s="8">
        <v>1</v>
      </c>
      <c r="N362" s="8" t="s">
        <v>48</v>
      </c>
      <c r="O362" s="8" t="s">
        <v>283</v>
      </c>
      <c r="P362" s="8" t="s">
        <v>217</v>
      </c>
      <c r="Q362" s="8">
        <v>3000</v>
      </c>
      <c r="R362" s="8" t="s">
        <v>57</v>
      </c>
      <c r="S362" s="8" t="s">
        <v>54</v>
      </c>
      <c r="T362" s="8" t="s">
        <v>69</v>
      </c>
      <c r="U362" s="8" t="s">
        <v>228</v>
      </c>
      <c r="V362" s="8">
        <v>500</v>
      </c>
      <c r="W362" s="8" t="s">
        <v>328</v>
      </c>
      <c r="X362" s="8">
        <v>3000</v>
      </c>
      <c r="Y362" s="8" t="s">
        <v>271</v>
      </c>
      <c r="Z362" s="8">
        <v>85</v>
      </c>
      <c r="AA362" s="8" t="s">
        <v>278</v>
      </c>
      <c r="AB362" s="8" t="s">
        <v>247</v>
      </c>
      <c r="AC362" s="8" t="s">
        <v>228</v>
      </c>
      <c r="AD362" s="8" t="s">
        <v>228</v>
      </c>
      <c r="AE362" s="8" t="s">
        <v>228</v>
      </c>
      <c r="AF362" s="8" t="s">
        <v>228</v>
      </c>
      <c r="AG362" s="8" t="s">
        <v>228</v>
      </c>
      <c r="AH362" s="8" t="s">
        <v>228</v>
      </c>
      <c r="AI362" s="8" t="s">
        <v>228</v>
      </c>
      <c r="AJ362" t="s">
        <v>468</v>
      </c>
      <c r="AK362">
        <v>1</v>
      </c>
      <c r="AL362">
        <v>1</v>
      </c>
      <c r="AM362" t="s">
        <v>89</v>
      </c>
      <c r="AN362" t="s">
        <v>67</v>
      </c>
      <c r="AO362" t="s">
        <v>526</v>
      </c>
      <c r="AP362" t="s">
        <v>109</v>
      </c>
      <c r="AQ362">
        <v>12</v>
      </c>
      <c r="AR362" t="s">
        <v>521</v>
      </c>
      <c r="AS362" t="s">
        <v>228</v>
      </c>
      <c r="AT362" t="s">
        <v>140</v>
      </c>
      <c r="AU362">
        <v>1</v>
      </c>
      <c r="AV362">
        <v>1</v>
      </c>
      <c r="AW362" t="s">
        <v>406</v>
      </c>
      <c r="AX362" t="s">
        <v>283</v>
      </c>
      <c r="AY362" t="s">
        <v>217</v>
      </c>
      <c r="AZ362">
        <v>1</v>
      </c>
      <c r="BA362" t="s">
        <v>408</v>
      </c>
      <c r="BB362" t="s">
        <v>541</v>
      </c>
      <c r="BC362" t="s">
        <v>395</v>
      </c>
      <c r="BD362" t="s">
        <v>228</v>
      </c>
      <c r="BE362" t="s">
        <v>522</v>
      </c>
      <c r="BF362" t="s">
        <v>523</v>
      </c>
      <c r="BG362" t="s">
        <v>407</v>
      </c>
      <c r="BH362" t="s">
        <v>544</v>
      </c>
      <c r="BI362" t="s">
        <v>524</v>
      </c>
      <c r="BJ362" t="s">
        <v>228</v>
      </c>
      <c r="BK362" t="s">
        <v>543</v>
      </c>
      <c r="BL362" t="s">
        <v>228</v>
      </c>
      <c r="BM362" t="s">
        <v>228</v>
      </c>
      <c r="BN362" t="s">
        <v>228</v>
      </c>
      <c r="BO362" t="s">
        <v>228</v>
      </c>
      <c r="BP362" t="s">
        <v>228</v>
      </c>
      <c r="BQ362" t="s">
        <v>228</v>
      </c>
      <c r="BR362" t="s">
        <v>228</v>
      </c>
      <c r="BS362" t="s">
        <v>409</v>
      </c>
      <c r="BT362">
        <v>1</v>
      </c>
    </row>
    <row r="363" spans="1:72" x14ac:dyDescent="0.15">
      <c r="A363" s="43">
        <v>2023</v>
      </c>
      <c r="B363" s="8">
        <v>1</v>
      </c>
      <c r="C363" s="8">
        <v>1</v>
      </c>
      <c r="D363" s="8">
        <v>12</v>
      </c>
      <c r="E363" s="8" t="s">
        <v>67</v>
      </c>
      <c r="F363" s="8" t="s">
        <v>57</v>
      </c>
      <c r="G363" s="8">
        <v>2016</v>
      </c>
      <c r="H363" s="8">
        <v>12</v>
      </c>
      <c r="I363" s="8" t="s">
        <v>521</v>
      </c>
      <c r="J363" s="8" t="s">
        <v>228</v>
      </c>
      <c r="K363" s="8">
        <v>1983</v>
      </c>
      <c r="L363" s="17">
        <v>1</v>
      </c>
      <c r="M363" s="8">
        <v>1</v>
      </c>
      <c r="N363" s="8" t="s">
        <v>48</v>
      </c>
      <c r="O363" s="8" t="s">
        <v>283</v>
      </c>
      <c r="P363" s="8" t="s">
        <v>217</v>
      </c>
      <c r="Q363" s="8">
        <v>3000</v>
      </c>
      <c r="R363" s="8" t="s">
        <v>57</v>
      </c>
      <c r="S363" s="8" t="s">
        <v>53</v>
      </c>
      <c r="T363" s="8" t="s">
        <v>69</v>
      </c>
      <c r="U363" s="8" t="s">
        <v>228</v>
      </c>
      <c r="V363" s="8">
        <v>500</v>
      </c>
      <c r="W363" s="8" t="s">
        <v>328</v>
      </c>
      <c r="X363" s="8">
        <v>3000</v>
      </c>
      <c r="Y363" s="8" t="s">
        <v>271</v>
      </c>
      <c r="Z363" s="8">
        <v>85</v>
      </c>
      <c r="AA363" s="8" t="s">
        <v>278</v>
      </c>
      <c r="AB363" s="8" t="s">
        <v>247</v>
      </c>
      <c r="AC363" s="8" t="s">
        <v>228</v>
      </c>
      <c r="AD363" s="8" t="s">
        <v>228</v>
      </c>
      <c r="AE363" s="8" t="s">
        <v>228</v>
      </c>
      <c r="AF363" s="8" t="s">
        <v>228</v>
      </c>
      <c r="AG363" s="8" t="s">
        <v>228</v>
      </c>
      <c r="AH363" s="8" t="s">
        <v>228</v>
      </c>
      <c r="AI363" s="8" t="s">
        <v>228</v>
      </c>
      <c r="AJ363" t="s">
        <v>468</v>
      </c>
      <c r="AK363">
        <v>1</v>
      </c>
      <c r="AL363">
        <v>1</v>
      </c>
      <c r="AM363" t="s">
        <v>89</v>
      </c>
      <c r="AN363" t="s">
        <v>67</v>
      </c>
      <c r="AO363" t="s">
        <v>526</v>
      </c>
      <c r="AP363" t="s">
        <v>109</v>
      </c>
      <c r="AQ363">
        <v>12</v>
      </c>
      <c r="AR363" t="s">
        <v>521</v>
      </c>
      <c r="AS363" t="s">
        <v>228</v>
      </c>
      <c r="AT363" t="s">
        <v>140</v>
      </c>
      <c r="AU363">
        <v>1</v>
      </c>
      <c r="AV363">
        <v>1</v>
      </c>
      <c r="AW363" t="s">
        <v>406</v>
      </c>
      <c r="AX363" t="s">
        <v>283</v>
      </c>
      <c r="AY363" t="s">
        <v>217</v>
      </c>
      <c r="AZ363">
        <v>1</v>
      </c>
      <c r="BA363" t="s">
        <v>408</v>
      </c>
      <c r="BB363" t="s">
        <v>542</v>
      </c>
      <c r="BC363" t="s">
        <v>395</v>
      </c>
      <c r="BD363" t="s">
        <v>228</v>
      </c>
      <c r="BE363" t="s">
        <v>522</v>
      </c>
      <c r="BF363" t="s">
        <v>523</v>
      </c>
      <c r="BG363" t="s">
        <v>407</v>
      </c>
      <c r="BH363" t="s">
        <v>544</v>
      </c>
      <c r="BI363" t="s">
        <v>524</v>
      </c>
      <c r="BJ363" t="s">
        <v>228</v>
      </c>
      <c r="BK363" t="s">
        <v>543</v>
      </c>
      <c r="BL363" t="s">
        <v>228</v>
      </c>
      <c r="BM363" t="s">
        <v>228</v>
      </c>
      <c r="BN363" t="s">
        <v>228</v>
      </c>
      <c r="BO363" t="s">
        <v>228</v>
      </c>
      <c r="BP363" t="s">
        <v>228</v>
      </c>
      <c r="BQ363" t="s">
        <v>228</v>
      </c>
      <c r="BR363" t="s">
        <v>228</v>
      </c>
      <c r="BS363" t="s">
        <v>409</v>
      </c>
      <c r="BT363">
        <v>1</v>
      </c>
    </row>
    <row r="364" spans="1:72" x14ac:dyDescent="0.15">
      <c r="A364" s="43">
        <v>2023</v>
      </c>
      <c r="B364" s="8">
        <v>1</v>
      </c>
      <c r="C364" s="8">
        <v>1</v>
      </c>
      <c r="D364" s="8">
        <v>12</v>
      </c>
      <c r="E364" s="8" t="s">
        <v>67</v>
      </c>
      <c r="F364" s="8" t="s">
        <v>57</v>
      </c>
      <c r="G364" s="8">
        <v>2016</v>
      </c>
      <c r="H364" s="8">
        <v>12</v>
      </c>
      <c r="I364" s="8" t="s">
        <v>521</v>
      </c>
      <c r="J364" s="8" t="s">
        <v>228</v>
      </c>
      <c r="K364" s="8">
        <v>1983</v>
      </c>
      <c r="L364" s="17">
        <v>1</v>
      </c>
      <c r="M364" s="8">
        <v>1</v>
      </c>
      <c r="N364" s="8" t="s">
        <v>48</v>
      </c>
      <c r="O364" s="8" t="s">
        <v>283</v>
      </c>
      <c r="P364" s="8" t="s">
        <v>217</v>
      </c>
      <c r="Q364" s="8">
        <v>3000</v>
      </c>
      <c r="R364" s="8" t="s">
        <v>57</v>
      </c>
      <c r="S364" s="8" t="s">
        <v>52</v>
      </c>
      <c r="T364" s="8" t="s">
        <v>69</v>
      </c>
      <c r="U364" s="8" t="s">
        <v>228</v>
      </c>
      <c r="V364" s="8">
        <v>500</v>
      </c>
      <c r="W364" s="8" t="s">
        <v>328</v>
      </c>
      <c r="X364" s="8">
        <v>3000</v>
      </c>
      <c r="Y364" s="8" t="s">
        <v>271</v>
      </c>
      <c r="Z364" s="8">
        <v>85</v>
      </c>
      <c r="AA364" s="8" t="s">
        <v>278</v>
      </c>
      <c r="AB364" s="8" t="s">
        <v>247</v>
      </c>
      <c r="AC364" s="8" t="s">
        <v>228</v>
      </c>
      <c r="AD364" s="8" t="s">
        <v>228</v>
      </c>
      <c r="AE364" s="8" t="s">
        <v>228</v>
      </c>
      <c r="AF364" s="8" t="s">
        <v>228</v>
      </c>
      <c r="AG364" s="8" t="s">
        <v>228</v>
      </c>
      <c r="AH364" s="8" t="s">
        <v>228</v>
      </c>
      <c r="AI364" s="8" t="s">
        <v>228</v>
      </c>
      <c r="AJ364" t="s">
        <v>468</v>
      </c>
      <c r="AK364">
        <v>1</v>
      </c>
      <c r="AL364">
        <v>1</v>
      </c>
      <c r="AM364" t="s">
        <v>89</v>
      </c>
      <c r="AN364" t="s">
        <v>67</v>
      </c>
      <c r="AO364" t="s">
        <v>526</v>
      </c>
      <c r="AP364" t="s">
        <v>109</v>
      </c>
      <c r="AQ364">
        <v>12</v>
      </c>
      <c r="AR364" t="s">
        <v>521</v>
      </c>
      <c r="AS364" t="s">
        <v>228</v>
      </c>
      <c r="AT364" t="s">
        <v>140</v>
      </c>
      <c r="AU364">
        <v>1</v>
      </c>
      <c r="AV364">
        <v>1</v>
      </c>
      <c r="AW364" t="s">
        <v>406</v>
      </c>
      <c r="AX364" t="s">
        <v>283</v>
      </c>
      <c r="AY364" t="s">
        <v>217</v>
      </c>
      <c r="AZ364">
        <v>1</v>
      </c>
      <c r="BA364" t="s">
        <v>408</v>
      </c>
      <c r="BB364" t="s">
        <v>405</v>
      </c>
      <c r="BC364" t="s">
        <v>395</v>
      </c>
      <c r="BD364" t="s">
        <v>228</v>
      </c>
      <c r="BE364" t="s">
        <v>522</v>
      </c>
      <c r="BF364" t="s">
        <v>523</v>
      </c>
      <c r="BG364" t="s">
        <v>407</v>
      </c>
      <c r="BH364" t="s">
        <v>544</v>
      </c>
      <c r="BI364" t="s">
        <v>524</v>
      </c>
      <c r="BJ364" t="s">
        <v>228</v>
      </c>
      <c r="BK364" t="s">
        <v>543</v>
      </c>
      <c r="BL364" t="s">
        <v>228</v>
      </c>
      <c r="BM364" t="s">
        <v>228</v>
      </c>
      <c r="BN364" t="s">
        <v>228</v>
      </c>
      <c r="BO364" t="s">
        <v>228</v>
      </c>
      <c r="BP364" t="s">
        <v>228</v>
      </c>
      <c r="BQ364" t="s">
        <v>228</v>
      </c>
      <c r="BR364" t="s">
        <v>228</v>
      </c>
      <c r="BS364" t="s">
        <v>409</v>
      </c>
      <c r="BT364">
        <v>0</v>
      </c>
    </row>
    <row r="365" spans="1:72" x14ac:dyDescent="0.15">
      <c r="A365" s="43">
        <v>2023</v>
      </c>
      <c r="B365" s="8">
        <v>1</v>
      </c>
      <c r="C365" s="8">
        <v>1</v>
      </c>
      <c r="D365" s="8">
        <v>11</v>
      </c>
      <c r="E365" s="8" t="s">
        <v>67</v>
      </c>
      <c r="F365" s="8" t="s">
        <v>57</v>
      </c>
      <c r="G365" s="8">
        <v>2016</v>
      </c>
      <c r="H365" s="8">
        <v>12</v>
      </c>
      <c r="I365" s="8" t="s">
        <v>521</v>
      </c>
      <c r="J365" s="8" t="s">
        <v>228</v>
      </c>
      <c r="K365" s="8">
        <v>1983</v>
      </c>
      <c r="L365" s="17">
        <v>1</v>
      </c>
      <c r="M365" s="8">
        <v>1</v>
      </c>
      <c r="N365" s="8" t="s">
        <v>48</v>
      </c>
      <c r="O365" s="8" t="s">
        <v>283</v>
      </c>
      <c r="P365" s="8" t="s">
        <v>217</v>
      </c>
      <c r="Q365" s="8">
        <v>3000</v>
      </c>
      <c r="R365" s="8" t="s">
        <v>57</v>
      </c>
      <c r="S365" s="8" t="s">
        <v>54</v>
      </c>
      <c r="T365" s="8" t="s">
        <v>69</v>
      </c>
      <c r="U365" s="8" t="s">
        <v>228</v>
      </c>
      <c r="V365" s="8">
        <v>500</v>
      </c>
      <c r="W365" s="8" t="s">
        <v>328</v>
      </c>
      <c r="X365" s="8">
        <v>3000</v>
      </c>
      <c r="Y365" s="8" t="s">
        <v>268</v>
      </c>
      <c r="Z365" s="8">
        <v>85</v>
      </c>
      <c r="AA365" s="8" t="s">
        <v>278</v>
      </c>
      <c r="AB365" s="8" t="s">
        <v>228</v>
      </c>
      <c r="AC365" s="8" t="s">
        <v>228</v>
      </c>
      <c r="AD365" s="8" t="s">
        <v>228</v>
      </c>
      <c r="AE365" s="8" t="s">
        <v>228</v>
      </c>
      <c r="AF365" s="8" t="s">
        <v>228</v>
      </c>
      <c r="AG365" s="8" t="s">
        <v>228</v>
      </c>
      <c r="AH365" s="8" t="s">
        <v>228</v>
      </c>
      <c r="AI365" s="8" t="s">
        <v>228</v>
      </c>
      <c r="AJ365" t="s">
        <v>468</v>
      </c>
      <c r="AK365">
        <v>1</v>
      </c>
      <c r="AL365">
        <v>1</v>
      </c>
      <c r="AM365" t="s">
        <v>90</v>
      </c>
      <c r="AN365" t="s">
        <v>67</v>
      </c>
      <c r="AO365" t="s">
        <v>526</v>
      </c>
      <c r="AP365" t="s">
        <v>109</v>
      </c>
      <c r="AQ365">
        <v>12</v>
      </c>
      <c r="AR365" t="s">
        <v>521</v>
      </c>
      <c r="AS365" t="s">
        <v>228</v>
      </c>
      <c r="AT365" t="s">
        <v>140</v>
      </c>
      <c r="AU365">
        <v>1</v>
      </c>
      <c r="AV365">
        <v>1</v>
      </c>
      <c r="AW365" t="s">
        <v>406</v>
      </c>
      <c r="AX365" t="s">
        <v>283</v>
      </c>
      <c r="AY365" t="s">
        <v>217</v>
      </c>
      <c r="AZ365">
        <v>1</v>
      </c>
      <c r="BA365" t="s">
        <v>408</v>
      </c>
      <c r="BB365" t="s">
        <v>541</v>
      </c>
      <c r="BC365" t="s">
        <v>395</v>
      </c>
      <c r="BD365" t="s">
        <v>228</v>
      </c>
      <c r="BE365" t="s">
        <v>522</v>
      </c>
      <c r="BF365" t="s">
        <v>523</v>
      </c>
      <c r="BG365" t="s">
        <v>407</v>
      </c>
      <c r="BH365" t="s">
        <v>396</v>
      </c>
      <c r="BI365" t="s">
        <v>524</v>
      </c>
      <c r="BJ365" t="s">
        <v>228</v>
      </c>
      <c r="BK365" t="s">
        <v>228</v>
      </c>
      <c r="BL365" t="s">
        <v>228</v>
      </c>
      <c r="BM365" t="s">
        <v>228</v>
      </c>
      <c r="BN365" t="s">
        <v>228</v>
      </c>
      <c r="BO365" t="s">
        <v>228</v>
      </c>
      <c r="BP365" t="s">
        <v>228</v>
      </c>
      <c r="BQ365" t="s">
        <v>228</v>
      </c>
      <c r="BR365" t="s">
        <v>228</v>
      </c>
      <c r="BS365" t="s">
        <v>409</v>
      </c>
      <c r="BT365">
        <v>1</v>
      </c>
    </row>
    <row r="366" spans="1:72" x14ac:dyDescent="0.15">
      <c r="A366" s="43">
        <v>2023</v>
      </c>
      <c r="B366" s="8">
        <v>1</v>
      </c>
      <c r="C366" s="8">
        <v>1</v>
      </c>
      <c r="D366" s="8">
        <v>11</v>
      </c>
      <c r="E366" s="8" t="s">
        <v>67</v>
      </c>
      <c r="F366" s="8" t="s">
        <v>57</v>
      </c>
      <c r="G366" s="8">
        <v>2016</v>
      </c>
      <c r="H366" s="8">
        <v>12</v>
      </c>
      <c r="I366" s="8" t="s">
        <v>521</v>
      </c>
      <c r="J366" s="8" t="s">
        <v>228</v>
      </c>
      <c r="K366" s="8">
        <v>1983</v>
      </c>
      <c r="L366" s="17">
        <v>1</v>
      </c>
      <c r="M366" s="8">
        <v>1</v>
      </c>
      <c r="N366" s="8" t="s">
        <v>48</v>
      </c>
      <c r="O366" s="8" t="s">
        <v>283</v>
      </c>
      <c r="P366" s="8" t="s">
        <v>217</v>
      </c>
      <c r="Q366" s="8">
        <v>3000</v>
      </c>
      <c r="R366" s="8" t="s">
        <v>57</v>
      </c>
      <c r="S366" s="8" t="s">
        <v>53</v>
      </c>
      <c r="T366" s="8" t="s">
        <v>69</v>
      </c>
      <c r="U366" s="8" t="s">
        <v>228</v>
      </c>
      <c r="V366" s="8">
        <v>500</v>
      </c>
      <c r="W366" s="8" t="s">
        <v>328</v>
      </c>
      <c r="X366" s="8">
        <v>3000</v>
      </c>
      <c r="Y366" s="8" t="s">
        <v>268</v>
      </c>
      <c r="Z366" s="8">
        <v>85</v>
      </c>
      <c r="AA366" s="8" t="s">
        <v>278</v>
      </c>
      <c r="AB366" s="8" t="s">
        <v>228</v>
      </c>
      <c r="AC366" s="8" t="s">
        <v>228</v>
      </c>
      <c r="AD366" s="8" t="s">
        <v>228</v>
      </c>
      <c r="AE366" s="8" t="s">
        <v>228</v>
      </c>
      <c r="AF366" s="8" t="s">
        <v>228</v>
      </c>
      <c r="AG366" s="8" t="s">
        <v>228</v>
      </c>
      <c r="AH366" s="8" t="s">
        <v>228</v>
      </c>
      <c r="AI366" s="8" t="s">
        <v>228</v>
      </c>
      <c r="AJ366" t="s">
        <v>468</v>
      </c>
      <c r="AK366">
        <v>1</v>
      </c>
      <c r="AL366">
        <v>1</v>
      </c>
      <c r="AM366" t="s">
        <v>90</v>
      </c>
      <c r="AN366" t="s">
        <v>67</v>
      </c>
      <c r="AO366" t="s">
        <v>526</v>
      </c>
      <c r="AP366" t="s">
        <v>109</v>
      </c>
      <c r="AQ366">
        <v>12</v>
      </c>
      <c r="AR366" t="s">
        <v>521</v>
      </c>
      <c r="AS366" t="s">
        <v>228</v>
      </c>
      <c r="AT366" t="s">
        <v>140</v>
      </c>
      <c r="AU366">
        <v>1</v>
      </c>
      <c r="AV366">
        <v>1</v>
      </c>
      <c r="AW366" t="s">
        <v>406</v>
      </c>
      <c r="AX366" t="s">
        <v>283</v>
      </c>
      <c r="AY366" t="s">
        <v>217</v>
      </c>
      <c r="AZ366">
        <v>1</v>
      </c>
      <c r="BA366" t="s">
        <v>408</v>
      </c>
      <c r="BB366" t="s">
        <v>542</v>
      </c>
      <c r="BC366" t="s">
        <v>395</v>
      </c>
      <c r="BD366" t="s">
        <v>228</v>
      </c>
      <c r="BE366" t="s">
        <v>522</v>
      </c>
      <c r="BF366" t="s">
        <v>523</v>
      </c>
      <c r="BG366" t="s">
        <v>407</v>
      </c>
      <c r="BH366" t="s">
        <v>396</v>
      </c>
      <c r="BI366" t="s">
        <v>524</v>
      </c>
      <c r="BJ366" t="s">
        <v>228</v>
      </c>
      <c r="BK366" t="s">
        <v>228</v>
      </c>
      <c r="BL366" t="s">
        <v>228</v>
      </c>
      <c r="BM366" t="s">
        <v>228</v>
      </c>
      <c r="BN366" t="s">
        <v>228</v>
      </c>
      <c r="BO366" t="s">
        <v>228</v>
      </c>
      <c r="BP366" t="s">
        <v>228</v>
      </c>
      <c r="BQ366" t="s">
        <v>228</v>
      </c>
      <c r="BR366" t="s">
        <v>228</v>
      </c>
      <c r="BS366" t="s">
        <v>409</v>
      </c>
      <c r="BT366">
        <v>1</v>
      </c>
    </row>
    <row r="367" spans="1:72" x14ac:dyDescent="0.15">
      <c r="A367" s="43">
        <v>2023</v>
      </c>
      <c r="B367" s="8">
        <v>1</v>
      </c>
      <c r="C367" s="8">
        <v>1</v>
      </c>
      <c r="D367" s="8">
        <v>11</v>
      </c>
      <c r="E367" s="8" t="s">
        <v>67</v>
      </c>
      <c r="F367" s="8" t="s">
        <v>57</v>
      </c>
      <c r="G367" s="8">
        <v>2016</v>
      </c>
      <c r="H367" s="8">
        <v>12</v>
      </c>
      <c r="I367" s="8" t="s">
        <v>521</v>
      </c>
      <c r="J367" s="8" t="s">
        <v>228</v>
      </c>
      <c r="K367" s="8">
        <v>1983</v>
      </c>
      <c r="L367" s="17">
        <v>1</v>
      </c>
      <c r="M367" s="8">
        <v>1</v>
      </c>
      <c r="N367" s="8" t="s">
        <v>48</v>
      </c>
      <c r="O367" s="8" t="s">
        <v>283</v>
      </c>
      <c r="P367" s="8" t="s">
        <v>217</v>
      </c>
      <c r="Q367" s="8">
        <v>3000</v>
      </c>
      <c r="R367" s="8" t="s">
        <v>57</v>
      </c>
      <c r="S367" s="8" t="s">
        <v>52</v>
      </c>
      <c r="T367" s="8" t="s">
        <v>69</v>
      </c>
      <c r="U367" s="8" t="s">
        <v>228</v>
      </c>
      <c r="V367" s="8">
        <v>500</v>
      </c>
      <c r="W367" s="8" t="s">
        <v>328</v>
      </c>
      <c r="X367" s="8">
        <v>3000</v>
      </c>
      <c r="Y367" s="8" t="s">
        <v>268</v>
      </c>
      <c r="Z367" s="8">
        <v>85</v>
      </c>
      <c r="AA367" s="8" t="s">
        <v>278</v>
      </c>
      <c r="AB367" s="8" t="s">
        <v>228</v>
      </c>
      <c r="AC367" s="8" t="s">
        <v>228</v>
      </c>
      <c r="AD367" s="8" t="s">
        <v>228</v>
      </c>
      <c r="AE367" s="8" t="s">
        <v>228</v>
      </c>
      <c r="AF367" s="8" t="s">
        <v>228</v>
      </c>
      <c r="AG367" s="8" t="s">
        <v>228</v>
      </c>
      <c r="AH367" s="8" t="s">
        <v>228</v>
      </c>
      <c r="AI367" s="8" t="s">
        <v>228</v>
      </c>
      <c r="AJ367" t="s">
        <v>468</v>
      </c>
      <c r="AK367">
        <v>1</v>
      </c>
      <c r="AL367">
        <v>1</v>
      </c>
      <c r="AM367" t="s">
        <v>90</v>
      </c>
      <c r="AN367" t="s">
        <v>67</v>
      </c>
      <c r="AO367" t="s">
        <v>526</v>
      </c>
      <c r="AP367" t="s">
        <v>109</v>
      </c>
      <c r="AQ367">
        <v>12</v>
      </c>
      <c r="AR367" t="s">
        <v>521</v>
      </c>
      <c r="AS367" t="s">
        <v>228</v>
      </c>
      <c r="AT367" t="s">
        <v>140</v>
      </c>
      <c r="AU367">
        <v>1</v>
      </c>
      <c r="AV367">
        <v>1</v>
      </c>
      <c r="AW367" t="s">
        <v>406</v>
      </c>
      <c r="AX367" t="s">
        <v>283</v>
      </c>
      <c r="AY367" t="s">
        <v>217</v>
      </c>
      <c r="AZ367">
        <v>1</v>
      </c>
      <c r="BA367" t="s">
        <v>408</v>
      </c>
      <c r="BB367" t="s">
        <v>405</v>
      </c>
      <c r="BC367" t="s">
        <v>395</v>
      </c>
      <c r="BD367" t="s">
        <v>228</v>
      </c>
      <c r="BE367" t="s">
        <v>522</v>
      </c>
      <c r="BF367" t="s">
        <v>523</v>
      </c>
      <c r="BG367" t="s">
        <v>407</v>
      </c>
      <c r="BH367" t="s">
        <v>396</v>
      </c>
      <c r="BI367" t="s">
        <v>524</v>
      </c>
      <c r="BJ367" t="s">
        <v>228</v>
      </c>
      <c r="BK367" t="s">
        <v>228</v>
      </c>
      <c r="BL367" t="s">
        <v>228</v>
      </c>
      <c r="BM367" t="s">
        <v>228</v>
      </c>
      <c r="BN367" t="s">
        <v>228</v>
      </c>
      <c r="BO367" t="s">
        <v>228</v>
      </c>
      <c r="BP367" t="s">
        <v>228</v>
      </c>
      <c r="BQ367" t="s">
        <v>228</v>
      </c>
      <c r="BR367" t="s">
        <v>228</v>
      </c>
      <c r="BS367" t="s">
        <v>409</v>
      </c>
      <c r="BT367">
        <v>1</v>
      </c>
    </row>
    <row r="368" spans="1:72" x14ac:dyDescent="0.15">
      <c r="A368" s="43">
        <v>2023</v>
      </c>
      <c r="B368" s="8">
        <v>1</v>
      </c>
      <c r="C368" s="8">
        <v>1</v>
      </c>
      <c r="D368" s="8">
        <v>11</v>
      </c>
      <c r="E368" s="8" t="s">
        <v>67</v>
      </c>
      <c r="F368" s="8" t="s">
        <v>57</v>
      </c>
      <c r="G368" s="8">
        <v>2016</v>
      </c>
      <c r="H368" s="8">
        <v>12</v>
      </c>
      <c r="I368" s="8" t="s">
        <v>521</v>
      </c>
      <c r="J368" s="8" t="s">
        <v>228</v>
      </c>
      <c r="K368" s="8">
        <v>1983</v>
      </c>
      <c r="L368" s="17">
        <v>1</v>
      </c>
      <c r="M368" s="8">
        <v>1</v>
      </c>
      <c r="N368" s="8" t="s">
        <v>48</v>
      </c>
      <c r="O368" s="8" t="s">
        <v>283</v>
      </c>
      <c r="P368" s="8" t="s">
        <v>217</v>
      </c>
      <c r="Q368" s="8">
        <v>3000</v>
      </c>
      <c r="R368" s="8" t="s">
        <v>57</v>
      </c>
      <c r="S368" s="8" t="s">
        <v>54</v>
      </c>
      <c r="T368" s="8" t="s">
        <v>69</v>
      </c>
      <c r="U368" s="8" t="s">
        <v>228</v>
      </c>
      <c r="V368" s="8">
        <v>500</v>
      </c>
      <c r="W368" s="8" t="s">
        <v>328</v>
      </c>
      <c r="X368" s="8">
        <v>3000</v>
      </c>
      <c r="Y368" s="8" t="s">
        <v>268</v>
      </c>
      <c r="Z368" s="8">
        <v>85</v>
      </c>
      <c r="AA368" s="8" t="s">
        <v>278</v>
      </c>
      <c r="AB368" s="8" t="s">
        <v>247</v>
      </c>
      <c r="AC368" s="8" t="s">
        <v>228</v>
      </c>
      <c r="AD368" s="8" t="s">
        <v>228</v>
      </c>
      <c r="AE368" s="8" t="s">
        <v>228</v>
      </c>
      <c r="AF368" s="8" t="s">
        <v>228</v>
      </c>
      <c r="AG368" s="8" t="s">
        <v>228</v>
      </c>
      <c r="AH368" s="8" t="s">
        <v>228</v>
      </c>
      <c r="AI368" s="8" t="s">
        <v>228</v>
      </c>
      <c r="AJ368" t="s">
        <v>468</v>
      </c>
      <c r="AK368">
        <v>1</v>
      </c>
      <c r="AL368">
        <v>1</v>
      </c>
      <c r="AM368" t="s">
        <v>90</v>
      </c>
      <c r="AN368" t="s">
        <v>67</v>
      </c>
      <c r="AO368" t="s">
        <v>526</v>
      </c>
      <c r="AP368" t="s">
        <v>109</v>
      </c>
      <c r="AQ368">
        <v>12</v>
      </c>
      <c r="AR368" t="s">
        <v>521</v>
      </c>
      <c r="AS368" t="s">
        <v>228</v>
      </c>
      <c r="AT368" t="s">
        <v>140</v>
      </c>
      <c r="AU368">
        <v>1</v>
      </c>
      <c r="AV368">
        <v>1</v>
      </c>
      <c r="AW368" t="s">
        <v>406</v>
      </c>
      <c r="AX368" t="s">
        <v>283</v>
      </c>
      <c r="AY368" t="s">
        <v>217</v>
      </c>
      <c r="AZ368">
        <v>1</v>
      </c>
      <c r="BA368" t="s">
        <v>408</v>
      </c>
      <c r="BB368" t="s">
        <v>541</v>
      </c>
      <c r="BC368" t="s">
        <v>395</v>
      </c>
      <c r="BD368" t="s">
        <v>228</v>
      </c>
      <c r="BE368" t="s">
        <v>522</v>
      </c>
      <c r="BF368" t="s">
        <v>523</v>
      </c>
      <c r="BG368" t="s">
        <v>407</v>
      </c>
      <c r="BH368" t="s">
        <v>396</v>
      </c>
      <c r="BI368" t="s">
        <v>524</v>
      </c>
      <c r="BJ368" t="s">
        <v>228</v>
      </c>
      <c r="BK368" t="s">
        <v>543</v>
      </c>
      <c r="BL368" t="s">
        <v>228</v>
      </c>
      <c r="BM368" t="s">
        <v>228</v>
      </c>
      <c r="BN368" t="s">
        <v>228</v>
      </c>
      <c r="BO368" t="s">
        <v>228</v>
      </c>
      <c r="BP368" t="s">
        <v>228</v>
      </c>
      <c r="BQ368" t="s">
        <v>228</v>
      </c>
      <c r="BR368" t="s">
        <v>228</v>
      </c>
      <c r="BS368" t="s">
        <v>409</v>
      </c>
      <c r="BT368">
        <v>1</v>
      </c>
    </row>
    <row r="369" spans="1:72" x14ac:dyDescent="0.15">
      <c r="A369" s="43">
        <v>2023</v>
      </c>
      <c r="B369" s="8">
        <v>1</v>
      </c>
      <c r="C369" s="8">
        <v>1</v>
      </c>
      <c r="D369" s="8">
        <v>11</v>
      </c>
      <c r="E369" s="8" t="s">
        <v>67</v>
      </c>
      <c r="F369" s="8" t="s">
        <v>57</v>
      </c>
      <c r="G369" s="8">
        <v>2016</v>
      </c>
      <c r="H369" s="8">
        <v>12</v>
      </c>
      <c r="I369" s="8" t="s">
        <v>521</v>
      </c>
      <c r="J369" s="8" t="s">
        <v>228</v>
      </c>
      <c r="K369" s="8">
        <v>1983</v>
      </c>
      <c r="L369" s="17">
        <v>1</v>
      </c>
      <c r="M369" s="8">
        <v>1</v>
      </c>
      <c r="N369" s="8" t="s">
        <v>48</v>
      </c>
      <c r="O369" s="8" t="s">
        <v>283</v>
      </c>
      <c r="P369" s="8" t="s">
        <v>217</v>
      </c>
      <c r="Q369" s="8">
        <v>3000</v>
      </c>
      <c r="R369" s="8" t="s">
        <v>57</v>
      </c>
      <c r="S369" s="8" t="s">
        <v>53</v>
      </c>
      <c r="T369" s="8" t="s">
        <v>69</v>
      </c>
      <c r="U369" s="8" t="s">
        <v>228</v>
      </c>
      <c r="V369" s="8">
        <v>500</v>
      </c>
      <c r="W369" s="8" t="s">
        <v>328</v>
      </c>
      <c r="X369" s="8">
        <v>3000</v>
      </c>
      <c r="Y369" s="8" t="s">
        <v>268</v>
      </c>
      <c r="Z369" s="8">
        <v>85</v>
      </c>
      <c r="AA369" s="8" t="s">
        <v>278</v>
      </c>
      <c r="AB369" s="8" t="s">
        <v>247</v>
      </c>
      <c r="AC369" s="8" t="s">
        <v>228</v>
      </c>
      <c r="AD369" s="8" t="s">
        <v>228</v>
      </c>
      <c r="AE369" s="8" t="s">
        <v>228</v>
      </c>
      <c r="AF369" s="8" t="s">
        <v>228</v>
      </c>
      <c r="AG369" s="8" t="s">
        <v>228</v>
      </c>
      <c r="AH369" s="8" t="s">
        <v>228</v>
      </c>
      <c r="AI369" s="8" t="s">
        <v>228</v>
      </c>
      <c r="AJ369" t="s">
        <v>468</v>
      </c>
      <c r="AK369">
        <v>1</v>
      </c>
      <c r="AL369">
        <v>1</v>
      </c>
      <c r="AM369" t="s">
        <v>90</v>
      </c>
      <c r="AN369" t="s">
        <v>67</v>
      </c>
      <c r="AO369" t="s">
        <v>526</v>
      </c>
      <c r="AP369" t="s">
        <v>109</v>
      </c>
      <c r="AQ369">
        <v>12</v>
      </c>
      <c r="AR369" t="s">
        <v>521</v>
      </c>
      <c r="AS369" t="s">
        <v>228</v>
      </c>
      <c r="AT369" t="s">
        <v>140</v>
      </c>
      <c r="AU369">
        <v>1</v>
      </c>
      <c r="AV369">
        <v>1</v>
      </c>
      <c r="AW369" t="s">
        <v>406</v>
      </c>
      <c r="AX369" t="s">
        <v>283</v>
      </c>
      <c r="AY369" t="s">
        <v>217</v>
      </c>
      <c r="AZ369">
        <v>1</v>
      </c>
      <c r="BA369" t="s">
        <v>408</v>
      </c>
      <c r="BB369" t="s">
        <v>542</v>
      </c>
      <c r="BC369" t="s">
        <v>395</v>
      </c>
      <c r="BD369" t="s">
        <v>228</v>
      </c>
      <c r="BE369" t="s">
        <v>522</v>
      </c>
      <c r="BF369" t="s">
        <v>523</v>
      </c>
      <c r="BG369" t="s">
        <v>407</v>
      </c>
      <c r="BH369" t="s">
        <v>396</v>
      </c>
      <c r="BI369" t="s">
        <v>524</v>
      </c>
      <c r="BJ369" t="s">
        <v>228</v>
      </c>
      <c r="BK369" t="s">
        <v>543</v>
      </c>
      <c r="BL369" t="s">
        <v>228</v>
      </c>
      <c r="BM369" t="s">
        <v>228</v>
      </c>
      <c r="BN369" t="s">
        <v>228</v>
      </c>
      <c r="BO369" t="s">
        <v>228</v>
      </c>
      <c r="BP369" t="s">
        <v>228</v>
      </c>
      <c r="BQ369" t="s">
        <v>228</v>
      </c>
      <c r="BR369" t="s">
        <v>228</v>
      </c>
      <c r="BS369" t="s">
        <v>409</v>
      </c>
      <c r="BT369">
        <v>1</v>
      </c>
    </row>
    <row r="370" spans="1:72" x14ac:dyDescent="0.15">
      <c r="A370" s="43">
        <v>2023</v>
      </c>
      <c r="B370" s="8">
        <v>1</v>
      </c>
      <c r="C370" s="8">
        <v>1</v>
      </c>
      <c r="D370" s="8">
        <v>11</v>
      </c>
      <c r="E370" s="8" t="s">
        <v>67</v>
      </c>
      <c r="F370" s="8" t="s">
        <v>57</v>
      </c>
      <c r="G370" s="8">
        <v>2016</v>
      </c>
      <c r="H370" s="8">
        <v>12</v>
      </c>
      <c r="I370" s="8" t="s">
        <v>521</v>
      </c>
      <c r="J370" s="8" t="s">
        <v>228</v>
      </c>
      <c r="K370" s="8">
        <v>1983</v>
      </c>
      <c r="L370" s="17">
        <v>1</v>
      </c>
      <c r="M370" s="8">
        <v>1</v>
      </c>
      <c r="N370" s="8" t="s">
        <v>48</v>
      </c>
      <c r="O370" s="8" t="s">
        <v>283</v>
      </c>
      <c r="P370" s="8" t="s">
        <v>217</v>
      </c>
      <c r="Q370" s="8">
        <v>3000</v>
      </c>
      <c r="R370" s="8" t="s">
        <v>57</v>
      </c>
      <c r="S370" s="8" t="s">
        <v>52</v>
      </c>
      <c r="T370" s="8" t="s">
        <v>69</v>
      </c>
      <c r="U370" s="8" t="s">
        <v>228</v>
      </c>
      <c r="V370" s="8">
        <v>500</v>
      </c>
      <c r="W370" s="8" t="s">
        <v>328</v>
      </c>
      <c r="X370" s="8">
        <v>3000</v>
      </c>
      <c r="Y370" s="8" t="s">
        <v>268</v>
      </c>
      <c r="Z370" s="8">
        <v>85</v>
      </c>
      <c r="AA370" s="8" t="s">
        <v>278</v>
      </c>
      <c r="AB370" s="8" t="s">
        <v>247</v>
      </c>
      <c r="AC370" s="8" t="s">
        <v>228</v>
      </c>
      <c r="AD370" s="8" t="s">
        <v>228</v>
      </c>
      <c r="AE370" s="8" t="s">
        <v>228</v>
      </c>
      <c r="AF370" s="8" t="s">
        <v>228</v>
      </c>
      <c r="AG370" s="8" t="s">
        <v>228</v>
      </c>
      <c r="AH370" s="8" t="s">
        <v>228</v>
      </c>
      <c r="AI370" s="8" t="s">
        <v>228</v>
      </c>
      <c r="AJ370" t="s">
        <v>468</v>
      </c>
      <c r="AK370">
        <v>1</v>
      </c>
      <c r="AL370">
        <v>1</v>
      </c>
      <c r="AM370" t="s">
        <v>90</v>
      </c>
      <c r="AN370" t="s">
        <v>67</v>
      </c>
      <c r="AO370" t="s">
        <v>526</v>
      </c>
      <c r="AP370" t="s">
        <v>109</v>
      </c>
      <c r="AQ370">
        <v>12</v>
      </c>
      <c r="AR370" t="s">
        <v>521</v>
      </c>
      <c r="AS370" t="s">
        <v>228</v>
      </c>
      <c r="AT370" t="s">
        <v>140</v>
      </c>
      <c r="AU370">
        <v>1</v>
      </c>
      <c r="AV370">
        <v>1</v>
      </c>
      <c r="AW370" t="s">
        <v>406</v>
      </c>
      <c r="AX370" t="s">
        <v>283</v>
      </c>
      <c r="AY370" t="s">
        <v>217</v>
      </c>
      <c r="AZ370">
        <v>1</v>
      </c>
      <c r="BA370" t="s">
        <v>408</v>
      </c>
      <c r="BB370" t="s">
        <v>405</v>
      </c>
      <c r="BC370" t="s">
        <v>395</v>
      </c>
      <c r="BD370" t="s">
        <v>228</v>
      </c>
      <c r="BE370" t="s">
        <v>522</v>
      </c>
      <c r="BF370" t="s">
        <v>523</v>
      </c>
      <c r="BG370" t="s">
        <v>407</v>
      </c>
      <c r="BH370" t="s">
        <v>396</v>
      </c>
      <c r="BI370" t="s">
        <v>524</v>
      </c>
      <c r="BJ370" t="s">
        <v>228</v>
      </c>
      <c r="BK370" t="s">
        <v>543</v>
      </c>
      <c r="BL370" t="s">
        <v>228</v>
      </c>
      <c r="BM370" t="s">
        <v>228</v>
      </c>
      <c r="BN370" t="s">
        <v>228</v>
      </c>
      <c r="BO370" t="s">
        <v>228</v>
      </c>
      <c r="BP370" t="s">
        <v>228</v>
      </c>
      <c r="BQ370" t="s">
        <v>228</v>
      </c>
      <c r="BR370" t="s">
        <v>228</v>
      </c>
      <c r="BS370" t="s">
        <v>409</v>
      </c>
      <c r="BT370">
        <v>1</v>
      </c>
    </row>
    <row r="371" spans="1:72" x14ac:dyDescent="0.15">
      <c r="A371" s="43">
        <v>2023</v>
      </c>
      <c r="B371" s="8">
        <v>1</v>
      </c>
      <c r="C371" s="8">
        <v>1</v>
      </c>
      <c r="D371" s="8">
        <v>11</v>
      </c>
      <c r="E371" s="8" t="s">
        <v>67</v>
      </c>
      <c r="F371" s="8" t="s">
        <v>57</v>
      </c>
      <c r="G371" s="8">
        <v>2016</v>
      </c>
      <c r="H371" s="8">
        <v>12</v>
      </c>
      <c r="I371" s="8" t="s">
        <v>521</v>
      </c>
      <c r="J371" s="8" t="s">
        <v>228</v>
      </c>
      <c r="K371" s="8">
        <v>1983</v>
      </c>
      <c r="L371" s="17">
        <v>1</v>
      </c>
      <c r="M371" s="8">
        <v>1</v>
      </c>
      <c r="N371" s="8" t="s">
        <v>48</v>
      </c>
      <c r="O371" s="8" t="s">
        <v>283</v>
      </c>
      <c r="P371" s="8" t="s">
        <v>217</v>
      </c>
      <c r="Q371" s="8">
        <v>3000</v>
      </c>
      <c r="R371" s="8" t="s">
        <v>57</v>
      </c>
      <c r="S371" s="8" t="s">
        <v>54</v>
      </c>
      <c r="T371" s="8" t="s">
        <v>69</v>
      </c>
      <c r="U371" s="8" t="s">
        <v>228</v>
      </c>
      <c r="V371" s="8">
        <v>500</v>
      </c>
      <c r="W371" s="8" t="s">
        <v>328</v>
      </c>
      <c r="X371" s="8">
        <v>3000</v>
      </c>
      <c r="Y371" s="8" t="s">
        <v>271</v>
      </c>
      <c r="Z371" s="8">
        <v>85</v>
      </c>
      <c r="AA371" s="8" t="s">
        <v>278</v>
      </c>
      <c r="AB371" s="8" t="s">
        <v>228</v>
      </c>
      <c r="AC371" s="8" t="s">
        <v>228</v>
      </c>
      <c r="AD371" s="8" t="s">
        <v>228</v>
      </c>
      <c r="AE371" s="8" t="s">
        <v>228</v>
      </c>
      <c r="AF371" s="8" t="s">
        <v>228</v>
      </c>
      <c r="AG371" s="8" t="s">
        <v>228</v>
      </c>
      <c r="AH371" s="8" t="s">
        <v>228</v>
      </c>
      <c r="AI371" s="8" t="s">
        <v>228</v>
      </c>
      <c r="AJ371" t="s">
        <v>468</v>
      </c>
      <c r="AK371">
        <v>1</v>
      </c>
      <c r="AL371">
        <v>1</v>
      </c>
      <c r="AM371" t="s">
        <v>90</v>
      </c>
      <c r="AN371" t="s">
        <v>67</v>
      </c>
      <c r="AO371" t="s">
        <v>526</v>
      </c>
      <c r="AP371" t="s">
        <v>109</v>
      </c>
      <c r="AQ371">
        <v>12</v>
      </c>
      <c r="AR371" t="s">
        <v>521</v>
      </c>
      <c r="AS371" t="s">
        <v>228</v>
      </c>
      <c r="AT371" t="s">
        <v>140</v>
      </c>
      <c r="AU371">
        <v>1</v>
      </c>
      <c r="AV371">
        <v>1</v>
      </c>
      <c r="AW371" t="s">
        <v>406</v>
      </c>
      <c r="AX371" t="s">
        <v>283</v>
      </c>
      <c r="AY371" t="s">
        <v>217</v>
      </c>
      <c r="AZ371">
        <v>1</v>
      </c>
      <c r="BA371" t="s">
        <v>408</v>
      </c>
      <c r="BB371" t="s">
        <v>541</v>
      </c>
      <c r="BC371" t="s">
        <v>395</v>
      </c>
      <c r="BD371" t="s">
        <v>228</v>
      </c>
      <c r="BE371" t="s">
        <v>522</v>
      </c>
      <c r="BF371" t="s">
        <v>523</v>
      </c>
      <c r="BG371" t="s">
        <v>407</v>
      </c>
      <c r="BH371" t="s">
        <v>544</v>
      </c>
      <c r="BI371" t="s">
        <v>524</v>
      </c>
      <c r="BJ371" t="s">
        <v>228</v>
      </c>
      <c r="BK371" t="s">
        <v>228</v>
      </c>
      <c r="BL371" t="s">
        <v>228</v>
      </c>
      <c r="BM371" t="s">
        <v>228</v>
      </c>
      <c r="BN371" t="s">
        <v>228</v>
      </c>
      <c r="BO371" t="s">
        <v>228</v>
      </c>
      <c r="BP371" t="s">
        <v>228</v>
      </c>
      <c r="BQ371" t="s">
        <v>228</v>
      </c>
      <c r="BR371" t="s">
        <v>228</v>
      </c>
      <c r="BS371" t="s">
        <v>409</v>
      </c>
      <c r="BT371">
        <v>1</v>
      </c>
    </row>
    <row r="372" spans="1:72" x14ac:dyDescent="0.15">
      <c r="A372" s="43">
        <v>2023</v>
      </c>
      <c r="B372" s="8">
        <v>1</v>
      </c>
      <c r="C372" s="8">
        <v>1</v>
      </c>
      <c r="D372" s="8">
        <v>11</v>
      </c>
      <c r="E372" s="8" t="s">
        <v>67</v>
      </c>
      <c r="F372" s="8" t="s">
        <v>57</v>
      </c>
      <c r="G372" s="8">
        <v>2016</v>
      </c>
      <c r="H372" s="8">
        <v>12</v>
      </c>
      <c r="I372" s="8" t="s">
        <v>521</v>
      </c>
      <c r="J372" s="8" t="s">
        <v>228</v>
      </c>
      <c r="K372" s="8">
        <v>1983</v>
      </c>
      <c r="L372" s="17">
        <v>1</v>
      </c>
      <c r="M372" s="8">
        <v>1</v>
      </c>
      <c r="N372" s="8" t="s">
        <v>48</v>
      </c>
      <c r="O372" s="8" t="s">
        <v>283</v>
      </c>
      <c r="P372" s="8" t="s">
        <v>217</v>
      </c>
      <c r="Q372" s="8">
        <v>3000</v>
      </c>
      <c r="R372" s="8" t="s">
        <v>57</v>
      </c>
      <c r="S372" s="8" t="s">
        <v>53</v>
      </c>
      <c r="T372" s="8" t="s">
        <v>69</v>
      </c>
      <c r="U372" s="8" t="s">
        <v>228</v>
      </c>
      <c r="V372" s="8">
        <v>500</v>
      </c>
      <c r="W372" s="8" t="s">
        <v>328</v>
      </c>
      <c r="X372" s="8">
        <v>3000</v>
      </c>
      <c r="Y372" s="8" t="s">
        <v>271</v>
      </c>
      <c r="Z372" s="8">
        <v>85</v>
      </c>
      <c r="AA372" s="8" t="s">
        <v>278</v>
      </c>
      <c r="AB372" s="8" t="s">
        <v>228</v>
      </c>
      <c r="AC372" s="8" t="s">
        <v>228</v>
      </c>
      <c r="AD372" s="8" t="s">
        <v>228</v>
      </c>
      <c r="AE372" s="8" t="s">
        <v>228</v>
      </c>
      <c r="AF372" s="8" t="s">
        <v>228</v>
      </c>
      <c r="AG372" s="8" t="s">
        <v>228</v>
      </c>
      <c r="AH372" s="8" t="s">
        <v>228</v>
      </c>
      <c r="AI372" s="8" t="s">
        <v>228</v>
      </c>
      <c r="AJ372" t="s">
        <v>468</v>
      </c>
      <c r="AK372">
        <v>1</v>
      </c>
      <c r="AL372">
        <v>1</v>
      </c>
      <c r="AM372" t="s">
        <v>90</v>
      </c>
      <c r="AN372" t="s">
        <v>67</v>
      </c>
      <c r="AO372" t="s">
        <v>526</v>
      </c>
      <c r="AP372" t="s">
        <v>109</v>
      </c>
      <c r="AQ372">
        <v>12</v>
      </c>
      <c r="AR372" t="s">
        <v>521</v>
      </c>
      <c r="AS372" t="s">
        <v>228</v>
      </c>
      <c r="AT372" t="s">
        <v>140</v>
      </c>
      <c r="AU372">
        <v>1</v>
      </c>
      <c r="AV372">
        <v>1</v>
      </c>
      <c r="AW372" t="s">
        <v>406</v>
      </c>
      <c r="AX372" t="s">
        <v>283</v>
      </c>
      <c r="AY372" t="s">
        <v>217</v>
      </c>
      <c r="AZ372">
        <v>1</v>
      </c>
      <c r="BA372" t="s">
        <v>408</v>
      </c>
      <c r="BB372" t="s">
        <v>542</v>
      </c>
      <c r="BC372" t="s">
        <v>395</v>
      </c>
      <c r="BD372" t="s">
        <v>228</v>
      </c>
      <c r="BE372" t="s">
        <v>522</v>
      </c>
      <c r="BF372" t="s">
        <v>523</v>
      </c>
      <c r="BG372" t="s">
        <v>407</v>
      </c>
      <c r="BH372" t="s">
        <v>544</v>
      </c>
      <c r="BI372" t="s">
        <v>524</v>
      </c>
      <c r="BJ372" t="s">
        <v>228</v>
      </c>
      <c r="BK372" t="s">
        <v>228</v>
      </c>
      <c r="BL372" t="s">
        <v>228</v>
      </c>
      <c r="BM372" t="s">
        <v>228</v>
      </c>
      <c r="BN372" t="s">
        <v>228</v>
      </c>
      <c r="BO372" t="s">
        <v>228</v>
      </c>
      <c r="BP372" t="s">
        <v>228</v>
      </c>
      <c r="BQ372" t="s">
        <v>228</v>
      </c>
      <c r="BR372" t="s">
        <v>228</v>
      </c>
      <c r="BS372" t="s">
        <v>409</v>
      </c>
      <c r="BT372">
        <v>1</v>
      </c>
    </row>
    <row r="373" spans="1:72" x14ac:dyDescent="0.15">
      <c r="A373" s="43">
        <v>2023</v>
      </c>
      <c r="B373" s="8">
        <v>1</v>
      </c>
      <c r="C373" s="8">
        <v>1</v>
      </c>
      <c r="D373" s="8">
        <v>11</v>
      </c>
      <c r="E373" s="8" t="s">
        <v>67</v>
      </c>
      <c r="F373" s="8" t="s">
        <v>57</v>
      </c>
      <c r="G373" s="8">
        <v>2016</v>
      </c>
      <c r="H373" s="8">
        <v>12</v>
      </c>
      <c r="I373" s="8" t="s">
        <v>521</v>
      </c>
      <c r="J373" s="8" t="s">
        <v>228</v>
      </c>
      <c r="K373" s="8">
        <v>1983</v>
      </c>
      <c r="L373" s="17">
        <v>1</v>
      </c>
      <c r="M373" s="8">
        <v>1</v>
      </c>
      <c r="N373" s="8" t="s">
        <v>48</v>
      </c>
      <c r="O373" s="8" t="s">
        <v>283</v>
      </c>
      <c r="P373" s="8" t="s">
        <v>217</v>
      </c>
      <c r="Q373" s="8">
        <v>3000</v>
      </c>
      <c r="R373" s="8" t="s">
        <v>57</v>
      </c>
      <c r="S373" s="8" t="s">
        <v>52</v>
      </c>
      <c r="T373" s="8" t="s">
        <v>69</v>
      </c>
      <c r="U373" s="8" t="s">
        <v>228</v>
      </c>
      <c r="V373" s="8">
        <v>500</v>
      </c>
      <c r="W373" s="8" t="s">
        <v>328</v>
      </c>
      <c r="X373" s="8">
        <v>3000</v>
      </c>
      <c r="Y373" s="8" t="s">
        <v>271</v>
      </c>
      <c r="Z373" s="8">
        <v>85</v>
      </c>
      <c r="AA373" s="8" t="s">
        <v>278</v>
      </c>
      <c r="AB373" s="8" t="s">
        <v>228</v>
      </c>
      <c r="AC373" s="8" t="s">
        <v>228</v>
      </c>
      <c r="AD373" s="8" t="s">
        <v>228</v>
      </c>
      <c r="AE373" s="8" t="s">
        <v>228</v>
      </c>
      <c r="AF373" s="8" t="s">
        <v>228</v>
      </c>
      <c r="AG373" s="8" t="s">
        <v>228</v>
      </c>
      <c r="AH373" s="8" t="s">
        <v>228</v>
      </c>
      <c r="AI373" s="8" t="s">
        <v>228</v>
      </c>
      <c r="AJ373" t="s">
        <v>468</v>
      </c>
      <c r="AK373">
        <v>1</v>
      </c>
      <c r="AL373">
        <v>1</v>
      </c>
      <c r="AM373" t="s">
        <v>90</v>
      </c>
      <c r="AN373" t="s">
        <v>67</v>
      </c>
      <c r="AO373" t="s">
        <v>526</v>
      </c>
      <c r="AP373" t="s">
        <v>109</v>
      </c>
      <c r="AQ373">
        <v>12</v>
      </c>
      <c r="AR373" t="s">
        <v>521</v>
      </c>
      <c r="AS373" t="s">
        <v>228</v>
      </c>
      <c r="AT373" t="s">
        <v>140</v>
      </c>
      <c r="AU373">
        <v>1</v>
      </c>
      <c r="AV373">
        <v>1</v>
      </c>
      <c r="AW373" t="s">
        <v>406</v>
      </c>
      <c r="AX373" t="s">
        <v>283</v>
      </c>
      <c r="AY373" t="s">
        <v>217</v>
      </c>
      <c r="AZ373">
        <v>1</v>
      </c>
      <c r="BA373" t="s">
        <v>408</v>
      </c>
      <c r="BB373" t="s">
        <v>405</v>
      </c>
      <c r="BC373" t="s">
        <v>395</v>
      </c>
      <c r="BD373" t="s">
        <v>228</v>
      </c>
      <c r="BE373" t="s">
        <v>522</v>
      </c>
      <c r="BF373" t="s">
        <v>523</v>
      </c>
      <c r="BG373" t="s">
        <v>407</v>
      </c>
      <c r="BH373" t="s">
        <v>544</v>
      </c>
      <c r="BI373" t="s">
        <v>524</v>
      </c>
      <c r="BJ373" t="s">
        <v>228</v>
      </c>
      <c r="BK373" t="s">
        <v>228</v>
      </c>
      <c r="BL373" t="s">
        <v>228</v>
      </c>
      <c r="BM373" t="s">
        <v>228</v>
      </c>
      <c r="BN373" t="s">
        <v>228</v>
      </c>
      <c r="BO373" t="s">
        <v>228</v>
      </c>
      <c r="BP373" t="s">
        <v>228</v>
      </c>
      <c r="BQ373" t="s">
        <v>228</v>
      </c>
      <c r="BR373" t="s">
        <v>228</v>
      </c>
      <c r="BS373" t="s">
        <v>409</v>
      </c>
      <c r="BT373">
        <v>1</v>
      </c>
    </row>
    <row r="374" spans="1:72" x14ac:dyDescent="0.15">
      <c r="A374" s="43">
        <v>2023</v>
      </c>
      <c r="B374" s="8">
        <v>1</v>
      </c>
      <c r="C374" s="8">
        <v>1</v>
      </c>
      <c r="D374" s="8">
        <v>11</v>
      </c>
      <c r="E374" s="8" t="s">
        <v>67</v>
      </c>
      <c r="F374" s="8" t="s">
        <v>57</v>
      </c>
      <c r="G374" s="8">
        <v>2016</v>
      </c>
      <c r="H374" s="8">
        <v>12</v>
      </c>
      <c r="I374" s="8" t="s">
        <v>521</v>
      </c>
      <c r="J374" s="8" t="s">
        <v>228</v>
      </c>
      <c r="K374" s="8">
        <v>1983</v>
      </c>
      <c r="L374" s="17">
        <v>1</v>
      </c>
      <c r="M374" s="8">
        <v>1</v>
      </c>
      <c r="N374" s="8" t="s">
        <v>48</v>
      </c>
      <c r="O374" s="8" t="s">
        <v>283</v>
      </c>
      <c r="P374" s="8" t="s">
        <v>217</v>
      </c>
      <c r="Q374" s="8">
        <v>3000</v>
      </c>
      <c r="R374" s="8" t="s">
        <v>57</v>
      </c>
      <c r="S374" s="8" t="s">
        <v>54</v>
      </c>
      <c r="T374" s="8" t="s">
        <v>69</v>
      </c>
      <c r="U374" s="8" t="s">
        <v>228</v>
      </c>
      <c r="V374" s="8">
        <v>500</v>
      </c>
      <c r="W374" s="8" t="s">
        <v>328</v>
      </c>
      <c r="X374" s="8">
        <v>3000</v>
      </c>
      <c r="Y374" s="8" t="s">
        <v>271</v>
      </c>
      <c r="Z374" s="8">
        <v>85</v>
      </c>
      <c r="AA374" s="8" t="s">
        <v>278</v>
      </c>
      <c r="AB374" s="8" t="s">
        <v>247</v>
      </c>
      <c r="AC374" s="8" t="s">
        <v>228</v>
      </c>
      <c r="AD374" s="8" t="s">
        <v>228</v>
      </c>
      <c r="AE374" s="8" t="s">
        <v>228</v>
      </c>
      <c r="AF374" s="8" t="s">
        <v>228</v>
      </c>
      <c r="AG374" s="8" t="s">
        <v>228</v>
      </c>
      <c r="AH374" s="8" t="s">
        <v>228</v>
      </c>
      <c r="AI374" s="8" t="s">
        <v>228</v>
      </c>
      <c r="AJ374" t="s">
        <v>468</v>
      </c>
      <c r="AK374">
        <v>1</v>
      </c>
      <c r="AL374">
        <v>1</v>
      </c>
      <c r="AM374" t="s">
        <v>90</v>
      </c>
      <c r="AN374" t="s">
        <v>67</v>
      </c>
      <c r="AO374" t="s">
        <v>526</v>
      </c>
      <c r="AP374" t="s">
        <v>109</v>
      </c>
      <c r="AQ374">
        <v>12</v>
      </c>
      <c r="AR374" t="s">
        <v>521</v>
      </c>
      <c r="AS374" t="s">
        <v>228</v>
      </c>
      <c r="AT374" t="s">
        <v>140</v>
      </c>
      <c r="AU374">
        <v>1</v>
      </c>
      <c r="AV374">
        <v>1</v>
      </c>
      <c r="AW374" t="s">
        <v>406</v>
      </c>
      <c r="AX374" t="s">
        <v>283</v>
      </c>
      <c r="AY374" t="s">
        <v>217</v>
      </c>
      <c r="AZ374">
        <v>1</v>
      </c>
      <c r="BA374" t="s">
        <v>408</v>
      </c>
      <c r="BB374" t="s">
        <v>541</v>
      </c>
      <c r="BC374" t="s">
        <v>395</v>
      </c>
      <c r="BD374" t="s">
        <v>228</v>
      </c>
      <c r="BE374" t="s">
        <v>522</v>
      </c>
      <c r="BF374" t="s">
        <v>523</v>
      </c>
      <c r="BG374" t="s">
        <v>407</v>
      </c>
      <c r="BH374" t="s">
        <v>544</v>
      </c>
      <c r="BI374" t="s">
        <v>524</v>
      </c>
      <c r="BJ374" t="s">
        <v>228</v>
      </c>
      <c r="BK374" t="s">
        <v>543</v>
      </c>
      <c r="BL374" t="s">
        <v>228</v>
      </c>
      <c r="BM374" t="s">
        <v>228</v>
      </c>
      <c r="BN374" t="s">
        <v>228</v>
      </c>
      <c r="BO374" t="s">
        <v>228</v>
      </c>
      <c r="BP374" t="s">
        <v>228</v>
      </c>
      <c r="BQ374" t="s">
        <v>228</v>
      </c>
      <c r="BR374" t="s">
        <v>228</v>
      </c>
      <c r="BS374" t="s">
        <v>409</v>
      </c>
      <c r="BT374">
        <v>1</v>
      </c>
    </row>
    <row r="375" spans="1:72" x14ac:dyDescent="0.15">
      <c r="A375" s="43">
        <v>2023</v>
      </c>
      <c r="B375" s="8">
        <v>1</v>
      </c>
      <c r="C375" s="8">
        <v>1</v>
      </c>
      <c r="D375" s="8">
        <v>11</v>
      </c>
      <c r="E375" s="8" t="s">
        <v>67</v>
      </c>
      <c r="F375" s="8" t="s">
        <v>57</v>
      </c>
      <c r="G375" s="8">
        <v>2016</v>
      </c>
      <c r="H375" s="8">
        <v>12</v>
      </c>
      <c r="I375" s="8" t="s">
        <v>521</v>
      </c>
      <c r="J375" s="8" t="s">
        <v>228</v>
      </c>
      <c r="K375" s="8">
        <v>1983</v>
      </c>
      <c r="L375" s="17">
        <v>1</v>
      </c>
      <c r="M375" s="8">
        <v>1</v>
      </c>
      <c r="N375" s="8" t="s">
        <v>48</v>
      </c>
      <c r="O375" s="8" t="s">
        <v>283</v>
      </c>
      <c r="P375" s="8" t="s">
        <v>217</v>
      </c>
      <c r="Q375" s="8">
        <v>3000</v>
      </c>
      <c r="R375" s="8" t="s">
        <v>57</v>
      </c>
      <c r="S375" s="8" t="s">
        <v>53</v>
      </c>
      <c r="T375" s="8" t="s">
        <v>69</v>
      </c>
      <c r="U375" s="8" t="s">
        <v>228</v>
      </c>
      <c r="V375" s="8">
        <v>500</v>
      </c>
      <c r="W375" s="8" t="s">
        <v>328</v>
      </c>
      <c r="X375" s="8">
        <v>3000</v>
      </c>
      <c r="Y375" s="8" t="s">
        <v>271</v>
      </c>
      <c r="Z375" s="8">
        <v>85</v>
      </c>
      <c r="AA375" s="8" t="s">
        <v>278</v>
      </c>
      <c r="AB375" s="8" t="s">
        <v>247</v>
      </c>
      <c r="AC375" s="8" t="s">
        <v>228</v>
      </c>
      <c r="AD375" s="8" t="s">
        <v>228</v>
      </c>
      <c r="AE375" s="8" t="s">
        <v>228</v>
      </c>
      <c r="AF375" s="8" t="s">
        <v>228</v>
      </c>
      <c r="AG375" s="8" t="s">
        <v>228</v>
      </c>
      <c r="AH375" s="8" t="s">
        <v>228</v>
      </c>
      <c r="AI375" s="8" t="s">
        <v>228</v>
      </c>
      <c r="AJ375" t="s">
        <v>468</v>
      </c>
      <c r="AK375">
        <v>1</v>
      </c>
      <c r="AL375">
        <v>1</v>
      </c>
      <c r="AM375" t="s">
        <v>90</v>
      </c>
      <c r="AN375" t="s">
        <v>67</v>
      </c>
      <c r="AO375" t="s">
        <v>526</v>
      </c>
      <c r="AP375" t="s">
        <v>109</v>
      </c>
      <c r="AQ375">
        <v>12</v>
      </c>
      <c r="AR375" t="s">
        <v>521</v>
      </c>
      <c r="AS375" t="s">
        <v>228</v>
      </c>
      <c r="AT375" t="s">
        <v>140</v>
      </c>
      <c r="AU375">
        <v>1</v>
      </c>
      <c r="AV375">
        <v>1</v>
      </c>
      <c r="AW375" t="s">
        <v>406</v>
      </c>
      <c r="AX375" t="s">
        <v>283</v>
      </c>
      <c r="AY375" t="s">
        <v>217</v>
      </c>
      <c r="AZ375">
        <v>1</v>
      </c>
      <c r="BA375" t="s">
        <v>408</v>
      </c>
      <c r="BB375" t="s">
        <v>542</v>
      </c>
      <c r="BC375" t="s">
        <v>395</v>
      </c>
      <c r="BD375" t="s">
        <v>228</v>
      </c>
      <c r="BE375" t="s">
        <v>522</v>
      </c>
      <c r="BF375" t="s">
        <v>523</v>
      </c>
      <c r="BG375" t="s">
        <v>407</v>
      </c>
      <c r="BH375" t="s">
        <v>544</v>
      </c>
      <c r="BI375" t="s">
        <v>524</v>
      </c>
      <c r="BJ375" t="s">
        <v>228</v>
      </c>
      <c r="BK375" t="s">
        <v>543</v>
      </c>
      <c r="BL375" t="s">
        <v>228</v>
      </c>
      <c r="BM375" t="s">
        <v>228</v>
      </c>
      <c r="BN375" t="s">
        <v>228</v>
      </c>
      <c r="BO375" t="s">
        <v>228</v>
      </c>
      <c r="BP375" t="s">
        <v>228</v>
      </c>
      <c r="BQ375" t="s">
        <v>228</v>
      </c>
      <c r="BR375" t="s">
        <v>228</v>
      </c>
      <c r="BS375" t="s">
        <v>409</v>
      </c>
      <c r="BT375">
        <v>1</v>
      </c>
    </row>
    <row r="376" spans="1:72" x14ac:dyDescent="0.15">
      <c r="A376" s="43">
        <v>2023</v>
      </c>
      <c r="B376" s="8">
        <v>1</v>
      </c>
      <c r="C376" s="8">
        <v>1</v>
      </c>
      <c r="D376" s="8">
        <v>11</v>
      </c>
      <c r="E376" s="8" t="s">
        <v>67</v>
      </c>
      <c r="F376" s="8" t="s">
        <v>57</v>
      </c>
      <c r="G376" s="8">
        <v>2016</v>
      </c>
      <c r="H376" s="8">
        <v>12</v>
      </c>
      <c r="I376" s="8" t="s">
        <v>521</v>
      </c>
      <c r="J376" s="8" t="s">
        <v>228</v>
      </c>
      <c r="K376" s="8">
        <v>1983</v>
      </c>
      <c r="L376" s="17">
        <v>1</v>
      </c>
      <c r="M376" s="8">
        <v>1</v>
      </c>
      <c r="N376" s="8" t="s">
        <v>48</v>
      </c>
      <c r="O376" s="8" t="s">
        <v>283</v>
      </c>
      <c r="P376" s="8" t="s">
        <v>217</v>
      </c>
      <c r="Q376" s="8">
        <v>3000</v>
      </c>
      <c r="R376" s="8" t="s">
        <v>57</v>
      </c>
      <c r="S376" s="8" t="s">
        <v>52</v>
      </c>
      <c r="T376" s="8" t="s">
        <v>69</v>
      </c>
      <c r="U376" s="8" t="s">
        <v>228</v>
      </c>
      <c r="V376" s="8">
        <v>500</v>
      </c>
      <c r="W376" s="8" t="s">
        <v>328</v>
      </c>
      <c r="X376" s="8">
        <v>3000</v>
      </c>
      <c r="Y376" s="8" t="s">
        <v>271</v>
      </c>
      <c r="Z376" s="8">
        <v>85</v>
      </c>
      <c r="AA376" s="8" t="s">
        <v>278</v>
      </c>
      <c r="AB376" s="8" t="s">
        <v>247</v>
      </c>
      <c r="AC376" s="8" t="s">
        <v>228</v>
      </c>
      <c r="AD376" s="8" t="s">
        <v>228</v>
      </c>
      <c r="AE376" s="8" t="s">
        <v>228</v>
      </c>
      <c r="AF376" s="8" t="s">
        <v>228</v>
      </c>
      <c r="AG376" s="8" t="s">
        <v>228</v>
      </c>
      <c r="AH376" s="8" t="s">
        <v>228</v>
      </c>
      <c r="AI376" s="8" t="s">
        <v>228</v>
      </c>
      <c r="AJ376" t="s">
        <v>468</v>
      </c>
      <c r="AK376">
        <v>1</v>
      </c>
      <c r="AL376">
        <v>1</v>
      </c>
      <c r="AM376" t="s">
        <v>90</v>
      </c>
      <c r="AN376" t="s">
        <v>67</v>
      </c>
      <c r="AO376" t="s">
        <v>526</v>
      </c>
      <c r="AP376" t="s">
        <v>109</v>
      </c>
      <c r="AQ376">
        <v>12</v>
      </c>
      <c r="AR376" t="s">
        <v>521</v>
      </c>
      <c r="AS376" t="s">
        <v>228</v>
      </c>
      <c r="AT376" t="s">
        <v>140</v>
      </c>
      <c r="AU376">
        <v>1</v>
      </c>
      <c r="AV376">
        <v>1</v>
      </c>
      <c r="AW376" t="s">
        <v>406</v>
      </c>
      <c r="AX376" t="s">
        <v>283</v>
      </c>
      <c r="AY376" t="s">
        <v>217</v>
      </c>
      <c r="AZ376">
        <v>1</v>
      </c>
      <c r="BA376" t="s">
        <v>408</v>
      </c>
      <c r="BB376" t="s">
        <v>405</v>
      </c>
      <c r="BC376" t="s">
        <v>395</v>
      </c>
      <c r="BD376" t="s">
        <v>228</v>
      </c>
      <c r="BE376" t="s">
        <v>522</v>
      </c>
      <c r="BF376" t="s">
        <v>523</v>
      </c>
      <c r="BG376" t="s">
        <v>407</v>
      </c>
      <c r="BH376" t="s">
        <v>544</v>
      </c>
      <c r="BI376" t="s">
        <v>524</v>
      </c>
      <c r="BJ376" t="s">
        <v>228</v>
      </c>
      <c r="BK376" t="s">
        <v>543</v>
      </c>
      <c r="BL376" t="s">
        <v>228</v>
      </c>
      <c r="BM376" t="s">
        <v>228</v>
      </c>
      <c r="BN376" t="s">
        <v>228</v>
      </c>
      <c r="BO376" t="s">
        <v>228</v>
      </c>
      <c r="BP376" t="s">
        <v>228</v>
      </c>
      <c r="BQ376" t="s">
        <v>228</v>
      </c>
      <c r="BR376" t="s">
        <v>228</v>
      </c>
      <c r="BS376" t="s">
        <v>409</v>
      </c>
      <c r="BT376">
        <v>0</v>
      </c>
    </row>
    <row r="377" spans="1:72" x14ac:dyDescent="0.15">
      <c r="A377" s="43">
        <v>2023</v>
      </c>
      <c r="B377" s="8">
        <v>1</v>
      </c>
      <c r="C377" s="8">
        <v>1</v>
      </c>
      <c r="D377" s="8">
        <v>10</v>
      </c>
      <c r="E377" s="8" t="s">
        <v>67</v>
      </c>
      <c r="F377" s="8" t="s">
        <v>57</v>
      </c>
      <c r="G377" s="8">
        <v>2016</v>
      </c>
      <c r="H377" s="8">
        <v>12</v>
      </c>
      <c r="I377" s="8" t="s">
        <v>521</v>
      </c>
      <c r="J377" s="8" t="s">
        <v>228</v>
      </c>
      <c r="K377" s="8">
        <v>1983</v>
      </c>
      <c r="L377" s="17">
        <v>1</v>
      </c>
      <c r="M377" s="8">
        <v>1</v>
      </c>
      <c r="N377" s="8" t="s">
        <v>48</v>
      </c>
      <c r="O377" s="8" t="s">
        <v>283</v>
      </c>
      <c r="P377" s="8" t="s">
        <v>217</v>
      </c>
      <c r="Q377" s="8">
        <v>3000</v>
      </c>
      <c r="R377" s="8" t="s">
        <v>57</v>
      </c>
      <c r="S377" s="8" t="s">
        <v>54</v>
      </c>
      <c r="T377" s="8" t="s">
        <v>69</v>
      </c>
      <c r="U377" s="8" t="s">
        <v>228</v>
      </c>
      <c r="V377" s="8">
        <v>500</v>
      </c>
      <c r="W377" s="8" t="s">
        <v>328</v>
      </c>
      <c r="X377" s="8">
        <v>3000</v>
      </c>
      <c r="Y377" s="8" t="s">
        <v>268</v>
      </c>
      <c r="Z377" s="8">
        <v>85</v>
      </c>
      <c r="AA377" s="8" t="s">
        <v>278</v>
      </c>
      <c r="AB377" s="8" t="s">
        <v>228</v>
      </c>
      <c r="AC377" s="8" t="s">
        <v>228</v>
      </c>
      <c r="AD377" s="8" t="s">
        <v>228</v>
      </c>
      <c r="AE377" s="8" t="s">
        <v>228</v>
      </c>
      <c r="AF377" s="8" t="s">
        <v>228</v>
      </c>
      <c r="AG377" s="8" t="s">
        <v>228</v>
      </c>
      <c r="AH377" s="8" t="s">
        <v>228</v>
      </c>
      <c r="AI377" s="8" t="s">
        <v>228</v>
      </c>
      <c r="AJ377" t="s">
        <v>468</v>
      </c>
      <c r="AK377">
        <v>1</v>
      </c>
      <c r="AL377">
        <v>1</v>
      </c>
      <c r="AM377" t="s">
        <v>91</v>
      </c>
      <c r="AN377" t="s">
        <v>67</v>
      </c>
      <c r="AO377" t="s">
        <v>526</v>
      </c>
      <c r="AP377" t="s">
        <v>109</v>
      </c>
      <c r="AQ377">
        <v>12</v>
      </c>
      <c r="AR377" t="s">
        <v>521</v>
      </c>
      <c r="AS377" t="s">
        <v>228</v>
      </c>
      <c r="AT377" t="s">
        <v>140</v>
      </c>
      <c r="AU377">
        <v>1</v>
      </c>
      <c r="AV377">
        <v>1</v>
      </c>
      <c r="AW377" t="s">
        <v>406</v>
      </c>
      <c r="AX377" t="s">
        <v>283</v>
      </c>
      <c r="AY377" t="s">
        <v>217</v>
      </c>
      <c r="AZ377">
        <v>1</v>
      </c>
      <c r="BA377" t="s">
        <v>408</v>
      </c>
      <c r="BB377" t="s">
        <v>541</v>
      </c>
      <c r="BC377" t="s">
        <v>395</v>
      </c>
      <c r="BD377" t="s">
        <v>228</v>
      </c>
      <c r="BE377" t="s">
        <v>522</v>
      </c>
      <c r="BF377" t="s">
        <v>523</v>
      </c>
      <c r="BG377" t="s">
        <v>407</v>
      </c>
      <c r="BH377" t="s">
        <v>396</v>
      </c>
      <c r="BI377" t="s">
        <v>524</v>
      </c>
      <c r="BJ377" t="s">
        <v>228</v>
      </c>
      <c r="BK377" t="s">
        <v>228</v>
      </c>
      <c r="BL377" t="s">
        <v>228</v>
      </c>
      <c r="BM377" t="s">
        <v>228</v>
      </c>
      <c r="BN377" t="s">
        <v>228</v>
      </c>
      <c r="BO377" t="s">
        <v>228</v>
      </c>
      <c r="BP377" t="s">
        <v>228</v>
      </c>
      <c r="BQ377" t="s">
        <v>228</v>
      </c>
      <c r="BR377" t="s">
        <v>228</v>
      </c>
      <c r="BS377" t="s">
        <v>409</v>
      </c>
      <c r="BT377">
        <v>1</v>
      </c>
    </row>
    <row r="378" spans="1:72" x14ac:dyDescent="0.15">
      <c r="A378" s="43">
        <v>2023</v>
      </c>
      <c r="B378" s="8">
        <v>1</v>
      </c>
      <c r="C378" s="8">
        <v>1</v>
      </c>
      <c r="D378" s="8">
        <v>10</v>
      </c>
      <c r="E378" s="8" t="s">
        <v>67</v>
      </c>
      <c r="F378" s="8" t="s">
        <v>57</v>
      </c>
      <c r="G378" s="8">
        <v>2016</v>
      </c>
      <c r="H378" s="8">
        <v>12</v>
      </c>
      <c r="I378" s="8" t="s">
        <v>521</v>
      </c>
      <c r="J378" s="8" t="s">
        <v>228</v>
      </c>
      <c r="K378" s="8">
        <v>1983</v>
      </c>
      <c r="L378" s="17">
        <v>1</v>
      </c>
      <c r="M378" s="8">
        <v>1</v>
      </c>
      <c r="N378" s="8" t="s">
        <v>48</v>
      </c>
      <c r="O378" s="8" t="s">
        <v>283</v>
      </c>
      <c r="P378" s="8" t="s">
        <v>217</v>
      </c>
      <c r="Q378" s="8">
        <v>3000</v>
      </c>
      <c r="R378" s="8" t="s">
        <v>57</v>
      </c>
      <c r="S378" s="8" t="s">
        <v>53</v>
      </c>
      <c r="T378" s="8" t="s">
        <v>69</v>
      </c>
      <c r="U378" s="8" t="s">
        <v>228</v>
      </c>
      <c r="V378" s="8">
        <v>500</v>
      </c>
      <c r="W378" s="8" t="s">
        <v>328</v>
      </c>
      <c r="X378" s="8">
        <v>3000</v>
      </c>
      <c r="Y378" s="8" t="s">
        <v>268</v>
      </c>
      <c r="Z378" s="8">
        <v>85</v>
      </c>
      <c r="AA378" s="8" t="s">
        <v>278</v>
      </c>
      <c r="AB378" s="8" t="s">
        <v>228</v>
      </c>
      <c r="AC378" s="8" t="s">
        <v>228</v>
      </c>
      <c r="AD378" s="8" t="s">
        <v>228</v>
      </c>
      <c r="AE378" s="8" t="s">
        <v>228</v>
      </c>
      <c r="AF378" s="8" t="s">
        <v>228</v>
      </c>
      <c r="AG378" s="8" t="s">
        <v>228</v>
      </c>
      <c r="AH378" s="8" t="s">
        <v>228</v>
      </c>
      <c r="AI378" s="8" t="s">
        <v>228</v>
      </c>
      <c r="AJ378" t="s">
        <v>468</v>
      </c>
      <c r="AK378">
        <v>1</v>
      </c>
      <c r="AL378">
        <v>1</v>
      </c>
      <c r="AM378" t="s">
        <v>91</v>
      </c>
      <c r="AN378" t="s">
        <v>67</v>
      </c>
      <c r="AO378" t="s">
        <v>526</v>
      </c>
      <c r="AP378" t="s">
        <v>109</v>
      </c>
      <c r="AQ378">
        <v>12</v>
      </c>
      <c r="AR378" t="s">
        <v>521</v>
      </c>
      <c r="AS378" t="s">
        <v>228</v>
      </c>
      <c r="AT378" t="s">
        <v>140</v>
      </c>
      <c r="AU378">
        <v>1</v>
      </c>
      <c r="AV378">
        <v>1</v>
      </c>
      <c r="AW378" t="s">
        <v>406</v>
      </c>
      <c r="AX378" t="s">
        <v>283</v>
      </c>
      <c r="AY378" t="s">
        <v>217</v>
      </c>
      <c r="AZ378">
        <v>1</v>
      </c>
      <c r="BA378" t="s">
        <v>408</v>
      </c>
      <c r="BB378" t="s">
        <v>542</v>
      </c>
      <c r="BC378" t="s">
        <v>395</v>
      </c>
      <c r="BD378" t="s">
        <v>228</v>
      </c>
      <c r="BE378" t="s">
        <v>522</v>
      </c>
      <c r="BF378" t="s">
        <v>523</v>
      </c>
      <c r="BG378" t="s">
        <v>407</v>
      </c>
      <c r="BH378" t="s">
        <v>396</v>
      </c>
      <c r="BI378" t="s">
        <v>524</v>
      </c>
      <c r="BJ378" t="s">
        <v>228</v>
      </c>
      <c r="BK378" t="s">
        <v>228</v>
      </c>
      <c r="BL378" t="s">
        <v>228</v>
      </c>
      <c r="BM378" t="s">
        <v>228</v>
      </c>
      <c r="BN378" t="s">
        <v>228</v>
      </c>
      <c r="BO378" t="s">
        <v>228</v>
      </c>
      <c r="BP378" t="s">
        <v>228</v>
      </c>
      <c r="BQ378" t="s">
        <v>228</v>
      </c>
      <c r="BR378" t="s">
        <v>228</v>
      </c>
      <c r="BS378" t="s">
        <v>409</v>
      </c>
      <c r="BT378">
        <v>1</v>
      </c>
    </row>
    <row r="379" spans="1:72" x14ac:dyDescent="0.15">
      <c r="A379" s="43">
        <v>2023</v>
      </c>
      <c r="B379" s="8">
        <v>1</v>
      </c>
      <c r="C379" s="8">
        <v>1</v>
      </c>
      <c r="D379" s="8">
        <v>10</v>
      </c>
      <c r="E379" s="8" t="s">
        <v>67</v>
      </c>
      <c r="F379" s="8" t="s">
        <v>57</v>
      </c>
      <c r="G379" s="8">
        <v>2016</v>
      </c>
      <c r="H379" s="8">
        <v>12</v>
      </c>
      <c r="I379" s="8" t="s">
        <v>521</v>
      </c>
      <c r="J379" s="8" t="s">
        <v>228</v>
      </c>
      <c r="K379" s="8">
        <v>1983</v>
      </c>
      <c r="L379" s="17">
        <v>1</v>
      </c>
      <c r="M379" s="8">
        <v>1</v>
      </c>
      <c r="N379" s="8" t="s">
        <v>48</v>
      </c>
      <c r="O379" s="8" t="s">
        <v>283</v>
      </c>
      <c r="P379" s="8" t="s">
        <v>217</v>
      </c>
      <c r="Q379" s="8">
        <v>3000</v>
      </c>
      <c r="R379" s="8" t="s">
        <v>57</v>
      </c>
      <c r="S379" s="8" t="s">
        <v>52</v>
      </c>
      <c r="T379" s="8" t="s">
        <v>69</v>
      </c>
      <c r="U379" s="8" t="s">
        <v>228</v>
      </c>
      <c r="V379" s="8">
        <v>500</v>
      </c>
      <c r="W379" s="8" t="s">
        <v>328</v>
      </c>
      <c r="X379" s="8">
        <v>3000</v>
      </c>
      <c r="Y379" s="8" t="s">
        <v>268</v>
      </c>
      <c r="Z379" s="8">
        <v>85</v>
      </c>
      <c r="AA379" s="8" t="s">
        <v>278</v>
      </c>
      <c r="AB379" s="8" t="s">
        <v>228</v>
      </c>
      <c r="AC379" s="8" t="s">
        <v>228</v>
      </c>
      <c r="AD379" s="8" t="s">
        <v>228</v>
      </c>
      <c r="AE379" s="8" t="s">
        <v>228</v>
      </c>
      <c r="AF379" s="8" t="s">
        <v>228</v>
      </c>
      <c r="AG379" s="8" t="s">
        <v>228</v>
      </c>
      <c r="AH379" s="8" t="s">
        <v>228</v>
      </c>
      <c r="AI379" s="8" t="s">
        <v>228</v>
      </c>
      <c r="AJ379" t="s">
        <v>468</v>
      </c>
      <c r="AK379">
        <v>1</v>
      </c>
      <c r="AL379">
        <v>1</v>
      </c>
      <c r="AM379" t="s">
        <v>91</v>
      </c>
      <c r="AN379" t="s">
        <v>67</v>
      </c>
      <c r="AO379" t="s">
        <v>526</v>
      </c>
      <c r="AP379" t="s">
        <v>109</v>
      </c>
      <c r="AQ379">
        <v>12</v>
      </c>
      <c r="AR379" t="s">
        <v>521</v>
      </c>
      <c r="AS379" t="s">
        <v>228</v>
      </c>
      <c r="AT379" t="s">
        <v>140</v>
      </c>
      <c r="AU379">
        <v>1</v>
      </c>
      <c r="AV379">
        <v>1</v>
      </c>
      <c r="AW379" t="s">
        <v>406</v>
      </c>
      <c r="AX379" t="s">
        <v>283</v>
      </c>
      <c r="AY379" t="s">
        <v>217</v>
      </c>
      <c r="AZ379">
        <v>1</v>
      </c>
      <c r="BA379" t="s">
        <v>408</v>
      </c>
      <c r="BB379" t="s">
        <v>405</v>
      </c>
      <c r="BC379" t="s">
        <v>395</v>
      </c>
      <c r="BD379" t="s">
        <v>228</v>
      </c>
      <c r="BE379" t="s">
        <v>522</v>
      </c>
      <c r="BF379" t="s">
        <v>523</v>
      </c>
      <c r="BG379" t="s">
        <v>407</v>
      </c>
      <c r="BH379" t="s">
        <v>396</v>
      </c>
      <c r="BI379" t="s">
        <v>524</v>
      </c>
      <c r="BJ379" t="s">
        <v>228</v>
      </c>
      <c r="BK379" t="s">
        <v>228</v>
      </c>
      <c r="BL379" t="s">
        <v>228</v>
      </c>
      <c r="BM379" t="s">
        <v>228</v>
      </c>
      <c r="BN379" t="s">
        <v>228</v>
      </c>
      <c r="BO379" t="s">
        <v>228</v>
      </c>
      <c r="BP379" t="s">
        <v>228</v>
      </c>
      <c r="BQ379" t="s">
        <v>228</v>
      </c>
      <c r="BR379" t="s">
        <v>228</v>
      </c>
      <c r="BS379" t="s">
        <v>409</v>
      </c>
      <c r="BT379">
        <v>1</v>
      </c>
    </row>
    <row r="380" spans="1:72" x14ac:dyDescent="0.15">
      <c r="A380" s="43">
        <v>2023</v>
      </c>
      <c r="B380" s="8">
        <v>1</v>
      </c>
      <c r="C380" s="8">
        <v>1</v>
      </c>
      <c r="D380" s="8">
        <v>10</v>
      </c>
      <c r="E380" s="8" t="s">
        <v>67</v>
      </c>
      <c r="F380" s="8" t="s">
        <v>57</v>
      </c>
      <c r="G380" s="8">
        <v>2016</v>
      </c>
      <c r="H380" s="8">
        <v>12</v>
      </c>
      <c r="I380" s="8" t="s">
        <v>521</v>
      </c>
      <c r="J380" s="8" t="s">
        <v>228</v>
      </c>
      <c r="K380" s="8">
        <v>1983</v>
      </c>
      <c r="L380" s="17">
        <v>1</v>
      </c>
      <c r="M380" s="8">
        <v>1</v>
      </c>
      <c r="N380" s="8" t="s">
        <v>48</v>
      </c>
      <c r="O380" s="8" t="s">
        <v>283</v>
      </c>
      <c r="P380" s="8" t="s">
        <v>217</v>
      </c>
      <c r="Q380" s="8">
        <v>3000</v>
      </c>
      <c r="R380" s="8" t="s">
        <v>57</v>
      </c>
      <c r="S380" s="8" t="s">
        <v>54</v>
      </c>
      <c r="T380" s="8" t="s">
        <v>69</v>
      </c>
      <c r="U380" s="8" t="s">
        <v>228</v>
      </c>
      <c r="V380" s="8">
        <v>500</v>
      </c>
      <c r="W380" s="8" t="s">
        <v>328</v>
      </c>
      <c r="X380" s="8">
        <v>3000</v>
      </c>
      <c r="Y380" s="8" t="s">
        <v>268</v>
      </c>
      <c r="Z380" s="8">
        <v>85</v>
      </c>
      <c r="AA380" s="8" t="s">
        <v>278</v>
      </c>
      <c r="AB380" s="8" t="s">
        <v>247</v>
      </c>
      <c r="AC380" s="8" t="s">
        <v>228</v>
      </c>
      <c r="AD380" s="8" t="s">
        <v>228</v>
      </c>
      <c r="AE380" s="8" t="s">
        <v>228</v>
      </c>
      <c r="AF380" s="8" t="s">
        <v>228</v>
      </c>
      <c r="AG380" s="8" t="s">
        <v>228</v>
      </c>
      <c r="AH380" s="8" t="s">
        <v>228</v>
      </c>
      <c r="AI380" s="8" t="s">
        <v>228</v>
      </c>
      <c r="AJ380" t="s">
        <v>468</v>
      </c>
      <c r="AK380">
        <v>1</v>
      </c>
      <c r="AL380">
        <v>1</v>
      </c>
      <c r="AM380" t="s">
        <v>91</v>
      </c>
      <c r="AN380" t="s">
        <v>67</v>
      </c>
      <c r="AO380" t="s">
        <v>526</v>
      </c>
      <c r="AP380" t="s">
        <v>109</v>
      </c>
      <c r="AQ380">
        <v>12</v>
      </c>
      <c r="AR380" t="s">
        <v>521</v>
      </c>
      <c r="AS380" t="s">
        <v>228</v>
      </c>
      <c r="AT380" t="s">
        <v>140</v>
      </c>
      <c r="AU380">
        <v>1</v>
      </c>
      <c r="AV380">
        <v>1</v>
      </c>
      <c r="AW380" t="s">
        <v>406</v>
      </c>
      <c r="AX380" t="s">
        <v>283</v>
      </c>
      <c r="AY380" t="s">
        <v>217</v>
      </c>
      <c r="AZ380">
        <v>1</v>
      </c>
      <c r="BA380" t="s">
        <v>408</v>
      </c>
      <c r="BB380" t="s">
        <v>541</v>
      </c>
      <c r="BC380" t="s">
        <v>395</v>
      </c>
      <c r="BD380" t="s">
        <v>228</v>
      </c>
      <c r="BE380" t="s">
        <v>522</v>
      </c>
      <c r="BF380" t="s">
        <v>523</v>
      </c>
      <c r="BG380" t="s">
        <v>407</v>
      </c>
      <c r="BH380" t="s">
        <v>396</v>
      </c>
      <c r="BI380" t="s">
        <v>524</v>
      </c>
      <c r="BJ380" t="s">
        <v>228</v>
      </c>
      <c r="BK380" t="s">
        <v>543</v>
      </c>
      <c r="BL380" t="s">
        <v>228</v>
      </c>
      <c r="BM380" t="s">
        <v>228</v>
      </c>
      <c r="BN380" t="s">
        <v>228</v>
      </c>
      <c r="BO380" t="s">
        <v>228</v>
      </c>
      <c r="BP380" t="s">
        <v>228</v>
      </c>
      <c r="BQ380" t="s">
        <v>228</v>
      </c>
      <c r="BR380" t="s">
        <v>228</v>
      </c>
      <c r="BS380" t="s">
        <v>409</v>
      </c>
      <c r="BT380">
        <v>1</v>
      </c>
    </row>
    <row r="381" spans="1:72" x14ac:dyDescent="0.15">
      <c r="A381" s="43">
        <v>2023</v>
      </c>
      <c r="B381" s="8">
        <v>1</v>
      </c>
      <c r="C381" s="8">
        <v>1</v>
      </c>
      <c r="D381" s="8">
        <v>10</v>
      </c>
      <c r="E381" s="8" t="s">
        <v>67</v>
      </c>
      <c r="F381" s="8" t="s">
        <v>57</v>
      </c>
      <c r="G381" s="8">
        <v>2016</v>
      </c>
      <c r="H381" s="8">
        <v>12</v>
      </c>
      <c r="I381" s="8" t="s">
        <v>521</v>
      </c>
      <c r="J381" s="8" t="s">
        <v>228</v>
      </c>
      <c r="K381" s="8">
        <v>1983</v>
      </c>
      <c r="L381" s="17">
        <v>1</v>
      </c>
      <c r="M381" s="8">
        <v>1</v>
      </c>
      <c r="N381" s="8" t="s">
        <v>48</v>
      </c>
      <c r="O381" s="8" t="s">
        <v>283</v>
      </c>
      <c r="P381" s="8" t="s">
        <v>217</v>
      </c>
      <c r="Q381" s="8">
        <v>3000</v>
      </c>
      <c r="R381" s="8" t="s">
        <v>57</v>
      </c>
      <c r="S381" s="8" t="s">
        <v>53</v>
      </c>
      <c r="T381" s="8" t="s">
        <v>69</v>
      </c>
      <c r="U381" s="8" t="s">
        <v>228</v>
      </c>
      <c r="V381" s="8">
        <v>500</v>
      </c>
      <c r="W381" s="8" t="s">
        <v>328</v>
      </c>
      <c r="X381" s="8">
        <v>3000</v>
      </c>
      <c r="Y381" s="8" t="s">
        <v>268</v>
      </c>
      <c r="Z381" s="8">
        <v>85</v>
      </c>
      <c r="AA381" s="8" t="s">
        <v>278</v>
      </c>
      <c r="AB381" s="8" t="s">
        <v>247</v>
      </c>
      <c r="AC381" s="8" t="s">
        <v>228</v>
      </c>
      <c r="AD381" s="8" t="s">
        <v>228</v>
      </c>
      <c r="AE381" s="8" t="s">
        <v>228</v>
      </c>
      <c r="AF381" s="8" t="s">
        <v>228</v>
      </c>
      <c r="AG381" s="8" t="s">
        <v>228</v>
      </c>
      <c r="AH381" s="8" t="s">
        <v>228</v>
      </c>
      <c r="AI381" s="8" t="s">
        <v>228</v>
      </c>
      <c r="AJ381" t="s">
        <v>468</v>
      </c>
      <c r="AK381">
        <v>1</v>
      </c>
      <c r="AL381">
        <v>1</v>
      </c>
      <c r="AM381" t="s">
        <v>91</v>
      </c>
      <c r="AN381" t="s">
        <v>67</v>
      </c>
      <c r="AO381" t="s">
        <v>526</v>
      </c>
      <c r="AP381" t="s">
        <v>109</v>
      </c>
      <c r="AQ381">
        <v>12</v>
      </c>
      <c r="AR381" t="s">
        <v>521</v>
      </c>
      <c r="AS381" t="s">
        <v>228</v>
      </c>
      <c r="AT381" t="s">
        <v>140</v>
      </c>
      <c r="AU381">
        <v>1</v>
      </c>
      <c r="AV381">
        <v>1</v>
      </c>
      <c r="AW381" t="s">
        <v>406</v>
      </c>
      <c r="AX381" t="s">
        <v>283</v>
      </c>
      <c r="AY381" t="s">
        <v>217</v>
      </c>
      <c r="AZ381">
        <v>1</v>
      </c>
      <c r="BA381" t="s">
        <v>408</v>
      </c>
      <c r="BB381" t="s">
        <v>542</v>
      </c>
      <c r="BC381" t="s">
        <v>395</v>
      </c>
      <c r="BD381" t="s">
        <v>228</v>
      </c>
      <c r="BE381" t="s">
        <v>522</v>
      </c>
      <c r="BF381" t="s">
        <v>523</v>
      </c>
      <c r="BG381" t="s">
        <v>407</v>
      </c>
      <c r="BH381" t="s">
        <v>396</v>
      </c>
      <c r="BI381" t="s">
        <v>524</v>
      </c>
      <c r="BJ381" t="s">
        <v>228</v>
      </c>
      <c r="BK381" t="s">
        <v>543</v>
      </c>
      <c r="BL381" t="s">
        <v>228</v>
      </c>
      <c r="BM381" t="s">
        <v>228</v>
      </c>
      <c r="BN381" t="s">
        <v>228</v>
      </c>
      <c r="BO381" t="s">
        <v>228</v>
      </c>
      <c r="BP381" t="s">
        <v>228</v>
      </c>
      <c r="BQ381" t="s">
        <v>228</v>
      </c>
      <c r="BR381" t="s">
        <v>228</v>
      </c>
      <c r="BS381" t="s">
        <v>409</v>
      </c>
      <c r="BT381">
        <v>1</v>
      </c>
    </row>
    <row r="382" spans="1:72" x14ac:dyDescent="0.15">
      <c r="A382" s="43">
        <v>2023</v>
      </c>
      <c r="B382" s="8">
        <v>1</v>
      </c>
      <c r="C382" s="8">
        <v>1</v>
      </c>
      <c r="D382" s="8">
        <v>10</v>
      </c>
      <c r="E382" s="8" t="s">
        <v>67</v>
      </c>
      <c r="F382" s="8" t="s">
        <v>57</v>
      </c>
      <c r="G382" s="8">
        <v>2016</v>
      </c>
      <c r="H382" s="8">
        <v>12</v>
      </c>
      <c r="I382" s="8" t="s">
        <v>521</v>
      </c>
      <c r="J382" s="8" t="s">
        <v>228</v>
      </c>
      <c r="K382" s="8">
        <v>1983</v>
      </c>
      <c r="L382" s="17">
        <v>1</v>
      </c>
      <c r="M382" s="8">
        <v>1</v>
      </c>
      <c r="N382" s="8" t="s">
        <v>48</v>
      </c>
      <c r="O382" s="8" t="s">
        <v>283</v>
      </c>
      <c r="P382" s="8" t="s">
        <v>217</v>
      </c>
      <c r="Q382" s="8">
        <v>3000</v>
      </c>
      <c r="R382" s="8" t="s">
        <v>57</v>
      </c>
      <c r="S382" s="8" t="s">
        <v>52</v>
      </c>
      <c r="T382" s="8" t="s">
        <v>69</v>
      </c>
      <c r="U382" s="8" t="s">
        <v>228</v>
      </c>
      <c r="V382" s="8">
        <v>500</v>
      </c>
      <c r="W382" s="8" t="s">
        <v>328</v>
      </c>
      <c r="X382" s="8">
        <v>3000</v>
      </c>
      <c r="Y382" s="8" t="s">
        <v>268</v>
      </c>
      <c r="Z382" s="8">
        <v>85</v>
      </c>
      <c r="AA382" s="8" t="s">
        <v>278</v>
      </c>
      <c r="AB382" s="8" t="s">
        <v>247</v>
      </c>
      <c r="AC382" s="8" t="s">
        <v>228</v>
      </c>
      <c r="AD382" s="8" t="s">
        <v>228</v>
      </c>
      <c r="AE382" s="8" t="s">
        <v>228</v>
      </c>
      <c r="AF382" s="8" t="s">
        <v>228</v>
      </c>
      <c r="AG382" s="8" t="s">
        <v>228</v>
      </c>
      <c r="AH382" s="8" t="s">
        <v>228</v>
      </c>
      <c r="AI382" s="8" t="s">
        <v>228</v>
      </c>
      <c r="AJ382" t="s">
        <v>468</v>
      </c>
      <c r="AK382">
        <v>1</v>
      </c>
      <c r="AL382">
        <v>1</v>
      </c>
      <c r="AM382" t="s">
        <v>91</v>
      </c>
      <c r="AN382" t="s">
        <v>67</v>
      </c>
      <c r="AO382" t="s">
        <v>526</v>
      </c>
      <c r="AP382" t="s">
        <v>109</v>
      </c>
      <c r="AQ382">
        <v>12</v>
      </c>
      <c r="AR382" t="s">
        <v>521</v>
      </c>
      <c r="AS382" t="s">
        <v>228</v>
      </c>
      <c r="AT382" t="s">
        <v>140</v>
      </c>
      <c r="AU382">
        <v>1</v>
      </c>
      <c r="AV382">
        <v>1</v>
      </c>
      <c r="AW382" t="s">
        <v>406</v>
      </c>
      <c r="AX382" t="s">
        <v>283</v>
      </c>
      <c r="AY382" t="s">
        <v>217</v>
      </c>
      <c r="AZ382">
        <v>1</v>
      </c>
      <c r="BA382" t="s">
        <v>408</v>
      </c>
      <c r="BB382" t="s">
        <v>405</v>
      </c>
      <c r="BC382" t="s">
        <v>395</v>
      </c>
      <c r="BD382" t="s">
        <v>228</v>
      </c>
      <c r="BE382" t="s">
        <v>522</v>
      </c>
      <c r="BF382" t="s">
        <v>523</v>
      </c>
      <c r="BG382" t="s">
        <v>407</v>
      </c>
      <c r="BH382" t="s">
        <v>396</v>
      </c>
      <c r="BI382" t="s">
        <v>524</v>
      </c>
      <c r="BJ382" t="s">
        <v>228</v>
      </c>
      <c r="BK382" t="s">
        <v>543</v>
      </c>
      <c r="BL382" t="s">
        <v>228</v>
      </c>
      <c r="BM382" t="s">
        <v>228</v>
      </c>
      <c r="BN382" t="s">
        <v>228</v>
      </c>
      <c r="BO382" t="s">
        <v>228</v>
      </c>
      <c r="BP382" t="s">
        <v>228</v>
      </c>
      <c r="BQ382" t="s">
        <v>228</v>
      </c>
      <c r="BR382" t="s">
        <v>228</v>
      </c>
      <c r="BS382" t="s">
        <v>409</v>
      </c>
      <c r="BT382">
        <v>1</v>
      </c>
    </row>
    <row r="383" spans="1:72" x14ac:dyDescent="0.15">
      <c r="A383" s="43">
        <v>2023</v>
      </c>
      <c r="B383" s="8">
        <v>1</v>
      </c>
      <c r="C383" s="8">
        <v>1</v>
      </c>
      <c r="D383" s="8">
        <v>10</v>
      </c>
      <c r="E383" s="8" t="s">
        <v>67</v>
      </c>
      <c r="F383" s="8" t="s">
        <v>57</v>
      </c>
      <c r="G383" s="8">
        <v>2016</v>
      </c>
      <c r="H383" s="8">
        <v>12</v>
      </c>
      <c r="I383" s="8" t="s">
        <v>521</v>
      </c>
      <c r="J383" s="8" t="s">
        <v>228</v>
      </c>
      <c r="K383" s="8">
        <v>1983</v>
      </c>
      <c r="L383" s="17">
        <v>1</v>
      </c>
      <c r="M383" s="8">
        <v>1</v>
      </c>
      <c r="N383" s="8" t="s">
        <v>48</v>
      </c>
      <c r="O383" s="8" t="s">
        <v>283</v>
      </c>
      <c r="P383" s="8" t="s">
        <v>217</v>
      </c>
      <c r="Q383" s="8">
        <v>3000</v>
      </c>
      <c r="R383" s="8" t="s">
        <v>57</v>
      </c>
      <c r="S383" s="8" t="s">
        <v>54</v>
      </c>
      <c r="T383" s="8" t="s">
        <v>69</v>
      </c>
      <c r="U383" s="8" t="s">
        <v>228</v>
      </c>
      <c r="V383" s="8">
        <v>500</v>
      </c>
      <c r="W383" s="8" t="s">
        <v>328</v>
      </c>
      <c r="X383" s="8">
        <v>3000</v>
      </c>
      <c r="Y383" s="8" t="s">
        <v>271</v>
      </c>
      <c r="Z383" s="8">
        <v>85</v>
      </c>
      <c r="AA383" s="8" t="s">
        <v>278</v>
      </c>
      <c r="AB383" s="8" t="s">
        <v>228</v>
      </c>
      <c r="AC383" s="8" t="s">
        <v>228</v>
      </c>
      <c r="AD383" s="8" t="s">
        <v>228</v>
      </c>
      <c r="AE383" s="8" t="s">
        <v>228</v>
      </c>
      <c r="AF383" s="8" t="s">
        <v>228</v>
      </c>
      <c r="AG383" s="8" t="s">
        <v>228</v>
      </c>
      <c r="AH383" s="8" t="s">
        <v>228</v>
      </c>
      <c r="AI383" s="8" t="s">
        <v>228</v>
      </c>
      <c r="AJ383" t="s">
        <v>468</v>
      </c>
      <c r="AK383">
        <v>1</v>
      </c>
      <c r="AL383">
        <v>1</v>
      </c>
      <c r="AM383" t="s">
        <v>91</v>
      </c>
      <c r="AN383" t="s">
        <v>67</v>
      </c>
      <c r="AO383" t="s">
        <v>526</v>
      </c>
      <c r="AP383" t="s">
        <v>109</v>
      </c>
      <c r="AQ383">
        <v>12</v>
      </c>
      <c r="AR383" t="s">
        <v>521</v>
      </c>
      <c r="AS383" t="s">
        <v>228</v>
      </c>
      <c r="AT383" t="s">
        <v>140</v>
      </c>
      <c r="AU383">
        <v>1</v>
      </c>
      <c r="AV383">
        <v>1</v>
      </c>
      <c r="AW383" t="s">
        <v>406</v>
      </c>
      <c r="AX383" t="s">
        <v>283</v>
      </c>
      <c r="AY383" t="s">
        <v>217</v>
      </c>
      <c r="AZ383">
        <v>1</v>
      </c>
      <c r="BA383" t="s">
        <v>408</v>
      </c>
      <c r="BB383" t="s">
        <v>541</v>
      </c>
      <c r="BC383" t="s">
        <v>395</v>
      </c>
      <c r="BD383" t="s">
        <v>228</v>
      </c>
      <c r="BE383" t="s">
        <v>522</v>
      </c>
      <c r="BF383" t="s">
        <v>523</v>
      </c>
      <c r="BG383" t="s">
        <v>407</v>
      </c>
      <c r="BH383" t="s">
        <v>544</v>
      </c>
      <c r="BI383" t="s">
        <v>524</v>
      </c>
      <c r="BJ383" t="s">
        <v>228</v>
      </c>
      <c r="BK383" t="s">
        <v>228</v>
      </c>
      <c r="BL383" t="s">
        <v>228</v>
      </c>
      <c r="BM383" t="s">
        <v>228</v>
      </c>
      <c r="BN383" t="s">
        <v>228</v>
      </c>
      <c r="BO383" t="s">
        <v>228</v>
      </c>
      <c r="BP383" t="s">
        <v>228</v>
      </c>
      <c r="BQ383" t="s">
        <v>228</v>
      </c>
      <c r="BR383" t="s">
        <v>228</v>
      </c>
      <c r="BS383" t="s">
        <v>409</v>
      </c>
      <c r="BT383">
        <v>1</v>
      </c>
    </row>
    <row r="384" spans="1:72" x14ac:dyDescent="0.15">
      <c r="A384" s="43">
        <v>2023</v>
      </c>
      <c r="B384" s="8">
        <v>1</v>
      </c>
      <c r="C384" s="8">
        <v>1</v>
      </c>
      <c r="D384" s="8">
        <v>10</v>
      </c>
      <c r="E384" s="8" t="s">
        <v>67</v>
      </c>
      <c r="F384" s="8" t="s">
        <v>57</v>
      </c>
      <c r="G384" s="8">
        <v>2016</v>
      </c>
      <c r="H384" s="8">
        <v>12</v>
      </c>
      <c r="I384" s="8" t="s">
        <v>521</v>
      </c>
      <c r="J384" s="8" t="s">
        <v>228</v>
      </c>
      <c r="K384" s="8">
        <v>1983</v>
      </c>
      <c r="L384" s="17">
        <v>1</v>
      </c>
      <c r="M384" s="8">
        <v>1</v>
      </c>
      <c r="N384" s="8" t="s">
        <v>48</v>
      </c>
      <c r="O384" s="8" t="s">
        <v>283</v>
      </c>
      <c r="P384" s="8" t="s">
        <v>217</v>
      </c>
      <c r="Q384" s="8">
        <v>3000</v>
      </c>
      <c r="R384" s="8" t="s">
        <v>57</v>
      </c>
      <c r="S384" s="8" t="s">
        <v>53</v>
      </c>
      <c r="T384" s="8" t="s">
        <v>69</v>
      </c>
      <c r="U384" s="8" t="s">
        <v>228</v>
      </c>
      <c r="V384" s="8">
        <v>500</v>
      </c>
      <c r="W384" s="8" t="s">
        <v>328</v>
      </c>
      <c r="X384" s="8">
        <v>3000</v>
      </c>
      <c r="Y384" s="8" t="s">
        <v>271</v>
      </c>
      <c r="Z384" s="8">
        <v>85</v>
      </c>
      <c r="AA384" s="8" t="s">
        <v>278</v>
      </c>
      <c r="AB384" s="8" t="s">
        <v>228</v>
      </c>
      <c r="AC384" s="8" t="s">
        <v>228</v>
      </c>
      <c r="AD384" s="8" t="s">
        <v>228</v>
      </c>
      <c r="AE384" s="8" t="s">
        <v>228</v>
      </c>
      <c r="AF384" s="8" t="s">
        <v>228</v>
      </c>
      <c r="AG384" s="8" t="s">
        <v>228</v>
      </c>
      <c r="AH384" s="8" t="s">
        <v>228</v>
      </c>
      <c r="AI384" s="8" t="s">
        <v>228</v>
      </c>
      <c r="AJ384" t="s">
        <v>468</v>
      </c>
      <c r="AK384">
        <v>1</v>
      </c>
      <c r="AL384">
        <v>1</v>
      </c>
      <c r="AM384" t="s">
        <v>91</v>
      </c>
      <c r="AN384" t="s">
        <v>67</v>
      </c>
      <c r="AO384" t="s">
        <v>526</v>
      </c>
      <c r="AP384" t="s">
        <v>109</v>
      </c>
      <c r="AQ384">
        <v>12</v>
      </c>
      <c r="AR384" t="s">
        <v>521</v>
      </c>
      <c r="AS384" t="s">
        <v>228</v>
      </c>
      <c r="AT384" t="s">
        <v>140</v>
      </c>
      <c r="AU384">
        <v>1</v>
      </c>
      <c r="AV384">
        <v>1</v>
      </c>
      <c r="AW384" t="s">
        <v>406</v>
      </c>
      <c r="AX384" t="s">
        <v>283</v>
      </c>
      <c r="AY384" t="s">
        <v>217</v>
      </c>
      <c r="AZ384">
        <v>1</v>
      </c>
      <c r="BA384" t="s">
        <v>408</v>
      </c>
      <c r="BB384" t="s">
        <v>542</v>
      </c>
      <c r="BC384" t="s">
        <v>395</v>
      </c>
      <c r="BD384" t="s">
        <v>228</v>
      </c>
      <c r="BE384" t="s">
        <v>522</v>
      </c>
      <c r="BF384" t="s">
        <v>523</v>
      </c>
      <c r="BG384" t="s">
        <v>407</v>
      </c>
      <c r="BH384" t="s">
        <v>544</v>
      </c>
      <c r="BI384" t="s">
        <v>524</v>
      </c>
      <c r="BJ384" t="s">
        <v>228</v>
      </c>
      <c r="BK384" t="s">
        <v>228</v>
      </c>
      <c r="BL384" t="s">
        <v>228</v>
      </c>
      <c r="BM384" t="s">
        <v>228</v>
      </c>
      <c r="BN384" t="s">
        <v>228</v>
      </c>
      <c r="BO384" t="s">
        <v>228</v>
      </c>
      <c r="BP384" t="s">
        <v>228</v>
      </c>
      <c r="BQ384" t="s">
        <v>228</v>
      </c>
      <c r="BR384" t="s">
        <v>228</v>
      </c>
      <c r="BS384" t="s">
        <v>409</v>
      </c>
      <c r="BT384">
        <v>1</v>
      </c>
    </row>
    <row r="385" spans="1:72" x14ac:dyDescent="0.15">
      <c r="A385" s="43">
        <v>2023</v>
      </c>
      <c r="B385" s="8">
        <v>1</v>
      </c>
      <c r="C385" s="8">
        <v>1</v>
      </c>
      <c r="D385" s="8">
        <v>10</v>
      </c>
      <c r="E385" s="8" t="s">
        <v>67</v>
      </c>
      <c r="F385" s="8" t="s">
        <v>57</v>
      </c>
      <c r="G385" s="8">
        <v>2016</v>
      </c>
      <c r="H385" s="8">
        <v>12</v>
      </c>
      <c r="I385" s="8" t="s">
        <v>521</v>
      </c>
      <c r="J385" s="8" t="s">
        <v>228</v>
      </c>
      <c r="K385" s="8">
        <v>1983</v>
      </c>
      <c r="L385" s="17">
        <v>1</v>
      </c>
      <c r="M385" s="8">
        <v>1</v>
      </c>
      <c r="N385" s="8" t="s">
        <v>48</v>
      </c>
      <c r="O385" s="8" t="s">
        <v>283</v>
      </c>
      <c r="P385" s="8" t="s">
        <v>217</v>
      </c>
      <c r="Q385" s="8">
        <v>3000</v>
      </c>
      <c r="R385" s="8" t="s">
        <v>57</v>
      </c>
      <c r="S385" s="8" t="s">
        <v>52</v>
      </c>
      <c r="T385" s="8" t="s">
        <v>69</v>
      </c>
      <c r="U385" s="8" t="s">
        <v>228</v>
      </c>
      <c r="V385" s="8">
        <v>500</v>
      </c>
      <c r="W385" s="8" t="s">
        <v>328</v>
      </c>
      <c r="X385" s="8">
        <v>3000</v>
      </c>
      <c r="Y385" s="8" t="s">
        <v>271</v>
      </c>
      <c r="Z385" s="8">
        <v>85</v>
      </c>
      <c r="AA385" s="8" t="s">
        <v>278</v>
      </c>
      <c r="AB385" s="8" t="s">
        <v>228</v>
      </c>
      <c r="AC385" s="8" t="s">
        <v>228</v>
      </c>
      <c r="AD385" s="8" t="s">
        <v>228</v>
      </c>
      <c r="AE385" s="8" t="s">
        <v>228</v>
      </c>
      <c r="AF385" s="8" t="s">
        <v>228</v>
      </c>
      <c r="AG385" s="8" t="s">
        <v>228</v>
      </c>
      <c r="AH385" s="8" t="s">
        <v>228</v>
      </c>
      <c r="AI385" s="8" t="s">
        <v>228</v>
      </c>
      <c r="AJ385" t="s">
        <v>468</v>
      </c>
      <c r="AK385">
        <v>1</v>
      </c>
      <c r="AL385">
        <v>1</v>
      </c>
      <c r="AM385" t="s">
        <v>91</v>
      </c>
      <c r="AN385" t="s">
        <v>67</v>
      </c>
      <c r="AO385" t="s">
        <v>526</v>
      </c>
      <c r="AP385" t="s">
        <v>109</v>
      </c>
      <c r="AQ385">
        <v>12</v>
      </c>
      <c r="AR385" t="s">
        <v>521</v>
      </c>
      <c r="AS385" t="s">
        <v>228</v>
      </c>
      <c r="AT385" t="s">
        <v>140</v>
      </c>
      <c r="AU385">
        <v>1</v>
      </c>
      <c r="AV385">
        <v>1</v>
      </c>
      <c r="AW385" t="s">
        <v>406</v>
      </c>
      <c r="AX385" t="s">
        <v>283</v>
      </c>
      <c r="AY385" t="s">
        <v>217</v>
      </c>
      <c r="AZ385">
        <v>1</v>
      </c>
      <c r="BA385" t="s">
        <v>408</v>
      </c>
      <c r="BB385" t="s">
        <v>405</v>
      </c>
      <c r="BC385" t="s">
        <v>395</v>
      </c>
      <c r="BD385" t="s">
        <v>228</v>
      </c>
      <c r="BE385" t="s">
        <v>522</v>
      </c>
      <c r="BF385" t="s">
        <v>523</v>
      </c>
      <c r="BG385" t="s">
        <v>407</v>
      </c>
      <c r="BH385" t="s">
        <v>544</v>
      </c>
      <c r="BI385" t="s">
        <v>524</v>
      </c>
      <c r="BJ385" t="s">
        <v>228</v>
      </c>
      <c r="BK385" t="s">
        <v>228</v>
      </c>
      <c r="BL385" t="s">
        <v>228</v>
      </c>
      <c r="BM385" t="s">
        <v>228</v>
      </c>
      <c r="BN385" t="s">
        <v>228</v>
      </c>
      <c r="BO385" t="s">
        <v>228</v>
      </c>
      <c r="BP385" t="s">
        <v>228</v>
      </c>
      <c r="BQ385" t="s">
        <v>228</v>
      </c>
      <c r="BR385" t="s">
        <v>228</v>
      </c>
      <c r="BS385" t="s">
        <v>409</v>
      </c>
      <c r="BT385">
        <v>1</v>
      </c>
    </row>
    <row r="386" spans="1:72" x14ac:dyDescent="0.15">
      <c r="A386" s="43">
        <v>2023</v>
      </c>
      <c r="B386" s="8">
        <v>1</v>
      </c>
      <c r="C386" s="8">
        <v>1</v>
      </c>
      <c r="D386" s="8">
        <v>10</v>
      </c>
      <c r="E386" s="8" t="s">
        <v>67</v>
      </c>
      <c r="F386" s="8" t="s">
        <v>57</v>
      </c>
      <c r="G386" s="8">
        <v>2016</v>
      </c>
      <c r="H386" s="8">
        <v>12</v>
      </c>
      <c r="I386" s="8" t="s">
        <v>521</v>
      </c>
      <c r="J386" s="8" t="s">
        <v>228</v>
      </c>
      <c r="K386" s="8">
        <v>1983</v>
      </c>
      <c r="L386" s="17">
        <v>1</v>
      </c>
      <c r="M386" s="8">
        <v>1</v>
      </c>
      <c r="N386" s="8" t="s">
        <v>48</v>
      </c>
      <c r="O386" s="8" t="s">
        <v>283</v>
      </c>
      <c r="P386" s="8" t="s">
        <v>217</v>
      </c>
      <c r="Q386" s="8">
        <v>3000</v>
      </c>
      <c r="R386" s="8" t="s">
        <v>57</v>
      </c>
      <c r="S386" s="8" t="s">
        <v>54</v>
      </c>
      <c r="T386" s="8" t="s">
        <v>69</v>
      </c>
      <c r="U386" s="8" t="s">
        <v>228</v>
      </c>
      <c r="V386" s="8">
        <v>500</v>
      </c>
      <c r="W386" s="8" t="s">
        <v>328</v>
      </c>
      <c r="X386" s="8">
        <v>3000</v>
      </c>
      <c r="Y386" s="8" t="s">
        <v>271</v>
      </c>
      <c r="Z386" s="8">
        <v>85</v>
      </c>
      <c r="AA386" s="8" t="s">
        <v>278</v>
      </c>
      <c r="AB386" s="8" t="s">
        <v>247</v>
      </c>
      <c r="AC386" s="8" t="s">
        <v>228</v>
      </c>
      <c r="AD386" s="8" t="s">
        <v>228</v>
      </c>
      <c r="AE386" s="8" t="s">
        <v>228</v>
      </c>
      <c r="AF386" s="8" t="s">
        <v>228</v>
      </c>
      <c r="AG386" s="8" t="s">
        <v>228</v>
      </c>
      <c r="AH386" s="8" t="s">
        <v>228</v>
      </c>
      <c r="AI386" s="8" t="s">
        <v>228</v>
      </c>
      <c r="AJ386" t="s">
        <v>468</v>
      </c>
      <c r="AK386">
        <v>1</v>
      </c>
      <c r="AL386">
        <v>1</v>
      </c>
      <c r="AM386" t="s">
        <v>91</v>
      </c>
      <c r="AN386" t="s">
        <v>67</v>
      </c>
      <c r="AO386" t="s">
        <v>526</v>
      </c>
      <c r="AP386" t="s">
        <v>109</v>
      </c>
      <c r="AQ386">
        <v>12</v>
      </c>
      <c r="AR386" t="s">
        <v>521</v>
      </c>
      <c r="AS386" t="s">
        <v>228</v>
      </c>
      <c r="AT386" t="s">
        <v>140</v>
      </c>
      <c r="AU386">
        <v>1</v>
      </c>
      <c r="AV386">
        <v>1</v>
      </c>
      <c r="AW386" t="s">
        <v>406</v>
      </c>
      <c r="AX386" t="s">
        <v>283</v>
      </c>
      <c r="AY386" t="s">
        <v>217</v>
      </c>
      <c r="AZ386">
        <v>1</v>
      </c>
      <c r="BA386" t="s">
        <v>408</v>
      </c>
      <c r="BB386" t="s">
        <v>541</v>
      </c>
      <c r="BC386" t="s">
        <v>395</v>
      </c>
      <c r="BD386" t="s">
        <v>228</v>
      </c>
      <c r="BE386" t="s">
        <v>522</v>
      </c>
      <c r="BF386" t="s">
        <v>523</v>
      </c>
      <c r="BG386" t="s">
        <v>407</v>
      </c>
      <c r="BH386" t="s">
        <v>544</v>
      </c>
      <c r="BI386" t="s">
        <v>524</v>
      </c>
      <c r="BJ386" t="s">
        <v>228</v>
      </c>
      <c r="BK386" t="s">
        <v>543</v>
      </c>
      <c r="BL386" t="s">
        <v>228</v>
      </c>
      <c r="BM386" t="s">
        <v>228</v>
      </c>
      <c r="BN386" t="s">
        <v>228</v>
      </c>
      <c r="BO386" t="s">
        <v>228</v>
      </c>
      <c r="BP386" t="s">
        <v>228</v>
      </c>
      <c r="BQ386" t="s">
        <v>228</v>
      </c>
      <c r="BR386" t="s">
        <v>228</v>
      </c>
      <c r="BS386" t="s">
        <v>409</v>
      </c>
      <c r="BT386">
        <v>1</v>
      </c>
    </row>
    <row r="387" spans="1:72" x14ac:dyDescent="0.15">
      <c r="A387" s="43">
        <v>2023</v>
      </c>
      <c r="B387" s="8">
        <v>1</v>
      </c>
      <c r="C387" s="8">
        <v>1</v>
      </c>
      <c r="D387" s="8">
        <v>10</v>
      </c>
      <c r="E387" s="8" t="s">
        <v>67</v>
      </c>
      <c r="F387" s="8" t="s">
        <v>57</v>
      </c>
      <c r="G387" s="8">
        <v>2016</v>
      </c>
      <c r="H387" s="8">
        <v>12</v>
      </c>
      <c r="I387" s="8" t="s">
        <v>521</v>
      </c>
      <c r="J387" s="8" t="s">
        <v>228</v>
      </c>
      <c r="K387" s="8">
        <v>1983</v>
      </c>
      <c r="L387" s="17">
        <v>1</v>
      </c>
      <c r="M387" s="8">
        <v>1</v>
      </c>
      <c r="N387" s="8" t="s">
        <v>48</v>
      </c>
      <c r="O387" s="8" t="s">
        <v>283</v>
      </c>
      <c r="P387" s="8" t="s">
        <v>217</v>
      </c>
      <c r="Q387" s="8">
        <v>3000</v>
      </c>
      <c r="R387" s="8" t="s">
        <v>57</v>
      </c>
      <c r="S387" s="8" t="s">
        <v>53</v>
      </c>
      <c r="T387" s="8" t="s">
        <v>69</v>
      </c>
      <c r="U387" s="8" t="s">
        <v>228</v>
      </c>
      <c r="V387" s="8">
        <v>500</v>
      </c>
      <c r="W387" s="8" t="s">
        <v>328</v>
      </c>
      <c r="X387" s="8">
        <v>3000</v>
      </c>
      <c r="Y387" s="8" t="s">
        <v>271</v>
      </c>
      <c r="Z387" s="8">
        <v>85</v>
      </c>
      <c r="AA387" s="8" t="s">
        <v>278</v>
      </c>
      <c r="AB387" s="8" t="s">
        <v>247</v>
      </c>
      <c r="AC387" s="8" t="s">
        <v>228</v>
      </c>
      <c r="AD387" s="8" t="s">
        <v>228</v>
      </c>
      <c r="AE387" s="8" t="s">
        <v>228</v>
      </c>
      <c r="AF387" s="8" t="s">
        <v>228</v>
      </c>
      <c r="AG387" s="8" t="s">
        <v>228</v>
      </c>
      <c r="AH387" s="8" t="s">
        <v>228</v>
      </c>
      <c r="AI387" s="8" t="s">
        <v>228</v>
      </c>
      <c r="AJ387" t="s">
        <v>468</v>
      </c>
      <c r="AK387">
        <v>1</v>
      </c>
      <c r="AL387">
        <v>1</v>
      </c>
      <c r="AM387" t="s">
        <v>91</v>
      </c>
      <c r="AN387" t="s">
        <v>67</v>
      </c>
      <c r="AO387" t="s">
        <v>526</v>
      </c>
      <c r="AP387" t="s">
        <v>109</v>
      </c>
      <c r="AQ387">
        <v>12</v>
      </c>
      <c r="AR387" t="s">
        <v>521</v>
      </c>
      <c r="AS387" t="s">
        <v>228</v>
      </c>
      <c r="AT387" t="s">
        <v>140</v>
      </c>
      <c r="AU387">
        <v>1</v>
      </c>
      <c r="AV387">
        <v>1</v>
      </c>
      <c r="AW387" t="s">
        <v>406</v>
      </c>
      <c r="AX387" t="s">
        <v>283</v>
      </c>
      <c r="AY387" t="s">
        <v>217</v>
      </c>
      <c r="AZ387">
        <v>1</v>
      </c>
      <c r="BA387" t="s">
        <v>408</v>
      </c>
      <c r="BB387" t="s">
        <v>542</v>
      </c>
      <c r="BC387" t="s">
        <v>395</v>
      </c>
      <c r="BD387" t="s">
        <v>228</v>
      </c>
      <c r="BE387" t="s">
        <v>522</v>
      </c>
      <c r="BF387" t="s">
        <v>523</v>
      </c>
      <c r="BG387" t="s">
        <v>407</v>
      </c>
      <c r="BH387" t="s">
        <v>544</v>
      </c>
      <c r="BI387" t="s">
        <v>524</v>
      </c>
      <c r="BJ387" t="s">
        <v>228</v>
      </c>
      <c r="BK387" t="s">
        <v>543</v>
      </c>
      <c r="BL387" t="s">
        <v>228</v>
      </c>
      <c r="BM387" t="s">
        <v>228</v>
      </c>
      <c r="BN387" t="s">
        <v>228</v>
      </c>
      <c r="BO387" t="s">
        <v>228</v>
      </c>
      <c r="BP387" t="s">
        <v>228</v>
      </c>
      <c r="BQ387" t="s">
        <v>228</v>
      </c>
      <c r="BR387" t="s">
        <v>228</v>
      </c>
      <c r="BS387" t="s">
        <v>409</v>
      </c>
      <c r="BT387">
        <v>1</v>
      </c>
    </row>
    <row r="388" spans="1:72" x14ac:dyDescent="0.15">
      <c r="A388" s="43">
        <v>2023</v>
      </c>
      <c r="B388" s="8">
        <v>1</v>
      </c>
      <c r="C388" s="8">
        <v>1</v>
      </c>
      <c r="D388" s="8">
        <v>10</v>
      </c>
      <c r="E388" s="8" t="s">
        <v>67</v>
      </c>
      <c r="F388" s="8" t="s">
        <v>57</v>
      </c>
      <c r="G388" s="8">
        <v>2016</v>
      </c>
      <c r="H388" s="8">
        <v>12</v>
      </c>
      <c r="I388" s="8" t="s">
        <v>521</v>
      </c>
      <c r="J388" s="8" t="s">
        <v>228</v>
      </c>
      <c r="K388" s="8">
        <v>1983</v>
      </c>
      <c r="L388" s="17">
        <v>1</v>
      </c>
      <c r="M388" s="8">
        <v>1</v>
      </c>
      <c r="N388" s="8" t="s">
        <v>48</v>
      </c>
      <c r="O388" s="8" t="s">
        <v>283</v>
      </c>
      <c r="P388" s="8" t="s">
        <v>217</v>
      </c>
      <c r="Q388" s="8">
        <v>3000</v>
      </c>
      <c r="R388" s="8" t="s">
        <v>57</v>
      </c>
      <c r="S388" s="8" t="s">
        <v>52</v>
      </c>
      <c r="T388" s="8" t="s">
        <v>69</v>
      </c>
      <c r="U388" s="8" t="s">
        <v>228</v>
      </c>
      <c r="V388" s="8">
        <v>500</v>
      </c>
      <c r="W388" s="8" t="s">
        <v>328</v>
      </c>
      <c r="X388" s="8">
        <v>3000</v>
      </c>
      <c r="Y388" s="8" t="s">
        <v>271</v>
      </c>
      <c r="Z388" s="8">
        <v>85</v>
      </c>
      <c r="AA388" s="8" t="s">
        <v>278</v>
      </c>
      <c r="AB388" s="8" t="s">
        <v>247</v>
      </c>
      <c r="AC388" s="8" t="s">
        <v>228</v>
      </c>
      <c r="AD388" s="8" t="s">
        <v>228</v>
      </c>
      <c r="AE388" s="8" t="s">
        <v>228</v>
      </c>
      <c r="AF388" s="8" t="s">
        <v>228</v>
      </c>
      <c r="AG388" s="8" t="s">
        <v>228</v>
      </c>
      <c r="AH388" s="8" t="s">
        <v>228</v>
      </c>
      <c r="AI388" s="8" t="s">
        <v>228</v>
      </c>
      <c r="AJ388" t="s">
        <v>468</v>
      </c>
      <c r="AK388">
        <v>1</v>
      </c>
      <c r="AL388">
        <v>1</v>
      </c>
      <c r="AM388" t="s">
        <v>91</v>
      </c>
      <c r="AN388" t="s">
        <v>67</v>
      </c>
      <c r="AO388" t="s">
        <v>526</v>
      </c>
      <c r="AP388" t="s">
        <v>109</v>
      </c>
      <c r="AQ388">
        <v>12</v>
      </c>
      <c r="AR388" t="s">
        <v>521</v>
      </c>
      <c r="AS388" t="s">
        <v>228</v>
      </c>
      <c r="AT388" t="s">
        <v>140</v>
      </c>
      <c r="AU388">
        <v>1</v>
      </c>
      <c r="AV388">
        <v>1</v>
      </c>
      <c r="AW388" t="s">
        <v>406</v>
      </c>
      <c r="AX388" t="s">
        <v>283</v>
      </c>
      <c r="AY388" t="s">
        <v>217</v>
      </c>
      <c r="AZ388">
        <v>1</v>
      </c>
      <c r="BA388" t="s">
        <v>408</v>
      </c>
      <c r="BB388" t="s">
        <v>405</v>
      </c>
      <c r="BC388" t="s">
        <v>395</v>
      </c>
      <c r="BD388" t="s">
        <v>228</v>
      </c>
      <c r="BE388" t="s">
        <v>522</v>
      </c>
      <c r="BF388" t="s">
        <v>523</v>
      </c>
      <c r="BG388" t="s">
        <v>407</v>
      </c>
      <c r="BH388" t="s">
        <v>544</v>
      </c>
      <c r="BI388" t="s">
        <v>524</v>
      </c>
      <c r="BJ388" t="s">
        <v>228</v>
      </c>
      <c r="BK388" t="s">
        <v>543</v>
      </c>
      <c r="BL388" t="s">
        <v>228</v>
      </c>
      <c r="BM388" t="s">
        <v>228</v>
      </c>
      <c r="BN388" t="s">
        <v>228</v>
      </c>
      <c r="BO388" t="s">
        <v>228</v>
      </c>
      <c r="BP388" t="s">
        <v>228</v>
      </c>
      <c r="BQ388" t="s">
        <v>228</v>
      </c>
      <c r="BR388" t="s">
        <v>228</v>
      </c>
      <c r="BS388" t="s">
        <v>409</v>
      </c>
      <c r="BT388">
        <v>0</v>
      </c>
    </row>
    <row r="389" spans="1:72" x14ac:dyDescent="0.15">
      <c r="A389" s="43">
        <v>2023</v>
      </c>
      <c r="B389" s="8">
        <v>1</v>
      </c>
      <c r="C389" s="8">
        <v>1</v>
      </c>
      <c r="D389" s="8">
        <v>9</v>
      </c>
      <c r="E389" s="8" t="s">
        <v>67</v>
      </c>
      <c r="F389" s="8" t="s">
        <v>57</v>
      </c>
      <c r="G389" s="8">
        <v>2016</v>
      </c>
      <c r="H389" s="8">
        <v>12</v>
      </c>
      <c r="I389" s="8" t="s">
        <v>521</v>
      </c>
      <c r="J389" s="8" t="s">
        <v>228</v>
      </c>
      <c r="K389" s="8">
        <v>1983</v>
      </c>
      <c r="L389" s="17">
        <v>1</v>
      </c>
      <c r="M389" s="8">
        <v>1</v>
      </c>
      <c r="N389" s="8" t="s">
        <v>48</v>
      </c>
      <c r="O389" s="8" t="s">
        <v>283</v>
      </c>
      <c r="P389" s="8" t="s">
        <v>217</v>
      </c>
      <c r="Q389" s="8">
        <v>3000</v>
      </c>
      <c r="R389" s="8" t="s">
        <v>57</v>
      </c>
      <c r="S389" s="8" t="s">
        <v>54</v>
      </c>
      <c r="T389" s="8" t="s">
        <v>69</v>
      </c>
      <c r="U389" s="8" t="s">
        <v>228</v>
      </c>
      <c r="V389" s="8">
        <v>500</v>
      </c>
      <c r="W389" s="8" t="s">
        <v>328</v>
      </c>
      <c r="X389" s="8">
        <v>3000</v>
      </c>
      <c r="Y389" s="8" t="s">
        <v>268</v>
      </c>
      <c r="Z389" s="8">
        <v>85</v>
      </c>
      <c r="AA389" s="8" t="s">
        <v>278</v>
      </c>
      <c r="AB389" s="8" t="s">
        <v>228</v>
      </c>
      <c r="AC389" s="8" t="s">
        <v>228</v>
      </c>
      <c r="AD389" s="8" t="s">
        <v>228</v>
      </c>
      <c r="AE389" s="8" t="s">
        <v>228</v>
      </c>
      <c r="AF389" s="8" t="s">
        <v>228</v>
      </c>
      <c r="AG389" s="8" t="s">
        <v>228</v>
      </c>
      <c r="AH389" s="8" t="s">
        <v>228</v>
      </c>
      <c r="AI389" s="8" t="s">
        <v>228</v>
      </c>
      <c r="AJ389" t="s">
        <v>468</v>
      </c>
      <c r="AK389">
        <v>1</v>
      </c>
      <c r="AL389">
        <v>1</v>
      </c>
      <c r="AM389" t="s">
        <v>92</v>
      </c>
      <c r="AN389" t="s">
        <v>67</v>
      </c>
      <c r="AO389" t="s">
        <v>526</v>
      </c>
      <c r="AP389" t="s">
        <v>109</v>
      </c>
      <c r="AQ389">
        <v>12</v>
      </c>
      <c r="AR389" t="s">
        <v>521</v>
      </c>
      <c r="AS389" t="s">
        <v>228</v>
      </c>
      <c r="AT389" t="s">
        <v>140</v>
      </c>
      <c r="AU389">
        <v>1</v>
      </c>
      <c r="AV389">
        <v>1</v>
      </c>
      <c r="AW389" t="s">
        <v>406</v>
      </c>
      <c r="AX389" t="s">
        <v>283</v>
      </c>
      <c r="AY389" t="s">
        <v>217</v>
      </c>
      <c r="AZ389">
        <v>1</v>
      </c>
      <c r="BA389" t="s">
        <v>408</v>
      </c>
      <c r="BB389" t="s">
        <v>541</v>
      </c>
      <c r="BC389" t="s">
        <v>395</v>
      </c>
      <c r="BD389" t="s">
        <v>228</v>
      </c>
      <c r="BE389" t="s">
        <v>522</v>
      </c>
      <c r="BF389" t="s">
        <v>523</v>
      </c>
      <c r="BG389" t="s">
        <v>407</v>
      </c>
      <c r="BH389" t="s">
        <v>396</v>
      </c>
      <c r="BI389" t="s">
        <v>524</v>
      </c>
      <c r="BJ389" t="s">
        <v>228</v>
      </c>
      <c r="BK389" t="s">
        <v>228</v>
      </c>
      <c r="BL389" t="s">
        <v>228</v>
      </c>
      <c r="BM389" t="s">
        <v>228</v>
      </c>
      <c r="BN389" t="s">
        <v>228</v>
      </c>
      <c r="BO389" t="s">
        <v>228</v>
      </c>
      <c r="BP389" t="s">
        <v>228</v>
      </c>
      <c r="BQ389" t="s">
        <v>228</v>
      </c>
      <c r="BR389" t="s">
        <v>228</v>
      </c>
      <c r="BS389" t="s">
        <v>409</v>
      </c>
      <c r="BT389">
        <v>1</v>
      </c>
    </row>
    <row r="390" spans="1:72" x14ac:dyDescent="0.15">
      <c r="A390" s="43">
        <v>2023</v>
      </c>
      <c r="B390" s="8">
        <v>1</v>
      </c>
      <c r="C390" s="8">
        <v>1</v>
      </c>
      <c r="D390" s="8">
        <v>9</v>
      </c>
      <c r="E390" s="8" t="s">
        <v>67</v>
      </c>
      <c r="F390" s="8" t="s">
        <v>57</v>
      </c>
      <c r="G390" s="8">
        <v>2016</v>
      </c>
      <c r="H390" s="8">
        <v>12</v>
      </c>
      <c r="I390" s="8" t="s">
        <v>521</v>
      </c>
      <c r="J390" s="8" t="s">
        <v>228</v>
      </c>
      <c r="K390" s="8">
        <v>1983</v>
      </c>
      <c r="L390" s="17">
        <v>1</v>
      </c>
      <c r="M390" s="8">
        <v>1</v>
      </c>
      <c r="N390" s="8" t="s">
        <v>48</v>
      </c>
      <c r="O390" s="8" t="s">
        <v>283</v>
      </c>
      <c r="P390" s="8" t="s">
        <v>217</v>
      </c>
      <c r="Q390" s="8">
        <v>3000</v>
      </c>
      <c r="R390" s="8" t="s">
        <v>57</v>
      </c>
      <c r="S390" s="8" t="s">
        <v>53</v>
      </c>
      <c r="T390" s="8" t="s">
        <v>69</v>
      </c>
      <c r="U390" s="8" t="s">
        <v>228</v>
      </c>
      <c r="V390" s="8">
        <v>500</v>
      </c>
      <c r="W390" s="8" t="s">
        <v>328</v>
      </c>
      <c r="X390" s="8">
        <v>3000</v>
      </c>
      <c r="Y390" s="8" t="s">
        <v>268</v>
      </c>
      <c r="Z390" s="8">
        <v>85</v>
      </c>
      <c r="AA390" s="8" t="s">
        <v>278</v>
      </c>
      <c r="AB390" s="8" t="s">
        <v>228</v>
      </c>
      <c r="AC390" s="8" t="s">
        <v>228</v>
      </c>
      <c r="AD390" s="8" t="s">
        <v>228</v>
      </c>
      <c r="AE390" s="8" t="s">
        <v>228</v>
      </c>
      <c r="AF390" s="8" t="s">
        <v>228</v>
      </c>
      <c r="AG390" s="8" t="s">
        <v>228</v>
      </c>
      <c r="AH390" s="8" t="s">
        <v>228</v>
      </c>
      <c r="AI390" s="8" t="s">
        <v>228</v>
      </c>
      <c r="AJ390" t="s">
        <v>468</v>
      </c>
      <c r="AK390">
        <v>1</v>
      </c>
      <c r="AL390">
        <v>1</v>
      </c>
      <c r="AM390" t="s">
        <v>92</v>
      </c>
      <c r="AN390" t="s">
        <v>67</v>
      </c>
      <c r="AO390" t="s">
        <v>526</v>
      </c>
      <c r="AP390" t="s">
        <v>109</v>
      </c>
      <c r="AQ390">
        <v>12</v>
      </c>
      <c r="AR390" t="s">
        <v>521</v>
      </c>
      <c r="AS390" t="s">
        <v>228</v>
      </c>
      <c r="AT390" t="s">
        <v>140</v>
      </c>
      <c r="AU390">
        <v>1</v>
      </c>
      <c r="AV390">
        <v>1</v>
      </c>
      <c r="AW390" t="s">
        <v>406</v>
      </c>
      <c r="AX390" t="s">
        <v>283</v>
      </c>
      <c r="AY390" t="s">
        <v>217</v>
      </c>
      <c r="AZ390">
        <v>1</v>
      </c>
      <c r="BA390" t="s">
        <v>408</v>
      </c>
      <c r="BB390" t="s">
        <v>542</v>
      </c>
      <c r="BC390" t="s">
        <v>395</v>
      </c>
      <c r="BD390" t="s">
        <v>228</v>
      </c>
      <c r="BE390" t="s">
        <v>522</v>
      </c>
      <c r="BF390" t="s">
        <v>523</v>
      </c>
      <c r="BG390" t="s">
        <v>407</v>
      </c>
      <c r="BH390" t="s">
        <v>396</v>
      </c>
      <c r="BI390" t="s">
        <v>524</v>
      </c>
      <c r="BJ390" t="s">
        <v>228</v>
      </c>
      <c r="BK390" t="s">
        <v>228</v>
      </c>
      <c r="BL390" t="s">
        <v>228</v>
      </c>
      <c r="BM390" t="s">
        <v>228</v>
      </c>
      <c r="BN390" t="s">
        <v>228</v>
      </c>
      <c r="BO390" t="s">
        <v>228</v>
      </c>
      <c r="BP390" t="s">
        <v>228</v>
      </c>
      <c r="BQ390" t="s">
        <v>228</v>
      </c>
      <c r="BR390" t="s">
        <v>228</v>
      </c>
      <c r="BS390" t="s">
        <v>409</v>
      </c>
      <c r="BT390">
        <v>1</v>
      </c>
    </row>
    <row r="391" spans="1:72" x14ac:dyDescent="0.15">
      <c r="A391" s="43">
        <v>2023</v>
      </c>
      <c r="B391" s="8">
        <v>1</v>
      </c>
      <c r="C391" s="8">
        <v>1</v>
      </c>
      <c r="D391" s="8">
        <v>9</v>
      </c>
      <c r="E391" s="8" t="s">
        <v>67</v>
      </c>
      <c r="F391" s="8" t="s">
        <v>57</v>
      </c>
      <c r="G391" s="8">
        <v>2016</v>
      </c>
      <c r="H391" s="8">
        <v>12</v>
      </c>
      <c r="I391" s="8" t="s">
        <v>521</v>
      </c>
      <c r="J391" s="8" t="s">
        <v>228</v>
      </c>
      <c r="K391" s="8">
        <v>1983</v>
      </c>
      <c r="L391" s="17">
        <v>1</v>
      </c>
      <c r="M391" s="8">
        <v>1</v>
      </c>
      <c r="N391" s="8" t="s">
        <v>48</v>
      </c>
      <c r="O391" s="8" t="s">
        <v>283</v>
      </c>
      <c r="P391" s="8" t="s">
        <v>217</v>
      </c>
      <c r="Q391" s="8">
        <v>3000</v>
      </c>
      <c r="R391" s="8" t="s">
        <v>57</v>
      </c>
      <c r="S391" s="8" t="s">
        <v>52</v>
      </c>
      <c r="T391" s="8" t="s">
        <v>69</v>
      </c>
      <c r="U391" s="8" t="s">
        <v>228</v>
      </c>
      <c r="V391" s="8">
        <v>500</v>
      </c>
      <c r="W391" s="8" t="s">
        <v>328</v>
      </c>
      <c r="X391" s="8">
        <v>3000</v>
      </c>
      <c r="Y391" s="8" t="s">
        <v>268</v>
      </c>
      <c r="Z391" s="8">
        <v>85</v>
      </c>
      <c r="AA391" s="8" t="s">
        <v>278</v>
      </c>
      <c r="AB391" s="8" t="s">
        <v>228</v>
      </c>
      <c r="AC391" s="8" t="s">
        <v>228</v>
      </c>
      <c r="AD391" s="8" t="s">
        <v>228</v>
      </c>
      <c r="AE391" s="8" t="s">
        <v>228</v>
      </c>
      <c r="AF391" s="8" t="s">
        <v>228</v>
      </c>
      <c r="AG391" s="8" t="s">
        <v>228</v>
      </c>
      <c r="AH391" s="8" t="s">
        <v>228</v>
      </c>
      <c r="AI391" s="8" t="s">
        <v>228</v>
      </c>
      <c r="AJ391" t="s">
        <v>468</v>
      </c>
      <c r="AK391">
        <v>1</v>
      </c>
      <c r="AL391">
        <v>1</v>
      </c>
      <c r="AM391" t="s">
        <v>92</v>
      </c>
      <c r="AN391" t="s">
        <v>67</v>
      </c>
      <c r="AO391" t="s">
        <v>526</v>
      </c>
      <c r="AP391" t="s">
        <v>109</v>
      </c>
      <c r="AQ391">
        <v>12</v>
      </c>
      <c r="AR391" t="s">
        <v>521</v>
      </c>
      <c r="AS391" t="s">
        <v>228</v>
      </c>
      <c r="AT391" t="s">
        <v>140</v>
      </c>
      <c r="AU391">
        <v>1</v>
      </c>
      <c r="AV391">
        <v>1</v>
      </c>
      <c r="AW391" t="s">
        <v>406</v>
      </c>
      <c r="AX391" t="s">
        <v>283</v>
      </c>
      <c r="AY391" t="s">
        <v>217</v>
      </c>
      <c r="AZ391">
        <v>1</v>
      </c>
      <c r="BA391" t="s">
        <v>408</v>
      </c>
      <c r="BB391" t="s">
        <v>405</v>
      </c>
      <c r="BC391" t="s">
        <v>395</v>
      </c>
      <c r="BD391" t="s">
        <v>228</v>
      </c>
      <c r="BE391" t="s">
        <v>522</v>
      </c>
      <c r="BF391" t="s">
        <v>523</v>
      </c>
      <c r="BG391" t="s">
        <v>407</v>
      </c>
      <c r="BH391" t="s">
        <v>396</v>
      </c>
      <c r="BI391" t="s">
        <v>524</v>
      </c>
      <c r="BJ391" t="s">
        <v>228</v>
      </c>
      <c r="BK391" t="s">
        <v>228</v>
      </c>
      <c r="BL391" t="s">
        <v>228</v>
      </c>
      <c r="BM391" t="s">
        <v>228</v>
      </c>
      <c r="BN391" t="s">
        <v>228</v>
      </c>
      <c r="BO391" t="s">
        <v>228</v>
      </c>
      <c r="BP391" t="s">
        <v>228</v>
      </c>
      <c r="BQ391" t="s">
        <v>228</v>
      </c>
      <c r="BR391" t="s">
        <v>228</v>
      </c>
      <c r="BS391" t="s">
        <v>409</v>
      </c>
      <c r="BT391">
        <v>1</v>
      </c>
    </row>
    <row r="392" spans="1:72" x14ac:dyDescent="0.15">
      <c r="A392" s="43">
        <v>2023</v>
      </c>
      <c r="B392" s="8">
        <v>1</v>
      </c>
      <c r="C392" s="8">
        <v>1</v>
      </c>
      <c r="D392" s="8">
        <v>9</v>
      </c>
      <c r="E392" s="8" t="s">
        <v>67</v>
      </c>
      <c r="F392" s="8" t="s">
        <v>57</v>
      </c>
      <c r="G392" s="8">
        <v>2016</v>
      </c>
      <c r="H392" s="8">
        <v>12</v>
      </c>
      <c r="I392" s="8" t="s">
        <v>521</v>
      </c>
      <c r="J392" s="8" t="s">
        <v>228</v>
      </c>
      <c r="K392" s="8">
        <v>1983</v>
      </c>
      <c r="L392" s="17">
        <v>1</v>
      </c>
      <c r="M392" s="8">
        <v>1</v>
      </c>
      <c r="N392" s="8" t="s">
        <v>48</v>
      </c>
      <c r="O392" s="8" t="s">
        <v>283</v>
      </c>
      <c r="P392" s="8" t="s">
        <v>217</v>
      </c>
      <c r="Q392" s="8">
        <v>3000</v>
      </c>
      <c r="R392" s="8" t="s">
        <v>57</v>
      </c>
      <c r="S392" s="8" t="s">
        <v>54</v>
      </c>
      <c r="T392" s="8" t="s">
        <v>69</v>
      </c>
      <c r="U392" s="8" t="s">
        <v>228</v>
      </c>
      <c r="V392" s="8">
        <v>500</v>
      </c>
      <c r="W392" s="8" t="s">
        <v>328</v>
      </c>
      <c r="X392" s="8">
        <v>3000</v>
      </c>
      <c r="Y392" s="8" t="s">
        <v>268</v>
      </c>
      <c r="Z392" s="8">
        <v>85</v>
      </c>
      <c r="AA392" s="8" t="s">
        <v>278</v>
      </c>
      <c r="AB392" s="8" t="s">
        <v>247</v>
      </c>
      <c r="AC392" s="8" t="s">
        <v>228</v>
      </c>
      <c r="AD392" s="8" t="s">
        <v>228</v>
      </c>
      <c r="AE392" s="8" t="s">
        <v>228</v>
      </c>
      <c r="AF392" s="8" t="s">
        <v>228</v>
      </c>
      <c r="AG392" s="8" t="s">
        <v>228</v>
      </c>
      <c r="AH392" s="8" t="s">
        <v>228</v>
      </c>
      <c r="AI392" s="8" t="s">
        <v>228</v>
      </c>
      <c r="AJ392" t="s">
        <v>468</v>
      </c>
      <c r="AK392">
        <v>1</v>
      </c>
      <c r="AL392">
        <v>1</v>
      </c>
      <c r="AM392" t="s">
        <v>92</v>
      </c>
      <c r="AN392" t="s">
        <v>67</v>
      </c>
      <c r="AO392" t="s">
        <v>526</v>
      </c>
      <c r="AP392" t="s">
        <v>109</v>
      </c>
      <c r="AQ392">
        <v>12</v>
      </c>
      <c r="AR392" t="s">
        <v>521</v>
      </c>
      <c r="AS392" t="s">
        <v>228</v>
      </c>
      <c r="AT392" t="s">
        <v>140</v>
      </c>
      <c r="AU392">
        <v>1</v>
      </c>
      <c r="AV392">
        <v>1</v>
      </c>
      <c r="AW392" t="s">
        <v>406</v>
      </c>
      <c r="AX392" t="s">
        <v>283</v>
      </c>
      <c r="AY392" t="s">
        <v>217</v>
      </c>
      <c r="AZ392">
        <v>1</v>
      </c>
      <c r="BA392" t="s">
        <v>408</v>
      </c>
      <c r="BB392" t="s">
        <v>541</v>
      </c>
      <c r="BC392" t="s">
        <v>395</v>
      </c>
      <c r="BD392" t="s">
        <v>228</v>
      </c>
      <c r="BE392" t="s">
        <v>522</v>
      </c>
      <c r="BF392" t="s">
        <v>523</v>
      </c>
      <c r="BG392" t="s">
        <v>407</v>
      </c>
      <c r="BH392" t="s">
        <v>396</v>
      </c>
      <c r="BI392" t="s">
        <v>524</v>
      </c>
      <c r="BJ392" t="s">
        <v>228</v>
      </c>
      <c r="BK392" t="s">
        <v>543</v>
      </c>
      <c r="BL392" t="s">
        <v>228</v>
      </c>
      <c r="BM392" t="s">
        <v>228</v>
      </c>
      <c r="BN392" t="s">
        <v>228</v>
      </c>
      <c r="BO392" t="s">
        <v>228</v>
      </c>
      <c r="BP392" t="s">
        <v>228</v>
      </c>
      <c r="BQ392" t="s">
        <v>228</v>
      </c>
      <c r="BR392" t="s">
        <v>228</v>
      </c>
      <c r="BS392" t="s">
        <v>409</v>
      </c>
      <c r="BT392">
        <v>1</v>
      </c>
    </row>
    <row r="393" spans="1:72" x14ac:dyDescent="0.15">
      <c r="A393" s="43">
        <v>2023</v>
      </c>
      <c r="B393" s="8">
        <v>1</v>
      </c>
      <c r="C393" s="8">
        <v>1</v>
      </c>
      <c r="D393" s="8">
        <v>9</v>
      </c>
      <c r="E393" s="8" t="s">
        <v>67</v>
      </c>
      <c r="F393" s="8" t="s">
        <v>57</v>
      </c>
      <c r="G393" s="8">
        <v>2016</v>
      </c>
      <c r="H393" s="8">
        <v>12</v>
      </c>
      <c r="I393" s="8" t="s">
        <v>521</v>
      </c>
      <c r="J393" s="8" t="s">
        <v>228</v>
      </c>
      <c r="K393" s="8">
        <v>1983</v>
      </c>
      <c r="L393" s="17">
        <v>1</v>
      </c>
      <c r="M393" s="8">
        <v>1</v>
      </c>
      <c r="N393" s="8" t="s">
        <v>48</v>
      </c>
      <c r="O393" s="8" t="s">
        <v>283</v>
      </c>
      <c r="P393" s="8" t="s">
        <v>217</v>
      </c>
      <c r="Q393" s="8">
        <v>3000</v>
      </c>
      <c r="R393" s="8" t="s">
        <v>57</v>
      </c>
      <c r="S393" s="8" t="s">
        <v>53</v>
      </c>
      <c r="T393" s="8" t="s">
        <v>69</v>
      </c>
      <c r="U393" s="8" t="s">
        <v>228</v>
      </c>
      <c r="V393" s="8">
        <v>500</v>
      </c>
      <c r="W393" s="8" t="s">
        <v>328</v>
      </c>
      <c r="X393" s="8">
        <v>3000</v>
      </c>
      <c r="Y393" s="8" t="s">
        <v>268</v>
      </c>
      <c r="Z393" s="8">
        <v>85</v>
      </c>
      <c r="AA393" s="8" t="s">
        <v>278</v>
      </c>
      <c r="AB393" s="8" t="s">
        <v>247</v>
      </c>
      <c r="AC393" s="8" t="s">
        <v>228</v>
      </c>
      <c r="AD393" s="8" t="s">
        <v>228</v>
      </c>
      <c r="AE393" s="8" t="s">
        <v>228</v>
      </c>
      <c r="AF393" s="8" t="s">
        <v>228</v>
      </c>
      <c r="AG393" s="8" t="s">
        <v>228</v>
      </c>
      <c r="AH393" s="8" t="s">
        <v>228</v>
      </c>
      <c r="AI393" s="8" t="s">
        <v>228</v>
      </c>
      <c r="AJ393" t="s">
        <v>468</v>
      </c>
      <c r="AK393">
        <v>1</v>
      </c>
      <c r="AL393">
        <v>1</v>
      </c>
      <c r="AM393" t="s">
        <v>92</v>
      </c>
      <c r="AN393" t="s">
        <v>67</v>
      </c>
      <c r="AO393" t="s">
        <v>526</v>
      </c>
      <c r="AP393" t="s">
        <v>109</v>
      </c>
      <c r="AQ393">
        <v>12</v>
      </c>
      <c r="AR393" t="s">
        <v>521</v>
      </c>
      <c r="AS393" t="s">
        <v>228</v>
      </c>
      <c r="AT393" t="s">
        <v>140</v>
      </c>
      <c r="AU393">
        <v>1</v>
      </c>
      <c r="AV393">
        <v>1</v>
      </c>
      <c r="AW393" t="s">
        <v>406</v>
      </c>
      <c r="AX393" t="s">
        <v>283</v>
      </c>
      <c r="AY393" t="s">
        <v>217</v>
      </c>
      <c r="AZ393">
        <v>1</v>
      </c>
      <c r="BA393" t="s">
        <v>408</v>
      </c>
      <c r="BB393" t="s">
        <v>542</v>
      </c>
      <c r="BC393" t="s">
        <v>395</v>
      </c>
      <c r="BD393" t="s">
        <v>228</v>
      </c>
      <c r="BE393" t="s">
        <v>522</v>
      </c>
      <c r="BF393" t="s">
        <v>523</v>
      </c>
      <c r="BG393" t="s">
        <v>407</v>
      </c>
      <c r="BH393" t="s">
        <v>396</v>
      </c>
      <c r="BI393" t="s">
        <v>524</v>
      </c>
      <c r="BJ393" t="s">
        <v>228</v>
      </c>
      <c r="BK393" t="s">
        <v>543</v>
      </c>
      <c r="BL393" t="s">
        <v>228</v>
      </c>
      <c r="BM393" t="s">
        <v>228</v>
      </c>
      <c r="BN393" t="s">
        <v>228</v>
      </c>
      <c r="BO393" t="s">
        <v>228</v>
      </c>
      <c r="BP393" t="s">
        <v>228</v>
      </c>
      <c r="BQ393" t="s">
        <v>228</v>
      </c>
      <c r="BR393" t="s">
        <v>228</v>
      </c>
      <c r="BS393" t="s">
        <v>409</v>
      </c>
      <c r="BT393">
        <v>1</v>
      </c>
    </row>
    <row r="394" spans="1:72" x14ac:dyDescent="0.15">
      <c r="A394" s="43">
        <v>2023</v>
      </c>
      <c r="B394" s="8">
        <v>1</v>
      </c>
      <c r="C394" s="8">
        <v>1</v>
      </c>
      <c r="D394" s="8">
        <v>9</v>
      </c>
      <c r="E394" s="8" t="s">
        <v>67</v>
      </c>
      <c r="F394" s="8" t="s">
        <v>57</v>
      </c>
      <c r="G394" s="8">
        <v>2016</v>
      </c>
      <c r="H394" s="8">
        <v>12</v>
      </c>
      <c r="I394" s="8" t="s">
        <v>521</v>
      </c>
      <c r="J394" s="8" t="s">
        <v>228</v>
      </c>
      <c r="K394" s="8">
        <v>1983</v>
      </c>
      <c r="L394" s="17">
        <v>1</v>
      </c>
      <c r="M394" s="8">
        <v>1</v>
      </c>
      <c r="N394" s="8" t="s">
        <v>48</v>
      </c>
      <c r="O394" s="8" t="s">
        <v>283</v>
      </c>
      <c r="P394" s="8" t="s">
        <v>217</v>
      </c>
      <c r="Q394" s="8">
        <v>3000</v>
      </c>
      <c r="R394" s="8" t="s">
        <v>57</v>
      </c>
      <c r="S394" s="8" t="s">
        <v>52</v>
      </c>
      <c r="T394" s="8" t="s">
        <v>69</v>
      </c>
      <c r="U394" s="8" t="s">
        <v>228</v>
      </c>
      <c r="V394" s="8">
        <v>500</v>
      </c>
      <c r="W394" s="8" t="s">
        <v>328</v>
      </c>
      <c r="X394" s="8">
        <v>3000</v>
      </c>
      <c r="Y394" s="8" t="s">
        <v>268</v>
      </c>
      <c r="Z394" s="8">
        <v>85</v>
      </c>
      <c r="AA394" s="8" t="s">
        <v>278</v>
      </c>
      <c r="AB394" s="8" t="s">
        <v>247</v>
      </c>
      <c r="AC394" s="8" t="s">
        <v>228</v>
      </c>
      <c r="AD394" s="8" t="s">
        <v>228</v>
      </c>
      <c r="AE394" s="8" t="s">
        <v>228</v>
      </c>
      <c r="AF394" s="8" t="s">
        <v>228</v>
      </c>
      <c r="AG394" s="8" t="s">
        <v>228</v>
      </c>
      <c r="AH394" s="8" t="s">
        <v>228</v>
      </c>
      <c r="AI394" s="8" t="s">
        <v>228</v>
      </c>
      <c r="AJ394" t="s">
        <v>468</v>
      </c>
      <c r="AK394">
        <v>1</v>
      </c>
      <c r="AL394">
        <v>1</v>
      </c>
      <c r="AM394" t="s">
        <v>92</v>
      </c>
      <c r="AN394" t="s">
        <v>67</v>
      </c>
      <c r="AO394" t="s">
        <v>526</v>
      </c>
      <c r="AP394" t="s">
        <v>109</v>
      </c>
      <c r="AQ394">
        <v>12</v>
      </c>
      <c r="AR394" t="s">
        <v>521</v>
      </c>
      <c r="AS394" t="s">
        <v>228</v>
      </c>
      <c r="AT394" t="s">
        <v>140</v>
      </c>
      <c r="AU394">
        <v>1</v>
      </c>
      <c r="AV394">
        <v>1</v>
      </c>
      <c r="AW394" t="s">
        <v>406</v>
      </c>
      <c r="AX394" t="s">
        <v>283</v>
      </c>
      <c r="AY394" t="s">
        <v>217</v>
      </c>
      <c r="AZ394">
        <v>1</v>
      </c>
      <c r="BA394" t="s">
        <v>408</v>
      </c>
      <c r="BB394" t="s">
        <v>405</v>
      </c>
      <c r="BC394" t="s">
        <v>395</v>
      </c>
      <c r="BD394" t="s">
        <v>228</v>
      </c>
      <c r="BE394" t="s">
        <v>522</v>
      </c>
      <c r="BF394" t="s">
        <v>523</v>
      </c>
      <c r="BG394" t="s">
        <v>407</v>
      </c>
      <c r="BH394" t="s">
        <v>396</v>
      </c>
      <c r="BI394" t="s">
        <v>524</v>
      </c>
      <c r="BJ394" t="s">
        <v>228</v>
      </c>
      <c r="BK394" t="s">
        <v>543</v>
      </c>
      <c r="BL394" t="s">
        <v>228</v>
      </c>
      <c r="BM394" t="s">
        <v>228</v>
      </c>
      <c r="BN394" t="s">
        <v>228</v>
      </c>
      <c r="BO394" t="s">
        <v>228</v>
      </c>
      <c r="BP394" t="s">
        <v>228</v>
      </c>
      <c r="BQ394" t="s">
        <v>228</v>
      </c>
      <c r="BR394" t="s">
        <v>228</v>
      </c>
      <c r="BS394" t="s">
        <v>409</v>
      </c>
      <c r="BT394">
        <v>1</v>
      </c>
    </row>
    <row r="395" spans="1:72" x14ac:dyDescent="0.15">
      <c r="A395" s="43">
        <v>2023</v>
      </c>
      <c r="B395" s="8">
        <v>1</v>
      </c>
      <c r="C395" s="8">
        <v>1</v>
      </c>
      <c r="D395" s="8">
        <v>9</v>
      </c>
      <c r="E395" s="8" t="s">
        <v>67</v>
      </c>
      <c r="F395" s="8" t="s">
        <v>57</v>
      </c>
      <c r="G395" s="8">
        <v>2016</v>
      </c>
      <c r="H395" s="8">
        <v>12</v>
      </c>
      <c r="I395" s="8" t="s">
        <v>521</v>
      </c>
      <c r="J395" s="8" t="s">
        <v>228</v>
      </c>
      <c r="K395" s="8">
        <v>1983</v>
      </c>
      <c r="L395" s="17">
        <v>1</v>
      </c>
      <c r="M395" s="8">
        <v>1</v>
      </c>
      <c r="N395" s="8" t="s">
        <v>48</v>
      </c>
      <c r="O395" s="8" t="s">
        <v>283</v>
      </c>
      <c r="P395" s="8" t="s">
        <v>217</v>
      </c>
      <c r="Q395" s="8">
        <v>3000</v>
      </c>
      <c r="R395" s="8" t="s">
        <v>57</v>
      </c>
      <c r="S395" s="8" t="s">
        <v>54</v>
      </c>
      <c r="T395" s="8" t="s">
        <v>69</v>
      </c>
      <c r="U395" s="8" t="s">
        <v>228</v>
      </c>
      <c r="V395" s="8">
        <v>500</v>
      </c>
      <c r="W395" s="8" t="s">
        <v>328</v>
      </c>
      <c r="X395" s="8">
        <v>3000</v>
      </c>
      <c r="Y395" s="8" t="s">
        <v>271</v>
      </c>
      <c r="Z395" s="8">
        <v>85</v>
      </c>
      <c r="AA395" s="8" t="s">
        <v>278</v>
      </c>
      <c r="AB395" s="8" t="s">
        <v>228</v>
      </c>
      <c r="AC395" s="8" t="s">
        <v>228</v>
      </c>
      <c r="AD395" s="8" t="s">
        <v>228</v>
      </c>
      <c r="AE395" s="8" t="s">
        <v>228</v>
      </c>
      <c r="AF395" s="8" t="s">
        <v>228</v>
      </c>
      <c r="AG395" s="8" t="s">
        <v>228</v>
      </c>
      <c r="AH395" s="8" t="s">
        <v>228</v>
      </c>
      <c r="AI395" s="8" t="s">
        <v>228</v>
      </c>
      <c r="AJ395" t="s">
        <v>468</v>
      </c>
      <c r="AK395">
        <v>1</v>
      </c>
      <c r="AL395">
        <v>1</v>
      </c>
      <c r="AM395" t="s">
        <v>92</v>
      </c>
      <c r="AN395" t="s">
        <v>67</v>
      </c>
      <c r="AO395" t="s">
        <v>526</v>
      </c>
      <c r="AP395" t="s">
        <v>109</v>
      </c>
      <c r="AQ395">
        <v>12</v>
      </c>
      <c r="AR395" t="s">
        <v>521</v>
      </c>
      <c r="AS395" t="s">
        <v>228</v>
      </c>
      <c r="AT395" t="s">
        <v>140</v>
      </c>
      <c r="AU395">
        <v>1</v>
      </c>
      <c r="AV395">
        <v>1</v>
      </c>
      <c r="AW395" t="s">
        <v>406</v>
      </c>
      <c r="AX395" t="s">
        <v>283</v>
      </c>
      <c r="AY395" t="s">
        <v>217</v>
      </c>
      <c r="AZ395">
        <v>1</v>
      </c>
      <c r="BA395" t="s">
        <v>408</v>
      </c>
      <c r="BB395" t="s">
        <v>541</v>
      </c>
      <c r="BC395" t="s">
        <v>395</v>
      </c>
      <c r="BD395" t="s">
        <v>228</v>
      </c>
      <c r="BE395" t="s">
        <v>522</v>
      </c>
      <c r="BF395" t="s">
        <v>523</v>
      </c>
      <c r="BG395" t="s">
        <v>407</v>
      </c>
      <c r="BH395" t="s">
        <v>544</v>
      </c>
      <c r="BI395" t="s">
        <v>524</v>
      </c>
      <c r="BJ395" t="s">
        <v>228</v>
      </c>
      <c r="BK395" t="s">
        <v>228</v>
      </c>
      <c r="BL395" t="s">
        <v>228</v>
      </c>
      <c r="BM395" t="s">
        <v>228</v>
      </c>
      <c r="BN395" t="s">
        <v>228</v>
      </c>
      <c r="BO395" t="s">
        <v>228</v>
      </c>
      <c r="BP395" t="s">
        <v>228</v>
      </c>
      <c r="BQ395" t="s">
        <v>228</v>
      </c>
      <c r="BR395" t="s">
        <v>228</v>
      </c>
      <c r="BS395" t="s">
        <v>409</v>
      </c>
      <c r="BT395">
        <v>1</v>
      </c>
    </row>
    <row r="396" spans="1:72" x14ac:dyDescent="0.15">
      <c r="A396" s="43">
        <v>2023</v>
      </c>
      <c r="B396" s="8">
        <v>1</v>
      </c>
      <c r="C396" s="8">
        <v>1</v>
      </c>
      <c r="D396" s="8">
        <v>9</v>
      </c>
      <c r="E396" s="8" t="s">
        <v>67</v>
      </c>
      <c r="F396" s="8" t="s">
        <v>57</v>
      </c>
      <c r="G396" s="8">
        <v>2016</v>
      </c>
      <c r="H396" s="8">
        <v>12</v>
      </c>
      <c r="I396" s="8" t="s">
        <v>521</v>
      </c>
      <c r="J396" s="8" t="s">
        <v>228</v>
      </c>
      <c r="K396" s="8">
        <v>1983</v>
      </c>
      <c r="L396" s="17">
        <v>1</v>
      </c>
      <c r="M396" s="8">
        <v>1</v>
      </c>
      <c r="N396" s="8" t="s">
        <v>48</v>
      </c>
      <c r="O396" s="8" t="s">
        <v>283</v>
      </c>
      <c r="P396" s="8" t="s">
        <v>217</v>
      </c>
      <c r="Q396" s="8">
        <v>3000</v>
      </c>
      <c r="R396" s="8" t="s">
        <v>57</v>
      </c>
      <c r="S396" s="8" t="s">
        <v>53</v>
      </c>
      <c r="T396" s="8" t="s">
        <v>69</v>
      </c>
      <c r="U396" s="8" t="s">
        <v>228</v>
      </c>
      <c r="V396" s="8">
        <v>500</v>
      </c>
      <c r="W396" s="8" t="s">
        <v>328</v>
      </c>
      <c r="X396" s="8">
        <v>3000</v>
      </c>
      <c r="Y396" s="8" t="s">
        <v>271</v>
      </c>
      <c r="Z396" s="8">
        <v>85</v>
      </c>
      <c r="AA396" s="8" t="s">
        <v>278</v>
      </c>
      <c r="AB396" s="8" t="s">
        <v>228</v>
      </c>
      <c r="AC396" s="8" t="s">
        <v>228</v>
      </c>
      <c r="AD396" s="8" t="s">
        <v>228</v>
      </c>
      <c r="AE396" s="8" t="s">
        <v>228</v>
      </c>
      <c r="AF396" s="8" t="s">
        <v>228</v>
      </c>
      <c r="AG396" s="8" t="s">
        <v>228</v>
      </c>
      <c r="AH396" s="8" t="s">
        <v>228</v>
      </c>
      <c r="AI396" s="8" t="s">
        <v>228</v>
      </c>
      <c r="AJ396" t="s">
        <v>468</v>
      </c>
      <c r="AK396">
        <v>1</v>
      </c>
      <c r="AL396">
        <v>1</v>
      </c>
      <c r="AM396" t="s">
        <v>92</v>
      </c>
      <c r="AN396" t="s">
        <v>67</v>
      </c>
      <c r="AO396" t="s">
        <v>526</v>
      </c>
      <c r="AP396" t="s">
        <v>109</v>
      </c>
      <c r="AQ396">
        <v>12</v>
      </c>
      <c r="AR396" t="s">
        <v>521</v>
      </c>
      <c r="AS396" t="s">
        <v>228</v>
      </c>
      <c r="AT396" t="s">
        <v>140</v>
      </c>
      <c r="AU396">
        <v>1</v>
      </c>
      <c r="AV396">
        <v>1</v>
      </c>
      <c r="AW396" t="s">
        <v>406</v>
      </c>
      <c r="AX396" t="s">
        <v>283</v>
      </c>
      <c r="AY396" t="s">
        <v>217</v>
      </c>
      <c r="AZ396">
        <v>1</v>
      </c>
      <c r="BA396" t="s">
        <v>408</v>
      </c>
      <c r="BB396" t="s">
        <v>542</v>
      </c>
      <c r="BC396" t="s">
        <v>395</v>
      </c>
      <c r="BD396" t="s">
        <v>228</v>
      </c>
      <c r="BE396" t="s">
        <v>522</v>
      </c>
      <c r="BF396" t="s">
        <v>523</v>
      </c>
      <c r="BG396" t="s">
        <v>407</v>
      </c>
      <c r="BH396" t="s">
        <v>544</v>
      </c>
      <c r="BI396" t="s">
        <v>524</v>
      </c>
      <c r="BJ396" t="s">
        <v>228</v>
      </c>
      <c r="BK396" t="s">
        <v>228</v>
      </c>
      <c r="BL396" t="s">
        <v>228</v>
      </c>
      <c r="BM396" t="s">
        <v>228</v>
      </c>
      <c r="BN396" t="s">
        <v>228</v>
      </c>
      <c r="BO396" t="s">
        <v>228</v>
      </c>
      <c r="BP396" t="s">
        <v>228</v>
      </c>
      <c r="BQ396" t="s">
        <v>228</v>
      </c>
      <c r="BR396" t="s">
        <v>228</v>
      </c>
      <c r="BS396" t="s">
        <v>409</v>
      </c>
      <c r="BT396">
        <v>1</v>
      </c>
    </row>
    <row r="397" spans="1:72" x14ac:dyDescent="0.15">
      <c r="A397" s="43">
        <v>2023</v>
      </c>
      <c r="B397" s="8">
        <v>1</v>
      </c>
      <c r="C397" s="8">
        <v>1</v>
      </c>
      <c r="D397" s="8">
        <v>9</v>
      </c>
      <c r="E397" s="8" t="s">
        <v>67</v>
      </c>
      <c r="F397" s="8" t="s">
        <v>57</v>
      </c>
      <c r="G397" s="8">
        <v>2016</v>
      </c>
      <c r="H397" s="8">
        <v>12</v>
      </c>
      <c r="I397" s="8" t="s">
        <v>521</v>
      </c>
      <c r="J397" s="8" t="s">
        <v>228</v>
      </c>
      <c r="K397" s="8">
        <v>1983</v>
      </c>
      <c r="L397" s="17">
        <v>1</v>
      </c>
      <c r="M397" s="8">
        <v>1</v>
      </c>
      <c r="N397" s="8" t="s">
        <v>48</v>
      </c>
      <c r="O397" s="8" t="s">
        <v>283</v>
      </c>
      <c r="P397" s="8" t="s">
        <v>217</v>
      </c>
      <c r="Q397" s="8">
        <v>3000</v>
      </c>
      <c r="R397" s="8" t="s">
        <v>57</v>
      </c>
      <c r="S397" s="8" t="s">
        <v>52</v>
      </c>
      <c r="T397" s="8" t="s">
        <v>69</v>
      </c>
      <c r="U397" s="8" t="s">
        <v>228</v>
      </c>
      <c r="V397" s="8">
        <v>500</v>
      </c>
      <c r="W397" s="8" t="s">
        <v>328</v>
      </c>
      <c r="X397" s="8">
        <v>3000</v>
      </c>
      <c r="Y397" s="8" t="s">
        <v>271</v>
      </c>
      <c r="Z397" s="8">
        <v>85</v>
      </c>
      <c r="AA397" s="8" t="s">
        <v>278</v>
      </c>
      <c r="AB397" s="8" t="s">
        <v>228</v>
      </c>
      <c r="AC397" s="8" t="s">
        <v>228</v>
      </c>
      <c r="AD397" s="8" t="s">
        <v>228</v>
      </c>
      <c r="AE397" s="8" t="s">
        <v>228</v>
      </c>
      <c r="AF397" s="8" t="s">
        <v>228</v>
      </c>
      <c r="AG397" s="8" t="s">
        <v>228</v>
      </c>
      <c r="AH397" s="8" t="s">
        <v>228</v>
      </c>
      <c r="AI397" s="8" t="s">
        <v>228</v>
      </c>
      <c r="AJ397" t="s">
        <v>468</v>
      </c>
      <c r="AK397">
        <v>1</v>
      </c>
      <c r="AL397">
        <v>1</v>
      </c>
      <c r="AM397" t="s">
        <v>92</v>
      </c>
      <c r="AN397" t="s">
        <v>67</v>
      </c>
      <c r="AO397" t="s">
        <v>526</v>
      </c>
      <c r="AP397" t="s">
        <v>109</v>
      </c>
      <c r="AQ397">
        <v>12</v>
      </c>
      <c r="AR397" t="s">
        <v>521</v>
      </c>
      <c r="AS397" t="s">
        <v>228</v>
      </c>
      <c r="AT397" t="s">
        <v>140</v>
      </c>
      <c r="AU397">
        <v>1</v>
      </c>
      <c r="AV397">
        <v>1</v>
      </c>
      <c r="AW397" t="s">
        <v>406</v>
      </c>
      <c r="AX397" t="s">
        <v>283</v>
      </c>
      <c r="AY397" t="s">
        <v>217</v>
      </c>
      <c r="AZ397">
        <v>1</v>
      </c>
      <c r="BA397" t="s">
        <v>408</v>
      </c>
      <c r="BB397" t="s">
        <v>405</v>
      </c>
      <c r="BC397" t="s">
        <v>395</v>
      </c>
      <c r="BD397" t="s">
        <v>228</v>
      </c>
      <c r="BE397" t="s">
        <v>522</v>
      </c>
      <c r="BF397" t="s">
        <v>523</v>
      </c>
      <c r="BG397" t="s">
        <v>407</v>
      </c>
      <c r="BH397" t="s">
        <v>544</v>
      </c>
      <c r="BI397" t="s">
        <v>524</v>
      </c>
      <c r="BJ397" t="s">
        <v>228</v>
      </c>
      <c r="BK397" t="s">
        <v>228</v>
      </c>
      <c r="BL397" t="s">
        <v>228</v>
      </c>
      <c r="BM397" t="s">
        <v>228</v>
      </c>
      <c r="BN397" t="s">
        <v>228</v>
      </c>
      <c r="BO397" t="s">
        <v>228</v>
      </c>
      <c r="BP397" t="s">
        <v>228</v>
      </c>
      <c r="BQ397" t="s">
        <v>228</v>
      </c>
      <c r="BR397" t="s">
        <v>228</v>
      </c>
      <c r="BS397" t="s">
        <v>409</v>
      </c>
      <c r="BT397">
        <v>1</v>
      </c>
    </row>
    <row r="398" spans="1:72" x14ac:dyDescent="0.15">
      <c r="A398" s="43">
        <v>2023</v>
      </c>
      <c r="B398" s="8">
        <v>1</v>
      </c>
      <c r="C398" s="8">
        <v>1</v>
      </c>
      <c r="D398" s="8">
        <v>9</v>
      </c>
      <c r="E398" s="8" t="s">
        <v>67</v>
      </c>
      <c r="F398" s="8" t="s">
        <v>57</v>
      </c>
      <c r="G398" s="8">
        <v>2016</v>
      </c>
      <c r="H398" s="8">
        <v>12</v>
      </c>
      <c r="I398" s="8" t="s">
        <v>521</v>
      </c>
      <c r="J398" s="8" t="s">
        <v>228</v>
      </c>
      <c r="K398" s="8">
        <v>1983</v>
      </c>
      <c r="L398" s="17">
        <v>1</v>
      </c>
      <c r="M398" s="8">
        <v>1</v>
      </c>
      <c r="N398" s="8" t="s">
        <v>48</v>
      </c>
      <c r="O398" s="8" t="s">
        <v>283</v>
      </c>
      <c r="P398" s="8" t="s">
        <v>217</v>
      </c>
      <c r="Q398" s="8">
        <v>3000</v>
      </c>
      <c r="R398" s="8" t="s">
        <v>57</v>
      </c>
      <c r="S398" s="8" t="s">
        <v>54</v>
      </c>
      <c r="T398" s="8" t="s">
        <v>69</v>
      </c>
      <c r="U398" s="8" t="s">
        <v>228</v>
      </c>
      <c r="V398" s="8">
        <v>500</v>
      </c>
      <c r="W398" s="8" t="s">
        <v>328</v>
      </c>
      <c r="X398" s="8">
        <v>3000</v>
      </c>
      <c r="Y398" s="8" t="s">
        <v>271</v>
      </c>
      <c r="Z398" s="8">
        <v>85</v>
      </c>
      <c r="AA398" s="8" t="s">
        <v>278</v>
      </c>
      <c r="AB398" s="8" t="s">
        <v>247</v>
      </c>
      <c r="AC398" s="8" t="s">
        <v>228</v>
      </c>
      <c r="AD398" s="8" t="s">
        <v>228</v>
      </c>
      <c r="AE398" s="8" t="s">
        <v>228</v>
      </c>
      <c r="AF398" s="8" t="s">
        <v>228</v>
      </c>
      <c r="AG398" s="8" t="s">
        <v>228</v>
      </c>
      <c r="AH398" s="8" t="s">
        <v>228</v>
      </c>
      <c r="AI398" s="8" t="s">
        <v>228</v>
      </c>
      <c r="AJ398" t="s">
        <v>468</v>
      </c>
      <c r="AK398">
        <v>1</v>
      </c>
      <c r="AL398">
        <v>1</v>
      </c>
      <c r="AM398" t="s">
        <v>92</v>
      </c>
      <c r="AN398" t="s">
        <v>67</v>
      </c>
      <c r="AO398" t="s">
        <v>526</v>
      </c>
      <c r="AP398" t="s">
        <v>109</v>
      </c>
      <c r="AQ398">
        <v>12</v>
      </c>
      <c r="AR398" t="s">
        <v>521</v>
      </c>
      <c r="AS398" t="s">
        <v>228</v>
      </c>
      <c r="AT398" t="s">
        <v>140</v>
      </c>
      <c r="AU398">
        <v>1</v>
      </c>
      <c r="AV398">
        <v>1</v>
      </c>
      <c r="AW398" t="s">
        <v>406</v>
      </c>
      <c r="AX398" t="s">
        <v>283</v>
      </c>
      <c r="AY398" t="s">
        <v>217</v>
      </c>
      <c r="AZ398">
        <v>1</v>
      </c>
      <c r="BA398" t="s">
        <v>408</v>
      </c>
      <c r="BB398" t="s">
        <v>541</v>
      </c>
      <c r="BC398" t="s">
        <v>395</v>
      </c>
      <c r="BD398" t="s">
        <v>228</v>
      </c>
      <c r="BE398" t="s">
        <v>522</v>
      </c>
      <c r="BF398" t="s">
        <v>523</v>
      </c>
      <c r="BG398" t="s">
        <v>407</v>
      </c>
      <c r="BH398" t="s">
        <v>544</v>
      </c>
      <c r="BI398" t="s">
        <v>524</v>
      </c>
      <c r="BJ398" t="s">
        <v>228</v>
      </c>
      <c r="BK398" t="s">
        <v>543</v>
      </c>
      <c r="BL398" t="s">
        <v>228</v>
      </c>
      <c r="BM398" t="s">
        <v>228</v>
      </c>
      <c r="BN398" t="s">
        <v>228</v>
      </c>
      <c r="BO398" t="s">
        <v>228</v>
      </c>
      <c r="BP398" t="s">
        <v>228</v>
      </c>
      <c r="BQ398" t="s">
        <v>228</v>
      </c>
      <c r="BR398" t="s">
        <v>228</v>
      </c>
      <c r="BS398" t="s">
        <v>409</v>
      </c>
      <c r="BT398">
        <v>1</v>
      </c>
    </row>
    <row r="399" spans="1:72" x14ac:dyDescent="0.15">
      <c r="A399" s="43">
        <v>2023</v>
      </c>
      <c r="B399" s="8">
        <v>1</v>
      </c>
      <c r="C399" s="8">
        <v>1</v>
      </c>
      <c r="D399" s="8">
        <v>9</v>
      </c>
      <c r="E399" s="8" t="s">
        <v>67</v>
      </c>
      <c r="F399" s="8" t="s">
        <v>57</v>
      </c>
      <c r="G399" s="8">
        <v>2016</v>
      </c>
      <c r="H399" s="8">
        <v>12</v>
      </c>
      <c r="I399" s="8" t="s">
        <v>521</v>
      </c>
      <c r="J399" s="8" t="s">
        <v>228</v>
      </c>
      <c r="K399" s="8">
        <v>1983</v>
      </c>
      <c r="L399" s="17">
        <v>1</v>
      </c>
      <c r="M399" s="8">
        <v>1</v>
      </c>
      <c r="N399" s="8" t="s">
        <v>48</v>
      </c>
      <c r="O399" s="8" t="s">
        <v>283</v>
      </c>
      <c r="P399" s="8" t="s">
        <v>217</v>
      </c>
      <c r="Q399" s="8">
        <v>3000</v>
      </c>
      <c r="R399" s="8" t="s">
        <v>57</v>
      </c>
      <c r="S399" s="8" t="s">
        <v>53</v>
      </c>
      <c r="T399" s="8" t="s">
        <v>69</v>
      </c>
      <c r="U399" s="8" t="s">
        <v>228</v>
      </c>
      <c r="V399" s="8">
        <v>500</v>
      </c>
      <c r="W399" s="8" t="s">
        <v>328</v>
      </c>
      <c r="X399" s="8">
        <v>3000</v>
      </c>
      <c r="Y399" s="8" t="s">
        <v>271</v>
      </c>
      <c r="Z399" s="8">
        <v>85</v>
      </c>
      <c r="AA399" s="8" t="s">
        <v>278</v>
      </c>
      <c r="AB399" s="8" t="s">
        <v>247</v>
      </c>
      <c r="AC399" s="8" t="s">
        <v>228</v>
      </c>
      <c r="AD399" s="8" t="s">
        <v>228</v>
      </c>
      <c r="AE399" s="8" t="s">
        <v>228</v>
      </c>
      <c r="AF399" s="8" t="s">
        <v>228</v>
      </c>
      <c r="AG399" s="8" t="s">
        <v>228</v>
      </c>
      <c r="AH399" s="8" t="s">
        <v>228</v>
      </c>
      <c r="AI399" s="8" t="s">
        <v>228</v>
      </c>
      <c r="AJ399" t="s">
        <v>468</v>
      </c>
      <c r="AK399">
        <v>1</v>
      </c>
      <c r="AL399">
        <v>1</v>
      </c>
      <c r="AM399" t="s">
        <v>92</v>
      </c>
      <c r="AN399" t="s">
        <v>67</v>
      </c>
      <c r="AO399" t="s">
        <v>526</v>
      </c>
      <c r="AP399" t="s">
        <v>109</v>
      </c>
      <c r="AQ399">
        <v>12</v>
      </c>
      <c r="AR399" t="s">
        <v>521</v>
      </c>
      <c r="AS399" t="s">
        <v>228</v>
      </c>
      <c r="AT399" t="s">
        <v>140</v>
      </c>
      <c r="AU399">
        <v>1</v>
      </c>
      <c r="AV399">
        <v>1</v>
      </c>
      <c r="AW399" t="s">
        <v>406</v>
      </c>
      <c r="AX399" t="s">
        <v>283</v>
      </c>
      <c r="AY399" t="s">
        <v>217</v>
      </c>
      <c r="AZ399">
        <v>1</v>
      </c>
      <c r="BA399" t="s">
        <v>408</v>
      </c>
      <c r="BB399" t="s">
        <v>542</v>
      </c>
      <c r="BC399" t="s">
        <v>395</v>
      </c>
      <c r="BD399" t="s">
        <v>228</v>
      </c>
      <c r="BE399" t="s">
        <v>522</v>
      </c>
      <c r="BF399" t="s">
        <v>523</v>
      </c>
      <c r="BG399" t="s">
        <v>407</v>
      </c>
      <c r="BH399" t="s">
        <v>544</v>
      </c>
      <c r="BI399" t="s">
        <v>524</v>
      </c>
      <c r="BJ399" t="s">
        <v>228</v>
      </c>
      <c r="BK399" t="s">
        <v>543</v>
      </c>
      <c r="BL399" t="s">
        <v>228</v>
      </c>
      <c r="BM399" t="s">
        <v>228</v>
      </c>
      <c r="BN399" t="s">
        <v>228</v>
      </c>
      <c r="BO399" t="s">
        <v>228</v>
      </c>
      <c r="BP399" t="s">
        <v>228</v>
      </c>
      <c r="BQ399" t="s">
        <v>228</v>
      </c>
      <c r="BR399" t="s">
        <v>228</v>
      </c>
      <c r="BS399" t="s">
        <v>409</v>
      </c>
      <c r="BT399">
        <v>1</v>
      </c>
    </row>
    <row r="400" spans="1:72" x14ac:dyDescent="0.15">
      <c r="A400" s="43">
        <v>2023</v>
      </c>
      <c r="B400" s="8">
        <v>1</v>
      </c>
      <c r="C400" s="8">
        <v>1</v>
      </c>
      <c r="D400" s="8">
        <v>9</v>
      </c>
      <c r="E400" s="8" t="s">
        <v>67</v>
      </c>
      <c r="F400" s="8" t="s">
        <v>57</v>
      </c>
      <c r="G400" s="8">
        <v>2016</v>
      </c>
      <c r="H400" s="8">
        <v>12</v>
      </c>
      <c r="I400" s="8" t="s">
        <v>521</v>
      </c>
      <c r="J400" s="8" t="s">
        <v>228</v>
      </c>
      <c r="K400" s="8">
        <v>1983</v>
      </c>
      <c r="L400" s="17">
        <v>1</v>
      </c>
      <c r="M400" s="8">
        <v>1</v>
      </c>
      <c r="N400" s="8" t="s">
        <v>48</v>
      </c>
      <c r="O400" s="8" t="s">
        <v>283</v>
      </c>
      <c r="P400" s="8" t="s">
        <v>217</v>
      </c>
      <c r="Q400" s="8">
        <v>3000</v>
      </c>
      <c r="R400" s="8" t="s">
        <v>57</v>
      </c>
      <c r="S400" s="8" t="s">
        <v>52</v>
      </c>
      <c r="T400" s="8" t="s">
        <v>69</v>
      </c>
      <c r="U400" s="8" t="s">
        <v>228</v>
      </c>
      <c r="V400" s="8">
        <v>500</v>
      </c>
      <c r="W400" s="8" t="s">
        <v>328</v>
      </c>
      <c r="X400" s="8">
        <v>3000</v>
      </c>
      <c r="Y400" s="8" t="s">
        <v>271</v>
      </c>
      <c r="Z400" s="8">
        <v>85</v>
      </c>
      <c r="AA400" s="8" t="s">
        <v>278</v>
      </c>
      <c r="AB400" s="8" t="s">
        <v>247</v>
      </c>
      <c r="AC400" s="8" t="s">
        <v>228</v>
      </c>
      <c r="AD400" s="8" t="s">
        <v>228</v>
      </c>
      <c r="AE400" s="8" t="s">
        <v>228</v>
      </c>
      <c r="AF400" s="8" t="s">
        <v>228</v>
      </c>
      <c r="AG400" s="8" t="s">
        <v>228</v>
      </c>
      <c r="AH400" s="8" t="s">
        <v>228</v>
      </c>
      <c r="AI400" s="8" t="s">
        <v>228</v>
      </c>
      <c r="AJ400" t="s">
        <v>468</v>
      </c>
      <c r="AK400">
        <v>1</v>
      </c>
      <c r="AL400">
        <v>1</v>
      </c>
      <c r="AM400" t="s">
        <v>92</v>
      </c>
      <c r="AN400" t="s">
        <v>67</v>
      </c>
      <c r="AO400" t="s">
        <v>526</v>
      </c>
      <c r="AP400" t="s">
        <v>109</v>
      </c>
      <c r="AQ400">
        <v>12</v>
      </c>
      <c r="AR400" t="s">
        <v>521</v>
      </c>
      <c r="AS400" t="s">
        <v>228</v>
      </c>
      <c r="AT400" t="s">
        <v>140</v>
      </c>
      <c r="AU400">
        <v>1</v>
      </c>
      <c r="AV400">
        <v>1</v>
      </c>
      <c r="AW400" t="s">
        <v>406</v>
      </c>
      <c r="AX400" t="s">
        <v>283</v>
      </c>
      <c r="AY400" t="s">
        <v>217</v>
      </c>
      <c r="AZ400">
        <v>1</v>
      </c>
      <c r="BA400" t="s">
        <v>408</v>
      </c>
      <c r="BB400" t="s">
        <v>405</v>
      </c>
      <c r="BC400" t="s">
        <v>395</v>
      </c>
      <c r="BD400" t="s">
        <v>228</v>
      </c>
      <c r="BE400" t="s">
        <v>522</v>
      </c>
      <c r="BF400" t="s">
        <v>523</v>
      </c>
      <c r="BG400" t="s">
        <v>407</v>
      </c>
      <c r="BH400" t="s">
        <v>544</v>
      </c>
      <c r="BI400" t="s">
        <v>524</v>
      </c>
      <c r="BJ400" t="s">
        <v>228</v>
      </c>
      <c r="BK400" t="s">
        <v>543</v>
      </c>
      <c r="BL400" t="s">
        <v>228</v>
      </c>
      <c r="BM400" t="s">
        <v>228</v>
      </c>
      <c r="BN400" t="s">
        <v>228</v>
      </c>
      <c r="BO400" t="s">
        <v>228</v>
      </c>
      <c r="BP400" t="s">
        <v>228</v>
      </c>
      <c r="BQ400" t="s">
        <v>228</v>
      </c>
      <c r="BR400" t="s">
        <v>228</v>
      </c>
      <c r="BS400" t="s">
        <v>409</v>
      </c>
      <c r="BT400">
        <v>0</v>
      </c>
    </row>
    <row r="401" spans="1:72" x14ac:dyDescent="0.15">
      <c r="A401" s="43">
        <v>2023</v>
      </c>
      <c r="B401" s="8">
        <v>1</v>
      </c>
      <c r="C401" s="8">
        <v>1</v>
      </c>
      <c r="D401" s="8">
        <v>8</v>
      </c>
      <c r="E401" s="8" t="s">
        <v>67</v>
      </c>
      <c r="F401" s="8" t="s">
        <v>57</v>
      </c>
      <c r="G401" s="8">
        <v>2016</v>
      </c>
      <c r="H401" s="8">
        <v>12</v>
      </c>
      <c r="I401" s="8" t="s">
        <v>521</v>
      </c>
      <c r="J401" s="8" t="s">
        <v>228</v>
      </c>
      <c r="K401" s="8">
        <v>1983</v>
      </c>
      <c r="L401" s="17">
        <v>1</v>
      </c>
      <c r="M401" s="8">
        <v>1</v>
      </c>
      <c r="N401" s="8" t="s">
        <v>48</v>
      </c>
      <c r="O401" s="8" t="s">
        <v>283</v>
      </c>
      <c r="P401" s="8" t="s">
        <v>217</v>
      </c>
      <c r="Q401" s="8">
        <v>3000</v>
      </c>
      <c r="R401" s="8" t="s">
        <v>57</v>
      </c>
      <c r="S401" s="8" t="s">
        <v>54</v>
      </c>
      <c r="T401" s="8" t="s">
        <v>69</v>
      </c>
      <c r="U401" s="8" t="s">
        <v>228</v>
      </c>
      <c r="V401" s="8">
        <v>500</v>
      </c>
      <c r="W401" s="8" t="s">
        <v>328</v>
      </c>
      <c r="X401" s="8">
        <v>3000</v>
      </c>
      <c r="Y401" s="8" t="s">
        <v>268</v>
      </c>
      <c r="Z401" s="8">
        <v>85</v>
      </c>
      <c r="AA401" s="8" t="s">
        <v>278</v>
      </c>
      <c r="AB401" s="8" t="s">
        <v>228</v>
      </c>
      <c r="AC401" s="8" t="s">
        <v>228</v>
      </c>
      <c r="AD401" s="8" t="s">
        <v>228</v>
      </c>
      <c r="AE401" s="8" t="s">
        <v>228</v>
      </c>
      <c r="AF401" s="8" t="s">
        <v>228</v>
      </c>
      <c r="AG401" s="8" t="s">
        <v>228</v>
      </c>
      <c r="AH401" s="8" t="s">
        <v>228</v>
      </c>
      <c r="AI401" s="8" t="s">
        <v>228</v>
      </c>
      <c r="AJ401" t="s">
        <v>468</v>
      </c>
      <c r="AK401">
        <v>1</v>
      </c>
      <c r="AL401">
        <v>1</v>
      </c>
      <c r="AM401" t="s">
        <v>93</v>
      </c>
      <c r="AN401" t="s">
        <v>67</v>
      </c>
      <c r="AO401" t="s">
        <v>526</v>
      </c>
      <c r="AP401" t="s">
        <v>109</v>
      </c>
      <c r="AQ401">
        <v>12</v>
      </c>
      <c r="AR401" t="s">
        <v>521</v>
      </c>
      <c r="AS401" t="s">
        <v>228</v>
      </c>
      <c r="AT401" t="s">
        <v>140</v>
      </c>
      <c r="AU401">
        <v>1</v>
      </c>
      <c r="AV401">
        <v>1</v>
      </c>
      <c r="AW401" t="s">
        <v>406</v>
      </c>
      <c r="AX401" t="s">
        <v>283</v>
      </c>
      <c r="AY401" t="s">
        <v>217</v>
      </c>
      <c r="AZ401">
        <v>1</v>
      </c>
      <c r="BA401" t="s">
        <v>408</v>
      </c>
      <c r="BB401" t="s">
        <v>541</v>
      </c>
      <c r="BC401" t="s">
        <v>395</v>
      </c>
      <c r="BD401" t="s">
        <v>228</v>
      </c>
      <c r="BE401" t="s">
        <v>522</v>
      </c>
      <c r="BF401" t="s">
        <v>523</v>
      </c>
      <c r="BG401" t="s">
        <v>407</v>
      </c>
      <c r="BH401" t="s">
        <v>396</v>
      </c>
      <c r="BI401" t="s">
        <v>524</v>
      </c>
      <c r="BJ401" t="s">
        <v>228</v>
      </c>
      <c r="BK401" t="s">
        <v>228</v>
      </c>
      <c r="BL401" t="s">
        <v>228</v>
      </c>
      <c r="BM401" t="s">
        <v>228</v>
      </c>
      <c r="BN401" t="s">
        <v>228</v>
      </c>
      <c r="BO401" t="s">
        <v>228</v>
      </c>
      <c r="BP401" t="s">
        <v>228</v>
      </c>
      <c r="BQ401" t="s">
        <v>228</v>
      </c>
      <c r="BR401" t="s">
        <v>228</v>
      </c>
      <c r="BS401" t="s">
        <v>409</v>
      </c>
      <c r="BT401">
        <v>1</v>
      </c>
    </row>
    <row r="402" spans="1:72" x14ac:dyDescent="0.15">
      <c r="A402" s="43">
        <v>2023</v>
      </c>
      <c r="B402" s="8">
        <v>1</v>
      </c>
      <c r="C402" s="8">
        <v>1</v>
      </c>
      <c r="D402" s="8">
        <v>8</v>
      </c>
      <c r="E402" s="8" t="s">
        <v>67</v>
      </c>
      <c r="F402" s="8" t="s">
        <v>57</v>
      </c>
      <c r="G402" s="8">
        <v>2016</v>
      </c>
      <c r="H402" s="8">
        <v>12</v>
      </c>
      <c r="I402" s="8" t="s">
        <v>521</v>
      </c>
      <c r="J402" s="8" t="s">
        <v>228</v>
      </c>
      <c r="K402" s="8">
        <v>1983</v>
      </c>
      <c r="L402" s="17">
        <v>1</v>
      </c>
      <c r="M402" s="8">
        <v>1</v>
      </c>
      <c r="N402" s="8" t="s">
        <v>48</v>
      </c>
      <c r="O402" s="8" t="s">
        <v>283</v>
      </c>
      <c r="P402" s="8" t="s">
        <v>217</v>
      </c>
      <c r="Q402" s="8">
        <v>3000</v>
      </c>
      <c r="R402" s="8" t="s">
        <v>57</v>
      </c>
      <c r="S402" s="8" t="s">
        <v>53</v>
      </c>
      <c r="T402" s="8" t="s">
        <v>69</v>
      </c>
      <c r="U402" s="8" t="s">
        <v>228</v>
      </c>
      <c r="V402" s="8">
        <v>500</v>
      </c>
      <c r="W402" s="8" t="s">
        <v>328</v>
      </c>
      <c r="X402" s="8">
        <v>3000</v>
      </c>
      <c r="Y402" s="8" t="s">
        <v>268</v>
      </c>
      <c r="Z402" s="8">
        <v>85</v>
      </c>
      <c r="AA402" s="8" t="s">
        <v>278</v>
      </c>
      <c r="AB402" s="8" t="s">
        <v>228</v>
      </c>
      <c r="AC402" s="8" t="s">
        <v>228</v>
      </c>
      <c r="AD402" s="8" t="s">
        <v>228</v>
      </c>
      <c r="AE402" s="8" t="s">
        <v>228</v>
      </c>
      <c r="AF402" s="8" t="s">
        <v>228</v>
      </c>
      <c r="AG402" s="8" t="s">
        <v>228</v>
      </c>
      <c r="AH402" s="8" t="s">
        <v>228</v>
      </c>
      <c r="AI402" s="8" t="s">
        <v>228</v>
      </c>
      <c r="AJ402" t="s">
        <v>468</v>
      </c>
      <c r="AK402">
        <v>1</v>
      </c>
      <c r="AL402">
        <v>1</v>
      </c>
      <c r="AM402" t="s">
        <v>93</v>
      </c>
      <c r="AN402" t="s">
        <v>67</v>
      </c>
      <c r="AO402" t="s">
        <v>526</v>
      </c>
      <c r="AP402" t="s">
        <v>109</v>
      </c>
      <c r="AQ402">
        <v>12</v>
      </c>
      <c r="AR402" t="s">
        <v>521</v>
      </c>
      <c r="AS402" t="s">
        <v>228</v>
      </c>
      <c r="AT402" t="s">
        <v>140</v>
      </c>
      <c r="AU402">
        <v>1</v>
      </c>
      <c r="AV402">
        <v>1</v>
      </c>
      <c r="AW402" t="s">
        <v>406</v>
      </c>
      <c r="AX402" t="s">
        <v>283</v>
      </c>
      <c r="AY402" t="s">
        <v>217</v>
      </c>
      <c r="AZ402">
        <v>1</v>
      </c>
      <c r="BA402" t="s">
        <v>408</v>
      </c>
      <c r="BB402" t="s">
        <v>542</v>
      </c>
      <c r="BC402" t="s">
        <v>395</v>
      </c>
      <c r="BD402" t="s">
        <v>228</v>
      </c>
      <c r="BE402" t="s">
        <v>522</v>
      </c>
      <c r="BF402" t="s">
        <v>523</v>
      </c>
      <c r="BG402" t="s">
        <v>407</v>
      </c>
      <c r="BH402" t="s">
        <v>396</v>
      </c>
      <c r="BI402" t="s">
        <v>524</v>
      </c>
      <c r="BJ402" t="s">
        <v>228</v>
      </c>
      <c r="BK402" t="s">
        <v>228</v>
      </c>
      <c r="BL402" t="s">
        <v>228</v>
      </c>
      <c r="BM402" t="s">
        <v>228</v>
      </c>
      <c r="BN402" t="s">
        <v>228</v>
      </c>
      <c r="BO402" t="s">
        <v>228</v>
      </c>
      <c r="BP402" t="s">
        <v>228</v>
      </c>
      <c r="BQ402" t="s">
        <v>228</v>
      </c>
      <c r="BR402" t="s">
        <v>228</v>
      </c>
      <c r="BS402" t="s">
        <v>409</v>
      </c>
      <c r="BT402">
        <v>1</v>
      </c>
    </row>
    <row r="403" spans="1:72" x14ac:dyDescent="0.15">
      <c r="A403" s="43">
        <v>2023</v>
      </c>
      <c r="B403" s="8">
        <v>1</v>
      </c>
      <c r="C403" s="8">
        <v>1</v>
      </c>
      <c r="D403" s="8">
        <v>8</v>
      </c>
      <c r="E403" s="8" t="s">
        <v>67</v>
      </c>
      <c r="F403" s="8" t="s">
        <v>57</v>
      </c>
      <c r="G403" s="8">
        <v>2016</v>
      </c>
      <c r="H403" s="8">
        <v>12</v>
      </c>
      <c r="I403" s="8" t="s">
        <v>521</v>
      </c>
      <c r="J403" s="8" t="s">
        <v>228</v>
      </c>
      <c r="K403" s="8">
        <v>1983</v>
      </c>
      <c r="L403" s="17">
        <v>1</v>
      </c>
      <c r="M403" s="8">
        <v>1</v>
      </c>
      <c r="N403" s="8" t="s">
        <v>48</v>
      </c>
      <c r="O403" s="8" t="s">
        <v>283</v>
      </c>
      <c r="P403" s="8" t="s">
        <v>217</v>
      </c>
      <c r="Q403" s="8">
        <v>3000</v>
      </c>
      <c r="R403" s="8" t="s">
        <v>57</v>
      </c>
      <c r="S403" s="8" t="s">
        <v>52</v>
      </c>
      <c r="T403" s="8" t="s">
        <v>69</v>
      </c>
      <c r="U403" s="8" t="s">
        <v>228</v>
      </c>
      <c r="V403" s="8">
        <v>500</v>
      </c>
      <c r="W403" s="8" t="s">
        <v>328</v>
      </c>
      <c r="X403" s="8">
        <v>3000</v>
      </c>
      <c r="Y403" s="8" t="s">
        <v>268</v>
      </c>
      <c r="Z403" s="8">
        <v>85</v>
      </c>
      <c r="AA403" s="8" t="s">
        <v>278</v>
      </c>
      <c r="AB403" s="8" t="s">
        <v>228</v>
      </c>
      <c r="AC403" s="8" t="s">
        <v>228</v>
      </c>
      <c r="AD403" s="8" t="s">
        <v>228</v>
      </c>
      <c r="AE403" s="8" t="s">
        <v>228</v>
      </c>
      <c r="AF403" s="8" t="s">
        <v>228</v>
      </c>
      <c r="AG403" s="8" t="s">
        <v>228</v>
      </c>
      <c r="AH403" s="8" t="s">
        <v>228</v>
      </c>
      <c r="AI403" s="8" t="s">
        <v>228</v>
      </c>
      <c r="AJ403" t="s">
        <v>468</v>
      </c>
      <c r="AK403">
        <v>1</v>
      </c>
      <c r="AL403">
        <v>1</v>
      </c>
      <c r="AM403" t="s">
        <v>93</v>
      </c>
      <c r="AN403" t="s">
        <v>67</v>
      </c>
      <c r="AO403" t="s">
        <v>526</v>
      </c>
      <c r="AP403" t="s">
        <v>109</v>
      </c>
      <c r="AQ403">
        <v>12</v>
      </c>
      <c r="AR403" t="s">
        <v>521</v>
      </c>
      <c r="AS403" t="s">
        <v>228</v>
      </c>
      <c r="AT403" t="s">
        <v>140</v>
      </c>
      <c r="AU403">
        <v>1</v>
      </c>
      <c r="AV403">
        <v>1</v>
      </c>
      <c r="AW403" t="s">
        <v>406</v>
      </c>
      <c r="AX403" t="s">
        <v>283</v>
      </c>
      <c r="AY403" t="s">
        <v>217</v>
      </c>
      <c r="AZ403">
        <v>1</v>
      </c>
      <c r="BA403" t="s">
        <v>408</v>
      </c>
      <c r="BB403" t="s">
        <v>405</v>
      </c>
      <c r="BC403" t="s">
        <v>395</v>
      </c>
      <c r="BD403" t="s">
        <v>228</v>
      </c>
      <c r="BE403" t="s">
        <v>522</v>
      </c>
      <c r="BF403" t="s">
        <v>523</v>
      </c>
      <c r="BG403" t="s">
        <v>407</v>
      </c>
      <c r="BH403" t="s">
        <v>396</v>
      </c>
      <c r="BI403" t="s">
        <v>524</v>
      </c>
      <c r="BJ403" t="s">
        <v>228</v>
      </c>
      <c r="BK403" t="s">
        <v>228</v>
      </c>
      <c r="BL403" t="s">
        <v>228</v>
      </c>
      <c r="BM403" t="s">
        <v>228</v>
      </c>
      <c r="BN403" t="s">
        <v>228</v>
      </c>
      <c r="BO403" t="s">
        <v>228</v>
      </c>
      <c r="BP403" t="s">
        <v>228</v>
      </c>
      <c r="BQ403" t="s">
        <v>228</v>
      </c>
      <c r="BR403" t="s">
        <v>228</v>
      </c>
      <c r="BS403" t="s">
        <v>409</v>
      </c>
      <c r="BT403">
        <v>1</v>
      </c>
    </row>
    <row r="404" spans="1:72" x14ac:dyDescent="0.15">
      <c r="A404" s="43">
        <v>2023</v>
      </c>
      <c r="B404" s="8">
        <v>1</v>
      </c>
      <c r="C404" s="8">
        <v>1</v>
      </c>
      <c r="D404" s="8">
        <v>8</v>
      </c>
      <c r="E404" s="8" t="s">
        <v>67</v>
      </c>
      <c r="F404" s="8" t="s">
        <v>57</v>
      </c>
      <c r="G404" s="8">
        <v>2016</v>
      </c>
      <c r="H404" s="8">
        <v>12</v>
      </c>
      <c r="I404" s="8" t="s">
        <v>521</v>
      </c>
      <c r="J404" s="8" t="s">
        <v>228</v>
      </c>
      <c r="K404" s="8">
        <v>1983</v>
      </c>
      <c r="L404" s="17">
        <v>1</v>
      </c>
      <c r="M404" s="8">
        <v>1</v>
      </c>
      <c r="N404" s="8" t="s">
        <v>48</v>
      </c>
      <c r="O404" s="8" t="s">
        <v>283</v>
      </c>
      <c r="P404" s="8" t="s">
        <v>217</v>
      </c>
      <c r="Q404" s="8">
        <v>3000</v>
      </c>
      <c r="R404" s="8" t="s">
        <v>57</v>
      </c>
      <c r="S404" s="8" t="s">
        <v>54</v>
      </c>
      <c r="T404" s="8" t="s">
        <v>69</v>
      </c>
      <c r="U404" s="8" t="s">
        <v>228</v>
      </c>
      <c r="V404" s="8">
        <v>500</v>
      </c>
      <c r="W404" s="8" t="s">
        <v>328</v>
      </c>
      <c r="X404" s="8">
        <v>3000</v>
      </c>
      <c r="Y404" s="8" t="s">
        <v>268</v>
      </c>
      <c r="Z404" s="8">
        <v>85</v>
      </c>
      <c r="AA404" s="8" t="s">
        <v>278</v>
      </c>
      <c r="AB404" s="8" t="s">
        <v>247</v>
      </c>
      <c r="AC404" s="8" t="s">
        <v>228</v>
      </c>
      <c r="AD404" s="8" t="s">
        <v>228</v>
      </c>
      <c r="AE404" s="8" t="s">
        <v>228</v>
      </c>
      <c r="AF404" s="8" t="s">
        <v>228</v>
      </c>
      <c r="AG404" s="8" t="s">
        <v>228</v>
      </c>
      <c r="AH404" s="8" t="s">
        <v>228</v>
      </c>
      <c r="AI404" s="8" t="s">
        <v>228</v>
      </c>
      <c r="AJ404" t="s">
        <v>468</v>
      </c>
      <c r="AK404">
        <v>1</v>
      </c>
      <c r="AL404">
        <v>1</v>
      </c>
      <c r="AM404" t="s">
        <v>93</v>
      </c>
      <c r="AN404" t="s">
        <v>67</v>
      </c>
      <c r="AO404" t="s">
        <v>526</v>
      </c>
      <c r="AP404" t="s">
        <v>109</v>
      </c>
      <c r="AQ404">
        <v>12</v>
      </c>
      <c r="AR404" t="s">
        <v>521</v>
      </c>
      <c r="AS404" t="s">
        <v>228</v>
      </c>
      <c r="AT404" t="s">
        <v>140</v>
      </c>
      <c r="AU404">
        <v>1</v>
      </c>
      <c r="AV404">
        <v>1</v>
      </c>
      <c r="AW404" t="s">
        <v>406</v>
      </c>
      <c r="AX404" t="s">
        <v>283</v>
      </c>
      <c r="AY404" t="s">
        <v>217</v>
      </c>
      <c r="AZ404">
        <v>1</v>
      </c>
      <c r="BA404" t="s">
        <v>408</v>
      </c>
      <c r="BB404" t="s">
        <v>541</v>
      </c>
      <c r="BC404" t="s">
        <v>395</v>
      </c>
      <c r="BD404" t="s">
        <v>228</v>
      </c>
      <c r="BE404" t="s">
        <v>522</v>
      </c>
      <c r="BF404" t="s">
        <v>523</v>
      </c>
      <c r="BG404" t="s">
        <v>407</v>
      </c>
      <c r="BH404" t="s">
        <v>396</v>
      </c>
      <c r="BI404" t="s">
        <v>524</v>
      </c>
      <c r="BJ404" t="s">
        <v>228</v>
      </c>
      <c r="BK404" t="s">
        <v>543</v>
      </c>
      <c r="BL404" t="s">
        <v>228</v>
      </c>
      <c r="BM404" t="s">
        <v>228</v>
      </c>
      <c r="BN404" t="s">
        <v>228</v>
      </c>
      <c r="BO404" t="s">
        <v>228</v>
      </c>
      <c r="BP404" t="s">
        <v>228</v>
      </c>
      <c r="BQ404" t="s">
        <v>228</v>
      </c>
      <c r="BR404" t="s">
        <v>228</v>
      </c>
      <c r="BS404" t="s">
        <v>409</v>
      </c>
      <c r="BT404">
        <v>1</v>
      </c>
    </row>
    <row r="405" spans="1:72" x14ac:dyDescent="0.15">
      <c r="A405" s="43">
        <v>2023</v>
      </c>
      <c r="B405" s="8">
        <v>1</v>
      </c>
      <c r="C405" s="8">
        <v>1</v>
      </c>
      <c r="D405" s="8">
        <v>8</v>
      </c>
      <c r="E405" s="8" t="s">
        <v>67</v>
      </c>
      <c r="F405" s="8" t="s">
        <v>57</v>
      </c>
      <c r="G405" s="8">
        <v>2016</v>
      </c>
      <c r="H405" s="8">
        <v>12</v>
      </c>
      <c r="I405" s="8" t="s">
        <v>521</v>
      </c>
      <c r="J405" s="8" t="s">
        <v>228</v>
      </c>
      <c r="K405" s="8">
        <v>1983</v>
      </c>
      <c r="L405" s="17">
        <v>1</v>
      </c>
      <c r="M405" s="8">
        <v>1</v>
      </c>
      <c r="N405" s="8" t="s">
        <v>48</v>
      </c>
      <c r="O405" s="8" t="s">
        <v>283</v>
      </c>
      <c r="P405" s="8" t="s">
        <v>217</v>
      </c>
      <c r="Q405" s="8">
        <v>3000</v>
      </c>
      <c r="R405" s="8" t="s">
        <v>57</v>
      </c>
      <c r="S405" s="8" t="s">
        <v>53</v>
      </c>
      <c r="T405" s="8" t="s">
        <v>69</v>
      </c>
      <c r="U405" s="8" t="s">
        <v>228</v>
      </c>
      <c r="V405" s="8">
        <v>500</v>
      </c>
      <c r="W405" s="8" t="s">
        <v>328</v>
      </c>
      <c r="X405" s="8">
        <v>3000</v>
      </c>
      <c r="Y405" s="8" t="s">
        <v>268</v>
      </c>
      <c r="Z405" s="8">
        <v>85</v>
      </c>
      <c r="AA405" s="8" t="s">
        <v>278</v>
      </c>
      <c r="AB405" s="8" t="s">
        <v>247</v>
      </c>
      <c r="AC405" s="8" t="s">
        <v>228</v>
      </c>
      <c r="AD405" s="8" t="s">
        <v>228</v>
      </c>
      <c r="AE405" s="8" t="s">
        <v>228</v>
      </c>
      <c r="AF405" s="8" t="s">
        <v>228</v>
      </c>
      <c r="AG405" s="8" t="s">
        <v>228</v>
      </c>
      <c r="AH405" s="8" t="s">
        <v>228</v>
      </c>
      <c r="AI405" s="8" t="s">
        <v>228</v>
      </c>
      <c r="AJ405" t="s">
        <v>468</v>
      </c>
      <c r="AK405">
        <v>1</v>
      </c>
      <c r="AL405">
        <v>1</v>
      </c>
      <c r="AM405" t="s">
        <v>93</v>
      </c>
      <c r="AN405" t="s">
        <v>67</v>
      </c>
      <c r="AO405" t="s">
        <v>526</v>
      </c>
      <c r="AP405" t="s">
        <v>109</v>
      </c>
      <c r="AQ405">
        <v>12</v>
      </c>
      <c r="AR405" t="s">
        <v>521</v>
      </c>
      <c r="AS405" t="s">
        <v>228</v>
      </c>
      <c r="AT405" t="s">
        <v>140</v>
      </c>
      <c r="AU405">
        <v>1</v>
      </c>
      <c r="AV405">
        <v>1</v>
      </c>
      <c r="AW405" t="s">
        <v>406</v>
      </c>
      <c r="AX405" t="s">
        <v>283</v>
      </c>
      <c r="AY405" t="s">
        <v>217</v>
      </c>
      <c r="AZ405">
        <v>1</v>
      </c>
      <c r="BA405" t="s">
        <v>408</v>
      </c>
      <c r="BB405" t="s">
        <v>542</v>
      </c>
      <c r="BC405" t="s">
        <v>395</v>
      </c>
      <c r="BD405" t="s">
        <v>228</v>
      </c>
      <c r="BE405" t="s">
        <v>522</v>
      </c>
      <c r="BF405" t="s">
        <v>523</v>
      </c>
      <c r="BG405" t="s">
        <v>407</v>
      </c>
      <c r="BH405" t="s">
        <v>396</v>
      </c>
      <c r="BI405" t="s">
        <v>524</v>
      </c>
      <c r="BJ405" t="s">
        <v>228</v>
      </c>
      <c r="BK405" t="s">
        <v>543</v>
      </c>
      <c r="BL405" t="s">
        <v>228</v>
      </c>
      <c r="BM405" t="s">
        <v>228</v>
      </c>
      <c r="BN405" t="s">
        <v>228</v>
      </c>
      <c r="BO405" t="s">
        <v>228</v>
      </c>
      <c r="BP405" t="s">
        <v>228</v>
      </c>
      <c r="BQ405" t="s">
        <v>228</v>
      </c>
      <c r="BR405" t="s">
        <v>228</v>
      </c>
      <c r="BS405" t="s">
        <v>409</v>
      </c>
      <c r="BT405">
        <v>1</v>
      </c>
    </row>
    <row r="406" spans="1:72" x14ac:dyDescent="0.15">
      <c r="A406" s="43">
        <v>2023</v>
      </c>
      <c r="B406" s="8">
        <v>1</v>
      </c>
      <c r="C406" s="8">
        <v>1</v>
      </c>
      <c r="D406" s="8">
        <v>8</v>
      </c>
      <c r="E406" s="8" t="s">
        <v>67</v>
      </c>
      <c r="F406" s="8" t="s">
        <v>57</v>
      </c>
      <c r="G406" s="8">
        <v>2016</v>
      </c>
      <c r="H406" s="8">
        <v>12</v>
      </c>
      <c r="I406" s="8" t="s">
        <v>521</v>
      </c>
      <c r="J406" s="8" t="s">
        <v>228</v>
      </c>
      <c r="K406" s="8">
        <v>1983</v>
      </c>
      <c r="L406" s="17">
        <v>1</v>
      </c>
      <c r="M406" s="8">
        <v>1</v>
      </c>
      <c r="N406" s="8" t="s">
        <v>48</v>
      </c>
      <c r="O406" s="8" t="s">
        <v>283</v>
      </c>
      <c r="P406" s="8" t="s">
        <v>217</v>
      </c>
      <c r="Q406" s="8">
        <v>3000</v>
      </c>
      <c r="R406" s="8" t="s">
        <v>57</v>
      </c>
      <c r="S406" s="8" t="s">
        <v>52</v>
      </c>
      <c r="T406" s="8" t="s">
        <v>69</v>
      </c>
      <c r="U406" s="8" t="s">
        <v>228</v>
      </c>
      <c r="V406" s="8">
        <v>500</v>
      </c>
      <c r="W406" s="8" t="s">
        <v>328</v>
      </c>
      <c r="X406" s="8">
        <v>3000</v>
      </c>
      <c r="Y406" s="8" t="s">
        <v>268</v>
      </c>
      <c r="Z406" s="8">
        <v>85</v>
      </c>
      <c r="AA406" s="8" t="s">
        <v>278</v>
      </c>
      <c r="AB406" s="8" t="s">
        <v>247</v>
      </c>
      <c r="AC406" s="8" t="s">
        <v>228</v>
      </c>
      <c r="AD406" s="8" t="s">
        <v>228</v>
      </c>
      <c r="AE406" s="8" t="s">
        <v>228</v>
      </c>
      <c r="AF406" s="8" t="s">
        <v>228</v>
      </c>
      <c r="AG406" s="8" t="s">
        <v>228</v>
      </c>
      <c r="AH406" s="8" t="s">
        <v>228</v>
      </c>
      <c r="AI406" s="8" t="s">
        <v>228</v>
      </c>
      <c r="AJ406" t="s">
        <v>468</v>
      </c>
      <c r="AK406">
        <v>1</v>
      </c>
      <c r="AL406">
        <v>1</v>
      </c>
      <c r="AM406" t="s">
        <v>93</v>
      </c>
      <c r="AN406" t="s">
        <v>67</v>
      </c>
      <c r="AO406" t="s">
        <v>526</v>
      </c>
      <c r="AP406" t="s">
        <v>109</v>
      </c>
      <c r="AQ406">
        <v>12</v>
      </c>
      <c r="AR406" t="s">
        <v>521</v>
      </c>
      <c r="AS406" t="s">
        <v>228</v>
      </c>
      <c r="AT406" t="s">
        <v>140</v>
      </c>
      <c r="AU406">
        <v>1</v>
      </c>
      <c r="AV406">
        <v>1</v>
      </c>
      <c r="AW406" t="s">
        <v>406</v>
      </c>
      <c r="AX406" t="s">
        <v>283</v>
      </c>
      <c r="AY406" t="s">
        <v>217</v>
      </c>
      <c r="AZ406">
        <v>1</v>
      </c>
      <c r="BA406" t="s">
        <v>408</v>
      </c>
      <c r="BB406" t="s">
        <v>405</v>
      </c>
      <c r="BC406" t="s">
        <v>395</v>
      </c>
      <c r="BD406" t="s">
        <v>228</v>
      </c>
      <c r="BE406" t="s">
        <v>522</v>
      </c>
      <c r="BF406" t="s">
        <v>523</v>
      </c>
      <c r="BG406" t="s">
        <v>407</v>
      </c>
      <c r="BH406" t="s">
        <v>396</v>
      </c>
      <c r="BI406" t="s">
        <v>524</v>
      </c>
      <c r="BJ406" t="s">
        <v>228</v>
      </c>
      <c r="BK406" t="s">
        <v>543</v>
      </c>
      <c r="BL406" t="s">
        <v>228</v>
      </c>
      <c r="BM406" t="s">
        <v>228</v>
      </c>
      <c r="BN406" t="s">
        <v>228</v>
      </c>
      <c r="BO406" t="s">
        <v>228</v>
      </c>
      <c r="BP406" t="s">
        <v>228</v>
      </c>
      <c r="BQ406" t="s">
        <v>228</v>
      </c>
      <c r="BR406" t="s">
        <v>228</v>
      </c>
      <c r="BS406" t="s">
        <v>409</v>
      </c>
      <c r="BT406">
        <v>1</v>
      </c>
    </row>
    <row r="407" spans="1:72" x14ac:dyDescent="0.15">
      <c r="A407" s="43">
        <v>2023</v>
      </c>
      <c r="B407" s="8">
        <v>1</v>
      </c>
      <c r="C407" s="8">
        <v>1</v>
      </c>
      <c r="D407" s="8">
        <v>8</v>
      </c>
      <c r="E407" s="8" t="s">
        <v>67</v>
      </c>
      <c r="F407" s="8" t="s">
        <v>57</v>
      </c>
      <c r="G407" s="8">
        <v>2016</v>
      </c>
      <c r="H407" s="8">
        <v>12</v>
      </c>
      <c r="I407" s="8" t="s">
        <v>521</v>
      </c>
      <c r="J407" s="8" t="s">
        <v>228</v>
      </c>
      <c r="K407" s="8">
        <v>1983</v>
      </c>
      <c r="L407" s="17">
        <v>1</v>
      </c>
      <c r="M407" s="8">
        <v>1</v>
      </c>
      <c r="N407" s="8" t="s">
        <v>48</v>
      </c>
      <c r="O407" s="8" t="s">
        <v>283</v>
      </c>
      <c r="P407" s="8" t="s">
        <v>217</v>
      </c>
      <c r="Q407" s="8">
        <v>3000</v>
      </c>
      <c r="R407" s="8" t="s">
        <v>57</v>
      </c>
      <c r="S407" s="8" t="s">
        <v>54</v>
      </c>
      <c r="T407" s="8" t="s">
        <v>69</v>
      </c>
      <c r="U407" s="8" t="s">
        <v>228</v>
      </c>
      <c r="V407" s="8">
        <v>500</v>
      </c>
      <c r="W407" s="8" t="s">
        <v>328</v>
      </c>
      <c r="X407" s="8">
        <v>3000</v>
      </c>
      <c r="Y407" s="8" t="s">
        <v>271</v>
      </c>
      <c r="Z407" s="8">
        <v>85</v>
      </c>
      <c r="AA407" s="8" t="s">
        <v>278</v>
      </c>
      <c r="AB407" s="8" t="s">
        <v>228</v>
      </c>
      <c r="AC407" s="8" t="s">
        <v>228</v>
      </c>
      <c r="AD407" s="8" t="s">
        <v>228</v>
      </c>
      <c r="AE407" s="8" t="s">
        <v>228</v>
      </c>
      <c r="AF407" s="8" t="s">
        <v>228</v>
      </c>
      <c r="AG407" s="8" t="s">
        <v>228</v>
      </c>
      <c r="AH407" s="8" t="s">
        <v>228</v>
      </c>
      <c r="AI407" s="8" t="s">
        <v>228</v>
      </c>
      <c r="AJ407" t="s">
        <v>468</v>
      </c>
      <c r="AK407">
        <v>1</v>
      </c>
      <c r="AL407">
        <v>1</v>
      </c>
      <c r="AM407" t="s">
        <v>93</v>
      </c>
      <c r="AN407" t="s">
        <v>67</v>
      </c>
      <c r="AO407" t="s">
        <v>526</v>
      </c>
      <c r="AP407" t="s">
        <v>109</v>
      </c>
      <c r="AQ407">
        <v>12</v>
      </c>
      <c r="AR407" t="s">
        <v>521</v>
      </c>
      <c r="AS407" t="s">
        <v>228</v>
      </c>
      <c r="AT407" t="s">
        <v>140</v>
      </c>
      <c r="AU407">
        <v>1</v>
      </c>
      <c r="AV407">
        <v>1</v>
      </c>
      <c r="AW407" t="s">
        <v>406</v>
      </c>
      <c r="AX407" t="s">
        <v>283</v>
      </c>
      <c r="AY407" t="s">
        <v>217</v>
      </c>
      <c r="AZ407">
        <v>1</v>
      </c>
      <c r="BA407" t="s">
        <v>408</v>
      </c>
      <c r="BB407" t="s">
        <v>541</v>
      </c>
      <c r="BC407" t="s">
        <v>395</v>
      </c>
      <c r="BD407" t="s">
        <v>228</v>
      </c>
      <c r="BE407" t="s">
        <v>522</v>
      </c>
      <c r="BF407" t="s">
        <v>523</v>
      </c>
      <c r="BG407" t="s">
        <v>407</v>
      </c>
      <c r="BH407" t="s">
        <v>544</v>
      </c>
      <c r="BI407" t="s">
        <v>524</v>
      </c>
      <c r="BJ407" t="s">
        <v>228</v>
      </c>
      <c r="BK407" t="s">
        <v>228</v>
      </c>
      <c r="BL407" t="s">
        <v>228</v>
      </c>
      <c r="BM407" t="s">
        <v>228</v>
      </c>
      <c r="BN407" t="s">
        <v>228</v>
      </c>
      <c r="BO407" t="s">
        <v>228</v>
      </c>
      <c r="BP407" t="s">
        <v>228</v>
      </c>
      <c r="BQ407" t="s">
        <v>228</v>
      </c>
      <c r="BR407" t="s">
        <v>228</v>
      </c>
      <c r="BS407" t="s">
        <v>409</v>
      </c>
      <c r="BT407">
        <v>1</v>
      </c>
    </row>
    <row r="408" spans="1:72" x14ac:dyDescent="0.15">
      <c r="A408" s="43">
        <v>2023</v>
      </c>
      <c r="B408" s="8">
        <v>1</v>
      </c>
      <c r="C408" s="8">
        <v>1</v>
      </c>
      <c r="D408" s="8">
        <v>8</v>
      </c>
      <c r="E408" s="8" t="s">
        <v>67</v>
      </c>
      <c r="F408" s="8" t="s">
        <v>57</v>
      </c>
      <c r="G408" s="8">
        <v>2016</v>
      </c>
      <c r="H408" s="8">
        <v>12</v>
      </c>
      <c r="I408" s="8" t="s">
        <v>521</v>
      </c>
      <c r="J408" s="8" t="s">
        <v>228</v>
      </c>
      <c r="K408" s="8">
        <v>1983</v>
      </c>
      <c r="L408" s="17">
        <v>1</v>
      </c>
      <c r="M408" s="8">
        <v>1</v>
      </c>
      <c r="N408" s="8" t="s">
        <v>48</v>
      </c>
      <c r="O408" s="8" t="s">
        <v>283</v>
      </c>
      <c r="P408" s="8" t="s">
        <v>217</v>
      </c>
      <c r="Q408" s="8">
        <v>3000</v>
      </c>
      <c r="R408" s="8" t="s">
        <v>57</v>
      </c>
      <c r="S408" s="8" t="s">
        <v>53</v>
      </c>
      <c r="T408" s="8" t="s">
        <v>69</v>
      </c>
      <c r="U408" s="8" t="s">
        <v>228</v>
      </c>
      <c r="V408" s="8">
        <v>500</v>
      </c>
      <c r="W408" s="8" t="s">
        <v>328</v>
      </c>
      <c r="X408" s="8">
        <v>3000</v>
      </c>
      <c r="Y408" s="8" t="s">
        <v>271</v>
      </c>
      <c r="Z408" s="8">
        <v>85</v>
      </c>
      <c r="AA408" s="8" t="s">
        <v>278</v>
      </c>
      <c r="AB408" s="8" t="s">
        <v>228</v>
      </c>
      <c r="AC408" s="8" t="s">
        <v>228</v>
      </c>
      <c r="AD408" s="8" t="s">
        <v>228</v>
      </c>
      <c r="AE408" s="8" t="s">
        <v>228</v>
      </c>
      <c r="AF408" s="8" t="s">
        <v>228</v>
      </c>
      <c r="AG408" s="8" t="s">
        <v>228</v>
      </c>
      <c r="AH408" s="8" t="s">
        <v>228</v>
      </c>
      <c r="AI408" s="8" t="s">
        <v>228</v>
      </c>
      <c r="AJ408" t="s">
        <v>468</v>
      </c>
      <c r="AK408">
        <v>1</v>
      </c>
      <c r="AL408">
        <v>1</v>
      </c>
      <c r="AM408" t="s">
        <v>93</v>
      </c>
      <c r="AN408" t="s">
        <v>67</v>
      </c>
      <c r="AO408" t="s">
        <v>526</v>
      </c>
      <c r="AP408" t="s">
        <v>109</v>
      </c>
      <c r="AQ408">
        <v>12</v>
      </c>
      <c r="AR408" t="s">
        <v>521</v>
      </c>
      <c r="AS408" t="s">
        <v>228</v>
      </c>
      <c r="AT408" t="s">
        <v>140</v>
      </c>
      <c r="AU408">
        <v>1</v>
      </c>
      <c r="AV408">
        <v>1</v>
      </c>
      <c r="AW408" t="s">
        <v>406</v>
      </c>
      <c r="AX408" t="s">
        <v>283</v>
      </c>
      <c r="AY408" t="s">
        <v>217</v>
      </c>
      <c r="AZ408">
        <v>1</v>
      </c>
      <c r="BA408" t="s">
        <v>408</v>
      </c>
      <c r="BB408" t="s">
        <v>542</v>
      </c>
      <c r="BC408" t="s">
        <v>395</v>
      </c>
      <c r="BD408" t="s">
        <v>228</v>
      </c>
      <c r="BE408" t="s">
        <v>522</v>
      </c>
      <c r="BF408" t="s">
        <v>523</v>
      </c>
      <c r="BG408" t="s">
        <v>407</v>
      </c>
      <c r="BH408" t="s">
        <v>544</v>
      </c>
      <c r="BI408" t="s">
        <v>524</v>
      </c>
      <c r="BJ408" t="s">
        <v>228</v>
      </c>
      <c r="BK408" t="s">
        <v>228</v>
      </c>
      <c r="BL408" t="s">
        <v>228</v>
      </c>
      <c r="BM408" t="s">
        <v>228</v>
      </c>
      <c r="BN408" t="s">
        <v>228</v>
      </c>
      <c r="BO408" t="s">
        <v>228</v>
      </c>
      <c r="BP408" t="s">
        <v>228</v>
      </c>
      <c r="BQ408" t="s">
        <v>228</v>
      </c>
      <c r="BR408" t="s">
        <v>228</v>
      </c>
      <c r="BS408" t="s">
        <v>409</v>
      </c>
      <c r="BT408">
        <v>1</v>
      </c>
    </row>
    <row r="409" spans="1:72" x14ac:dyDescent="0.15">
      <c r="A409" s="43">
        <v>2023</v>
      </c>
      <c r="B409" s="8">
        <v>1</v>
      </c>
      <c r="C409" s="8">
        <v>1</v>
      </c>
      <c r="D409" s="8">
        <v>8</v>
      </c>
      <c r="E409" s="8" t="s">
        <v>67</v>
      </c>
      <c r="F409" s="8" t="s">
        <v>57</v>
      </c>
      <c r="G409" s="8">
        <v>2016</v>
      </c>
      <c r="H409" s="8">
        <v>12</v>
      </c>
      <c r="I409" s="8" t="s">
        <v>521</v>
      </c>
      <c r="J409" s="8" t="s">
        <v>228</v>
      </c>
      <c r="K409" s="8">
        <v>1983</v>
      </c>
      <c r="L409" s="17">
        <v>1</v>
      </c>
      <c r="M409" s="8">
        <v>1</v>
      </c>
      <c r="N409" s="8" t="s">
        <v>48</v>
      </c>
      <c r="O409" s="8" t="s">
        <v>283</v>
      </c>
      <c r="P409" s="8" t="s">
        <v>217</v>
      </c>
      <c r="Q409" s="8">
        <v>3000</v>
      </c>
      <c r="R409" s="8" t="s">
        <v>57</v>
      </c>
      <c r="S409" s="8" t="s">
        <v>52</v>
      </c>
      <c r="T409" s="8" t="s">
        <v>69</v>
      </c>
      <c r="U409" s="8" t="s">
        <v>228</v>
      </c>
      <c r="V409" s="8">
        <v>500</v>
      </c>
      <c r="W409" s="8" t="s">
        <v>328</v>
      </c>
      <c r="X409" s="8">
        <v>3000</v>
      </c>
      <c r="Y409" s="8" t="s">
        <v>271</v>
      </c>
      <c r="Z409" s="8">
        <v>85</v>
      </c>
      <c r="AA409" s="8" t="s">
        <v>278</v>
      </c>
      <c r="AB409" s="8" t="s">
        <v>228</v>
      </c>
      <c r="AC409" s="8" t="s">
        <v>228</v>
      </c>
      <c r="AD409" s="8" t="s">
        <v>228</v>
      </c>
      <c r="AE409" s="8" t="s">
        <v>228</v>
      </c>
      <c r="AF409" s="8" t="s">
        <v>228</v>
      </c>
      <c r="AG409" s="8" t="s">
        <v>228</v>
      </c>
      <c r="AH409" s="8" t="s">
        <v>228</v>
      </c>
      <c r="AI409" s="8" t="s">
        <v>228</v>
      </c>
      <c r="AJ409" t="s">
        <v>468</v>
      </c>
      <c r="AK409">
        <v>1</v>
      </c>
      <c r="AL409">
        <v>1</v>
      </c>
      <c r="AM409" t="s">
        <v>93</v>
      </c>
      <c r="AN409" t="s">
        <v>67</v>
      </c>
      <c r="AO409" t="s">
        <v>526</v>
      </c>
      <c r="AP409" t="s">
        <v>109</v>
      </c>
      <c r="AQ409">
        <v>12</v>
      </c>
      <c r="AR409" t="s">
        <v>521</v>
      </c>
      <c r="AS409" t="s">
        <v>228</v>
      </c>
      <c r="AT409" t="s">
        <v>140</v>
      </c>
      <c r="AU409">
        <v>1</v>
      </c>
      <c r="AV409">
        <v>1</v>
      </c>
      <c r="AW409" t="s">
        <v>406</v>
      </c>
      <c r="AX409" t="s">
        <v>283</v>
      </c>
      <c r="AY409" t="s">
        <v>217</v>
      </c>
      <c r="AZ409">
        <v>1</v>
      </c>
      <c r="BA409" t="s">
        <v>408</v>
      </c>
      <c r="BB409" t="s">
        <v>405</v>
      </c>
      <c r="BC409" t="s">
        <v>395</v>
      </c>
      <c r="BD409" t="s">
        <v>228</v>
      </c>
      <c r="BE409" t="s">
        <v>522</v>
      </c>
      <c r="BF409" t="s">
        <v>523</v>
      </c>
      <c r="BG409" t="s">
        <v>407</v>
      </c>
      <c r="BH409" t="s">
        <v>544</v>
      </c>
      <c r="BI409" t="s">
        <v>524</v>
      </c>
      <c r="BJ409" t="s">
        <v>228</v>
      </c>
      <c r="BK409" t="s">
        <v>228</v>
      </c>
      <c r="BL409" t="s">
        <v>228</v>
      </c>
      <c r="BM409" t="s">
        <v>228</v>
      </c>
      <c r="BN409" t="s">
        <v>228</v>
      </c>
      <c r="BO409" t="s">
        <v>228</v>
      </c>
      <c r="BP409" t="s">
        <v>228</v>
      </c>
      <c r="BQ409" t="s">
        <v>228</v>
      </c>
      <c r="BR409" t="s">
        <v>228</v>
      </c>
      <c r="BS409" t="s">
        <v>409</v>
      </c>
      <c r="BT409">
        <v>1</v>
      </c>
    </row>
    <row r="410" spans="1:72" x14ac:dyDescent="0.15">
      <c r="A410" s="43">
        <v>2023</v>
      </c>
      <c r="B410" s="8">
        <v>1</v>
      </c>
      <c r="C410" s="8">
        <v>1</v>
      </c>
      <c r="D410" s="8">
        <v>8</v>
      </c>
      <c r="E410" s="8" t="s">
        <v>67</v>
      </c>
      <c r="F410" s="8" t="s">
        <v>57</v>
      </c>
      <c r="G410" s="8">
        <v>2016</v>
      </c>
      <c r="H410" s="8">
        <v>12</v>
      </c>
      <c r="I410" s="8" t="s">
        <v>521</v>
      </c>
      <c r="J410" s="8" t="s">
        <v>228</v>
      </c>
      <c r="K410" s="8">
        <v>1983</v>
      </c>
      <c r="L410" s="17">
        <v>1</v>
      </c>
      <c r="M410" s="8">
        <v>1</v>
      </c>
      <c r="N410" s="8" t="s">
        <v>48</v>
      </c>
      <c r="O410" s="8" t="s">
        <v>283</v>
      </c>
      <c r="P410" s="8" t="s">
        <v>217</v>
      </c>
      <c r="Q410" s="8">
        <v>3000</v>
      </c>
      <c r="R410" s="8" t="s">
        <v>57</v>
      </c>
      <c r="S410" s="8" t="s">
        <v>54</v>
      </c>
      <c r="T410" s="8" t="s">
        <v>69</v>
      </c>
      <c r="U410" s="8" t="s">
        <v>228</v>
      </c>
      <c r="V410" s="8">
        <v>500</v>
      </c>
      <c r="W410" s="8" t="s">
        <v>328</v>
      </c>
      <c r="X410" s="8">
        <v>3000</v>
      </c>
      <c r="Y410" s="8" t="s">
        <v>271</v>
      </c>
      <c r="Z410" s="8">
        <v>85</v>
      </c>
      <c r="AA410" s="8" t="s">
        <v>278</v>
      </c>
      <c r="AB410" s="8" t="s">
        <v>247</v>
      </c>
      <c r="AC410" s="8" t="s">
        <v>228</v>
      </c>
      <c r="AD410" s="8" t="s">
        <v>228</v>
      </c>
      <c r="AE410" s="8" t="s">
        <v>228</v>
      </c>
      <c r="AF410" s="8" t="s">
        <v>228</v>
      </c>
      <c r="AG410" s="8" t="s">
        <v>228</v>
      </c>
      <c r="AH410" s="8" t="s">
        <v>228</v>
      </c>
      <c r="AI410" s="8" t="s">
        <v>228</v>
      </c>
      <c r="AJ410" t="s">
        <v>468</v>
      </c>
      <c r="AK410">
        <v>1</v>
      </c>
      <c r="AL410">
        <v>1</v>
      </c>
      <c r="AM410" t="s">
        <v>93</v>
      </c>
      <c r="AN410" t="s">
        <v>67</v>
      </c>
      <c r="AO410" t="s">
        <v>526</v>
      </c>
      <c r="AP410" t="s">
        <v>109</v>
      </c>
      <c r="AQ410">
        <v>12</v>
      </c>
      <c r="AR410" t="s">
        <v>521</v>
      </c>
      <c r="AS410" t="s">
        <v>228</v>
      </c>
      <c r="AT410" t="s">
        <v>140</v>
      </c>
      <c r="AU410">
        <v>1</v>
      </c>
      <c r="AV410">
        <v>1</v>
      </c>
      <c r="AW410" t="s">
        <v>406</v>
      </c>
      <c r="AX410" t="s">
        <v>283</v>
      </c>
      <c r="AY410" t="s">
        <v>217</v>
      </c>
      <c r="AZ410">
        <v>1</v>
      </c>
      <c r="BA410" t="s">
        <v>408</v>
      </c>
      <c r="BB410" t="s">
        <v>541</v>
      </c>
      <c r="BC410" t="s">
        <v>395</v>
      </c>
      <c r="BD410" t="s">
        <v>228</v>
      </c>
      <c r="BE410" t="s">
        <v>522</v>
      </c>
      <c r="BF410" t="s">
        <v>523</v>
      </c>
      <c r="BG410" t="s">
        <v>407</v>
      </c>
      <c r="BH410" t="s">
        <v>544</v>
      </c>
      <c r="BI410" t="s">
        <v>524</v>
      </c>
      <c r="BJ410" t="s">
        <v>228</v>
      </c>
      <c r="BK410" t="s">
        <v>543</v>
      </c>
      <c r="BL410" t="s">
        <v>228</v>
      </c>
      <c r="BM410" t="s">
        <v>228</v>
      </c>
      <c r="BN410" t="s">
        <v>228</v>
      </c>
      <c r="BO410" t="s">
        <v>228</v>
      </c>
      <c r="BP410" t="s">
        <v>228</v>
      </c>
      <c r="BQ410" t="s">
        <v>228</v>
      </c>
      <c r="BR410" t="s">
        <v>228</v>
      </c>
      <c r="BS410" t="s">
        <v>409</v>
      </c>
      <c r="BT410">
        <v>1</v>
      </c>
    </row>
    <row r="411" spans="1:72" x14ac:dyDescent="0.15">
      <c r="A411" s="43">
        <v>2023</v>
      </c>
      <c r="B411" s="8">
        <v>1</v>
      </c>
      <c r="C411" s="8">
        <v>1</v>
      </c>
      <c r="D411" s="8">
        <v>8</v>
      </c>
      <c r="E411" s="8" t="s">
        <v>67</v>
      </c>
      <c r="F411" s="8" t="s">
        <v>57</v>
      </c>
      <c r="G411" s="8">
        <v>2016</v>
      </c>
      <c r="H411" s="8">
        <v>12</v>
      </c>
      <c r="I411" s="8" t="s">
        <v>521</v>
      </c>
      <c r="J411" s="8" t="s">
        <v>228</v>
      </c>
      <c r="K411" s="8">
        <v>1983</v>
      </c>
      <c r="L411" s="17">
        <v>1</v>
      </c>
      <c r="M411" s="8">
        <v>1</v>
      </c>
      <c r="N411" s="8" t="s">
        <v>48</v>
      </c>
      <c r="O411" s="8" t="s">
        <v>283</v>
      </c>
      <c r="P411" s="8" t="s">
        <v>217</v>
      </c>
      <c r="Q411" s="8">
        <v>3000</v>
      </c>
      <c r="R411" s="8" t="s">
        <v>57</v>
      </c>
      <c r="S411" s="8" t="s">
        <v>53</v>
      </c>
      <c r="T411" s="8" t="s">
        <v>69</v>
      </c>
      <c r="U411" s="8" t="s">
        <v>228</v>
      </c>
      <c r="V411" s="8">
        <v>500</v>
      </c>
      <c r="W411" s="8" t="s">
        <v>328</v>
      </c>
      <c r="X411" s="8">
        <v>3000</v>
      </c>
      <c r="Y411" s="8" t="s">
        <v>271</v>
      </c>
      <c r="Z411" s="8">
        <v>85</v>
      </c>
      <c r="AA411" s="8" t="s">
        <v>278</v>
      </c>
      <c r="AB411" s="8" t="s">
        <v>247</v>
      </c>
      <c r="AC411" s="8" t="s">
        <v>228</v>
      </c>
      <c r="AD411" s="8" t="s">
        <v>228</v>
      </c>
      <c r="AE411" s="8" t="s">
        <v>228</v>
      </c>
      <c r="AF411" s="8" t="s">
        <v>228</v>
      </c>
      <c r="AG411" s="8" t="s">
        <v>228</v>
      </c>
      <c r="AH411" s="8" t="s">
        <v>228</v>
      </c>
      <c r="AI411" s="8" t="s">
        <v>228</v>
      </c>
      <c r="AJ411" t="s">
        <v>468</v>
      </c>
      <c r="AK411">
        <v>1</v>
      </c>
      <c r="AL411">
        <v>1</v>
      </c>
      <c r="AM411" t="s">
        <v>93</v>
      </c>
      <c r="AN411" t="s">
        <v>67</v>
      </c>
      <c r="AO411" t="s">
        <v>526</v>
      </c>
      <c r="AP411" t="s">
        <v>109</v>
      </c>
      <c r="AQ411">
        <v>12</v>
      </c>
      <c r="AR411" t="s">
        <v>521</v>
      </c>
      <c r="AS411" t="s">
        <v>228</v>
      </c>
      <c r="AT411" t="s">
        <v>140</v>
      </c>
      <c r="AU411">
        <v>1</v>
      </c>
      <c r="AV411">
        <v>1</v>
      </c>
      <c r="AW411" t="s">
        <v>406</v>
      </c>
      <c r="AX411" t="s">
        <v>283</v>
      </c>
      <c r="AY411" t="s">
        <v>217</v>
      </c>
      <c r="AZ411">
        <v>1</v>
      </c>
      <c r="BA411" t="s">
        <v>408</v>
      </c>
      <c r="BB411" t="s">
        <v>542</v>
      </c>
      <c r="BC411" t="s">
        <v>395</v>
      </c>
      <c r="BD411" t="s">
        <v>228</v>
      </c>
      <c r="BE411" t="s">
        <v>522</v>
      </c>
      <c r="BF411" t="s">
        <v>523</v>
      </c>
      <c r="BG411" t="s">
        <v>407</v>
      </c>
      <c r="BH411" t="s">
        <v>544</v>
      </c>
      <c r="BI411" t="s">
        <v>524</v>
      </c>
      <c r="BJ411" t="s">
        <v>228</v>
      </c>
      <c r="BK411" t="s">
        <v>543</v>
      </c>
      <c r="BL411" t="s">
        <v>228</v>
      </c>
      <c r="BM411" t="s">
        <v>228</v>
      </c>
      <c r="BN411" t="s">
        <v>228</v>
      </c>
      <c r="BO411" t="s">
        <v>228</v>
      </c>
      <c r="BP411" t="s">
        <v>228</v>
      </c>
      <c r="BQ411" t="s">
        <v>228</v>
      </c>
      <c r="BR411" t="s">
        <v>228</v>
      </c>
      <c r="BS411" t="s">
        <v>409</v>
      </c>
      <c r="BT411">
        <v>1</v>
      </c>
    </row>
    <row r="412" spans="1:72" x14ac:dyDescent="0.15">
      <c r="A412" s="43">
        <v>2023</v>
      </c>
      <c r="B412" s="8">
        <v>1</v>
      </c>
      <c r="C412" s="8">
        <v>1</v>
      </c>
      <c r="D412" s="8">
        <v>8</v>
      </c>
      <c r="E412" s="8" t="s">
        <v>67</v>
      </c>
      <c r="F412" s="8" t="s">
        <v>57</v>
      </c>
      <c r="G412" s="8">
        <v>2016</v>
      </c>
      <c r="H412" s="8">
        <v>12</v>
      </c>
      <c r="I412" s="8" t="s">
        <v>521</v>
      </c>
      <c r="J412" s="8" t="s">
        <v>228</v>
      </c>
      <c r="K412" s="8">
        <v>1983</v>
      </c>
      <c r="L412" s="17">
        <v>1</v>
      </c>
      <c r="M412" s="8">
        <v>1</v>
      </c>
      <c r="N412" s="8" t="s">
        <v>48</v>
      </c>
      <c r="O412" s="8" t="s">
        <v>283</v>
      </c>
      <c r="P412" s="8" t="s">
        <v>217</v>
      </c>
      <c r="Q412" s="8">
        <v>3000</v>
      </c>
      <c r="R412" s="8" t="s">
        <v>57</v>
      </c>
      <c r="S412" s="8" t="s">
        <v>52</v>
      </c>
      <c r="T412" s="8" t="s">
        <v>69</v>
      </c>
      <c r="U412" s="8" t="s">
        <v>228</v>
      </c>
      <c r="V412" s="8">
        <v>500</v>
      </c>
      <c r="W412" s="8" t="s">
        <v>328</v>
      </c>
      <c r="X412" s="8">
        <v>3000</v>
      </c>
      <c r="Y412" s="8" t="s">
        <v>271</v>
      </c>
      <c r="Z412" s="8">
        <v>85</v>
      </c>
      <c r="AA412" s="8" t="s">
        <v>278</v>
      </c>
      <c r="AB412" s="8" t="s">
        <v>247</v>
      </c>
      <c r="AC412" s="8" t="s">
        <v>228</v>
      </c>
      <c r="AD412" s="8" t="s">
        <v>228</v>
      </c>
      <c r="AE412" s="8" t="s">
        <v>228</v>
      </c>
      <c r="AF412" s="8" t="s">
        <v>228</v>
      </c>
      <c r="AG412" s="8" t="s">
        <v>228</v>
      </c>
      <c r="AH412" s="8" t="s">
        <v>228</v>
      </c>
      <c r="AI412" s="8" t="s">
        <v>228</v>
      </c>
      <c r="AJ412" t="s">
        <v>468</v>
      </c>
      <c r="AK412">
        <v>1</v>
      </c>
      <c r="AL412">
        <v>1</v>
      </c>
      <c r="AM412" t="s">
        <v>93</v>
      </c>
      <c r="AN412" t="s">
        <v>67</v>
      </c>
      <c r="AO412" t="s">
        <v>526</v>
      </c>
      <c r="AP412" t="s">
        <v>109</v>
      </c>
      <c r="AQ412">
        <v>12</v>
      </c>
      <c r="AR412" t="s">
        <v>521</v>
      </c>
      <c r="AS412" t="s">
        <v>228</v>
      </c>
      <c r="AT412" t="s">
        <v>140</v>
      </c>
      <c r="AU412">
        <v>1</v>
      </c>
      <c r="AV412">
        <v>1</v>
      </c>
      <c r="AW412" t="s">
        <v>406</v>
      </c>
      <c r="AX412" t="s">
        <v>283</v>
      </c>
      <c r="AY412" t="s">
        <v>217</v>
      </c>
      <c r="AZ412">
        <v>1</v>
      </c>
      <c r="BA412" t="s">
        <v>408</v>
      </c>
      <c r="BB412" t="s">
        <v>405</v>
      </c>
      <c r="BC412" t="s">
        <v>395</v>
      </c>
      <c r="BD412" t="s">
        <v>228</v>
      </c>
      <c r="BE412" t="s">
        <v>522</v>
      </c>
      <c r="BF412" t="s">
        <v>523</v>
      </c>
      <c r="BG412" t="s">
        <v>407</v>
      </c>
      <c r="BH412" t="s">
        <v>544</v>
      </c>
      <c r="BI412" t="s">
        <v>524</v>
      </c>
      <c r="BJ412" t="s">
        <v>228</v>
      </c>
      <c r="BK412" t="s">
        <v>543</v>
      </c>
      <c r="BL412" t="s">
        <v>228</v>
      </c>
      <c r="BM412" t="s">
        <v>228</v>
      </c>
      <c r="BN412" t="s">
        <v>228</v>
      </c>
      <c r="BO412" t="s">
        <v>228</v>
      </c>
      <c r="BP412" t="s">
        <v>228</v>
      </c>
      <c r="BQ412" t="s">
        <v>228</v>
      </c>
      <c r="BR412" t="s">
        <v>228</v>
      </c>
      <c r="BS412" t="s">
        <v>409</v>
      </c>
      <c r="BT412">
        <v>0</v>
      </c>
    </row>
    <row r="413" spans="1:72" x14ac:dyDescent="0.15">
      <c r="A413" s="43">
        <v>2023</v>
      </c>
      <c r="B413" s="8">
        <v>1</v>
      </c>
      <c r="C413" s="8">
        <v>1</v>
      </c>
      <c r="D413" s="8">
        <v>7</v>
      </c>
      <c r="E413" s="8" t="s">
        <v>67</v>
      </c>
      <c r="F413" s="8" t="s">
        <v>57</v>
      </c>
      <c r="G413" s="8">
        <v>2016</v>
      </c>
      <c r="H413" s="8">
        <v>12</v>
      </c>
      <c r="I413" s="8" t="s">
        <v>521</v>
      </c>
      <c r="J413" s="8" t="s">
        <v>228</v>
      </c>
      <c r="K413" s="8">
        <v>1983</v>
      </c>
      <c r="L413" s="17">
        <v>1</v>
      </c>
      <c r="M413" s="8">
        <v>1</v>
      </c>
      <c r="N413" s="8" t="s">
        <v>48</v>
      </c>
      <c r="O413" s="8" t="s">
        <v>283</v>
      </c>
      <c r="P413" s="8" t="s">
        <v>217</v>
      </c>
      <c r="Q413" s="8">
        <v>3000</v>
      </c>
      <c r="R413" s="8" t="s">
        <v>57</v>
      </c>
      <c r="S413" s="8" t="s">
        <v>54</v>
      </c>
      <c r="T413" s="8" t="s">
        <v>69</v>
      </c>
      <c r="U413" s="8" t="s">
        <v>228</v>
      </c>
      <c r="V413" s="8">
        <v>500</v>
      </c>
      <c r="W413" s="8" t="s">
        <v>328</v>
      </c>
      <c r="X413" s="8">
        <v>3000</v>
      </c>
      <c r="Y413" s="8" t="s">
        <v>268</v>
      </c>
      <c r="Z413" s="8">
        <v>85</v>
      </c>
      <c r="AA413" s="8" t="s">
        <v>278</v>
      </c>
      <c r="AB413" s="8" t="s">
        <v>228</v>
      </c>
      <c r="AC413" s="8" t="s">
        <v>228</v>
      </c>
      <c r="AD413" s="8" t="s">
        <v>228</v>
      </c>
      <c r="AE413" s="8" t="s">
        <v>228</v>
      </c>
      <c r="AF413" s="8" t="s">
        <v>228</v>
      </c>
      <c r="AG413" s="8" t="s">
        <v>228</v>
      </c>
      <c r="AH413" s="8" t="s">
        <v>228</v>
      </c>
      <c r="AI413" s="8" t="s">
        <v>228</v>
      </c>
      <c r="AJ413" t="s">
        <v>468</v>
      </c>
      <c r="AK413">
        <v>1</v>
      </c>
      <c r="AL413">
        <v>1</v>
      </c>
      <c r="AM413" t="s">
        <v>94</v>
      </c>
      <c r="AN413" t="s">
        <v>67</v>
      </c>
      <c r="AO413" t="s">
        <v>526</v>
      </c>
      <c r="AP413" t="s">
        <v>109</v>
      </c>
      <c r="AQ413">
        <v>12</v>
      </c>
      <c r="AR413" t="s">
        <v>521</v>
      </c>
      <c r="AS413" t="s">
        <v>228</v>
      </c>
      <c r="AT413" t="s">
        <v>140</v>
      </c>
      <c r="AU413">
        <v>1</v>
      </c>
      <c r="AV413">
        <v>1</v>
      </c>
      <c r="AW413" t="s">
        <v>406</v>
      </c>
      <c r="AX413" t="s">
        <v>283</v>
      </c>
      <c r="AY413" t="s">
        <v>217</v>
      </c>
      <c r="AZ413">
        <v>1</v>
      </c>
      <c r="BA413" t="s">
        <v>408</v>
      </c>
      <c r="BB413" t="s">
        <v>541</v>
      </c>
      <c r="BC413" t="s">
        <v>395</v>
      </c>
      <c r="BD413" t="s">
        <v>228</v>
      </c>
      <c r="BE413" t="s">
        <v>522</v>
      </c>
      <c r="BF413" t="s">
        <v>523</v>
      </c>
      <c r="BG413" t="s">
        <v>407</v>
      </c>
      <c r="BH413" t="s">
        <v>396</v>
      </c>
      <c r="BI413" t="s">
        <v>524</v>
      </c>
      <c r="BJ413" t="s">
        <v>228</v>
      </c>
      <c r="BK413" t="s">
        <v>228</v>
      </c>
      <c r="BL413" t="s">
        <v>228</v>
      </c>
      <c r="BM413" t="s">
        <v>228</v>
      </c>
      <c r="BN413" t="s">
        <v>228</v>
      </c>
      <c r="BO413" t="s">
        <v>228</v>
      </c>
      <c r="BP413" t="s">
        <v>228</v>
      </c>
      <c r="BQ413" t="s">
        <v>228</v>
      </c>
      <c r="BR413" t="s">
        <v>228</v>
      </c>
      <c r="BS413" t="s">
        <v>409</v>
      </c>
      <c r="BT413">
        <v>1</v>
      </c>
    </row>
    <row r="414" spans="1:72" x14ac:dyDescent="0.15">
      <c r="A414" s="43">
        <v>2023</v>
      </c>
      <c r="B414" s="8">
        <v>1</v>
      </c>
      <c r="C414" s="8">
        <v>1</v>
      </c>
      <c r="D414" s="8">
        <v>7</v>
      </c>
      <c r="E414" s="8" t="s">
        <v>67</v>
      </c>
      <c r="F414" s="8" t="s">
        <v>57</v>
      </c>
      <c r="G414" s="8">
        <v>2016</v>
      </c>
      <c r="H414" s="8">
        <v>12</v>
      </c>
      <c r="I414" s="8" t="s">
        <v>521</v>
      </c>
      <c r="J414" s="8" t="s">
        <v>228</v>
      </c>
      <c r="K414" s="8">
        <v>1983</v>
      </c>
      <c r="L414" s="17">
        <v>1</v>
      </c>
      <c r="M414" s="8">
        <v>1</v>
      </c>
      <c r="N414" s="8" t="s">
        <v>48</v>
      </c>
      <c r="O414" s="8" t="s">
        <v>283</v>
      </c>
      <c r="P414" s="8" t="s">
        <v>217</v>
      </c>
      <c r="Q414" s="8">
        <v>3000</v>
      </c>
      <c r="R414" s="8" t="s">
        <v>57</v>
      </c>
      <c r="S414" s="8" t="s">
        <v>53</v>
      </c>
      <c r="T414" s="8" t="s">
        <v>69</v>
      </c>
      <c r="U414" s="8" t="s">
        <v>228</v>
      </c>
      <c r="V414" s="8">
        <v>500</v>
      </c>
      <c r="W414" s="8" t="s">
        <v>328</v>
      </c>
      <c r="X414" s="8">
        <v>3000</v>
      </c>
      <c r="Y414" s="8" t="s">
        <v>268</v>
      </c>
      <c r="Z414" s="8">
        <v>85</v>
      </c>
      <c r="AA414" s="8" t="s">
        <v>278</v>
      </c>
      <c r="AB414" s="8" t="s">
        <v>228</v>
      </c>
      <c r="AC414" s="8" t="s">
        <v>228</v>
      </c>
      <c r="AD414" s="8" t="s">
        <v>228</v>
      </c>
      <c r="AE414" s="8" t="s">
        <v>228</v>
      </c>
      <c r="AF414" s="8" t="s">
        <v>228</v>
      </c>
      <c r="AG414" s="8" t="s">
        <v>228</v>
      </c>
      <c r="AH414" s="8" t="s">
        <v>228</v>
      </c>
      <c r="AI414" s="8" t="s">
        <v>228</v>
      </c>
      <c r="AJ414" t="s">
        <v>468</v>
      </c>
      <c r="AK414">
        <v>1</v>
      </c>
      <c r="AL414">
        <v>1</v>
      </c>
      <c r="AM414" t="s">
        <v>94</v>
      </c>
      <c r="AN414" t="s">
        <v>67</v>
      </c>
      <c r="AO414" t="s">
        <v>526</v>
      </c>
      <c r="AP414" t="s">
        <v>109</v>
      </c>
      <c r="AQ414">
        <v>12</v>
      </c>
      <c r="AR414" t="s">
        <v>521</v>
      </c>
      <c r="AS414" t="s">
        <v>228</v>
      </c>
      <c r="AT414" t="s">
        <v>140</v>
      </c>
      <c r="AU414">
        <v>1</v>
      </c>
      <c r="AV414">
        <v>1</v>
      </c>
      <c r="AW414" t="s">
        <v>406</v>
      </c>
      <c r="AX414" t="s">
        <v>283</v>
      </c>
      <c r="AY414" t="s">
        <v>217</v>
      </c>
      <c r="AZ414">
        <v>1</v>
      </c>
      <c r="BA414" t="s">
        <v>408</v>
      </c>
      <c r="BB414" t="s">
        <v>542</v>
      </c>
      <c r="BC414" t="s">
        <v>395</v>
      </c>
      <c r="BD414" t="s">
        <v>228</v>
      </c>
      <c r="BE414" t="s">
        <v>522</v>
      </c>
      <c r="BF414" t="s">
        <v>523</v>
      </c>
      <c r="BG414" t="s">
        <v>407</v>
      </c>
      <c r="BH414" t="s">
        <v>396</v>
      </c>
      <c r="BI414" t="s">
        <v>524</v>
      </c>
      <c r="BJ414" t="s">
        <v>228</v>
      </c>
      <c r="BK414" t="s">
        <v>228</v>
      </c>
      <c r="BL414" t="s">
        <v>228</v>
      </c>
      <c r="BM414" t="s">
        <v>228</v>
      </c>
      <c r="BN414" t="s">
        <v>228</v>
      </c>
      <c r="BO414" t="s">
        <v>228</v>
      </c>
      <c r="BP414" t="s">
        <v>228</v>
      </c>
      <c r="BQ414" t="s">
        <v>228</v>
      </c>
      <c r="BR414" t="s">
        <v>228</v>
      </c>
      <c r="BS414" t="s">
        <v>409</v>
      </c>
      <c r="BT414">
        <v>1</v>
      </c>
    </row>
    <row r="415" spans="1:72" x14ac:dyDescent="0.15">
      <c r="A415" s="43">
        <v>2023</v>
      </c>
      <c r="B415" s="8">
        <v>1</v>
      </c>
      <c r="C415" s="8">
        <v>1</v>
      </c>
      <c r="D415" s="8">
        <v>7</v>
      </c>
      <c r="E415" s="8" t="s">
        <v>67</v>
      </c>
      <c r="F415" s="8" t="s">
        <v>57</v>
      </c>
      <c r="G415" s="8">
        <v>2016</v>
      </c>
      <c r="H415" s="8">
        <v>12</v>
      </c>
      <c r="I415" s="8" t="s">
        <v>521</v>
      </c>
      <c r="J415" s="8" t="s">
        <v>228</v>
      </c>
      <c r="K415" s="8">
        <v>1983</v>
      </c>
      <c r="L415" s="17">
        <v>1</v>
      </c>
      <c r="M415" s="8">
        <v>1</v>
      </c>
      <c r="N415" s="8" t="s">
        <v>48</v>
      </c>
      <c r="O415" s="8" t="s">
        <v>283</v>
      </c>
      <c r="P415" s="8" t="s">
        <v>217</v>
      </c>
      <c r="Q415" s="8">
        <v>3000</v>
      </c>
      <c r="R415" s="8" t="s">
        <v>57</v>
      </c>
      <c r="S415" s="8" t="s">
        <v>52</v>
      </c>
      <c r="T415" s="8" t="s">
        <v>69</v>
      </c>
      <c r="U415" s="8" t="s">
        <v>228</v>
      </c>
      <c r="V415" s="8">
        <v>500</v>
      </c>
      <c r="W415" s="8" t="s">
        <v>328</v>
      </c>
      <c r="X415" s="8">
        <v>3000</v>
      </c>
      <c r="Y415" s="8" t="s">
        <v>268</v>
      </c>
      <c r="Z415" s="8">
        <v>85</v>
      </c>
      <c r="AA415" s="8" t="s">
        <v>278</v>
      </c>
      <c r="AB415" s="8" t="s">
        <v>228</v>
      </c>
      <c r="AC415" s="8" t="s">
        <v>228</v>
      </c>
      <c r="AD415" s="8" t="s">
        <v>228</v>
      </c>
      <c r="AE415" s="8" t="s">
        <v>228</v>
      </c>
      <c r="AF415" s="8" t="s">
        <v>228</v>
      </c>
      <c r="AG415" s="8" t="s">
        <v>228</v>
      </c>
      <c r="AH415" s="8" t="s">
        <v>228</v>
      </c>
      <c r="AI415" s="8" t="s">
        <v>228</v>
      </c>
      <c r="AJ415" t="s">
        <v>468</v>
      </c>
      <c r="AK415">
        <v>1</v>
      </c>
      <c r="AL415">
        <v>1</v>
      </c>
      <c r="AM415" t="s">
        <v>94</v>
      </c>
      <c r="AN415" t="s">
        <v>67</v>
      </c>
      <c r="AO415" t="s">
        <v>526</v>
      </c>
      <c r="AP415" t="s">
        <v>109</v>
      </c>
      <c r="AQ415">
        <v>12</v>
      </c>
      <c r="AR415" t="s">
        <v>521</v>
      </c>
      <c r="AS415" t="s">
        <v>228</v>
      </c>
      <c r="AT415" t="s">
        <v>140</v>
      </c>
      <c r="AU415">
        <v>1</v>
      </c>
      <c r="AV415">
        <v>1</v>
      </c>
      <c r="AW415" t="s">
        <v>406</v>
      </c>
      <c r="AX415" t="s">
        <v>283</v>
      </c>
      <c r="AY415" t="s">
        <v>217</v>
      </c>
      <c r="AZ415">
        <v>1</v>
      </c>
      <c r="BA415" t="s">
        <v>408</v>
      </c>
      <c r="BB415" t="s">
        <v>405</v>
      </c>
      <c r="BC415" t="s">
        <v>395</v>
      </c>
      <c r="BD415" t="s">
        <v>228</v>
      </c>
      <c r="BE415" t="s">
        <v>522</v>
      </c>
      <c r="BF415" t="s">
        <v>523</v>
      </c>
      <c r="BG415" t="s">
        <v>407</v>
      </c>
      <c r="BH415" t="s">
        <v>396</v>
      </c>
      <c r="BI415" t="s">
        <v>524</v>
      </c>
      <c r="BJ415" t="s">
        <v>228</v>
      </c>
      <c r="BK415" t="s">
        <v>228</v>
      </c>
      <c r="BL415" t="s">
        <v>228</v>
      </c>
      <c r="BM415" t="s">
        <v>228</v>
      </c>
      <c r="BN415" t="s">
        <v>228</v>
      </c>
      <c r="BO415" t="s">
        <v>228</v>
      </c>
      <c r="BP415" t="s">
        <v>228</v>
      </c>
      <c r="BQ415" t="s">
        <v>228</v>
      </c>
      <c r="BR415" t="s">
        <v>228</v>
      </c>
      <c r="BS415" t="s">
        <v>409</v>
      </c>
      <c r="BT415">
        <v>1</v>
      </c>
    </row>
    <row r="416" spans="1:72" x14ac:dyDescent="0.15">
      <c r="A416" s="43">
        <v>2023</v>
      </c>
      <c r="B416" s="8">
        <v>1</v>
      </c>
      <c r="C416" s="8">
        <v>1</v>
      </c>
      <c r="D416" s="8">
        <v>7</v>
      </c>
      <c r="E416" s="8" t="s">
        <v>67</v>
      </c>
      <c r="F416" s="8" t="s">
        <v>57</v>
      </c>
      <c r="G416" s="8">
        <v>2016</v>
      </c>
      <c r="H416" s="8">
        <v>12</v>
      </c>
      <c r="I416" s="8" t="s">
        <v>521</v>
      </c>
      <c r="J416" s="8" t="s">
        <v>228</v>
      </c>
      <c r="K416" s="8">
        <v>1983</v>
      </c>
      <c r="L416" s="17">
        <v>1</v>
      </c>
      <c r="M416" s="8">
        <v>1</v>
      </c>
      <c r="N416" s="8" t="s">
        <v>48</v>
      </c>
      <c r="O416" s="8" t="s">
        <v>283</v>
      </c>
      <c r="P416" s="8" t="s">
        <v>217</v>
      </c>
      <c r="Q416" s="8">
        <v>3000</v>
      </c>
      <c r="R416" s="8" t="s">
        <v>57</v>
      </c>
      <c r="S416" s="8" t="s">
        <v>54</v>
      </c>
      <c r="T416" s="8" t="s">
        <v>69</v>
      </c>
      <c r="U416" s="8" t="s">
        <v>228</v>
      </c>
      <c r="V416" s="8">
        <v>500</v>
      </c>
      <c r="W416" s="8" t="s">
        <v>328</v>
      </c>
      <c r="X416" s="8">
        <v>3000</v>
      </c>
      <c r="Y416" s="8" t="s">
        <v>268</v>
      </c>
      <c r="Z416" s="8">
        <v>85</v>
      </c>
      <c r="AA416" s="8" t="s">
        <v>278</v>
      </c>
      <c r="AB416" s="8" t="s">
        <v>247</v>
      </c>
      <c r="AC416" s="8" t="s">
        <v>228</v>
      </c>
      <c r="AD416" s="8" t="s">
        <v>228</v>
      </c>
      <c r="AE416" s="8" t="s">
        <v>228</v>
      </c>
      <c r="AF416" s="8" t="s">
        <v>228</v>
      </c>
      <c r="AG416" s="8" t="s">
        <v>228</v>
      </c>
      <c r="AH416" s="8" t="s">
        <v>228</v>
      </c>
      <c r="AI416" s="8" t="s">
        <v>228</v>
      </c>
      <c r="AJ416" t="s">
        <v>468</v>
      </c>
      <c r="AK416">
        <v>1</v>
      </c>
      <c r="AL416">
        <v>1</v>
      </c>
      <c r="AM416" t="s">
        <v>94</v>
      </c>
      <c r="AN416" t="s">
        <v>67</v>
      </c>
      <c r="AO416" t="s">
        <v>526</v>
      </c>
      <c r="AP416" t="s">
        <v>109</v>
      </c>
      <c r="AQ416">
        <v>12</v>
      </c>
      <c r="AR416" t="s">
        <v>521</v>
      </c>
      <c r="AS416" t="s">
        <v>228</v>
      </c>
      <c r="AT416" t="s">
        <v>140</v>
      </c>
      <c r="AU416">
        <v>1</v>
      </c>
      <c r="AV416">
        <v>1</v>
      </c>
      <c r="AW416" t="s">
        <v>406</v>
      </c>
      <c r="AX416" t="s">
        <v>283</v>
      </c>
      <c r="AY416" t="s">
        <v>217</v>
      </c>
      <c r="AZ416">
        <v>1</v>
      </c>
      <c r="BA416" t="s">
        <v>408</v>
      </c>
      <c r="BB416" t="s">
        <v>541</v>
      </c>
      <c r="BC416" t="s">
        <v>395</v>
      </c>
      <c r="BD416" t="s">
        <v>228</v>
      </c>
      <c r="BE416" t="s">
        <v>522</v>
      </c>
      <c r="BF416" t="s">
        <v>523</v>
      </c>
      <c r="BG416" t="s">
        <v>407</v>
      </c>
      <c r="BH416" t="s">
        <v>396</v>
      </c>
      <c r="BI416" t="s">
        <v>524</v>
      </c>
      <c r="BJ416" t="s">
        <v>228</v>
      </c>
      <c r="BK416" t="s">
        <v>543</v>
      </c>
      <c r="BL416" t="s">
        <v>228</v>
      </c>
      <c r="BM416" t="s">
        <v>228</v>
      </c>
      <c r="BN416" t="s">
        <v>228</v>
      </c>
      <c r="BO416" t="s">
        <v>228</v>
      </c>
      <c r="BP416" t="s">
        <v>228</v>
      </c>
      <c r="BQ416" t="s">
        <v>228</v>
      </c>
      <c r="BR416" t="s">
        <v>228</v>
      </c>
      <c r="BS416" t="s">
        <v>409</v>
      </c>
      <c r="BT416">
        <v>1</v>
      </c>
    </row>
    <row r="417" spans="1:72" x14ac:dyDescent="0.15">
      <c r="A417" s="43">
        <v>2023</v>
      </c>
      <c r="B417" s="8">
        <v>1</v>
      </c>
      <c r="C417" s="8">
        <v>1</v>
      </c>
      <c r="D417" s="8">
        <v>7</v>
      </c>
      <c r="E417" s="8" t="s">
        <v>67</v>
      </c>
      <c r="F417" s="8" t="s">
        <v>57</v>
      </c>
      <c r="G417" s="8">
        <v>2016</v>
      </c>
      <c r="H417" s="8">
        <v>12</v>
      </c>
      <c r="I417" s="8" t="s">
        <v>521</v>
      </c>
      <c r="J417" s="8" t="s">
        <v>228</v>
      </c>
      <c r="K417" s="8">
        <v>1983</v>
      </c>
      <c r="L417" s="17">
        <v>1</v>
      </c>
      <c r="M417" s="8">
        <v>1</v>
      </c>
      <c r="N417" s="8" t="s">
        <v>48</v>
      </c>
      <c r="O417" s="8" t="s">
        <v>283</v>
      </c>
      <c r="P417" s="8" t="s">
        <v>217</v>
      </c>
      <c r="Q417" s="8">
        <v>3000</v>
      </c>
      <c r="R417" s="8" t="s">
        <v>57</v>
      </c>
      <c r="S417" s="8" t="s">
        <v>53</v>
      </c>
      <c r="T417" s="8" t="s">
        <v>69</v>
      </c>
      <c r="U417" s="8" t="s">
        <v>228</v>
      </c>
      <c r="V417" s="8">
        <v>500</v>
      </c>
      <c r="W417" s="8" t="s">
        <v>328</v>
      </c>
      <c r="X417" s="8">
        <v>3000</v>
      </c>
      <c r="Y417" s="8" t="s">
        <v>268</v>
      </c>
      <c r="Z417" s="8">
        <v>85</v>
      </c>
      <c r="AA417" s="8" t="s">
        <v>278</v>
      </c>
      <c r="AB417" s="8" t="s">
        <v>247</v>
      </c>
      <c r="AC417" s="8" t="s">
        <v>228</v>
      </c>
      <c r="AD417" s="8" t="s">
        <v>228</v>
      </c>
      <c r="AE417" s="8" t="s">
        <v>228</v>
      </c>
      <c r="AF417" s="8" t="s">
        <v>228</v>
      </c>
      <c r="AG417" s="8" t="s">
        <v>228</v>
      </c>
      <c r="AH417" s="8" t="s">
        <v>228</v>
      </c>
      <c r="AI417" s="8" t="s">
        <v>228</v>
      </c>
      <c r="AJ417" t="s">
        <v>468</v>
      </c>
      <c r="AK417">
        <v>1</v>
      </c>
      <c r="AL417">
        <v>1</v>
      </c>
      <c r="AM417" t="s">
        <v>94</v>
      </c>
      <c r="AN417" t="s">
        <v>67</v>
      </c>
      <c r="AO417" t="s">
        <v>526</v>
      </c>
      <c r="AP417" t="s">
        <v>109</v>
      </c>
      <c r="AQ417">
        <v>12</v>
      </c>
      <c r="AR417" t="s">
        <v>521</v>
      </c>
      <c r="AS417" t="s">
        <v>228</v>
      </c>
      <c r="AT417" t="s">
        <v>140</v>
      </c>
      <c r="AU417">
        <v>1</v>
      </c>
      <c r="AV417">
        <v>1</v>
      </c>
      <c r="AW417" t="s">
        <v>406</v>
      </c>
      <c r="AX417" t="s">
        <v>283</v>
      </c>
      <c r="AY417" t="s">
        <v>217</v>
      </c>
      <c r="AZ417">
        <v>1</v>
      </c>
      <c r="BA417" t="s">
        <v>408</v>
      </c>
      <c r="BB417" t="s">
        <v>542</v>
      </c>
      <c r="BC417" t="s">
        <v>395</v>
      </c>
      <c r="BD417" t="s">
        <v>228</v>
      </c>
      <c r="BE417" t="s">
        <v>522</v>
      </c>
      <c r="BF417" t="s">
        <v>523</v>
      </c>
      <c r="BG417" t="s">
        <v>407</v>
      </c>
      <c r="BH417" t="s">
        <v>396</v>
      </c>
      <c r="BI417" t="s">
        <v>524</v>
      </c>
      <c r="BJ417" t="s">
        <v>228</v>
      </c>
      <c r="BK417" t="s">
        <v>543</v>
      </c>
      <c r="BL417" t="s">
        <v>228</v>
      </c>
      <c r="BM417" t="s">
        <v>228</v>
      </c>
      <c r="BN417" t="s">
        <v>228</v>
      </c>
      <c r="BO417" t="s">
        <v>228</v>
      </c>
      <c r="BP417" t="s">
        <v>228</v>
      </c>
      <c r="BQ417" t="s">
        <v>228</v>
      </c>
      <c r="BR417" t="s">
        <v>228</v>
      </c>
      <c r="BS417" t="s">
        <v>409</v>
      </c>
      <c r="BT417">
        <v>1</v>
      </c>
    </row>
    <row r="418" spans="1:72" x14ac:dyDescent="0.15">
      <c r="A418" s="43">
        <v>2023</v>
      </c>
      <c r="B418" s="8">
        <v>1</v>
      </c>
      <c r="C418" s="8">
        <v>1</v>
      </c>
      <c r="D418" s="8">
        <v>7</v>
      </c>
      <c r="E418" s="8" t="s">
        <v>67</v>
      </c>
      <c r="F418" s="8" t="s">
        <v>57</v>
      </c>
      <c r="G418" s="8">
        <v>2016</v>
      </c>
      <c r="H418" s="8">
        <v>12</v>
      </c>
      <c r="I418" s="8" t="s">
        <v>521</v>
      </c>
      <c r="J418" s="8" t="s">
        <v>228</v>
      </c>
      <c r="K418" s="8">
        <v>1983</v>
      </c>
      <c r="L418" s="17">
        <v>1</v>
      </c>
      <c r="M418" s="8">
        <v>1</v>
      </c>
      <c r="N418" s="8" t="s">
        <v>48</v>
      </c>
      <c r="O418" s="8" t="s">
        <v>283</v>
      </c>
      <c r="P418" s="8" t="s">
        <v>217</v>
      </c>
      <c r="Q418" s="8">
        <v>3000</v>
      </c>
      <c r="R418" s="8" t="s">
        <v>57</v>
      </c>
      <c r="S418" s="8" t="s">
        <v>52</v>
      </c>
      <c r="T418" s="8" t="s">
        <v>69</v>
      </c>
      <c r="U418" s="8" t="s">
        <v>228</v>
      </c>
      <c r="V418" s="8">
        <v>500</v>
      </c>
      <c r="W418" s="8" t="s">
        <v>328</v>
      </c>
      <c r="X418" s="8">
        <v>3000</v>
      </c>
      <c r="Y418" s="8" t="s">
        <v>268</v>
      </c>
      <c r="Z418" s="8">
        <v>85</v>
      </c>
      <c r="AA418" s="8" t="s">
        <v>278</v>
      </c>
      <c r="AB418" s="8" t="s">
        <v>247</v>
      </c>
      <c r="AC418" s="8" t="s">
        <v>228</v>
      </c>
      <c r="AD418" s="8" t="s">
        <v>228</v>
      </c>
      <c r="AE418" s="8" t="s">
        <v>228</v>
      </c>
      <c r="AF418" s="8" t="s">
        <v>228</v>
      </c>
      <c r="AG418" s="8" t="s">
        <v>228</v>
      </c>
      <c r="AH418" s="8" t="s">
        <v>228</v>
      </c>
      <c r="AI418" s="8" t="s">
        <v>228</v>
      </c>
      <c r="AJ418" t="s">
        <v>468</v>
      </c>
      <c r="AK418">
        <v>1</v>
      </c>
      <c r="AL418">
        <v>1</v>
      </c>
      <c r="AM418" t="s">
        <v>94</v>
      </c>
      <c r="AN418" t="s">
        <v>67</v>
      </c>
      <c r="AO418" t="s">
        <v>526</v>
      </c>
      <c r="AP418" t="s">
        <v>109</v>
      </c>
      <c r="AQ418">
        <v>12</v>
      </c>
      <c r="AR418" t="s">
        <v>521</v>
      </c>
      <c r="AS418" t="s">
        <v>228</v>
      </c>
      <c r="AT418" t="s">
        <v>140</v>
      </c>
      <c r="AU418">
        <v>1</v>
      </c>
      <c r="AV418">
        <v>1</v>
      </c>
      <c r="AW418" t="s">
        <v>406</v>
      </c>
      <c r="AX418" t="s">
        <v>283</v>
      </c>
      <c r="AY418" t="s">
        <v>217</v>
      </c>
      <c r="AZ418">
        <v>1</v>
      </c>
      <c r="BA418" t="s">
        <v>408</v>
      </c>
      <c r="BB418" t="s">
        <v>405</v>
      </c>
      <c r="BC418" t="s">
        <v>395</v>
      </c>
      <c r="BD418" t="s">
        <v>228</v>
      </c>
      <c r="BE418" t="s">
        <v>522</v>
      </c>
      <c r="BF418" t="s">
        <v>523</v>
      </c>
      <c r="BG418" t="s">
        <v>407</v>
      </c>
      <c r="BH418" t="s">
        <v>396</v>
      </c>
      <c r="BI418" t="s">
        <v>524</v>
      </c>
      <c r="BJ418" t="s">
        <v>228</v>
      </c>
      <c r="BK418" t="s">
        <v>543</v>
      </c>
      <c r="BL418" t="s">
        <v>228</v>
      </c>
      <c r="BM418" t="s">
        <v>228</v>
      </c>
      <c r="BN418" t="s">
        <v>228</v>
      </c>
      <c r="BO418" t="s">
        <v>228</v>
      </c>
      <c r="BP418" t="s">
        <v>228</v>
      </c>
      <c r="BQ418" t="s">
        <v>228</v>
      </c>
      <c r="BR418" t="s">
        <v>228</v>
      </c>
      <c r="BS418" t="s">
        <v>409</v>
      </c>
      <c r="BT418">
        <v>1</v>
      </c>
    </row>
    <row r="419" spans="1:72" x14ac:dyDescent="0.15">
      <c r="A419" s="43">
        <v>2023</v>
      </c>
      <c r="B419" s="8">
        <v>1</v>
      </c>
      <c r="C419" s="8">
        <v>1</v>
      </c>
      <c r="D419" s="8">
        <v>7</v>
      </c>
      <c r="E419" s="8" t="s">
        <v>67</v>
      </c>
      <c r="F419" s="8" t="s">
        <v>57</v>
      </c>
      <c r="G419" s="8">
        <v>2016</v>
      </c>
      <c r="H419" s="8">
        <v>12</v>
      </c>
      <c r="I419" s="8" t="s">
        <v>521</v>
      </c>
      <c r="J419" s="8" t="s">
        <v>228</v>
      </c>
      <c r="K419" s="8">
        <v>1983</v>
      </c>
      <c r="L419" s="17">
        <v>1</v>
      </c>
      <c r="M419" s="8">
        <v>1</v>
      </c>
      <c r="N419" s="8" t="s">
        <v>48</v>
      </c>
      <c r="O419" s="8" t="s">
        <v>283</v>
      </c>
      <c r="P419" s="8" t="s">
        <v>217</v>
      </c>
      <c r="Q419" s="8">
        <v>3000</v>
      </c>
      <c r="R419" s="8" t="s">
        <v>57</v>
      </c>
      <c r="S419" s="8" t="s">
        <v>54</v>
      </c>
      <c r="T419" s="8" t="s">
        <v>69</v>
      </c>
      <c r="U419" s="8" t="s">
        <v>228</v>
      </c>
      <c r="V419" s="8">
        <v>500</v>
      </c>
      <c r="W419" s="8" t="s">
        <v>328</v>
      </c>
      <c r="X419" s="8">
        <v>3000</v>
      </c>
      <c r="Y419" s="8" t="s">
        <v>271</v>
      </c>
      <c r="Z419" s="8">
        <v>85</v>
      </c>
      <c r="AA419" s="8" t="s">
        <v>278</v>
      </c>
      <c r="AB419" s="8" t="s">
        <v>228</v>
      </c>
      <c r="AC419" s="8" t="s">
        <v>228</v>
      </c>
      <c r="AD419" s="8" t="s">
        <v>228</v>
      </c>
      <c r="AE419" s="8" t="s">
        <v>228</v>
      </c>
      <c r="AF419" s="8" t="s">
        <v>228</v>
      </c>
      <c r="AG419" s="8" t="s">
        <v>228</v>
      </c>
      <c r="AH419" s="8" t="s">
        <v>228</v>
      </c>
      <c r="AI419" s="8" t="s">
        <v>228</v>
      </c>
      <c r="AJ419" t="s">
        <v>468</v>
      </c>
      <c r="AK419">
        <v>1</v>
      </c>
      <c r="AL419">
        <v>1</v>
      </c>
      <c r="AM419" t="s">
        <v>94</v>
      </c>
      <c r="AN419" t="s">
        <v>67</v>
      </c>
      <c r="AO419" t="s">
        <v>526</v>
      </c>
      <c r="AP419" t="s">
        <v>109</v>
      </c>
      <c r="AQ419">
        <v>12</v>
      </c>
      <c r="AR419" t="s">
        <v>521</v>
      </c>
      <c r="AS419" t="s">
        <v>228</v>
      </c>
      <c r="AT419" t="s">
        <v>140</v>
      </c>
      <c r="AU419">
        <v>1</v>
      </c>
      <c r="AV419">
        <v>1</v>
      </c>
      <c r="AW419" t="s">
        <v>406</v>
      </c>
      <c r="AX419" t="s">
        <v>283</v>
      </c>
      <c r="AY419" t="s">
        <v>217</v>
      </c>
      <c r="AZ419">
        <v>1</v>
      </c>
      <c r="BA419" t="s">
        <v>408</v>
      </c>
      <c r="BB419" t="s">
        <v>541</v>
      </c>
      <c r="BC419" t="s">
        <v>395</v>
      </c>
      <c r="BD419" t="s">
        <v>228</v>
      </c>
      <c r="BE419" t="s">
        <v>522</v>
      </c>
      <c r="BF419" t="s">
        <v>523</v>
      </c>
      <c r="BG419" t="s">
        <v>407</v>
      </c>
      <c r="BH419" t="s">
        <v>544</v>
      </c>
      <c r="BI419" t="s">
        <v>524</v>
      </c>
      <c r="BJ419" t="s">
        <v>228</v>
      </c>
      <c r="BK419" t="s">
        <v>228</v>
      </c>
      <c r="BL419" t="s">
        <v>228</v>
      </c>
      <c r="BM419" t="s">
        <v>228</v>
      </c>
      <c r="BN419" t="s">
        <v>228</v>
      </c>
      <c r="BO419" t="s">
        <v>228</v>
      </c>
      <c r="BP419" t="s">
        <v>228</v>
      </c>
      <c r="BQ419" t="s">
        <v>228</v>
      </c>
      <c r="BR419" t="s">
        <v>228</v>
      </c>
      <c r="BS419" t="s">
        <v>409</v>
      </c>
      <c r="BT419">
        <v>1</v>
      </c>
    </row>
    <row r="420" spans="1:72" x14ac:dyDescent="0.15">
      <c r="A420" s="43">
        <v>2023</v>
      </c>
      <c r="B420" s="8">
        <v>1</v>
      </c>
      <c r="C420" s="8">
        <v>1</v>
      </c>
      <c r="D420" s="8">
        <v>7</v>
      </c>
      <c r="E420" s="8" t="s">
        <v>67</v>
      </c>
      <c r="F420" s="8" t="s">
        <v>57</v>
      </c>
      <c r="G420" s="8">
        <v>2016</v>
      </c>
      <c r="H420" s="8">
        <v>12</v>
      </c>
      <c r="I420" s="8" t="s">
        <v>521</v>
      </c>
      <c r="J420" s="8" t="s">
        <v>228</v>
      </c>
      <c r="K420" s="8">
        <v>1983</v>
      </c>
      <c r="L420" s="17">
        <v>1</v>
      </c>
      <c r="M420" s="8">
        <v>1</v>
      </c>
      <c r="N420" s="8" t="s">
        <v>48</v>
      </c>
      <c r="O420" s="8" t="s">
        <v>283</v>
      </c>
      <c r="P420" s="8" t="s">
        <v>217</v>
      </c>
      <c r="Q420" s="8">
        <v>3000</v>
      </c>
      <c r="R420" s="8" t="s">
        <v>57</v>
      </c>
      <c r="S420" s="8" t="s">
        <v>53</v>
      </c>
      <c r="T420" s="8" t="s">
        <v>69</v>
      </c>
      <c r="U420" s="8" t="s">
        <v>228</v>
      </c>
      <c r="V420" s="8">
        <v>500</v>
      </c>
      <c r="W420" s="8" t="s">
        <v>328</v>
      </c>
      <c r="X420" s="8">
        <v>3000</v>
      </c>
      <c r="Y420" s="8" t="s">
        <v>271</v>
      </c>
      <c r="Z420" s="8">
        <v>85</v>
      </c>
      <c r="AA420" s="8" t="s">
        <v>278</v>
      </c>
      <c r="AB420" s="8" t="s">
        <v>228</v>
      </c>
      <c r="AC420" s="8" t="s">
        <v>228</v>
      </c>
      <c r="AD420" s="8" t="s">
        <v>228</v>
      </c>
      <c r="AE420" s="8" t="s">
        <v>228</v>
      </c>
      <c r="AF420" s="8" t="s">
        <v>228</v>
      </c>
      <c r="AG420" s="8" t="s">
        <v>228</v>
      </c>
      <c r="AH420" s="8" t="s">
        <v>228</v>
      </c>
      <c r="AI420" s="8" t="s">
        <v>228</v>
      </c>
      <c r="AJ420" t="s">
        <v>468</v>
      </c>
      <c r="AK420">
        <v>1</v>
      </c>
      <c r="AL420">
        <v>1</v>
      </c>
      <c r="AM420" t="s">
        <v>94</v>
      </c>
      <c r="AN420" t="s">
        <v>67</v>
      </c>
      <c r="AO420" t="s">
        <v>526</v>
      </c>
      <c r="AP420" t="s">
        <v>109</v>
      </c>
      <c r="AQ420">
        <v>12</v>
      </c>
      <c r="AR420" t="s">
        <v>521</v>
      </c>
      <c r="AS420" t="s">
        <v>228</v>
      </c>
      <c r="AT420" t="s">
        <v>140</v>
      </c>
      <c r="AU420">
        <v>1</v>
      </c>
      <c r="AV420">
        <v>1</v>
      </c>
      <c r="AW420" t="s">
        <v>406</v>
      </c>
      <c r="AX420" t="s">
        <v>283</v>
      </c>
      <c r="AY420" t="s">
        <v>217</v>
      </c>
      <c r="AZ420">
        <v>1</v>
      </c>
      <c r="BA420" t="s">
        <v>408</v>
      </c>
      <c r="BB420" t="s">
        <v>542</v>
      </c>
      <c r="BC420" t="s">
        <v>395</v>
      </c>
      <c r="BD420" t="s">
        <v>228</v>
      </c>
      <c r="BE420" t="s">
        <v>522</v>
      </c>
      <c r="BF420" t="s">
        <v>523</v>
      </c>
      <c r="BG420" t="s">
        <v>407</v>
      </c>
      <c r="BH420" t="s">
        <v>544</v>
      </c>
      <c r="BI420" t="s">
        <v>524</v>
      </c>
      <c r="BJ420" t="s">
        <v>228</v>
      </c>
      <c r="BK420" t="s">
        <v>228</v>
      </c>
      <c r="BL420" t="s">
        <v>228</v>
      </c>
      <c r="BM420" t="s">
        <v>228</v>
      </c>
      <c r="BN420" t="s">
        <v>228</v>
      </c>
      <c r="BO420" t="s">
        <v>228</v>
      </c>
      <c r="BP420" t="s">
        <v>228</v>
      </c>
      <c r="BQ420" t="s">
        <v>228</v>
      </c>
      <c r="BR420" t="s">
        <v>228</v>
      </c>
      <c r="BS420" t="s">
        <v>409</v>
      </c>
      <c r="BT420">
        <v>1</v>
      </c>
    </row>
    <row r="421" spans="1:72" x14ac:dyDescent="0.15">
      <c r="A421" s="43">
        <v>2023</v>
      </c>
      <c r="B421" s="8">
        <v>1</v>
      </c>
      <c r="C421" s="8">
        <v>1</v>
      </c>
      <c r="D421" s="8">
        <v>7</v>
      </c>
      <c r="E421" s="8" t="s">
        <v>67</v>
      </c>
      <c r="F421" s="8" t="s">
        <v>57</v>
      </c>
      <c r="G421" s="8">
        <v>2016</v>
      </c>
      <c r="H421" s="8">
        <v>12</v>
      </c>
      <c r="I421" s="8" t="s">
        <v>521</v>
      </c>
      <c r="J421" s="8" t="s">
        <v>228</v>
      </c>
      <c r="K421" s="8">
        <v>1983</v>
      </c>
      <c r="L421" s="17">
        <v>1</v>
      </c>
      <c r="M421" s="8">
        <v>1</v>
      </c>
      <c r="N421" s="8" t="s">
        <v>48</v>
      </c>
      <c r="O421" s="8" t="s">
        <v>283</v>
      </c>
      <c r="P421" s="8" t="s">
        <v>217</v>
      </c>
      <c r="Q421" s="8">
        <v>3000</v>
      </c>
      <c r="R421" s="8" t="s">
        <v>57</v>
      </c>
      <c r="S421" s="8" t="s">
        <v>52</v>
      </c>
      <c r="T421" s="8" t="s">
        <v>69</v>
      </c>
      <c r="U421" s="8" t="s">
        <v>228</v>
      </c>
      <c r="V421" s="8">
        <v>500</v>
      </c>
      <c r="W421" s="8" t="s">
        <v>328</v>
      </c>
      <c r="X421" s="8">
        <v>3000</v>
      </c>
      <c r="Y421" s="8" t="s">
        <v>271</v>
      </c>
      <c r="Z421" s="8">
        <v>85</v>
      </c>
      <c r="AA421" s="8" t="s">
        <v>278</v>
      </c>
      <c r="AB421" s="8" t="s">
        <v>228</v>
      </c>
      <c r="AC421" s="8" t="s">
        <v>228</v>
      </c>
      <c r="AD421" s="8" t="s">
        <v>228</v>
      </c>
      <c r="AE421" s="8" t="s">
        <v>228</v>
      </c>
      <c r="AF421" s="8" t="s">
        <v>228</v>
      </c>
      <c r="AG421" s="8" t="s">
        <v>228</v>
      </c>
      <c r="AH421" s="8" t="s">
        <v>228</v>
      </c>
      <c r="AI421" s="8" t="s">
        <v>228</v>
      </c>
      <c r="AJ421" t="s">
        <v>468</v>
      </c>
      <c r="AK421">
        <v>1</v>
      </c>
      <c r="AL421">
        <v>1</v>
      </c>
      <c r="AM421" t="s">
        <v>94</v>
      </c>
      <c r="AN421" t="s">
        <v>67</v>
      </c>
      <c r="AO421" t="s">
        <v>526</v>
      </c>
      <c r="AP421" t="s">
        <v>109</v>
      </c>
      <c r="AQ421">
        <v>12</v>
      </c>
      <c r="AR421" t="s">
        <v>521</v>
      </c>
      <c r="AS421" t="s">
        <v>228</v>
      </c>
      <c r="AT421" t="s">
        <v>140</v>
      </c>
      <c r="AU421">
        <v>1</v>
      </c>
      <c r="AV421">
        <v>1</v>
      </c>
      <c r="AW421" t="s">
        <v>406</v>
      </c>
      <c r="AX421" t="s">
        <v>283</v>
      </c>
      <c r="AY421" t="s">
        <v>217</v>
      </c>
      <c r="AZ421">
        <v>1</v>
      </c>
      <c r="BA421" t="s">
        <v>408</v>
      </c>
      <c r="BB421" t="s">
        <v>405</v>
      </c>
      <c r="BC421" t="s">
        <v>395</v>
      </c>
      <c r="BD421" t="s">
        <v>228</v>
      </c>
      <c r="BE421" t="s">
        <v>522</v>
      </c>
      <c r="BF421" t="s">
        <v>523</v>
      </c>
      <c r="BG421" t="s">
        <v>407</v>
      </c>
      <c r="BH421" t="s">
        <v>544</v>
      </c>
      <c r="BI421" t="s">
        <v>524</v>
      </c>
      <c r="BJ421" t="s">
        <v>228</v>
      </c>
      <c r="BK421" t="s">
        <v>228</v>
      </c>
      <c r="BL421" t="s">
        <v>228</v>
      </c>
      <c r="BM421" t="s">
        <v>228</v>
      </c>
      <c r="BN421" t="s">
        <v>228</v>
      </c>
      <c r="BO421" t="s">
        <v>228</v>
      </c>
      <c r="BP421" t="s">
        <v>228</v>
      </c>
      <c r="BQ421" t="s">
        <v>228</v>
      </c>
      <c r="BR421" t="s">
        <v>228</v>
      </c>
      <c r="BS421" t="s">
        <v>409</v>
      </c>
      <c r="BT421">
        <v>1</v>
      </c>
    </row>
    <row r="422" spans="1:72" x14ac:dyDescent="0.15">
      <c r="A422" s="43">
        <v>2023</v>
      </c>
      <c r="B422" s="8">
        <v>1</v>
      </c>
      <c r="C422" s="8">
        <v>1</v>
      </c>
      <c r="D422" s="8">
        <v>7</v>
      </c>
      <c r="E422" s="8" t="s">
        <v>67</v>
      </c>
      <c r="F422" s="8" t="s">
        <v>57</v>
      </c>
      <c r="G422" s="8">
        <v>2016</v>
      </c>
      <c r="H422" s="8">
        <v>12</v>
      </c>
      <c r="I422" s="8" t="s">
        <v>521</v>
      </c>
      <c r="J422" s="8" t="s">
        <v>228</v>
      </c>
      <c r="K422" s="8">
        <v>1983</v>
      </c>
      <c r="L422" s="17">
        <v>1</v>
      </c>
      <c r="M422" s="8">
        <v>1</v>
      </c>
      <c r="N422" s="8" t="s">
        <v>48</v>
      </c>
      <c r="O422" s="8" t="s">
        <v>283</v>
      </c>
      <c r="P422" s="8" t="s">
        <v>217</v>
      </c>
      <c r="Q422" s="8">
        <v>3000</v>
      </c>
      <c r="R422" s="8" t="s">
        <v>57</v>
      </c>
      <c r="S422" s="8" t="s">
        <v>54</v>
      </c>
      <c r="T422" s="8" t="s">
        <v>69</v>
      </c>
      <c r="U422" s="8" t="s">
        <v>228</v>
      </c>
      <c r="V422" s="8">
        <v>500</v>
      </c>
      <c r="W422" s="8" t="s">
        <v>328</v>
      </c>
      <c r="X422" s="8">
        <v>3000</v>
      </c>
      <c r="Y422" s="8" t="s">
        <v>271</v>
      </c>
      <c r="Z422" s="8">
        <v>85</v>
      </c>
      <c r="AA422" s="8" t="s">
        <v>278</v>
      </c>
      <c r="AB422" s="8" t="s">
        <v>247</v>
      </c>
      <c r="AC422" s="8" t="s">
        <v>228</v>
      </c>
      <c r="AD422" s="8" t="s">
        <v>228</v>
      </c>
      <c r="AE422" s="8" t="s">
        <v>228</v>
      </c>
      <c r="AF422" s="8" t="s">
        <v>228</v>
      </c>
      <c r="AG422" s="8" t="s">
        <v>228</v>
      </c>
      <c r="AH422" s="8" t="s">
        <v>228</v>
      </c>
      <c r="AI422" s="8" t="s">
        <v>228</v>
      </c>
      <c r="AJ422" t="s">
        <v>468</v>
      </c>
      <c r="AK422">
        <v>1</v>
      </c>
      <c r="AL422">
        <v>1</v>
      </c>
      <c r="AM422" t="s">
        <v>94</v>
      </c>
      <c r="AN422" t="s">
        <v>67</v>
      </c>
      <c r="AO422" t="s">
        <v>526</v>
      </c>
      <c r="AP422" t="s">
        <v>109</v>
      </c>
      <c r="AQ422">
        <v>12</v>
      </c>
      <c r="AR422" t="s">
        <v>521</v>
      </c>
      <c r="AS422" t="s">
        <v>228</v>
      </c>
      <c r="AT422" t="s">
        <v>140</v>
      </c>
      <c r="AU422">
        <v>1</v>
      </c>
      <c r="AV422">
        <v>1</v>
      </c>
      <c r="AW422" t="s">
        <v>406</v>
      </c>
      <c r="AX422" t="s">
        <v>283</v>
      </c>
      <c r="AY422" t="s">
        <v>217</v>
      </c>
      <c r="AZ422">
        <v>1</v>
      </c>
      <c r="BA422" t="s">
        <v>408</v>
      </c>
      <c r="BB422" t="s">
        <v>541</v>
      </c>
      <c r="BC422" t="s">
        <v>395</v>
      </c>
      <c r="BD422" t="s">
        <v>228</v>
      </c>
      <c r="BE422" t="s">
        <v>522</v>
      </c>
      <c r="BF422" t="s">
        <v>523</v>
      </c>
      <c r="BG422" t="s">
        <v>407</v>
      </c>
      <c r="BH422" t="s">
        <v>544</v>
      </c>
      <c r="BI422" t="s">
        <v>524</v>
      </c>
      <c r="BJ422" t="s">
        <v>228</v>
      </c>
      <c r="BK422" t="s">
        <v>543</v>
      </c>
      <c r="BL422" t="s">
        <v>228</v>
      </c>
      <c r="BM422" t="s">
        <v>228</v>
      </c>
      <c r="BN422" t="s">
        <v>228</v>
      </c>
      <c r="BO422" t="s">
        <v>228</v>
      </c>
      <c r="BP422" t="s">
        <v>228</v>
      </c>
      <c r="BQ422" t="s">
        <v>228</v>
      </c>
      <c r="BR422" t="s">
        <v>228</v>
      </c>
      <c r="BS422" t="s">
        <v>409</v>
      </c>
      <c r="BT422">
        <v>1</v>
      </c>
    </row>
    <row r="423" spans="1:72" x14ac:dyDescent="0.15">
      <c r="A423" s="43">
        <v>2023</v>
      </c>
      <c r="B423" s="8">
        <v>1</v>
      </c>
      <c r="C423" s="8">
        <v>1</v>
      </c>
      <c r="D423" s="8">
        <v>7</v>
      </c>
      <c r="E423" s="8" t="s">
        <v>67</v>
      </c>
      <c r="F423" s="8" t="s">
        <v>57</v>
      </c>
      <c r="G423" s="8">
        <v>2016</v>
      </c>
      <c r="H423" s="8">
        <v>12</v>
      </c>
      <c r="I423" s="8" t="s">
        <v>521</v>
      </c>
      <c r="J423" s="8" t="s">
        <v>228</v>
      </c>
      <c r="K423" s="8">
        <v>1983</v>
      </c>
      <c r="L423" s="17">
        <v>1</v>
      </c>
      <c r="M423" s="8">
        <v>1</v>
      </c>
      <c r="N423" s="8" t="s">
        <v>48</v>
      </c>
      <c r="O423" s="8" t="s">
        <v>283</v>
      </c>
      <c r="P423" s="8" t="s">
        <v>217</v>
      </c>
      <c r="Q423" s="8">
        <v>3000</v>
      </c>
      <c r="R423" s="8" t="s">
        <v>57</v>
      </c>
      <c r="S423" s="8" t="s">
        <v>53</v>
      </c>
      <c r="T423" s="8" t="s">
        <v>69</v>
      </c>
      <c r="U423" s="8" t="s">
        <v>228</v>
      </c>
      <c r="V423" s="8">
        <v>500</v>
      </c>
      <c r="W423" s="8" t="s">
        <v>328</v>
      </c>
      <c r="X423" s="8">
        <v>3000</v>
      </c>
      <c r="Y423" s="8" t="s">
        <v>271</v>
      </c>
      <c r="Z423" s="8">
        <v>85</v>
      </c>
      <c r="AA423" s="8" t="s">
        <v>278</v>
      </c>
      <c r="AB423" s="8" t="s">
        <v>247</v>
      </c>
      <c r="AC423" s="8" t="s">
        <v>228</v>
      </c>
      <c r="AD423" s="8" t="s">
        <v>228</v>
      </c>
      <c r="AE423" s="8" t="s">
        <v>228</v>
      </c>
      <c r="AF423" s="8" t="s">
        <v>228</v>
      </c>
      <c r="AG423" s="8" t="s">
        <v>228</v>
      </c>
      <c r="AH423" s="8" t="s">
        <v>228</v>
      </c>
      <c r="AI423" s="8" t="s">
        <v>228</v>
      </c>
      <c r="AJ423" t="s">
        <v>468</v>
      </c>
      <c r="AK423">
        <v>1</v>
      </c>
      <c r="AL423">
        <v>1</v>
      </c>
      <c r="AM423" t="s">
        <v>94</v>
      </c>
      <c r="AN423" t="s">
        <v>67</v>
      </c>
      <c r="AO423" t="s">
        <v>526</v>
      </c>
      <c r="AP423" t="s">
        <v>109</v>
      </c>
      <c r="AQ423">
        <v>12</v>
      </c>
      <c r="AR423" t="s">
        <v>521</v>
      </c>
      <c r="AS423" t="s">
        <v>228</v>
      </c>
      <c r="AT423" t="s">
        <v>140</v>
      </c>
      <c r="AU423">
        <v>1</v>
      </c>
      <c r="AV423">
        <v>1</v>
      </c>
      <c r="AW423" t="s">
        <v>406</v>
      </c>
      <c r="AX423" t="s">
        <v>283</v>
      </c>
      <c r="AY423" t="s">
        <v>217</v>
      </c>
      <c r="AZ423">
        <v>1</v>
      </c>
      <c r="BA423" t="s">
        <v>408</v>
      </c>
      <c r="BB423" t="s">
        <v>542</v>
      </c>
      <c r="BC423" t="s">
        <v>395</v>
      </c>
      <c r="BD423" t="s">
        <v>228</v>
      </c>
      <c r="BE423" t="s">
        <v>522</v>
      </c>
      <c r="BF423" t="s">
        <v>523</v>
      </c>
      <c r="BG423" t="s">
        <v>407</v>
      </c>
      <c r="BH423" t="s">
        <v>544</v>
      </c>
      <c r="BI423" t="s">
        <v>524</v>
      </c>
      <c r="BJ423" t="s">
        <v>228</v>
      </c>
      <c r="BK423" t="s">
        <v>543</v>
      </c>
      <c r="BL423" t="s">
        <v>228</v>
      </c>
      <c r="BM423" t="s">
        <v>228</v>
      </c>
      <c r="BN423" t="s">
        <v>228</v>
      </c>
      <c r="BO423" t="s">
        <v>228</v>
      </c>
      <c r="BP423" t="s">
        <v>228</v>
      </c>
      <c r="BQ423" t="s">
        <v>228</v>
      </c>
      <c r="BR423" t="s">
        <v>228</v>
      </c>
      <c r="BS423" t="s">
        <v>409</v>
      </c>
      <c r="BT423">
        <v>1</v>
      </c>
    </row>
    <row r="424" spans="1:72" x14ac:dyDescent="0.15">
      <c r="A424" s="43">
        <v>2023</v>
      </c>
      <c r="B424" s="8">
        <v>1</v>
      </c>
      <c r="C424" s="8">
        <v>1</v>
      </c>
      <c r="D424" s="8">
        <v>7</v>
      </c>
      <c r="E424" s="8" t="s">
        <v>67</v>
      </c>
      <c r="F424" s="8" t="s">
        <v>57</v>
      </c>
      <c r="G424" s="8">
        <v>2016</v>
      </c>
      <c r="H424" s="8">
        <v>12</v>
      </c>
      <c r="I424" s="8" t="s">
        <v>521</v>
      </c>
      <c r="J424" s="8" t="s">
        <v>228</v>
      </c>
      <c r="K424" s="8">
        <v>1983</v>
      </c>
      <c r="L424" s="17">
        <v>1</v>
      </c>
      <c r="M424" s="8">
        <v>1</v>
      </c>
      <c r="N424" s="8" t="s">
        <v>48</v>
      </c>
      <c r="O424" s="8" t="s">
        <v>283</v>
      </c>
      <c r="P424" s="8" t="s">
        <v>217</v>
      </c>
      <c r="Q424" s="8">
        <v>3000</v>
      </c>
      <c r="R424" s="8" t="s">
        <v>57</v>
      </c>
      <c r="S424" s="8" t="s">
        <v>52</v>
      </c>
      <c r="T424" s="8" t="s">
        <v>69</v>
      </c>
      <c r="U424" s="8" t="s">
        <v>228</v>
      </c>
      <c r="V424" s="8">
        <v>500</v>
      </c>
      <c r="W424" s="8" t="s">
        <v>328</v>
      </c>
      <c r="X424" s="8">
        <v>3000</v>
      </c>
      <c r="Y424" s="8" t="s">
        <v>271</v>
      </c>
      <c r="Z424" s="8">
        <v>85</v>
      </c>
      <c r="AA424" s="8" t="s">
        <v>278</v>
      </c>
      <c r="AB424" s="8" t="s">
        <v>247</v>
      </c>
      <c r="AC424" s="8" t="s">
        <v>228</v>
      </c>
      <c r="AD424" s="8" t="s">
        <v>228</v>
      </c>
      <c r="AE424" s="8" t="s">
        <v>228</v>
      </c>
      <c r="AF424" s="8" t="s">
        <v>228</v>
      </c>
      <c r="AG424" s="8" t="s">
        <v>228</v>
      </c>
      <c r="AH424" s="8" t="s">
        <v>228</v>
      </c>
      <c r="AI424" s="8" t="s">
        <v>228</v>
      </c>
      <c r="AJ424" t="s">
        <v>468</v>
      </c>
      <c r="AK424">
        <v>1</v>
      </c>
      <c r="AL424">
        <v>1</v>
      </c>
      <c r="AM424" t="s">
        <v>94</v>
      </c>
      <c r="AN424" t="s">
        <v>67</v>
      </c>
      <c r="AO424" t="s">
        <v>526</v>
      </c>
      <c r="AP424" t="s">
        <v>109</v>
      </c>
      <c r="AQ424">
        <v>12</v>
      </c>
      <c r="AR424" t="s">
        <v>521</v>
      </c>
      <c r="AS424" t="s">
        <v>228</v>
      </c>
      <c r="AT424" t="s">
        <v>140</v>
      </c>
      <c r="AU424">
        <v>1</v>
      </c>
      <c r="AV424">
        <v>1</v>
      </c>
      <c r="AW424" t="s">
        <v>406</v>
      </c>
      <c r="AX424" t="s">
        <v>283</v>
      </c>
      <c r="AY424" t="s">
        <v>217</v>
      </c>
      <c r="AZ424">
        <v>1</v>
      </c>
      <c r="BA424" t="s">
        <v>408</v>
      </c>
      <c r="BB424" t="s">
        <v>405</v>
      </c>
      <c r="BC424" t="s">
        <v>395</v>
      </c>
      <c r="BD424" t="s">
        <v>228</v>
      </c>
      <c r="BE424" t="s">
        <v>522</v>
      </c>
      <c r="BF424" t="s">
        <v>523</v>
      </c>
      <c r="BG424" t="s">
        <v>407</v>
      </c>
      <c r="BH424" t="s">
        <v>544</v>
      </c>
      <c r="BI424" t="s">
        <v>524</v>
      </c>
      <c r="BJ424" t="s">
        <v>228</v>
      </c>
      <c r="BK424" t="s">
        <v>543</v>
      </c>
      <c r="BL424" t="s">
        <v>228</v>
      </c>
      <c r="BM424" t="s">
        <v>228</v>
      </c>
      <c r="BN424" t="s">
        <v>228</v>
      </c>
      <c r="BO424" t="s">
        <v>228</v>
      </c>
      <c r="BP424" t="s">
        <v>228</v>
      </c>
      <c r="BQ424" t="s">
        <v>228</v>
      </c>
      <c r="BR424" t="s">
        <v>228</v>
      </c>
      <c r="BS424" t="s">
        <v>409</v>
      </c>
      <c r="BT424">
        <v>0</v>
      </c>
    </row>
    <row r="425" spans="1:72" x14ac:dyDescent="0.15">
      <c r="A425" s="43">
        <v>2023</v>
      </c>
      <c r="B425" s="8">
        <v>1</v>
      </c>
      <c r="C425" s="8">
        <v>1</v>
      </c>
      <c r="D425" s="8" t="s">
        <v>282</v>
      </c>
      <c r="E425" s="8" t="s">
        <v>228</v>
      </c>
      <c r="F425" s="8" t="s">
        <v>57</v>
      </c>
      <c r="G425" s="8">
        <v>2016</v>
      </c>
      <c r="H425" s="8">
        <v>12</v>
      </c>
      <c r="I425" s="8" t="s">
        <v>521</v>
      </c>
      <c r="J425" s="8" t="s">
        <v>228</v>
      </c>
      <c r="K425" s="8">
        <v>1983</v>
      </c>
      <c r="L425" s="17">
        <v>1</v>
      </c>
      <c r="M425" s="8">
        <v>1</v>
      </c>
      <c r="N425" s="8" t="s">
        <v>48</v>
      </c>
      <c r="O425" s="8" t="s">
        <v>283</v>
      </c>
      <c r="P425" s="8" t="s">
        <v>217</v>
      </c>
      <c r="Q425" s="8">
        <v>3000</v>
      </c>
      <c r="R425" s="8" t="s">
        <v>57</v>
      </c>
      <c r="S425" s="8" t="s">
        <v>54</v>
      </c>
      <c r="T425" s="8" t="s">
        <v>69</v>
      </c>
      <c r="U425" s="8" t="s">
        <v>228</v>
      </c>
      <c r="V425" s="8">
        <v>500</v>
      </c>
      <c r="W425" s="8" t="s">
        <v>328</v>
      </c>
      <c r="X425" s="8">
        <v>3000</v>
      </c>
      <c r="Y425" s="8" t="s">
        <v>268</v>
      </c>
      <c r="Z425" s="8">
        <v>85</v>
      </c>
      <c r="AA425" s="8" t="s">
        <v>278</v>
      </c>
      <c r="AB425" s="8" t="s">
        <v>228</v>
      </c>
      <c r="AC425" s="8" t="s">
        <v>228</v>
      </c>
      <c r="AD425" s="8" t="s">
        <v>228</v>
      </c>
      <c r="AE425" s="8" t="s">
        <v>228</v>
      </c>
      <c r="AF425" s="8" t="s">
        <v>228</v>
      </c>
      <c r="AG425" s="8" t="s">
        <v>228</v>
      </c>
      <c r="AH425" s="8" t="s">
        <v>228</v>
      </c>
      <c r="AI425" s="8" t="s">
        <v>228</v>
      </c>
      <c r="AJ425" t="s">
        <v>468</v>
      </c>
      <c r="AK425">
        <v>1</v>
      </c>
      <c r="AL425">
        <v>1</v>
      </c>
      <c r="AM425" t="s">
        <v>282</v>
      </c>
      <c r="AN425" t="s">
        <v>228</v>
      </c>
      <c r="AO425" t="s">
        <v>526</v>
      </c>
      <c r="AP425" t="s">
        <v>109</v>
      </c>
      <c r="AQ425">
        <v>12</v>
      </c>
      <c r="AR425" t="s">
        <v>521</v>
      </c>
      <c r="AS425" t="s">
        <v>228</v>
      </c>
      <c r="AT425" t="s">
        <v>140</v>
      </c>
      <c r="AU425">
        <v>1</v>
      </c>
      <c r="AV425">
        <v>1</v>
      </c>
      <c r="AW425" t="s">
        <v>406</v>
      </c>
      <c r="AX425" t="s">
        <v>283</v>
      </c>
      <c r="AY425" t="s">
        <v>217</v>
      </c>
      <c r="AZ425">
        <v>1</v>
      </c>
      <c r="BA425" t="s">
        <v>408</v>
      </c>
      <c r="BB425" t="s">
        <v>541</v>
      </c>
      <c r="BC425" t="s">
        <v>395</v>
      </c>
      <c r="BD425" t="s">
        <v>228</v>
      </c>
      <c r="BE425" t="s">
        <v>522</v>
      </c>
      <c r="BF425" t="s">
        <v>523</v>
      </c>
      <c r="BG425" t="s">
        <v>407</v>
      </c>
      <c r="BH425" t="s">
        <v>396</v>
      </c>
      <c r="BI425" t="s">
        <v>524</v>
      </c>
      <c r="BJ425" t="s">
        <v>228</v>
      </c>
      <c r="BK425" t="s">
        <v>228</v>
      </c>
      <c r="BL425" t="s">
        <v>228</v>
      </c>
      <c r="BM425" t="s">
        <v>228</v>
      </c>
      <c r="BN425" t="s">
        <v>228</v>
      </c>
      <c r="BO425" t="s">
        <v>228</v>
      </c>
      <c r="BP425" t="s">
        <v>228</v>
      </c>
      <c r="BQ425" t="s">
        <v>228</v>
      </c>
      <c r="BR425" t="s">
        <v>228</v>
      </c>
      <c r="BS425" t="s">
        <v>465</v>
      </c>
      <c r="BT425">
        <v>1</v>
      </c>
    </row>
    <row r="426" spans="1:72" x14ac:dyDescent="0.15">
      <c r="A426" s="43">
        <v>2023</v>
      </c>
      <c r="B426" s="8">
        <v>1</v>
      </c>
      <c r="C426" s="8">
        <v>1</v>
      </c>
      <c r="D426" s="8" t="s">
        <v>282</v>
      </c>
      <c r="E426" s="8" t="s">
        <v>228</v>
      </c>
      <c r="F426" s="8" t="s">
        <v>57</v>
      </c>
      <c r="G426" s="8">
        <v>2016</v>
      </c>
      <c r="H426" s="8">
        <v>12</v>
      </c>
      <c r="I426" s="8" t="s">
        <v>521</v>
      </c>
      <c r="J426" s="8" t="s">
        <v>228</v>
      </c>
      <c r="K426" s="8">
        <v>1983</v>
      </c>
      <c r="L426" s="17">
        <v>1</v>
      </c>
      <c r="M426" s="8">
        <v>1</v>
      </c>
      <c r="N426" s="8" t="s">
        <v>48</v>
      </c>
      <c r="O426" s="8" t="s">
        <v>283</v>
      </c>
      <c r="P426" s="8" t="s">
        <v>217</v>
      </c>
      <c r="Q426" s="8">
        <v>3000</v>
      </c>
      <c r="R426" s="8" t="s">
        <v>57</v>
      </c>
      <c r="S426" s="8" t="s">
        <v>53</v>
      </c>
      <c r="T426" s="8" t="s">
        <v>69</v>
      </c>
      <c r="U426" s="8" t="s">
        <v>228</v>
      </c>
      <c r="V426" s="8">
        <v>500</v>
      </c>
      <c r="W426" s="8" t="s">
        <v>328</v>
      </c>
      <c r="X426" s="8">
        <v>3000</v>
      </c>
      <c r="Y426" s="8" t="s">
        <v>268</v>
      </c>
      <c r="Z426" s="8">
        <v>85</v>
      </c>
      <c r="AA426" s="8" t="s">
        <v>278</v>
      </c>
      <c r="AB426" s="8" t="s">
        <v>228</v>
      </c>
      <c r="AC426" s="8" t="s">
        <v>228</v>
      </c>
      <c r="AD426" s="8" t="s">
        <v>228</v>
      </c>
      <c r="AE426" s="8" t="s">
        <v>228</v>
      </c>
      <c r="AF426" s="8" t="s">
        <v>228</v>
      </c>
      <c r="AG426" s="8" t="s">
        <v>228</v>
      </c>
      <c r="AH426" s="8" t="s">
        <v>228</v>
      </c>
      <c r="AI426" s="8" t="s">
        <v>228</v>
      </c>
      <c r="AJ426" t="s">
        <v>468</v>
      </c>
      <c r="AK426">
        <v>1</v>
      </c>
      <c r="AL426">
        <v>1</v>
      </c>
      <c r="AM426" t="s">
        <v>282</v>
      </c>
      <c r="AN426" t="s">
        <v>228</v>
      </c>
      <c r="AO426" t="s">
        <v>526</v>
      </c>
      <c r="AP426" t="s">
        <v>109</v>
      </c>
      <c r="AQ426">
        <v>12</v>
      </c>
      <c r="AR426" t="s">
        <v>521</v>
      </c>
      <c r="AS426" t="s">
        <v>228</v>
      </c>
      <c r="AT426" t="s">
        <v>140</v>
      </c>
      <c r="AU426">
        <v>1</v>
      </c>
      <c r="AV426">
        <v>1</v>
      </c>
      <c r="AW426" t="s">
        <v>406</v>
      </c>
      <c r="AX426" t="s">
        <v>283</v>
      </c>
      <c r="AY426" t="s">
        <v>217</v>
      </c>
      <c r="AZ426">
        <v>1</v>
      </c>
      <c r="BA426" t="s">
        <v>408</v>
      </c>
      <c r="BB426" t="s">
        <v>542</v>
      </c>
      <c r="BC426" t="s">
        <v>395</v>
      </c>
      <c r="BD426" t="s">
        <v>228</v>
      </c>
      <c r="BE426" t="s">
        <v>522</v>
      </c>
      <c r="BF426" t="s">
        <v>523</v>
      </c>
      <c r="BG426" t="s">
        <v>407</v>
      </c>
      <c r="BH426" t="s">
        <v>396</v>
      </c>
      <c r="BI426" t="s">
        <v>524</v>
      </c>
      <c r="BJ426" t="s">
        <v>228</v>
      </c>
      <c r="BK426" t="s">
        <v>228</v>
      </c>
      <c r="BL426" t="s">
        <v>228</v>
      </c>
      <c r="BM426" t="s">
        <v>228</v>
      </c>
      <c r="BN426" t="s">
        <v>228</v>
      </c>
      <c r="BO426" t="s">
        <v>228</v>
      </c>
      <c r="BP426" t="s">
        <v>228</v>
      </c>
      <c r="BQ426" t="s">
        <v>228</v>
      </c>
      <c r="BR426" t="s">
        <v>228</v>
      </c>
      <c r="BS426" t="s">
        <v>465</v>
      </c>
      <c r="BT426">
        <v>1</v>
      </c>
    </row>
    <row r="427" spans="1:72" x14ac:dyDescent="0.15">
      <c r="A427" s="43">
        <v>2023</v>
      </c>
      <c r="B427" s="8">
        <v>1</v>
      </c>
      <c r="C427" s="8">
        <v>1</v>
      </c>
      <c r="D427" s="8" t="s">
        <v>282</v>
      </c>
      <c r="E427" s="8" t="s">
        <v>228</v>
      </c>
      <c r="F427" s="8" t="s">
        <v>57</v>
      </c>
      <c r="G427" s="8">
        <v>2016</v>
      </c>
      <c r="H427" s="8">
        <v>12</v>
      </c>
      <c r="I427" s="8" t="s">
        <v>521</v>
      </c>
      <c r="J427" s="8" t="s">
        <v>228</v>
      </c>
      <c r="K427" s="8">
        <v>1983</v>
      </c>
      <c r="L427" s="17">
        <v>1</v>
      </c>
      <c r="M427" s="8">
        <v>1</v>
      </c>
      <c r="N427" s="8" t="s">
        <v>48</v>
      </c>
      <c r="O427" s="8" t="s">
        <v>283</v>
      </c>
      <c r="P427" s="8" t="s">
        <v>217</v>
      </c>
      <c r="Q427" s="8">
        <v>3000</v>
      </c>
      <c r="R427" s="8" t="s">
        <v>57</v>
      </c>
      <c r="S427" s="8" t="s">
        <v>52</v>
      </c>
      <c r="T427" s="8" t="s">
        <v>69</v>
      </c>
      <c r="U427" s="8" t="s">
        <v>228</v>
      </c>
      <c r="V427" s="8">
        <v>500</v>
      </c>
      <c r="W427" s="8" t="s">
        <v>328</v>
      </c>
      <c r="X427" s="8">
        <v>3000</v>
      </c>
      <c r="Y427" s="8" t="s">
        <v>268</v>
      </c>
      <c r="Z427" s="8">
        <v>85</v>
      </c>
      <c r="AA427" s="8" t="s">
        <v>278</v>
      </c>
      <c r="AB427" s="8" t="s">
        <v>228</v>
      </c>
      <c r="AC427" s="8" t="s">
        <v>228</v>
      </c>
      <c r="AD427" s="8" t="s">
        <v>228</v>
      </c>
      <c r="AE427" s="8" t="s">
        <v>228</v>
      </c>
      <c r="AF427" s="8" t="s">
        <v>228</v>
      </c>
      <c r="AG427" s="8" t="s">
        <v>228</v>
      </c>
      <c r="AH427" s="8" t="s">
        <v>228</v>
      </c>
      <c r="AI427" s="8" t="s">
        <v>228</v>
      </c>
      <c r="AJ427" t="s">
        <v>468</v>
      </c>
      <c r="AK427">
        <v>1</v>
      </c>
      <c r="AL427">
        <v>1</v>
      </c>
      <c r="AM427" t="s">
        <v>282</v>
      </c>
      <c r="AN427" t="s">
        <v>228</v>
      </c>
      <c r="AO427" t="s">
        <v>526</v>
      </c>
      <c r="AP427" t="s">
        <v>109</v>
      </c>
      <c r="AQ427">
        <v>12</v>
      </c>
      <c r="AR427" t="s">
        <v>521</v>
      </c>
      <c r="AS427" t="s">
        <v>228</v>
      </c>
      <c r="AT427" t="s">
        <v>140</v>
      </c>
      <c r="AU427">
        <v>1</v>
      </c>
      <c r="AV427">
        <v>1</v>
      </c>
      <c r="AW427" t="s">
        <v>406</v>
      </c>
      <c r="AX427" t="s">
        <v>283</v>
      </c>
      <c r="AY427" t="s">
        <v>217</v>
      </c>
      <c r="AZ427">
        <v>1</v>
      </c>
      <c r="BA427" t="s">
        <v>408</v>
      </c>
      <c r="BB427" t="s">
        <v>405</v>
      </c>
      <c r="BC427" t="s">
        <v>395</v>
      </c>
      <c r="BD427" t="s">
        <v>228</v>
      </c>
      <c r="BE427" t="s">
        <v>522</v>
      </c>
      <c r="BF427" t="s">
        <v>523</v>
      </c>
      <c r="BG427" t="s">
        <v>407</v>
      </c>
      <c r="BH427" t="s">
        <v>396</v>
      </c>
      <c r="BI427" t="s">
        <v>524</v>
      </c>
      <c r="BJ427" t="s">
        <v>228</v>
      </c>
      <c r="BK427" t="s">
        <v>228</v>
      </c>
      <c r="BL427" t="s">
        <v>228</v>
      </c>
      <c r="BM427" t="s">
        <v>228</v>
      </c>
      <c r="BN427" t="s">
        <v>228</v>
      </c>
      <c r="BO427" t="s">
        <v>228</v>
      </c>
      <c r="BP427" t="s">
        <v>228</v>
      </c>
      <c r="BQ427" t="s">
        <v>228</v>
      </c>
      <c r="BR427" t="s">
        <v>228</v>
      </c>
      <c r="BS427" t="s">
        <v>465</v>
      </c>
      <c r="BT427">
        <v>1</v>
      </c>
    </row>
    <row r="428" spans="1:72" x14ac:dyDescent="0.15">
      <c r="A428" s="43">
        <v>2023</v>
      </c>
      <c r="B428" s="8">
        <v>1</v>
      </c>
      <c r="C428" s="8">
        <v>1</v>
      </c>
      <c r="D428" s="8" t="s">
        <v>282</v>
      </c>
      <c r="E428" s="8" t="s">
        <v>228</v>
      </c>
      <c r="F428" s="8" t="s">
        <v>57</v>
      </c>
      <c r="G428" s="8">
        <v>2016</v>
      </c>
      <c r="H428" s="8">
        <v>12</v>
      </c>
      <c r="I428" s="8" t="s">
        <v>521</v>
      </c>
      <c r="J428" s="8" t="s">
        <v>228</v>
      </c>
      <c r="K428" s="8">
        <v>1983</v>
      </c>
      <c r="L428" s="17">
        <v>1</v>
      </c>
      <c r="M428" s="8">
        <v>1</v>
      </c>
      <c r="N428" s="8" t="s">
        <v>48</v>
      </c>
      <c r="O428" s="8" t="s">
        <v>283</v>
      </c>
      <c r="P428" s="8" t="s">
        <v>217</v>
      </c>
      <c r="Q428" s="8">
        <v>3000</v>
      </c>
      <c r="R428" s="8" t="s">
        <v>57</v>
      </c>
      <c r="S428" s="8" t="s">
        <v>54</v>
      </c>
      <c r="T428" s="8" t="s">
        <v>69</v>
      </c>
      <c r="U428" s="8" t="s">
        <v>228</v>
      </c>
      <c r="V428" s="8">
        <v>500</v>
      </c>
      <c r="W428" s="8" t="s">
        <v>328</v>
      </c>
      <c r="X428" s="8">
        <v>3000</v>
      </c>
      <c r="Y428" s="8" t="s">
        <v>268</v>
      </c>
      <c r="Z428" s="8">
        <v>85</v>
      </c>
      <c r="AA428" s="8" t="s">
        <v>278</v>
      </c>
      <c r="AB428" s="8" t="s">
        <v>247</v>
      </c>
      <c r="AC428" s="8" t="s">
        <v>228</v>
      </c>
      <c r="AD428" s="8" t="s">
        <v>228</v>
      </c>
      <c r="AE428" s="8" t="s">
        <v>228</v>
      </c>
      <c r="AF428" s="8" t="s">
        <v>228</v>
      </c>
      <c r="AG428" s="8" t="s">
        <v>228</v>
      </c>
      <c r="AH428" s="8" t="s">
        <v>228</v>
      </c>
      <c r="AI428" s="8" t="s">
        <v>228</v>
      </c>
      <c r="AJ428" t="s">
        <v>468</v>
      </c>
      <c r="AK428">
        <v>1</v>
      </c>
      <c r="AL428">
        <v>1</v>
      </c>
      <c r="AM428" t="s">
        <v>282</v>
      </c>
      <c r="AN428" t="s">
        <v>228</v>
      </c>
      <c r="AO428" t="s">
        <v>526</v>
      </c>
      <c r="AP428" t="s">
        <v>109</v>
      </c>
      <c r="AQ428">
        <v>12</v>
      </c>
      <c r="AR428" t="s">
        <v>521</v>
      </c>
      <c r="AS428" t="s">
        <v>228</v>
      </c>
      <c r="AT428" t="s">
        <v>140</v>
      </c>
      <c r="AU428">
        <v>1</v>
      </c>
      <c r="AV428">
        <v>1</v>
      </c>
      <c r="AW428" t="s">
        <v>406</v>
      </c>
      <c r="AX428" t="s">
        <v>283</v>
      </c>
      <c r="AY428" t="s">
        <v>217</v>
      </c>
      <c r="AZ428">
        <v>1</v>
      </c>
      <c r="BA428" t="s">
        <v>408</v>
      </c>
      <c r="BB428" t="s">
        <v>541</v>
      </c>
      <c r="BC428" t="s">
        <v>395</v>
      </c>
      <c r="BD428" t="s">
        <v>228</v>
      </c>
      <c r="BE428" t="s">
        <v>522</v>
      </c>
      <c r="BF428" t="s">
        <v>523</v>
      </c>
      <c r="BG428" t="s">
        <v>407</v>
      </c>
      <c r="BH428" t="s">
        <v>396</v>
      </c>
      <c r="BI428" t="s">
        <v>524</v>
      </c>
      <c r="BJ428" t="s">
        <v>228</v>
      </c>
      <c r="BK428" t="s">
        <v>543</v>
      </c>
      <c r="BL428" t="s">
        <v>228</v>
      </c>
      <c r="BM428" t="s">
        <v>228</v>
      </c>
      <c r="BN428" t="s">
        <v>228</v>
      </c>
      <c r="BO428" t="s">
        <v>228</v>
      </c>
      <c r="BP428" t="s">
        <v>228</v>
      </c>
      <c r="BQ428" t="s">
        <v>228</v>
      </c>
      <c r="BR428" t="s">
        <v>228</v>
      </c>
      <c r="BS428" t="s">
        <v>465</v>
      </c>
      <c r="BT428">
        <v>1</v>
      </c>
    </row>
    <row r="429" spans="1:72" x14ac:dyDescent="0.15">
      <c r="A429" s="43">
        <v>2023</v>
      </c>
      <c r="B429" s="8">
        <v>1</v>
      </c>
      <c r="C429" s="8">
        <v>1</v>
      </c>
      <c r="D429" s="8" t="s">
        <v>282</v>
      </c>
      <c r="E429" s="8" t="s">
        <v>228</v>
      </c>
      <c r="F429" s="8" t="s">
        <v>57</v>
      </c>
      <c r="G429" s="8">
        <v>2016</v>
      </c>
      <c r="H429" s="8">
        <v>12</v>
      </c>
      <c r="I429" s="8" t="s">
        <v>521</v>
      </c>
      <c r="J429" s="8" t="s">
        <v>228</v>
      </c>
      <c r="K429" s="8">
        <v>1983</v>
      </c>
      <c r="L429" s="17">
        <v>1</v>
      </c>
      <c r="M429" s="8">
        <v>1</v>
      </c>
      <c r="N429" s="8" t="s">
        <v>48</v>
      </c>
      <c r="O429" s="8" t="s">
        <v>283</v>
      </c>
      <c r="P429" s="8" t="s">
        <v>217</v>
      </c>
      <c r="Q429" s="8">
        <v>3000</v>
      </c>
      <c r="R429" s="8" t="s">
        <v>57</v>
      </c>
      <c r="S429" s="8" t="s">
        <v>53</v>
      </c>
      <c r="T429" s="8" t="s">
        <v>69</v>
      </c>
      <c r="U429" s="8" t="s">
        <v>228</v>
      </c>
      <c r="V429" s="8">
        <v>500</v>
      </c>
      <c r="W429" s="8" t="s">
        <v>328</v>
      </c>
      <c r="X429" s="8">
        <v>3000</v>
      </c>
      <c r="Y429" s="8" t="s">
        <v>268</v>
      </c>
      <c r="Z429" s="8">
        <v>85</v>
      </c>
      <c r="AA429" s="8" t="s">
        <v>278</v>
      </c>
      <c r="AB429" s="8" t="s">
        <v>247</v>
      </c>
      <c r="AC429" s="8" t="s">
        <v>228</v>
      </c>
      <c r="AD429" s="8" t="s">
        <v>228</v>
      </c>
      <c r="AE429" s="8" t="s">
        <v>228</v>
      </c>
      <c r="AF429" s="8" t="s">
        <v>228</v>
      </c>
      <c r="AG429" s="8" t="s">
        <v>228</v>
      </c>
      <c r="AH429" s="8" t="s">
        <v>228</v>
      </c>
      <c r="AI429" s="8" t="s">
        <v>228</v>
      </c>
      <c r="AJ429" t="s">
        <v>468</v>
      </c>
      <c r="AK429">
        <v>1</v>
      </c>
      <c r="AL429">
        <v>1</v>
      </c>
      <c r="AM429" t="s">
        <v>282</v>
      </c>
      <c r="AN429" t="s">
        <v>228</v>
      </c>
      <c r="AO429" t="s">
        <v>526</v>
      </c>
      <c r="AP429" t="s">
        <v>109</v>
      </c>
      <c r="AQ429">
        <v>12</v>
      </c>
      <c r="AR429" t="s">
        <v>521</v>
      </c>
      <c r="AS429" t="s">
        <v>228</v>
      </c>
      <c r="AT429" t="s">
        <v>140</v>
      </c>
      <c r="AU429">
        <v>1</v>
      </c>
      <c r="AV429">
        <v>1</v>
      </c>
      <c r="AW429" t="s">
        <v>406</v>
      </c>
      <c r="AX429" t="s">
        <v>283</v>
      </c>
      <c r="AY429" t="s">
        <v>217</v>
      </c>
      <c r="AZ429">
        <v>1</v>
      </c>
      <c r="BA429" t="s">
        <v>408</v>
      </c>
      <c r="BB429" t="s">
        <v>542</v>
      </c>
      <c r="BC429" t="s">
        <v>395</v>
      </c>
      <c r="BD429" t="s">
        <v>228</v>
      </c>
      <c r="BE429" t="s">
        <v>522</v>
      </c>
      <c r="BF429" t="s">
        <v>523</v>
      </c>
      <c r="BG429" t="s">
        <v>407</v>
      </c>
      <c r="BH429" t="s">
        <v>396</v>
      </c>
      <c r="BI429" t="s">
        <v>524</v>
      </c>
      <c r="BJ429" t="s">
        <v>228</v>
      </c>
      <c r="BK429" t="s">
        <v>543</v>
      </c>
      <c r="BL429" t="s">
        <v>228</v>
      </c>
      <c r="BM429" t="s">
        <v>228</v>
      </c>
      <c r="BN429" t="s">
        <v>228</v>
      </c>
      <c r="BO429" t="s">
        <v>228</v>
      </c>
      <c r="BP429" t="s">
        <v>228</v>
      </c>
      <c r="BQ429" t="s">
        <v>228</v>
      </c>
      <c r="BR429" t="s">
        <v>228</v>
      </c>
      <c r="BS429" t="s">
        <v>465</v>
      </c>
      <c r="BT429">
        <v>1</v>
      </c>
    </row>
    <row r="430" spans="1:72" x14ac:dyDescent="0.15">
      <c r="A430" s="43">
        <v>2023</v>
      </c>
      <c r="B430" s="8">
        <v>1</v>
      </c>
      <c r="C430" s="8">
        <v>1</v>
      </c>
      <c r="D430" s="8" t="s">
        <v>282</v>
      </c>
      <c r="E430" s="8" t="s">
        <v>228</v>
      </c>
      <c r="F430" s="8" t="s">
        <v>57</v>
      </c>
      <c r="G430" s="8">
        <v>2016</v>
      </c>
      <c r="H430" s="8">
        <v>12</v>
      </c>
      <c r="I430" s="8" t="s">
        <v>521</v>
      </c>
      <c r="J430" s="8" t="s">
        <v>228</v>
      </c>
      <c r="K430" s="8">
        <v>1983</v>
      </c>
      <c r="L430" s="17">
        <v>1</v>
      </c>
      <c r="M430" s="8">
        <v>1</v>
      </c>
      <c r="N430" s="8" t="s">
        <v>48</v>
      </c>
      <c r="O430" s="8" t="s">
        <v>283</v>
      </c>
      <c r="P430" s="8" t="s">
        <v>217</v>
      </c>
      <c r="Q430" s="8">
        <v>3000</v>
      </c>
      <c r="R430" s="8" t="s">
        <v>57</v>
      </c>
      <c r="S430" s="8" t="s">
        <v>52</v>
      </c>
      <c r="T430" s="8" t="s">
        <v>69</v>
      </c>
      <c r="U430" s="8" t="s">
        <v>228</v>
      </c>
      <c r="V430" s="8">
        <v>500</v>
      </c>
      <c r="W430" s="8" t="s">
        <v>328</v>
      </c>
      <c r="X430" s="8">
        <v>3000</v>
      </c>
      <c r="Y430" s="8" t="s">
        <v>268</v>
      </c>
      <c r="Z430" s="8">
        <v>85</v>
      </c>
      <c r="AA430" s="8" t="s">
        <v>278</v>
      </c>
      <c r="AB430" s="8" t="s">
        <v>247</v>
      </c>
      <c r="AC430" s="8" t="s">
        <v>228</v>
      </c>
      <c r="AD430" s="8" t="s">
        <v>228</v>
      </c>
      <c r="AE430" s="8" t="s">
        <v>228</v>
      </c>
      <c r="AF430" s="8" t="s">
        <v>228</v>
      </c>
      <c r="AG430" s="8" t="s">
        <v>228</v>
      </c>
      <c r="AH430" s="8" t="s">
        <v>228</v>
      </c>
      <c r="AI430" s="8" t="s">
        <v>228</v>
      </c>
      <c r="AJ430" t="s">
        <v>468</v>
      </c>
      <c r="AK430">
        <v>1</v>
      </c>
      <c r="AL430">
        <v>1</v>
      </c>
      <c r="AM430" t="s">
        <v>282</v>
      </c>
      <c r="AN430" t="s">
        <v>228</v>
      </c>
      <c r="AO430" t="s">
        <v>526</v>
      </c>
      <c r="AP430" t="s">
        <v>109</v>
      </c>
      <c r="AQ430">
        <v>12</v>
      </c>
      <c r="AR430" t="s">
        <v>521</v>
      </c>
      <c r="AS430" t="s">
        <v>228</v>
      </c>
      <c r="AT430" t="s">
        <v>140</v>
      </c>
      <c r="AU430">
        <v>1</v>
      </c>
      <c r="AV430">
        <v>1</v>
      </c>
      <c r="AW430" t="s">
        <v>406</v>
      </c>
      <c r="AX430" t="s">
        <v>283</v>
      </c>
      <c r="AY430" t="s">
        <v>217</v>
      </c>
      <c r="AZ430">
        <v>1</v>
      </c>
      <c r="BA430" t="s">
        <v>408</v>
      </c>
      <c r="BB430" t="s">
        <v>405</v>
      </c>
      <c r="BC430" t="s">
        <v>395</v>
      </c>
      <c r="BD430" t="s">
        <v>228</v>
      </c>
      <c r="BE430" t="s">
        <v>522</v>
      </c>
      <c r="BF430" t="s">
        <v>523</v>
      </c>
      <c r="BG430" t="s">
        <v>407</v>
      </c>
      <c r="BH430" t="s">
        <v>396</v>
      </c>
      <c r="BI430" t="s">
        <v>524</v>
      </c>
      <c r="BJ430" t="s">
        <v>228</v>
      </c>
      <c r="BK430" t="s">
        <v>543</v>
      </c>
      <c r="BL430" t="s">
        <v>228</v>
      </c>
      <c r="BM430" t="s">
        <v>228</v>
      </c>
      <c r="BN430" t="s">
        <v>228</v>
      </c>
      <c r="BO430" t="s">
        <v>228</v>
      </c>
      <c r="BP430" t="s">
        <v>228</v>
      </c>
      <c r="BQ430" t="s">
        <v>228</v>
      </c>
      <c r="BR430" t="s">
        <v>228</v>
      </c>
      <c r="BS430" t="s">
        <v>465</v>
      </c>
      <c r="BT430">
        <v>1</v>
      </c>
    </row>
    <row r="431" spans="1:72" x14ac:dyDescent="0.15">
      <c r="A431" s="43">
        <v>2023</v>
      </c>
      <c r="B431" s="8">
        <v>1</v>
      </c>
      <c r="C431" s="8">
        <v>1</v>
      </c>
      <c r="D431" s="8" t="s">
        <v>282</v>
      </c>
      <c r="E431" s="8" t="s">
        <v>228</v>
      </c>
      <c r="F431" s="8" t="s">
        <v>57</v>
      </c>
      <c r="G431" s="8">
        <v>2016</v>
      </c>
      <c r="H431" s="8">
        <v>12</v>
      </c>
      <c r="I431" s="8" t="s">
        <v>521</v>
      </c>
      <c r="J431" s="8" t="s">
        <v>228</v>
      </c>
      <c r="K431" s="8">
        <v>1983</v>
      </c>
      <c r="L431" s="17">
        <v>1</v>
      </c>
      <c r="M431" s="8">
        <v>1</v>
      </c>
      <c r="N431" s="8" t="s">
        <v>48</v>
      </c>
      <c r="O431" s="8" t="s">
        <v>283</v>
      </c>
      <c r="P431" s="8" t="s">
        <v>217</v>
      </c>
      <c r="Q431" s="8">
        <v>3000</v>
      </c>
      <c r="R431" s="8" t="s">
        <v>57</v>
      </c>
      <c r="S431" s="8" t="s">
        <v>54</v>
      </c>
      <c r="T431" s="8" t="s">
        <v>69</v>
      </c>
      <c r="U431" s="8" t="s">
        <v>228</v>
      </c>
      <c r="V431" s="8">
        <v>500</v>
      </c>
      <c r="W431" s="8" t="s">
        <v>328</v>
      </c>
      <c r="X431" s="8">
        <v>3000</v>
      </c>
      <c r="Y431" s="8" t="s">
        <v>271</v>
      </c>
      <c r="Z431" s="8">
        <v>85</v>
      </c>
      <c r="AA431" s="8" t="s">
        <v>278</v>
      </c>
      <c r="AB431" s="8" t="s">
        <v>228</v>
      </c>
      <c r="AC431" s="8" t="s">
        <v>228</v>
      </c>
      <c r="AD431" s="8" t="s">
        <v>228</v>
      </c>
      <c r="AE431" s="8" t="s">
        <v>228</v>
      </c>
      <c r="AF431" s="8" t="s">
        <v>228</v>
      </c>
      <c r="AG431" s="8" t="s">
        <v>228</v>
      </c>
      <c r="AH431" s="8" t="s">
        <v>228</v>
      </c>
      <c r="AI431" s="8" t="s">
        <v>228</v>
      </c>
      <c r="AJ431" t="s">
        <v>468</v>
      </c>
      <c r="AK431">
        <v>1</v>
      </c>
      <c r="AL431">
        <v>1</v>
      </c>
      <c r="AM431" t="s">
        <v>282</v>
      </c>
      <c r="AN431" t="s">
        <v>228</v>
      </c>
      <c r="AO431" t="s">
        <v>526</v>
      </c>
      <c r="AP431" t="s">
        <v>109</v>
      </c>
      <c r="AQ431">
        <v>12</v>
      </c>
      <c r="AR431" t="s">
        <v>521</v>
      </c>
      <c r="AS431" t="s">
        <v>228</v>
      </c>
      <c r="AT431" t="s">
        <v>140</v>
      </c>
      <c r="AU431">
        <v>1</v>
      </c>
      <c r="AV431">
        <v>1</v>
      </c>
      <c r="AW431" t="s">
        <v>406</v>
      </c>
      <c r="AX431" t="s">
        <v>283</v>
      </c>
      <c r="AY431" t="s">
        <v>217</v>
      </c>
      <c r="AZ431">
        <v>1</v>
      </c>
      <c r="BA431" t="s">
        <v>408</v>
      </c>
      <c r="BB431" t="s">
        <v>541</v>
      </c>
      <c r="BC431" t="s">
        <v>395</v>
      </c>
      <c r="BD431" t="s">
        <v>228</v>
      </c>
      <c r="BE431" t="s">
        <v>522</v>
      </c>
      <c r="BF431" t="s">
        <v>523</v>
      </c>
      <c r="BG431" t="s">
        <v>407</v>
      </c>
      <c r="BH431" t="s">
        <v>544</v>
      </c>
      <c r="BI431" t="s">
        <v>524</v>
      </c>
      <c r="BJ431" t="s">
        <v>228</v>
      </c>
      <c r="BK431" t="s">
        <v>228</v>
      </c>
      <c r="BL431" t="s">
        <v>228</v>
      </c>
      <c r="BM431" t="s">
        <v>228</v>
      </c>
      <c r="BN431" t="s">
        <v>228</v>
      </c>
      <c r="BO431" t="s">
        <v>228</v>
      </c>
      <c r="BP431" t="s">
        <v>228</v>
      </c>
      <c r="BQ431" t="s">
        <v>228</v>
      </c>
      <c r="BR431" t="s">
        <v>228</v>
      </c>
      <c r="BS431" t="s">
        <v>465</v>
      </c>
      <c r="BT431">
        <v>1</v>
      </c>
    </row>
    <row r="432" spans="1:72" x14ac:dyDescent="0.15">
      <c r="A432" s="43">
        <v>2023</v>
      </c>
      <c r="B432" s="8">
        <v>1</v>
      </c>
      <c r="C432" s="8">
        <v>1</v>
      </c>
      <c r="D432" s="8" t="s">
        <v>282</v>
      </c>
      <c r="E432" s="8" t="s">
        <v>228</v>
      </c>
      <c r="F432" s="8" t="s">
        <v>57</v>
      </c>
      <c r="G432" s="8">
        <v>2016</v>
      </c>
      <c r="H432" s="8">
        <v>12</v>
      </c>
      <c r="I432" s="8" t="s">
        <v>521</v>
      </c>
      <c r="J432" s="8" t="s">
        <v>228</v>
      </c>
      <c r="K432" s="8">
        <v>1983</v>
      </c>
      <c r="L432" s="17">
        <v>1</v>
      </c>
      <c r="M432" s="8">
        <v>1</v>
      </c>
      <c r="N432" s="8" t="s">
        <v>48</v>
      </c>
      <c r="O432" s="8" t="s">
        <v>283</v>
      </c>
      <c r="P432" s="8" t="s">
        <v>217</v>
      </c>
      <c r="Q432" s="8">
        <v>3000</v>
      </c>
      <c r="R432" s="8" t="s">
        <v>57</v>
      </c>
      <c r="S432" s="8" t="s">
        <v>53</v>
      </c>
      <c r="T432" s="8" t="s">
        <v>69</v>
      </c>
      <c r="U432" s="8" t="s">
        <v>228</v>
      </c>
      <c r="V432" s="8">
        <v>500</v>
      </c>
      <c r="W432" s="8" t="s">
        <v>328</v>
      </c>
      <c r="X432" s="8">
        <v>3000</v>
      </c>
      <c r="Y432" s="8" t="s">
        <v>271</v>
      </c>
      <c r="Z432" s="8">
        <v>85</v>
      </c>
      <c r="AA432" s="8" t="s">
        <v>278</v>
      </c>
      <c r="AB432" s="8" t="s">
        <v>228</v>
      </c>
      <c r="AC432" s="8" t="s">
        <v>228</v>
      </c>
      <c r="AD432" s="8" t="s">
        <v>228</v>
      </c>
      <c r="AE432" s="8" t="s">
        <v>228</v>
      </c>
      <c r="AF432" s="8" t="s">
        <v>228</v>
      </c>
      <c r="AG432" s="8" t="s">
        <v>228</v>
      </c>
      <c r="AH432" s="8" t="s">
        <v>228</v>
      </c>
      <c r="AI432" s="8" t="s">
        <v>228</v>
      </c>
      <c r="AJ432" t="s">
        <v>468</v>
      </c>
      <c r="AK432">
        <v>1</v>
      </c>
      <c r="AL432">
        <v>1</v>
      </c>
      <c r="AM432" t="s">
        <v>282</v>
      </c>
      <c r="AN432" t="s">
        <v>228</v>
      </c>
      <c r="AO432" t="s">
        <v>526</v>
      </c>
      <c r="AP432" t="s">
        <v>109</v>
      </c>
      <c r="AQ432">
        <v>12</v>
      </c>
      <c r="AR432" t="s">
        <v>521</v>
      </c>
      <c r="AS432" t="s">
        <v>228</v>
      </c>
      <c r="AT432" t="s">
        <v>140</v>
      </c>
      <c r="AU432">
        <v>1</v>
      </c>
      <c r="AV432">
        <v>1</v>
      </c>
      <c r="AW432" t="s">
        <v>406</v>
      </c>
      <c r="AX432" t="s">
        <v>283</v>
      </c>
      <c r="AY432" t="s">
        <v>217</v>
      </c>
      <c r="AZ432">
        <v>1</v>
      </c>
      <c r="BA432" t="s">
        <v>408</v>
      </c>
      <c r="BB432" t="s">
        <v>542</v>
      </c>
      <c r="BC432" t="s">
        <v>395</v>
      </c>
      <c r="BD432" t="s">
        <v>228</v>
      </c>
      <c r="BE432" t="s">
        <v>522</v>
      </c>
      <c r="BF432" t="s">
        <v>523</v>
      </c>
      <c r="BG432" t="s">
        <v>407</v>
      </c>
      <c r="BH432" t="s">
        <v>544</v>
      </c>
      <c r="BI432" t="s">
        <v>524</v>
      </c>
      <c r="BJ432" t="s">
        <v>228</v>
      </c>
      <c r="BK432" t="s">
        <v>228</v>
      </c>
      <c r="BL432" t="s">
        <v>228</v>
      </c>
      <c r="BM432" t="s">
        <v>228</v>
      </c>
      <c r="BN432" t="s">
        <v>228</v>
      </c>
      <c r="BO432" t="s">
        <v>228</v>
      </c>
      <c r="BP432" t="s">
        <v>228</v>
      </c>
      <c r="BQ432" t="s">
        <v>228</v>
      </c>
      <c r="BR432" t="s">
        <v>228</v>
      </c>
      <c r="BS432" t="s">
        <v>465</v>
      </c>
      <c r="BT432">
        <v>1</v>
      </c>
    </row>
    <row r="433" spans="1:72" x14ac:dyDescent="0.15">
      <c r="A433" s="43">
        <v>2023</v>
      </c>
      <c r="B433" s="8">
        <v>1</v>
      </c>
      <c r="C433" s="8">
        <v>1</v>
      </c>
      <c r="D433" s="8" t="s">
        <v>282</v>
      </c>
      <c r="E433" s="8" t="s">
        <v>228</v>
      </c>
      <c r="F433" s="8" t="s">
        <v>57</v>
      </c>
      <c r="G433" s="8">
        <v>2016</v>
      </c>
      <c r="H433" s="8">
        <v>12</v>
      </c>
      <c r="I433" s="8" t="s">
        <v>521</v>
      </c>
      <c r="J433" s="8" t="s">
        <v>228</v>
      </c>
      <c r="K433" s="8">
        <v>1983</v>
      </c>
      <c r="L433" s="17">
        <v>1</v>
      </c>
      <c r="M433" s="8">
        <v>1</v>
      </c>
      <c r="N433" s="8" t="s">
        <v>48</v>
      </c>
      <c r="O433" s="8" t="s">
        <v>283</v>
      </c>
      <c r="P433" s="8" t="s">
        <v>217</v>
      </c>
      <c r="Q433" s="8">
        <v>3000</v>
      </c>
      <c r="R433" s="8" t="s">
        <v>57</v>
      </c>
      <c r="S433" s="8" t="s">
        <v>52</v>
      </c>
      <c r="T433" s="8" t="s">
        <v>69</v>
      </c>
      <c r="U433" s="8" t="s">
        <v>228</v>
      </c>
      <c r="V433" s="8">
        <v>500</v>
      </c>
      <c r="W433" s="8" t="s">
        <v>328</v>
      </c>
      <c r="X433" s="8">
        <v>3000</v>
      </c>
      <c r="Y433" s="8" t="s">
        <v>271</v>
      </c>
      <c r="Z433" s="8">
        <v>85</v>
      </c>
      <c r="AA433" s="8" t="s">
        <v>278</v>
      </c>
      <c r="AB433" s="8" t="s">
        <v>228</v>
      </c>
      <c r="AC433" s="8" t="s">
        <v>228</v>
      </c>
      <c r="AD433" s="8" t="s">
        <v>228</v>
      </c>
      <c r="AE433" s="8" t="s">
        <v>228</v>
      </c>
      <c r="AF433" s="8" t="s">
        <v>228</v>
      </c>
      <c r="AG433" s="8" t="s">
        <v>228</v>
      </c>
      <c r="AH433" s="8" t="s">
        <v>228</v>
      </c>
      <c r="AI433" s="8" t="s">
        <v>228</v>
      </c>
      <c r="AJ433" t="s">
        <v>468</v>
      </c>
      <c r="AK433">
        <v>1</v>
      </c>
      <c r="AL433">
        <v>1</v>
      </c>
      <c r="AM433" t="s">
        <v>282</v>
      </c>
      <c r="AN433" t="s">
        <v>228</v>
      </c>
      <c r="AO433" t="s">
        <v>526</v>
      </c>
      <c r="AP433" t="s">
        <v>109</v>
      </c>
      <c r="AQ433">
        <v>12</v>
      </c>
      <c r="AR433" t="s">
        <v>521</v>
      </c>
      <c r="AS433" t="s">
        <v>228</v>
      </c>
      <c r="AT433" t="s">
        <v>140</v>
      </c>
      <c r="AU433">
        <v>1</v>
      </c>
      <c r="AV433">
        <v>1</v>
      </c>
      <c r="AW433" t="s">
        <v>406</v>
      </c>
      <c r="AX433" t="s">
        <v>283</v>
      </c>
      <c r="AY433" t="s">
        <v>217</v>
      </c>
      <c r="AZ433">
        <v>1</v>
      </c>
      <c r="BA433" t="s">
        <v>408</v>
      </c>
      <c r="BB433" t="s">
        <v>405</v>
      </c>
      <c r="BC433" t="s">
        <v>395</v>
      </c>
      <c r="BD433" t="s">
        <v>228</v>
      </c>
      <c r="BE433" t="s">
        <v>522</v>
      </c>
      <c r="BF433" t="s">
        <v>523</v>
      </c>
      <c r="BG433" t="s">
        <v>407</v>
      </c>
      <c r="BH433" t="s">
        <v>544</v>
      </c>
      <c r="BI433" t="s">
        <v>524</v>
      </c>
      <c r="BJ433" t="s">
        <v>228</v>
      </c>
      <c r="BK433" t="s">
        <v>228</v>
      </c>
      <c r="BL433" t="s">
        <v>228</v>
      </c>
      <c r="BM433" t="s">
        <v>228</v>
      </c>
      <c r="BN433" t="s">
        <v>228</v>
      </c>
      <c r="BO433" t="s">
        <v>228</v>
      </c>
      <c r="BP433" t="s">
        <v>228</v>
      </c>
      <c r="BQ433" t="s">
        <v>228</v>
      </c>
      <c r="BR433" t="s">
        <v>228</v>
      </c>
      <c r="BS433" t="s">
        <v>465</v>
      </c>
      <c r="BT433">
        <v>1</v>
      </c>
    </row>
    <row r="434" spans="1:72" x14ac:dyDescent="0.15">
      <c r="A434" s="43">
        <v>2023</v>
      </c>
      <c r="B434" s="8">
        <v>1</v>
      </c>
      <c r="C434" s="8">
        <v>1</v>
      </c>
      <c r="D434" s="8" t="s">
        <v>282</v>
      </c>
      <c r="E434" s="8" t="s">
        <v>228</v>
      </c>
      <c r="F434" s="8" t="s">
        <v>57</v>
      </c>
      <c r="G434" s="8">
        <v>2016</v>
      </c>
      <c r="H434" s="8">
        <v>12</v>
      </c>
      <c r="I434" s="8" t="s">
        <v>521</v>
      </c>
      <c r="J434" s="8" t="s">
        <v>228</v>
      </c>
      <c r="K434" s="8">
        <v>1983</v>
      </c>
      <c r="L434" s="17">
        <v>1</v>
      </c>
      <c r="M434" s="8">
        <v>1</v>
      </c>
      <c r="N434" s="8" t="s">
        <v>48</v>
      </c>
      <c r="O434" s="8" t="s">
        <v>283</v>
      </c>
      <c r="P434" s="8" t="s">
        <v>217</v>
      </c>
      <c r="Q434" s="8">
        <v>3000</v>
      </c>
      <c r="R434" s="8" t="s">
        <v>57</v>
      </c>
      <c r="S434" s="8" t="s">
        <v>54</v>
      </c>
      <c r="T434" s="8" t="s">
        <v>69</v>
      </c>
      <c r="U434" s="8" t="s">
        <v>228</v>
      </c>
      <c r="V434" s="8">
        <v>500</v>
      </c>
      <c r="W434" s="8" t="s">
        <v>328</v>
      </c>
      <c r="X434" s="8">
        <v>3000</v>
      </c>
      <c r="Y434" s="8" t="s">
        <v>271</v>
      </c>
      <c r="Z434" s="8">
        <v>85</v>
      </c>
      <c r="AA434" s="8" t="s">
        <v>278</v>
      </c>
      <c r="AB434" s="8" t="s">
        <v>247</v>
      </c>
      <c r="AC434" s="8" t="s">
        <v>228</v>
      </c>
      <c r="AD434" s="8" t="s">
        <v>228</v>
      </c>
      <c r="AE434" s="8" t="s">
        <v>228</v>
      </c>
      <c r="AF434" s="8" t="s">
        <v>228</v>
      </c>
      <c r="AG434" s="8" t="s">
        <v>228</v>
      </c>
      <c r="AH434" s="8" t="s">
        <v>228</v>
      </c>
      <c r="AI434" s="8" t="s">
        <v>228</v>
      </c>
      <c r="AJ434" t="s">
        <v>468</v>
      </c>
      <c r="AK434">
        <v>1</v>
      </c>
      <c r="AL434">
        <v>1</v>
      </c>
      <c r="AM434" t="s">
        <v>282</v>
      </c>
      <c r="AN434" t="s">
        <v>228</v>
      </c>
      <c r="AO434" t="s">
        <v>526</v>
      </c>
      <c r="AP434" t="s">
        <v>109</v>
      </c>
      <c r="AQ434">
        <v>12</v>
      </c>
      <c r="AR434" t="s">
        <v>521</v>
      </c>
      <c r="AS434" t="s">
        <v>228</v>
      </c>
      <c r="AT434" t="s">
        <v>140</v>
      </c>
      <c r="AU434">
        <v>1</v>
      </c>
      <c r="AV434">
        <v>1</v>
      </c>
      <c r="AW434" t="s">
        <v>406</v>
      </c>
      <c r="AX434" t="s">
        <v>283</v>
      </c>
      <c r="AY434" t="s">
        <v>217</v>
      </c>
      <c r="AZ434">
        <v>1</v>
      </c>
      <c r="BA434" t="s">
        <v>408</v>
      </c>
      <c r="BB434" t="s">
        <v>541</v>
      </c>
      <c r="BC434" t="s">
        <v>395</v>
      </c>
      <c r="BD434" t="s">
        <v>228</v>
      </c>
      <c r="BE434" t="s">
        <v>522</v>
      </c>
      <c r="BF434" t="s">
        <v>523</v>
      </c>
      <c r="BG434" t="s">
        <v>407</v>
      </c>
      <c r="BH434" t="s">
        <v>544</v>
      </c>
      <c r="BI434" t="s">
        <v>524</v>
      </c>
      <c r="BJ434" t="s">
        <v>228</v>
      </c>
      <c r="BK434" t="s">
        <v>543</v>
      </c>
      <c r="BL434" t="s">
        <v>228</v>
      </c>
      <c r="BM434" t="s">
        <v>228</v>
      </c>
      <c r="BN434" t="s">
        <v>228</v>
      </c>
      <c r="BO434" t="s">
        <v>228</v>
      </c>
      <c r="BP434" t="s">
        <v>228</v>
      </c>
      <c r="BQ434" t="s">
        <v>228</v>
      </c>
      <c r="BR434" t="s">
        <v>228</v>
      </c>
      <c r="BS434" t="s">
        <v>465</v>
      </c>
      <c r="BT434">
        <v>1</v>
      </c>
    </row>
    <row r="435" spans="1:72" x14ac:dyDescent="0.15">
      <c r="A435" s="43">
        <v>2023</v>
      </c>
      <c r="B435" s="8">
        <v>1</v>
      </c>
      <c r="C435" s="8">
        <v>1</v>
      </c>
      <c r="D435" s="8" t="s">
        <v>282</v>
      </c>
      <c r="E435" s="8" t="s">
        <v>228</v>
      </c>
      <c r="F435" s="8" t="s">
        <v>57</v>
      </c>
      <c r="G435" s="8">
        <v>2016</v>
      </c>
      <c r="H435" s="8">
        <v>12</v>
      </c>
      <c r="I435" s="8" t="s">
        <v>521</v>
      </c>
      <c r="J435" s="8" t="s">
        <v>228</v>
      </c>
      <c r="K435" s="8">
        <v>1983</v>
      </c>
      <c r="L435" s="17">
        <v>1</v>
      </c>
      <c r="M435" s="8">
        <v>1</v>
      </c>
      <c r="N435" s="8" t="s">
        <v>48</v>
      </c>
      <c r="O435" s="8" t="s">
        <v>283</v>
      </c>
      <c r="P435" s="8" t="s">
        <v>217</v>
      </c>
      <c r="Q435" s="8">
        <v>3000</v>
      </c>
      <c r="R435" s="8" t="s">
        <v>57</v>
      </c>
      <c r="S435" s="8" t="s">
        <v>53</v>
      </c>
      <c r="T435" s="8" t="s">
        <v>69</v>
      </c>
      <c r="U435" s="8" t="s">
        <v>228</v>
      </c>
      <c r="V435" s="8">
        <v>500</v>
      </c>
      <c r="W435" s="8" t="s">
        <v>328</v>
      </c>
      <c r="X435" s="8">
        <v>3000</v>
      </c>
      <c r="Y435" s="8" t="s">
        <v>271</v>
      </c>
      <c r="Z435" s="8">
        <v>85</v>
      </c>
      <c r="AA435" s="8" t="s">
        <v>278</v>
      </c>
      <c r="AB435" s="8" t="s">
        <v>247</v>
      </c>
      <c r="AC435" s="8" t="s">
        <v>228</v>
      </c>
      <c r="AD435" s="8" t="s">
        <v>228</v>
      </c>
      <c r="AE435" s="8" t="s">
        <v>228</v>
      </c>
      <c r="AF435" s="8" t="s">
        <v>228</v>
      </c>
      <c r="AG435" s="8" t="s">
        <v>228</v>
      </c>
      <c r="AH435" s="8" t="s">
        <v>228</v>
      </c>
      <c r="AI435" s="8" t="s">
        <v>228</v>
      </c>
      <c r="AJ435" t="s">
        <v>468</v>
      </c>
      <c r="AK435">
        <v>1</v>
      </c>
      <c r="AL435">
        <v>1</v>
      </c>
      <c r="AM435" t="s">
        <v>282</v>
      </c>
      <c r="AN435" t="s">
        <v>228</v>
      </c>
      <c r="AO435" t="s">
        <v>526</v>
      </c>
      <c r="AP435" t="s">
        <v>109</v>
      </c>
      <c r="AQ435">
        <v>12</v>
      </c>
      <c r="AR435" t="s">
        <v>521</v>
      </c>
      <c r="AS435" t="s">
        <v>228</v>
      </c>
      <c r="AT435" t="s">
        <v>140</v>
      </c>
      <c r="AU435">
        <v>1</v>
      </c>
      <c r="AV435">
        <v>1</v>
      </c>
      <c r="AW435" t="s">
        <v>406</v>
      </c>
      <c r="AX435" t="s">
        <v>283</v>
      </c>
      <c r="AY435" t="s">
        <v>217</v>
      </c>
      <c r="AZ435">
        <v>1</v>
      </c>
      <c r="BA435" t="s">
        <v>408</v>
      </c>
      <c r="BB435" t="s">
        <v>542</v>
      </c>
      <c r="BC435" t="s">
        <v>395</v>
      </c>
      <c r="BD435" t="s">
        <v>228</v>
      </c>
      <c r="BE435" t="s">
        <v>522</v>
      </c>
      <c r="BF435" t="s">
        <v>523</v>
      </c>
      <c r="BG435" t="s">
        <v>407</v>
      </c>
      <c r="BH435" t="s">
        <v>544</v>
      </c>
      <c r="BI435" t="s">
        <v>524</v>
      </c>
      <c r="BJ435" t="s">
        <v>228</v>
      </c>
      <c r="BK435" t="s">
        <v>543</v>
      </c>
      <c r="BL435" t="s">
        <v>228</v>
      </c>
      <c r="BM435" t="s">
        <v>228</v>
      </c>
      <c r="BN435" t="s">
        <v>228</v>
      </c>
      <c r="BO435" t="s">
        <v>228</v>
      </c>
      <c r="BP435" t="s">
        <v>228</v>
      </c>
      <c r="BQ435" t="s">
        <v>228</v>
      </c>
      <c r="BR435" t="s">
        <v>228</v>
      </c>
      <c r="BS435" t="s">
        <v>465</v>
      </c>
      <c r="BT435">
        <v>1</v>
      </c>
    </row>
    <row r="436" spans="1:72" x14ac:dyDescent="0.15">
      <c r="A436" s="43">
        <v>2023</v>
      </c>
      <c r="B436" s="8">
        <v>1</v>
      </c>
      <c r="C436" s="8">
        <v>1</v>
      </c>
      <c r="D436" s="8" t="s">
        <v>282</v>
      </c>
      <c r="E436" s="8" t="s">
        <v>228</v>
      </c>
      <c r="F436" s="8" t="s">
        <v>57</v>
      </c>
      <c r="G436" s="8">
        <v>2016</v>
      </c>
      <c r="H436" s="8">
        <v>12</v>
      </c>
      <c r="I436" s="8" t="s">
        <v>521</v>
      </c>
      <c r="J436" s="8" t="s">
        <v>228</v>
      </c>
      <c r="K436" s="8">
        <v>1983</v>
      </c>
      <c r="L436" s="17">
        <v>1</v>
      </c>
      <c r="M436" s="8">
        <v>1</v>
      </c>
      <c r="N436" s="8" t="s">
        <v>48</v>
      </c>
      <c r="O436" s="8" t="s">
        <v>283</v>
      </c>
      <c r="P436" s="8" t="s">
        <v>217</v>
      </c>
      <c r="Q436" s="8">
        <v>3000</v>
      </c>
      <c r="R436" s="8" t="s">
        <v>57</v>
      </c>
      <c r="S436" s="8" t="s">
        <v>52</v>
      </c>
      <c r="T436" s="8" t="s">
        <v>69</v>
      </c>
      <c r="U436" s="8" t="s">
        <v>228</v>
      </c>
      <c r="V436" s="8">
        <v>500</v>
      </c>
      <c r="W436" s="8" t="s">
        <v>328</v>
      </c>
      <c r="X436" s="8">
        <v>3000</v>
      </c>
      <c r="Y436" s="8" t="s">
        <v>271</v>
      </c>
      <c r="Z436" s="8">
        <v>85</v>
      </c>
      <c r="AA436" s="8" t="s">
        <v>278</v>
      </c>
      <c r="AB436" s="8" t="s">
        <v>247</v>
      </c>
      <c r="AC436" s="8" t="s">
        <v>228</v>
      </c>
      <c r="AD436" s="8" t="s">
        <v>228</v>
      </c>
      <c r="AE436" s="8" t="s">
        <v>228</v>
      </c>
      <c r="AF436" s="8" t="s">
        <v>228</v>
      </c>
      <c r="AG436" s="8" t="s">
        <v>228</v>
      </c>
      <c r="AH436" s="8" t="s">
        <v>228</v>
      </c>
      <c r="AI436" s="8" t="s">
        <v>228</v>
      </c>
      <c r="AJ436" t="s">
        <v>468</v>
      </c>
      <c r="AK436">
        <v>1</v>
      </c>
      <c r="AL436">
        <v>1</v>
      </c>
      <c r="AM436" t="s">
        <v>282</v>
      </c>
      <c r="AN436" t="s">
        <v>228</v>
      </c>
      <c r="AO436" t="s">
        <v>526</v>
      </c>
      <c r="AP436" t="s">
        <v>109</v>
      </c>
      <c r="AQ436">
        <v>12</v>
      </c>
      <c r="AR436" t="s">
        <v>521</v>
      </c>
      <c r="AS436" t="s">
        <v>228</v>
      </c>
      <c r="AT436" t="s">
        <v>140</v>
      </c>
      <c r="AU436">
        <v>1</v>
      </c>
      <c r="AV436">
        <v>1</v>
      </c>
      <c r="AW436" t="s">
        <v>406</v>
      </c>
      <c r="AX436" t="s">
        <v>283</v>
      </c>
      <c r="AY436" t="s">
        <v>217</v>
      </c>
      <c r="AZ436">
        <v>1</v>
      </c>
      <c r="BA436" t="s">
        <v>408</v>
      </c>
      <c r="BB436" t="s">
        <v>405</v>
      </c>
      <c r="BC436" t="s">
        <v>395</v>
      </c>
      <c r="BD436" t="s">
        <v>228</v>
      </c>
      <c r="BE436" t="s">
        <v>522</v>
      </c>
      <c r="BF436" t="s">
        <v>523</v>
      </c>
      <c r="BG436" t="s">
        <v>407</v>
      </c>
      <c r="BH436" t="s">
        <v>544</v>
      </c>
      <c r="BI436" t="s">
        <v>524</v>
      </c>
      <c r="BJ436" t="s">
        <v>228</v>
      </c>
      <c r="BK436" t="s">
        <v>543</v>
      </c>
      <c r="BL436" t="s">
        <v>228</v>
      </c>
      <c r="BM436" t="s">
        <v>228</v>
      </c>
      <c r="BN436" t="s">
        <v>228</v>
      </c>
      <c r="BO436" t="s">
        <v>228</v>
      </c>
      <c r="BP436" t="s">
        <v>228</v>
      </c>
      <c r="BQ436" t="s">
        <v>228</v>
      </c>
      <c r="BR436" t="s">
        <v>228</v>
      </c>
      <c r="BS436" t="s">
        <v>465</v>
      </c>
      <c r="BT436">
        <v>0</v>
      </c>
    </row>
    <row r="437" spans="1:72" x14ac:dyDescent="0.15">
      <c r="A437" s="43">
        <v>2023</v>
      </c>
      <c r="B437" s="8">
        <v>1</v>
      </c>
      <c r="C437" s="8">
        <v>1</v>
      </c>
      <c r="D437" s="8" t="s">
        <v>391</v>
      </c>
      <c r="E437" s="8" t="s">
        <v>228</v>
      </c>
      <c r="F437" s="8" t="s">
        <v>57</v>
      </c>
      <c r="G437" s="8">
        <v>2016</v>
      </c>
      <c r="H437" s="8">
        <v>12</v>
      </c>
      <c r="I437" s="8" t="s">
        <v>521</v>
      </c>
      <c r="J437" s="8" t="s">
        <v>228</v>
      </c>
      <c r="K437" s="8">
        <v>1983</v>
      </c>
      <c r="L437" s="17">
        <v>1</v>
      </c>
      <c r="M437" s="8">
        <v>1</v>
      </c>
      <c r="N437" s="8" t="s">
        <v>48</v>
      </c>
      <c r="O437" s="8" t="s">
        <v>283</v>
      </c>
      <c r="P437" s="8" t="s">
        <v>217</v>
      </c>
      <c r="Q437" s="8">
        <v>3000</v>
      </c>
      <c r="R437" s="8" t="s">
        <v>57</v>
      </c>
      <c r="S437" s="8" t="s">
        <v>54</v>
      </c>
      <c r="T437" s="8" t="s">
        <v>69</v>
      </c>
      <c r="U437" s="8" t="s">
        <v>228</v>
      </c>
      <c r="V437" s="8">
        <v>500</v>
      </c>
      <c r="W437" s="8" t="s">
        <v>328</v>
      </c>
      <c r="X437" s="8">
        <v>3000</v>
      </c>
      <c r="Y437" s="8" t="s">
        <v>268</v>
      </c>
      <c r="Z437" s="8">
        <v>85</v>
      </c>
      <c r="AA437" s="8" t="s">
        <v>278</v>
      </c>
      <c r="AB437" s="8" t="s">
        <v>228</v>
      </c>
      <c r="AC437" s="8" t="s">
        <v>228</v>
      </c>
      <c r="AD437" s="8" t="s">
        <v>228</v>
      </c>
      <c r="AE437" s="8" t="s">
        <v>228</v>
      </c>
      <c r="AF437" s="8" t="s">
        <v>228</v>
      </c>
      <c r="AG437" s="8" t="s">
        <v>228</v>
      </c>
      <c r="AH437" s="8" t="s">
        <v>228</v>
      </c>
      <c r="AI437" s="8" t="s">
        <v>228</v>
      </c>
      <c r="AJ437" t="s">
        <v>468</v>
      </c>
      <c r="AK437">
        <v>1</v>
      </c>
      <c r="AL437">
        <v>1</v>
      </c>
      <c r="AM437" t="s">
        <v>391</v>
      </c>
      <c r="AN437" t="s">
        <v>228</v>
      </c>
      <c r="AO437" t="s">
        <v>526</v>
      </c>
      <c r="AP437" t="s">
        <v>109</v>
      </c>
      <c r="AQ437">
        <v>12</v>
      </c>
      <c r="AR437" t="s">
        <v>521</v>
      </c>
      <c r="AS437" t="s">
        <v>228</v>
      </c>
      <c r="AT437" t="s">
        <v>140</v>
      </c>
      <c r="AU437">
        <v>1</v>
      </c>
      <c r="AV437">
        <v>1</v>
      </c>
      <c r="AW437" t="s">
        <v>406</v>
      </c>
      <c r="AX437" t="s">
        <v>283</v>
      </c>
      <c r="AY437" t="s">
        <v>217</v>
      </c>
      <c r="AZ437">
        <v>1</v>
      </c>
      <c r="BA437" t="s">
        <v>408</v>
      </c>
      <c r="BB437" t="s">
        <v>541</v>
      </c>
      <c r="BC437" t="s">
        <v>395</v>
      </c>
      <c r="BD437" t="s">
        <v>228</v>
      </c>
      <c r="BE437" t="s">
        <v>522</v>
      </c>
      <c r="BF437" t="s">
        <v>523</v>
      </c>
      <c r="BG437" t="s">
        <v>407</v>
      </c>
      <c r="BH437" t="s">
        <v>396</v>
      </c>
      <c r="BI437" t="s">
        <v>524</v>
      </c>
      <c r="BJ437" t="s">
        <v>228</v>
      </c>
      <c r="BK437" t="s">
        <v>228</v>
      </c>
      <c r="BL437" t="s">
        <v>228</v>
      </c>
      <c r="BM437" t="s">
        <v>228</v>
      </c>
      <c r="BN437" t="s">
        <v>228</v>
      </c>
      <c r="BO437" t="s">
        <v>228</v>
      </c>
      <c r="BP437" t="s">
        <v>228</v>
      </c>
      <c r="BQ437" t="s">
        <v>228</v>
      </c>
      <c r="BR437" t="s">
        <v>228</v>
      </c>
      <c r="BS437" t="s">
        <v>465</v>
      </c>
      <c r="BT437">
        <v>1</v>
      </c>
    </row>
    <row r="438" spans="1:72" x14ac:dyDescent="0.15">
      <c r="A438" s="43">
        <v>2023</v>
      </c>
      <c r="B438" s="8">
        <v>1</v>
      </c>
      <c r="C438" s="8">
        <v>1</v>
      </c>
      <c r="D438" s="8" t="s">
        <v>391</v>
      </c>
      <c r="E438" s="8" t="s">
        <v>228</v>
      </c>
      <c r="F438" s="8" t="s">
        <v>57</v>
      </c>
      <c r="G438" s="8">
        <v>2016</v>
      </c>
      <c r="H438" s="8">
        <v>12</v>
      </c>
      <c r="I438" s="8" t="s">
        <v>521</v>
      </c>
      <c r="J438" s="8" t="s">
        <v>228</v>
      </c>
      <c r="K438" s="8">
        <v>1983</v>
      </c>
      <c r="L438" s="17">
        <v>1</v>
      </c>
      <c r="M438" s="8">
        <v>1</v>
      </c>
      <c r="N438" s="8" t="s">
        <v>48</v>
      </c>
      <c r="O438" s="8" t="s">
        <v>283</v>
      </c>
      <c r="P438" s="8" t="s">
        <v>217</v>
      </c>
      <c r="Q438" s="8">
        <v>3000</v>
      </c>
      <c r="R438" s="8" t="s">
        <v>57</v>
      </c>
      <c r="S438" s="8" t="s">
        <v>53</v>
      </c>
      <c r="T438" s="8" t="s">
        <v>69</v>
      </c>
      <c r="U438" s="8" t="s">
        <v>228</v>
      </c>
      <c r="V438" s="8">
        <v>500</v>
      </c>
      <c r="W438" s="8" t="s">
        <v>328</v>
      </c>
      <c r="X438" s="8">
        <v>3000</v>
      </c>
      <c r="Y438" s="8" t="s">
        <v>268</v>
      </c>
      <c r="Z438" s="8">
        <v>85</v>
      </c>
      <c r="AA438" s="8" t="s">
        <v>278</v>
      </c>
      <c r="AB438" s="8" t="s">
        <v>228</v>
      </c>
      <c r="AC438" s="8" t="s">
        <v>228</v>
      </c>
      <c r="AD438" s="8" t="s">
        <v>228</v>
      </c>
      <c r="AE438" s="8" t="s">
        <v>228</v>
      </c>
      <c r="AF438" s="8" t="s">
        <v>228</v>
      </c>
      <c r="AG438" s="8" t="s">
        <v>228</v>
      </c>
      <c r="AH438" s="8" t="s">
        <v>228</v>
      </c>
      <c r="AI438" s="8" t="s">
        <v>228</v>
      </c>
      <c r="AJ438" t="s">
        <v>468</v>
      </c>
      <c r="AK438">
        <v>1</v>
      </c>
      <c r="AL438">
        <v>1</v>
      </c>
      <c r="AM438" t="s">
        <v>391</v>
      </c>
      <c r="AN438" t="s">
        <v>228</v>
      </c>
      <c r="AO438" t="s">
        <v>526</v>
      </c>
      <c r="AP438" t="s">
        <v>109</v>
      </c>
      <c r="AQ438">
        <v>12</v>
      </c>
      <c r="AR438" t="s">
        <v>521</v>
      </c>
      <c r="AS438" t="s">
        <v>228</v>
      </c>
      <c r="AT438" t="s">
        <v>140</v>
      </c>
      <c r="AU438">
        <v>1</v>
      </c>
      <c r="AV438">
        <v>1</v>
      </c>
      <c r="AW438" t="s">
        <v>406</v>
      </c>
      <c r="AX438" t="s">
        <v>283</v>
      </c>
      <c r="AY438" t="s">
        <v>217</v>
      </c>
      <c r="AZ438">
        <v>1</v>
      </c>
      <c r="BA438" t="s">
        <v>408</v>
      </c>
      <c r="BB438" t="s">
        <v>542</v>
      </c>
      <c r="BC438" t="s">
        <v>395</v>
      </c>
      <c r="BD438" t="s">
        <v>228</v>
      </c>
      <c r="BE438" t="s">
        <v>522</v>
      </c>
      <c r="BF438" t="s">
        <v>523</v>
      </c>
      <c r="BG438" t="s">
        <v>407</v>
      </c>
      <c r="BH438" t="s">
        <v>396</v>
      </c>
      <c r="BI438" t="s">
        <v>524</v>
      </c>
      <c r="BJ438" t="s">
        <v>228</v>
      </c>
      <c r="BK438" t="s">
        <v>228</v>
      </c>
      <c r="BL438" t="s">
        <v>228</v>
      </c>
      <c r="BM438" t="s">
        <v>228</v>
      </c>
      <c r="BN438" t="s">
        <v>228</v>
      </c>
      <c r="BO438" t="s">
        <v>228</v>
      </c>
      <c r="BP438" t="s">
        <v>228</v>
      </c>
      <c r="BQ438" t="s">
        <v>228</v>
      </c>
      <c r="BR438" t="s">
        <v>228</v>
      </c>
      <c r="BS438" t="s">
        <v>465</v>
      </c>
      <c r="BT438">
        <v>1</v>
      </c>
    </row>
    <row r="439" spans="1:72" x14ac:dyDescent="0.15">
      <c r="A439" s="43">
        <v>2023</v>
      </c>
      <c r="B439" s="8">
        <v>1</v>
      </c>
      <c r="C439" s="8">
        <v>1</v>
      </c>
      <c r="D439" s="8" t="s">
        <v>391</v>
      </c>
      <c r="E439" s="8" t="s">
        <v>228</v>
      </c>
      <c r="F439" s="8" t="s">
        <v>57</v>
      </c>
      <c r="G439" s="8">
        <v>2016</v>
      </c>
      <c r="H439" s="8">
        <v>12</v>
      </c>
      <c r="I439" s="8" t="s">
        <v>521</v>
      </c>
      <c r="J439" s="8" t="s">
        <v>228</v>
      </c>
      <c r="K439" s="8">
        <v>1983</v>
      </c>
      <c r="L439" s="17">
        <v>1</v>
      </c>
      <c r="M439" s="8">
        <v>1</v>
      </c>
      <c r="N439" s="8" t="s">
        <v>48</v>
      </c>
      <c r="O439" s="8" t="s">
        <v>283</v>
      </c>
      <c r="P439" s="8" t="s">
        <v>217</v>
      </c>
      <c r="Q439" s="8">
        <v>3000</v>
      </c>
      <c r="R439" s="8" t="s">
        <v>57</v>
      </c>
      <c r="S439" s="8" t="s">
        <v>52</v>
      </c>
      <c r="T439" s="8" t="s">
        <v>69</v>
      </c>
      <c r="U439" s="8" t="s">
        <v>228</v>
      </c>
      <c r="V439" s="8">
        <v>500</v>
      </c>
      <c r="W439" s="8" t="s">
        <v>328</v>
      </c>
      <c r="X439" s="8">
        <v>3000</v>
      </c>
      <c r="Y439" s="8" t="s">
        <v>268</v>
      </c>
      <c r="Z439" s="8">
        <v>85</v>
      </c>
      <c r="AA439" s="8" t="s">
        <v>278</v>
      </c>
      <c r="AB439" s="8" t="s">
        <v>228</v>
      </c>
      <c r="AC439" s="8" t="s">
        <v>228</v>
      </c>
      <c r="AD439" s="8" t="s">
        <v>228</v>
      </c>
      <c r="AE439" s="8" t="s">
        <v>228</v>
      </c>
      <c r="AF439" s="8" t="s">
        <v>228</v>
      </c>
      <c r="AG439" s="8" t="s">
        <v>228</v>
      </c>
      <c r="AH439" s="8" t="s">
        <v>228</v>
      </c>
      <c r="AI439" s="8" t="s">
        <v>228</v>
      </c>
      <c r="AJ439" t="s">
        <v>468</v>
      </c>
      <c r="AK439">
        <v>1</v>
      </c>
      <c r="AL439">
        <v>1</v>
      </c>
      <c r="AM439" t="s">
        <v>391</v>
      </c>
      <c r="AN439" t="s">
        <v>228</v>
      </c>
      <c r="AO439" t="s">
        <v>526</v>
      </c>
      <c r="AP439" t="s">
        <v>109</v>
      </c>
      <c r="AQ439">
        <v>12</v>
      </c>
      <c r="AR439" t="s">
        <v>521</v>
      </c>
      <c r="AS439" t="s">
        <v>228</v>
      </c>
      <c r="AT439" t="s">
        <v>140</v>
      </c>
      <c r="AU439">
        <v>1</v>
      </c>
      <c r="AV439">
        <v>1</v>
      </c>
      <c r="AW439" t="s">
        <v>406</v>
      </c>
      <c r="AX439" t="s">
        <v>283</v>
      </c>
      <c r="AY439" t="s">
        <v>217</v>
      </c>
      <c r="AZ439">
        <v>1</v>
      </c>
      <c r="BA439" t="s">
        <v>408</v>
      </c>
      <c r="BB439" t="s">
        <v>405</v>
      </c>
      <c r="BC439" t="s">
        <v>395</v>
      </c>
      <c r="BD439" t="s">
        <v>228</v>
      </c>
      <c r="BE439" t="s">
        <v>522</v>
      </c>
      <c r="BF439" t="s">
        <v>523</v>
      </c>
      <c r="BG439" t="s">
        <v>407</v>
      </c>
      <c r="BH439" t="s">
        <v>396</v>
      </c>
      <c r="BI439" t="s">
        <v>524</v>
      </c>
      <c r="BJ439" t="s">
        <v>228</v>
      </c>
      <c r="BK439" t="s">
        <v>228</v>
      </c>
      <c r="BL439" t="s">
        <v>228</v>
      </c>
      <c r="BM439" t="s">
        <v>228</v>
      </c>
      <c r="BN439" t="s">
        <v>228</v>
      </c>
      <c r="BO439" t="s">
        <v>228</v>
      </c>
      <c r="BP439" t="s">
        <v>228</v>
      </c>
      <c r="BQ439" t="s">
        <v>228</v>
      </c>
      <c r="BR439" t="s">
        <v>228</v>
      </c>
      <c r="BS439" t="s">
        <v>465</v>
      </c>
      <c r="BT439">
        <v>1</v>
      </c>
    </row>
    <row r="440" spans="1:72" x14ac:dyDescent="0.15">
      <c r="A440" s="43">
        <v>2023</v>
      </c>
      <c r="B440" s="8">
        <v>1</v>
      </c>
      <c r="C440" s="8">
        <v>1</v>
      </c>
      <c r="D440" s="8" t="s">
        <v>391</v>
      </c>
      <c r="E440" s="8" t="s">
        <v>228</v>
      </c>
      <c r="F440" s="8" t="s">
        <v>57</v>
      </c>
      <c r="G440" s="8">
        <v>2016</v>
      </c>
      <c r="H440" s="8">
        <v>12</v>
      </c>
      <c r="I440" s="8" t="s">
        <v>521</v>
      </c>
      <c r="J440" s="8" t="s">
        <v>228</v>
      </c>
      <c r="K440" s="8">
        <v>1983</v>
      </c>
      <c r="L440" s="17">
        <v>1</v>
      </c>
      <c r="M440" s="8">
        <v>1</v>
      </c>
      <c r="N440" s="8" t="s">
        <v>48</v>
      </c>
      <c r="O440" s="8" t="s">
        <v>283</v>
      </c>
      <c r="P440" s="8" t="s">
        <v>217</v>
      </c>
      <c r="Q440" s="8">
        <v>3000</v>
      </c>
      <c r="R440" s="8" t="s">
        <v>57</v>
      </c>
      <c r="S440" s="8" t="s">
        <v>54</v>
      </c>
      <c r="T440" s="8" t="s">
        <v>69</v>
      </c>
      <c r="U440" s="8" t="s">
        <v>228</v>
      </c>
      <c r="V440" s="8">
        <v>500</v>
      </c>
      <c r="W440" s="8" t="s">
        <v>328</v>
      </c>
      <c r="X440" s="8">
        <v>3000</v>
      </c>
      <c r="Y440" s="8" t="s">
        <v>268</v>
      </c>
      <c r="Z440" s="8">
        <v>85</v>
      </c>
      <c r="AA440" s="8" t="s">
        <v>278</v>
      </c>
      <c r="AB440" s="8" t="s">
        <v>247</v>
      </c>
      <c r="AC440" s="8" t="s">
        <v>228</v>
      </c>
      <c r="AD440" s="8" t="s">
        <v>228</v>
      </c>
      <c r="AE440" s="8" t="s">
        <v>228</v>
      </c>
      <c r="AF440" s="8" t="s">
        <v>228</v>
      </c>
      <c r="AG440" s="8" t="s">
        <v>228</v>
      </c>
      <c r="AH440" s="8" t="s">
        <v>228</v>
      </c>
      <c r="AI440" s="8" t="s">
        <v>228</v>
      </c>
      <c r="AJ440" t="s">
        <v>468</v>
      </c>
      <c r="AK440">
        <v>1</v>
      </c>
      <c r="AL440">
        <v>1</v>
      </c>
      <c r="AM440" t="s">
        <v>391</v>
      </c>
      <c r="AN440" t="s">
        <v>228</v>
      </c>
      <c r="AO440" t="s">
        <v>526</v>
      </c>
      <c r="AP440" t="s">
        <v>109</v>
      </c>
      <c r="AQ440">
        <v>12</v>
      </c>
      <c r="AR440" t="s">
        <v>521</v>
      </c>
      <c r="AS440" t="s">
        <v>228</v>
      </c>
      <c r="AT440" t="s">
        <v>140</v>
      </c>
      <c r="AU440">
        <v>1</v>
      </c>
      <c r="AV440">
        <v>1</v>
      </c>
      <c r="AW440" t="s">
        <v>406</v>
      </c>
      <c r="AX440" t="s">
        <v>283</v>
      </c>
      <c r="AY440" t="s">
        <v>217</v>
      </c>
      <c r="AZ440">
        <v>1</v>
      </c>
      <c r="BA440" t="s">
        <v>408</v>
      </c>
      <c r="BB440" t="s">
        <v>541</v>
      </c>
      <c r="BC440" t="s">
        <v>395</v>
      </c>
      <c r="BD440" t="s">
        <v>228</v>
      </c>
      <c r="BE440" t="s">
        <v>522</v>
      </c>
      <c r="BF440" t="s">
        <v>523</v>
      </c>
      <c r="BG440" t="s">
        <v>407</v>
      </c>
      <c r="BH440" t="s">
        <v>396</v>
      </c>
      <c r="BI440" t="s">
        <v>524</v>
      </c>
      <c r="BJ440" t="s">
        <v>228</v>
      </c>
      <c r="BK440" t="s">
        <v>543</v>
      </c>
      <c r="BL440" t="s">
        <v>228</v>
      </c>
      <c r="BM440" t="s">
        <v>228</v>
      </c>
      <c r="BN440" t="s">
        <v>228</v>
      </c>
      <c r="BO440" t="s">
        <v>228</v>
      </c>
      <c r="BP440" t="s">
        <v>228</v>
      </c>
      <c r="BQ440" t="s">
        <v>228</v>
      </c>
      <c r="BR440" t="s">
        <v>228</v>
      </c>
      <c r="BS440" t="s">
        <v>465</v>
      </c>
      <c r="BT440">
        <v>1</v>
      </c>
    </row>
    <row r="441" spans="1:72" x14ac:dyDescent="0.15">
      <c r="A441" s="43">
        <v>2023</v>
      </c>
      <c r="B441" s="8">
        <v>1</v>
      </c>
      <c r="C441" s="8">
        <v>1</v>
      </c>
      <c r="D441" s="8" t="s">
        <v>391</v>
      </c>
      <c r="E441" s="8" t="s">
        <v>228</v>
      </c>
      <c r="F441" s="8" t="s">
        <v>57</v>
      </c>
      <c r="G441" s="8">
        <v>2016</v>
      </c>
      <c r="H441" s="8">
        <v>12</v>
      </c>
      <c r="I441" s="8" t="s">
        <v>521</v>
      </c>
      <c r="J441" s="8" t="s">
        <v>228</v>
      </c>
      <c r="K441" s="8">
        <v>1983</v>
      </c>
      <c r="L441" s="17">
        <v>1</v>
      </c>
      <c r="M441" s="8">
        <v>1</v>
      </c>
      <c r="N441" s="8" t="s">
        <v>48</v>
      </c>
      <c r="O441" s="8" t="s">
        <v>283</v>
      </c>
      <c r="P441" s="8" t="s">
        <v>217</v>
      </c>
      <c r="Q441" s="8">
        <v>3000</v>
      </c>
      <c r="R441" s="8" t="s">
        <v>57</v>
      </c>
      <c r="S441" s="8" t="s">
        <v>53</v>
      </c>
      <c r="T441" s="8" t="s">
        <v>69</v>
      </c>
      <c r="U441" s="8" t="s">
        <v>228</v>
      </c>
      <c r="V441" s="8">
        <v>500</v>
      </c>
      <c r="W441" s="8" t="s">
        <v>328</v>
      </c>
      <c r="X441" s="8">
        <v>3000</v>
      </c>
      <c r="Y441" s="8" t="s">
        <v>268</v>
      </c>
      <c r="Z441" s="8">
        <v>85</v>
      </c>
      <c r="AA441" s="8" t="s">
        <v>278</v>
      </c>
      <c r="AB441" s="8" t="s">
        <v>247</v>
      </c>
      <c r="AC441" s="8" t="s">
        <v>228</v>
      </c>
      <c r="AD441" s="8" t="s">
        <v>228</v>
      </c>
      <c r="AE441" s="8" t="s">
        <v>228</v>
      </c>
      <c r="AF441" s="8" t="s">
        <v>228</v>
      </c>
      <c r="AG441" s="8" t="s">
        <v>228</v>
      </c>
      <c r="AH441" s="8" t="s">
        <v>228</v>
      </c>
      <c r="AI441" s="8" t="s">
        <v>228</v>
      </c>
      <c r="AJ441" t="s">
        <v>468</v>
      </c>
      <c r="AK441">
        <v>1</v>
      </c>
      <c r="AL441">
        <v>1</v>
      </c>
      <c r="AM441" t="s">
        <v>391</v>
      </c>
      <c r="AN441" t="s">
        <v>228</v>
      </c>
      <c r="AO441" t="s">
        <v>526</v>
      </c>
      <c r="AP441" t="s">
        <v>109</v>
      </c>
      <c r="AQ441">
        <v>12</v>
      </c>
      <c r="AR441" t="s">
        <v>521</v>
      </c>
      <c r="AS441" t="s">
        <v>228</v>
      </c>
      <c r="AT441" t="s">
        <v>140</v>
      </c>
      <c r="AU441">
        <v>1</v>
      </c>
      <c r="AV441">
        <v>1</v>
      </c>
      <c r="AW441" t="s">
        <v>406</v>
      </c>
      <c r="AX441" t="s">
        <v>283</v>
      </c>
      <c r="AY441" t="s">
        <v>217</v>
      </c>
      <c r="AZ441">
        <v>1</v>
      </c>
      <c r="BA441" t="s">
        <v>408</v>
      </c>
      <c r="BB441" t="s">
        <v>542</v>
      </c>
      <c r="BC441" t="s">
        <v>395</v>
      </c>
      <c r="BD441" t="s">
        <v>228</v>
      </c>
      <c r="BE441" t="s">
        <v>522</v>
      </c>
      <c r="BF441" t="s">
        <v>523</v>
      </c>
      <c r="BG441" t="s">
        <v>407</v>
      </c>
      <c r="BH441" t="s">
        <v>396</v>
      </c>
      <c r="BI441" t="s">
        <v>524</v>
      </c>
      <c r="BJ441" t="s">
        <v>228</v>
      </c>
      <c r="BK441" t="s">
        <v>543</v>
      </c>
      <c r="BL441" t="s">
        <v>228</v>
      </c>
      <c r="BM441" t="s">
        <v>228</v>
      </c>
      <c r="BN441" t="s">
        <v>228</v>
      </c>
      <c r="BO441" t="s">
        <v>228</v>
      </c>
      <c r="BP441" t="s">
        <v>228</v>
      </c>
      <c r="BQ441" t="s">
        <v>228</v>
      </c>
      <c r="BR441" t="s">
        <v>228</v>
      </c>
      <c r="BS441" t="s">
        <v>465</v>
      </c>
      <c r="BT441">
        <v>1</v>
      </c>
    </row>
    <row r="442" spans="1:72" x14ac:dyDescent="0.15">
      <c r="A442" s="43">
        <v>2023</v>
      </c>
      <c r="B442" s="8">
        <v>1</v>
      </c>
      <c r="C442" s="8">
        <v>1</v>
      </c>
      <c r="D442" s="8" t="s">
        <v>391</v>
      </c>
      <c r="E442" s="8" t="s">
        <v>228</v>
      </c>
      <c r="F442" s="8" t="s">
        <v>57</v>
      </c>
      <c r="G442" s="8">
        <v>2016</v>
      </c>
      <c r="H442" s="8">
        <v>12</v>
      </c>
      <c r="I442" s="8" t="s">
        <v>521</v>
      </c>
      <c r="J442" s="8" t="s">
        <v>228</v>
      </c>
      <c r="K442" s="8">
        <v>1983</v>
      </c>
      <c r="L442" s="17">
        <v>1</v>
      </c>
      <c r="M442" s="8">
        <v>1</v>
      </c>
      <c r="N442" s="8" t="s">
        <v>48</v>
      </c>
      <c r="O442" s="8" t="s">
        <v>283</v>
      </c>
      <c r="P442" s="8" t="s">
        <v>217</v>
      </c>
      <c r="Q442" s="8">
        <v>3000</v>
      </c>
      <c r="R442" s="8" t="s">
        <v>57</v>
      </c>
      <c r="S442" s="8" t="s">
        <v>52</v>
      </c>
      <c r="T442" s="8" t="s">
        <v>69</v>
      </c>
      <c r="U442" s="8" t="s">
        <v>228</v>
      </c>
      <c r="V442" s="8">
        <v>500</v>
      </c>
      <c r="W442" s="8" t="s">
        <v>328</v>
      </c>
      <c r="X442" s="8">
        <v>3000</v>
      </c>
      <c r="Y442" s="8" t="s">
        <v>268</v>
      </c>
      <c r="Z442" s="8">
        <v>85</v>
      </c>
      <c r="AA442" s="8" t="s">
        <v>278</v>
      </c>
      <c r="AB442" s="8" t="s">
        <v>247</v>
      </c>
      <c r="AC442" s="8" t="s">
        <v>228</v>
      </c>
      <c r="AD442" s="8" t="s">
        <v>228</v>
      </c>
      <c r="AE442" s="8" t="s">
        <v>228</v>
      </c>
      <c r="AF442" s="8" t="s">
        <v>228</v>
      </c>
      <c r="AG442" s="8" t="s">
        <v>228</v>
      </c>
      <c r="AH442" s="8" t="s">
        <v>228</v>
      </c>
      <c r="AI442" s="8" t="s">
        <v>228</v>
      </c>
      <c r="AJ442" t="s">
        <v>468</v>
      </c>
      <c r="AK442">
        <v>1</v>
      </c>
      <c r="AL442">
        <v>1</v>
      </c>
      <c r="AM442" t="s">
        <v>391</v>
      </c>
      <c r="AN442" t="s">
        <v>228</v>
      </c>
      <c r="AO442" t="s">
        <v>526</v>
      </c>
      <c r="AP442" t="s">
        <v>109</v>
      </c>
      <c r="AQ442">
        <v>12</v>
      </c>
      <c r="AR442" t="s">
        <v>521</v>
      </c>
      <c r="AS442" t="s">
        <v>228</v>
      </c>
      <c r="AT442" t="s">
        <v>140</v>
      </c>
      <c r="AU442">
        <v>1</v>
      </c>
      <c r="AV442">
        <v>1</v>
      </c>
      <c r="AW442" t="s">
        <v>406</v>
      </c>
      <c r="AX442" t="s">
        <v>283</v>
      </c>
      <c r="AY442" t="s">
        <v>217</v>
      </c>
      <c r="AZ442">
        <v>1</v>
      </c>
      <c r="BA442" t="s">
        <v>408</v>
      </c>
      <c r="BB442" t="s">
        <v>405</v>
      </c>
      <c r="BC442" t="s">
        <v>395</v>
      </c>
      <c r="BD442" t="s">
        <v>228</v>
      </c>
      <c r="BE442" t="s">
        <v>522</v>
      </c>
      <c r="BF442" t="s">
        <v>523</v>
      </c>
      <c r="BG442" t="s">
        <v>407</v>
      </c>
      <c r="BH442" t="s">
        <v>396</v>
      </c>
      <c r="BI442" t="s">
        <v>524</v>
      </c>
      <c r="BJ442" t="s">
        <v>228</v>
      </c>
      <c r="BK442" t="s">
        <v>543</v>
      </c>
      <c r="BL442" t="s">
        <v>228</v>
      </c>
      <c r="BM442" t="s">
        <v>228</v>
      </c>
      <c r="BN442" t="s">
        <v>228</v>
      </c>
      <c r="BO442" t="s">
        <v>228</v>
      </c>
      <c r="BP442" t="s">
        <v>228</v>
      </c>
      <c r="BQ442" t="s">
        <v>228</v>
      </c>
      <c r="BR442" t="s">
        <v>228</v>
      </c>
      <c r="BS442" t="s">
        <v>465</v>
      </c>
      <c r="BT442">
        <v>1</v>
      </c>
    </row>
    <row r="443" spans="1:72" x14ac:dyDescent="0.15">
      <c r="A443" s="43">
        <v>2023</v>
      </c>
      <c r="B443" s="8">
        <v>1</v>
      </c>
      <c r="C443" s="8">
        <v>1</v>
      </c>
      <c r="D443" s="8" t="s">
        <v>391</v>
      </c>
      <c r="E443" s="8" t="s">
        <v>228</v>
      </c>
      <c r="F443" s="8" t="s">
        <v>57</v>
      </c>
      <c r="G443" s="8">
        <v>2016</v>
      </c>
      <c r="H443" s="8">
        <v>12</v>
      </c>
      <c r="I443" s="8" t="s">
        <v>521</v>
      </c>
      <c r="J443" s="8" t="s">
        <v>228</v>
      </c>
      <c r="K443" s="8">
        <v>1983</v>
      </c>
      <c r="L443" s="17">
        <v>1</v>
      </c>
      <c r="M443" s="8">
        <v>1</v>
      </c>
      <c r="N443" s="8" t="s">
        <v>48</v>
      </c>
      <c r="O443" s="8" t="s">
        <v>283</v>
      </c>
      <c r="P443" s="8" t="s">
        <v>217</v>
      </c>
      <c r="Q443" s="8">
        <v>3000</v>
      </c>
      <c r="R443" s="8" t="s">
        <v>57</v>
      </c>
      <c r="S443" s="8" t="s">
        <v>54</v>
      </c>
      <c r="T443" s="8" t="s">
        <v>69</v>
      </c>
      <c r="U443" s="8" t="s">
        <v>228</v>
      </c>
      <c r="V443" s="8">
        <v>500</v>
      </c>
      <c r="W443" s="8" t="s">
        <v>328</v>
      </c>
      <c r="X443" s="8">
        <v>3000</v>
      </c>
      <c r="Y443" s="8" t="s">
        <v>271</v>
      </c>
      <c r="Z443" s="8">
        <v>85</v>
      </c>
      <c r="AA443" s="8" t="s">
        <v>278</v>
      </c>
      <c r="AB443" s="8" t="s">
        <v>228</v>
      </c>
      <c r="AC443" s="8" t="s">
        <v>228</v>
      </c>
      <c r="AD443" s="8" t="s">
        <v>228</v>
      </c>
      <c r="AE443" s="8" t="s">
        <v>228</v>
      </c>
      <c r="AF443" s="8" t="s">
        <v>228</v>
      </c>
      <c r="AG443" s="8" t="s">
        <v>228</v>
      </c>
      <c r="AH443" s="8" t="s">
        <v>228</v>
      </c>
      <c r="AI443" s="8" t="s">
        <v>228</v>
      </c>
      <c r="AJ443" t="s">
        <v>468</v>
      </c>
      <c r="AK443">
        <v>1</v>
      </c>
      <c r="AL443">
        <v>1</v>
      </c>
      <c r="AM443" t="s">
        <v>391</v>
      </c>
      <c r="AN443" t="s">
        <v>228</v>
      </c>
      <c r="AO443" t="s">
        <v>526</v>
      </c>
      <c r="AP443" t="s">
        <v>109</v>
      </c>
      <c r="AQ443">
        <v>12</v>
      </c>
      <c r="AR443" t="s">
        <v>521</v>
      </c>
      <c r="AS443" t="s">
        <v>228</v>
      </c>
      <c r="AT443" t="s">
        <v>140</v>
      </c>
      <c r="AU443">
        <v>1</v>
      </c>
      <c r="AV443">
        <v>1</v>
      </c>
      <c r="AW443" t="s">
        <v>406</v>
      </c>
      <c r="AX443" t="s">
        <v>283</v>
      </c>
      <c r="AY443" t="s">
        <v>217</v>
      </c>
      <c r="AZ443">
        <v>1</v>
      </c>
      <c r="BA443" t="s">
        <v>408</v>
      </c>
      <c r="BB443" t="s">
        <v>541</v>
      </c>
      <c r="BC443" t="s">
        <v>395</v>
      </c>
      <c r="BD443" t="s">
        <v>228</v>
      </c>
      <c r="BE443" t="s">
        <v>522</v>
      </c>
      <c r="BF443" t="s">
        <v>523</v>
      </c>
      <c r="BG443" t="s">
        <v>407</v>
      </c>
      <c r="BH443" t="s">
        <v>544</v>
      </c>
      <c r="BI443" t="s">
        <v>524</v>
      </c>
      <c r="BJ443" t="s">
        <v>228</v>
      </c>
      <c r="BK443" t="s">
        <v>228</v>
      </c>
      <c r="BL443" t="s">
        <v>228</v>
      </c>
      <c r="BM443" t="s">
        <v>228</v>
      </c>
      <c r="BN443" t="s">
        <v>228</v>
      </c>
      <c r="BO443" t="s">
        <v>228</v>
      </c>
      <c r="BP443" t="s">
        <v>228</v>
      </c>
      <c r="BQ443" t="s">
        <v>228</v>
      </c>
      <c r="BR443" t="s">
        <v>228</v>
      </c>
      <c r="BS443" t="s">
        <v>465</v>
      </c>
      <c r="BT443">
        <v>1</v>
      </c>
    </row>
    <row r="444" spans="1:72" x14ac:dyDescent="0.15">
      <c r="A444" s="43">
        <v>2023</v>
      </c>
      <c r="B444" s="8">
        <v>1</v>
      </c>
      <c r="C444" s="8">
        <v>1</v>
      </c>
      <c r="D444" s="8" t="s">
        <v>391</v>
      </c>
      <c r="E444" s="8" t="s">
        <v>228</v>
      </c>
      <c r="F444" s="8" t="s">
        <v>57</v>
      </c>
      <c r="G444" s="8">
        <v>2016</v>
      </c>
      <c r="H444" s="8">
        <v>12</v>
      </c>
      <c r="I444" s="8" t="s">
        <v>521</v>
      </c>
      <c r="J444" s="8" t="s">
        <v>228</v>
      </c>
      <c r="K444" s="8">
        <v>1983</v>
      </c>
      <c r="L444" s="17">
        <v>1</v>
      </c>
      <c r="M444" s="8">
        <v>1</v>
      </c>
      <c r="N444" s="8" t="s">
        <v>48</v>
      </c>
      <c r="O444" s="8" t="s">
        <v>283</v>
      </c>
      <c r="P444" s="8" t="s">
        <v>217</v>
      </c>
      <c r="Q444" s="8">
        <v>3000</v>
      </c>
      <c r="R444" s="8" t="s">
        <v>57</v>
      </c>
      <c r="S444" s="8" t="s">
        <v>53</v>
      </c>
      <c r="T444" s="8" t="s">
        <v>69</v>
      </c>
      <c r="U444" s="8" t="s">
        <v>228</v>
      </c>
      <c r="V444" s="8">
        <v>500</v>
      </c>
      <c r="W444" s="8" t="s">
        <v>328</v>
      </c>
      <c r="X444" s="8">
        <v>3000</v>
      </c>
      <c r="Y444" s="8" t="s">
        <v>271</v>
      </c>
      <c r="Z444" s="8">
        <v>85</v>
      </c>
      <c r="AA444" s="8" t="s">
        <v>278</v>
      </c>
      <c r="AB444" s="8" t="s">
        <v>228</v>
      </c>
      <c r="AC444" s="8" t="s">
        <v>228</v>
      </c>
      <c r="AD444" s="8" t="s">
        <v>228</v>
      </c>
      <c r="AE444" s="8" t="s">
        <v>228</v>
      </c>
      <c r="AF444" s="8" t="s">
        <v>228</v>
      </c>
      <c r="AG444" s="8" t="s">
        <v>228</v>
      </c>
      <c r="AH444" s="8" t="s">
        <v>228</v>
      </c>
      <c r="AI444" s="8" t="s">
        <v>228</v>
      </c>
      <c r="AJ444" t="s">
        <v>468</v>
      </c>
      <c r="AK444">
        <v>1</v>
      </c>
      <c r="AL444">
        <v>1</v>
      </c>
      <c r="AM444" t="s">
        <v>391</v>
      </c>
      <c r="AN444" t="s">
        <v>228</v>
      </c>
      <c r="AO444" t="s">
        <v>526</v>
      </c>
      <c r="AP444" t="s">
        <v>109</v>
      </c>
      <c r="AQ444">
        <v>12</v>
      </c>
      <c r="AR444" t="s">
        <v>521</v>
      </c>
      <c r="AS444" t="s">
        <v>228</v>
      </c>
      <c r="AT444" t="s">
        <v>140</v>
      </c>
      <c r="AU444">
        <v>1</v>
      </c>
      <c r="AV444">
        <v>1</v>
      </c>
      <c r="AW444" t="s">
        <v>406</v>
      </c>
      <c r="AX444" t="s">
        <v>283</v>
      </c>
      <c r="AY444" t="s">
        <v>217</v>
      </c>
      <c r="AZ444">
        <v>1</v>
      </c>
      <c r="BA444" t="s">
        <v>408</v>
      </c>
      <c r="BB444" t="s">
        <v>542</v>
      </c>
      <c r="BC444" t="s">
        <v>395</v>
      </c>
      <c r="BD444" t="s">
        <v>228</v>
      </c>
      <c r="BE444" t="s">
        <v>522</v>
      </c>
      <c r="BF444" t="s">
        <v>523</v>
      </c>
      <c r="BG444" t="s">
        <v>407</v>
      </c>
      <c r="BH444" t="s">
        <v>544</v>
      </c>
      <c r="BI444" t="s">
        <v>524</v>
      </c>
      <c r="BJ444" t="s">
        <v>228</v>
      </c>
      <c r="BK444" t="s">
        <v>228</v>
      </c>
      <c r="BL444" t="s">
        <v>228</v>
      </c>
      <c r="BM444" t="s">
        <v>228</v>
      </c>
      <c r="BN444" t="s">
        <v>228</v>
      </c>
      <c r="BO444" t="s">
        <v>228</v>
      </c>
      <c r="BP444" t="s">
        <v>228</v>
      </c>
      <c r="BQ444" t="s">
        <v>228</v>
      </c>
      <c r="BR444" t="s">
        <v>228</v>
      </c>
      <c r="BS444" t="s">
        <v>465</v>
      </c>
      <c r="BT444">
        <v>1</v>
      </c>
    </row>
    <row r="445" spans="1:72" x14ac:dyDescent="0.15">
      <c r="A445" s="43">
        <v>2023</v>
      </c>
      <c r="B445" s="8">
        <v>1</v>
      </c>
      <c r="C445" s="8">
        <v>1</v>
      </c>
      <c r="D445" s="8" t="s">
        <v>391</v>
      </c>
      <c r="E445" s="8" t="s">
        <v>228</v>
      </c>
      <c r="F445" s="8" t="s">
        <v>57</v>
      </c>
      <c r="G445" s="8">
        <v>2016</v>
      </c>
      <c r="H445" s="8">
        <v>12</v>
      </c>
      <c r="I445" s="8" t="s">
        <v>521</v>
      </c>
      <c r="J445" s="8" t="s">
        <v>228</v>
      </c>
      <c r="K445" s="8">
        <v>1983</v>
      </c>
      <c r="L445" s="17">
        <v>1</v>
      </c>
      <c r="M445" s="8">
        <v>1</v>
      </c>
      <c r="N445" s="8" t="s">
        <v>48</v>
      </c>
      <c r="O445" s="8" t="s">
        <v>283</v>
      </c>
      <c r="P445" s="8" t="s">
        <v>217</v>
      </c>
      <c r="Q445" s="8">
        <v>3000</v>
      </c>
      <c r="R445" s="8" t="s">
        <v>57</v>
      </c>
      <c r="S445" s="8" t="s">
        <v>52</v>
      </c>
      <c r="T445" s="8" t="s">
        <v>69</v>
      </c>
      <c r="U445" s="8" t="s">
        <v>228</v>
      </c>
      <c r="V445" s="8">
        <v>500</v>
      </c>
      <c r="W445" s="8" t="s">
        <v>328</v>
      </c>
      <c r="X445" s="8">
        <v>3000</v>
      </c>
      <c r="Y445" s="8" t="s">
        <v>271</v>
      </c>
      <c r="Z445" s="8">
        <v>85</v>
      </c>
      <c r="AA445" s="8" t="s">
        <v>278</v>
      </c>
      <c r="AB445" s="8" t="s">
        <v>228</v>
      </c>
      <c r="AC445" s="8" t="s">
        <v>228</v>
      </c>
      <c r="AD445" s="8" t="s">
        <v>228</v>
      </c>
      <c r="AE445" s="8" t="s">
        <v>228</v>
      </c>
      <c r="AF445" s="8" t="s">
        <v>228</v>
      </c>
      <c r="AG445" s="8" t="s">
        <v>228</v>
      </c>
      <c r="AH445" s="8" t="s">
        <v>228</v>
      </c>
      <c r="AI445" s="8" t="s">
        <v>228</v>
      </c>
      <c r="AJ445" t="s">
        <v>468</v>
      </c>
      <c r="AK445">
        <v>1</v>
      </c>
      <c r="AL445">
        <v>1</v>
      </c>
      <c r="AM445" t="s">
        <v>391</v>
      </c>
      <c r="AN445" t="s">
        <v>228</v>
      </c>
      <c r="AO445" t="s">
        <v>526</v>
      </c>
      <c r="AP445" t="s">
        <v>109</v>
      </c>
      <c r="AQ445">
        <v>12</v>
      </c>
      <c r="AR445" t="s">
        <v>521</v>
      </c>
      <c r="AS445" t="s">
        <v>228</v>
      </c>
      <c r="AT445" t="s">
        <v>140</v>
      </c>
      <c r="AU445">
        <v>1</v>
      </c>
      <c r="AV445">
        <v>1</v>
      </c>
      <c r="AW445" t="s">
        <v>406</v>
      </c>
      <c r="AX445" t="s">
        <v>283</v>
      </c>
      <c r="AY445" t="s">
        <v>217</v>
      </c>
      <c r="AZ445">
        <v>1</v>
      </c>
      <c r="BA445" t="s">
        <v>408</v>
      </c>
      <c r="BB445" t="s">
        <v>405</v>
      </c>
      <c r="BC445" t="s">
        <v>395</v>
      </c>
      <c r="BD445" t="s">
        <v>228</v>
      </c>
      <c r="BE445" t="s">
        <v>522</v>
      </c>
      <c r="BF445" t="s">
        <v>523</v>
      </c>
      <c r="BG445" t="s">
        <v>407</v>
      </c>
      <c r="BH445" t="s">
        <v>544</v>
      </c>
      <c r="BI445" t="s">
        <v>524</v>
      </c>
      <c r="BJ445" t="s">
        <v>228</v>
      </c>
      <c r="BK445" t="s">
        <v>228</v>
      </c>
      <c r="BL445" t="s">
        <v>228</v>
      </c>
      <c r="BM445" t="s">
        <v>228</v>
      </c>
      <c r="BN445" t="s">
        <v>228</v>
      </c>
      <c r="BO445" t="s">
        <v>228</v>
      </c>
      <c r="BP445" t="s">
        <v>228</v>
      </c>
      <c r="BQ445" t="s">
        <v>228</v>
      </c>
      <c r="BR445" t="s">
        <v>228</v>
      </c>
      <c r="BS445" t="s">
        <v>465</v>
      </c>
      <c r="BT445">
        <v>1</v>
      </c>
    </row>
    <row r="446" spans="1:72" x14ac:dyDescent="0.15">
      <c r="A446" s="43">
        <v>2023</v>
      </c>
      <c r="B446" s="8">
        <v>1</v>
      </c>
      <c r="C446" s="8">
        <v>1</v>
      </c>
      <c r="D446" s="8" t="s">
        <v>391</v>
      </c>
      <c r="E446" s="8" t="s">
        <v>228</v>
      </c>
      <c r="F446" s="8" t="s">
        <v>57</v>
      </c>
      <c r="G446" s="8">
        <v>2016</v>
      </c>
      <c r="H446" s="8">
        <v>12</v>
      </c>
      <c r="I446" s="8" t="s">
        <v>521</v>
      </c>
      <c r="J446" s="8" t="s">
        <v>228</v>
      </c>
      <c r="K446" s="8">
        <v>1983</v>
      </c>
      <c r="L446" s="17">
        <v>1</v>
      </c>
      <c r="M446" s="8">
        <v>1</v>
      </c>
      <c r="N446" s="8" t="s">
        <v>48</v>
      </c>
      <c r="O446" s="8" t="s">
        <v>283</v>
      </c>
      <c r="P446" s="8" t="s">
        <v>217</v>
      </c>
      <c r="Q446" s="8">
        <v>3000</v>
      </c>
      <c r="R446" s="8" t="s">
        <v>57</v>
      </c>
      <c r="S446" s="8" t="s">
        <v>54</v>
      </c>
      <c r="T446" s="8" t="s">
        <v>69</v>
      </c>
      <c r="U446" s="8" t="s">
        <v>228</v>
      </c>
      <c r="V446" s="8">
        <v>500</v>
      </c>
      <c r="W446" s="8" t="s">
        <v>328</v>
      </c>
      <c r="X446" s="8">
        <v>3000</v>
      </c>
      <c r="Y446" s="8" t="s">
        <v>271</v>
      </c>
      <c r="Z446" s="8">
        <v>85</v>
      </c>
      <c r="AA446" s="8" t="s">
        <v>278</v>
      </c>
      <c r="AB446" s="8" t="s">
        <v>247</v>
      </c>
      <c r="AC446" s="8" t="s">
        <v>228</v>
      </c>
      <c r="AD446" s="8" t="s">
        <v>228</v>
      </c>
      <c r="AE446" s="8" t="s">
        <v>228</v>
      </c>
      <c r="AF446" s="8" t="s">
        <v>228</v>
      </c>
      <c r="AG446" s="8" t="s">
        <v>228</v>
      </c>
      <c r="AH446" s="8" t="s">
        <v>228</v>
      </c>
      <c r="AI446" s="8" t="s">
        <v>228</v>
      </c>
      <c r="AJ446" t="s">
        <v>468</v>
      </c>
      <c r="AK446">
        <v>1</v>
      </c>
      <c r="AL446">
        <v>1</v>
      </c>
      <c r="AM446" t="s">
        <v>391</v>
      </c>
      <c r="AN446" t="s">
        <v>228</v>
      </c>
      <c r="AO446" t="s">
        <v>526</v>
      </c>
      <c r="AP446" t="s">
        <v>109</v>
      </c>
      <c r="AQ446">
        <v>12</v>
      </c>
      <c r="AR446" t="s">
        <v>521</v>
      </c>
      <c r="AS446" t="s">
        <v>228</v>
      </c>
      <c r="AT446" t="s">
        <v>140</v>
      </c>
      <c r="AU446">
        <v>1</v>
      </c>
      <c r="AV446">
        <v>1</v>
      </c>
      <c r="AW446" t="s">
        <v>406</v>
      </c>
      <c r="AX446" t="s">
        <v>283</v>
      </c>
      <c r="AY446" t="s">
        <v>217</v>
      </c>
      <c r="AZ446">
        <v>1</v>
      </c>
      <c r="BA446" t="s">
        <v>408</v>
      </c>
      <c r="BB446" t="s">
        <v>541</v>
      </c>
      <c r="BC446" t="s">
        <v>395</v>
      </c>
      <c r="BD446" t="s">
        <v>228</v>
      </c>
      <c r="BE446" t="s">
        <v>522</v>
      </c>
      <c r="BF446" t="s">
        <v>523</v>
      </c>
      <c r="BG446" t="s">
        <v>407</v>
      </c>
      <c r="BH446" t="s">
        <v>544</v>
      </c>
      <c r="BI446" t="s">
        <v>524</v>
      </c>
      <c r="BJ446" t="s">
        <v>228</v>
      </c>
      <c r="BK446" t="s">
        <v>543</v>
      </c>
      <c r="BL446" t="s">
        <v>228</v>
      </c>
      <c r="BM446" t="s">
        <v>228</v>
      </c>
      <c r="BN446" t="s">
        <v>228</v>
      </c>
      <c r="BO446" t="s">
        <v>228</v>
      </c>
      <c r="BP446" t="s">
        <v>228</v>
      </c>
      <c r="BQ446" t="s">
        <v>228</v>
      </c>
      <c r="BR446" t="s">
        <v>228</v>
      </c>
      <c r="BS446" t="s">
        <v>465</v>
      </c>
      <c r="BT446">
        <v>1</v>
      </c>
    </row>
    <row r="447" spans="1:72" x14ac:dyDescent="0.15">
      <c r="A447" s="43">
        <v>2023</v>
      </c>
      <c r="B447" s="8">
        <v>1</v>
      </c>
      <c r="C447" s="8">
        <v>1</v>
      </c>
      <c r="D447" s="8" t="s">
        <v>391</v>
      </c>
      <c r="E447" s="8" t="s">
        <v>228</v>
      </c>
      <c r="F447" s="8" t="s">
        <v>57</v>
      </c>
      <c r="G447" s="8">
        <v>2016</v>
      </c>
      <c r="H447" s="8">
        <v>12</v>
      </c>
      <c r="I447" s="8" t="s">
        <v>521</v>
      </c>
      <c r="J447" s="8" t="s">
        <v>228</v>
      </c>
      <c r="K447" s="8">
        <v>1983</v>
      </c>
      <c r="L447" s="17">
        <v>1</v>
      </c>
      <c r="M447" s="8">
        <v>1</v>
      </c>
      <c r="N447" s="8" t="s">
        <v>48</v>
      </c>
      <c r="O447" s="8" t="s">
        <v>283</v>
      </c>
      <c r="P447" s="8" t="s">
        <v>217</v>
      </c>
      <c r="Q447" s="8">
        <v>3000</v>
      </c>
      <c r="R447" s="8" t="s">
        <v>57</v>
      </c>
      <c r="S447" s="8" t="s">
        <v>53</v>
      </c>
      <c r="T447" s="8" t="s">
        <v>69</v>
      </c>
      <c r="U447" s="8" t="s">
        <v>228</v>
      </c>
      <c r="V447" s="8">
        <v>500</v>
      </c>
      <c r="W447" s="8" t="s">
        <v>328</v>
      </c>
      <c r="X447" s="8">
        <v>3000</v>
      </c>
      <c r="Y447" s="8" t="s">
        <v>271</v>
      </c>
      <c r="Z447" s="8">
        <v>85</v>
      </c>
      <c r="AA447" s="8" t="s">
        <v>278</v>
      </c>
      <c r="AB447" s="8" t="s">
        <v>247</v>
      </c>
      <c r="AC447" s="8" t="s">
        <v>228</v>
      </c>
      <c r="AD447" s="8" t="s">
        <v>228</v>
      </c>
      <c r="AE447" s="8" t="s">
        <v>228</v>
      </c>
      <c r="AF447" s="8" t="s">
        <v>228</v>
      </c>
      <c r="AG447" s="8" t="s">
        <v>228</v>
      </c>
      <c r="AH447" s="8" t="s">
        <v>228</v>
      </c>
      <c r="AI447" s="8" t="s">
        <v>228</v>
      </c>
      <c r="AJ447" t="s">
        <v>468</v>
      </c>
      <c r="AK447">
        <v>1</v>
      </c>
      <c r="AL447">
        <v>1</v>
      </c>
      <c r="AM447" t="s">
        <v>391</v>
      </c>
      <c r="AN447" t="s">
        <v>228</v>
      </c>
      <c r="AO447" t="s">
        <v>526</v>
      </c>
      <c r="AP447" t="s">
        <v>109</v>
      </c>
      <c r="AQ447">
        <v>12</v>
      </c>
      <c r="AR447" t="s">
        <v>521</v>
      </c>
      <c r="AS447" t="s">
        <v>228</v>
      </c>
      <c r="AT447" t="s">
        <v>140</v>
      </c>
      <c r="AU447">
        <v>1</v>
      </c>
      <c r="AV447">
        <v>1</v>
      </c>
      <c r="AW447" t="s">
        <v>406</v>
      </c>
      <c r="AX447" t="s">
        <v>283</v>
      </c>
      <c r="AY447" t="s">
        <v>217</v>
      </c>
      <c r="AZ447">
        <v>1</v>
      </c>
      <c r="BA447" t="s">
        <v>408</v>
      </c>
      <c r="BB447" t="s">
        <v>542</v>
      </c>
      <c r="BC447" t="s">
        <v>395</v>
      </c>
      <c r="BD447" t="s">
        <v>228</v>
      </c>
      <c r="BE447" t="s">
        <v>522</v>
      </c>
      <c r="BF447" t="s">
        <v>523</v>
      </c>
      <c r="BG447" t="s">
        <v>407</v>
      </c>
      <c r="BH447" t="s">
        <v>544</v>
      </c>
      <c r="BI447" t="s">
        <v>524</v>
      </c>
      <c r="BJ447" t="s">
        <v>228</v>
      </c>
      <c r="BK447" t="s">
        <v>543</v>
      </c>
      <c r="BL447" t="s">
        <v>228</v>
      </c>
      <c r="BM447" t="s">
        <v>228</v>
      </c>
      <c r="BN447" t="s">
        <v>228</v>
      </c>
      <c r="BO447" t="s">
        <v>228</v>
      </c>
      <c r="BP447" t="s">
        <v>228</v>
      </c>
      <c r="BQ447" t="s">
        <v>228</v>
      </c>
      <c r="BR447" t="s">
        <v>228</v>
      </c>
      <c r="BS447" t="s">
        <v>465</v>
      </c>
      <c r="BT447">
        <v>1</v>
      </c>
    </row>
    <row r="448" spans="1:72" x14ac:dyDescent="0.15">
      <c r="A448" s="43">
        <v>2023</v>
      </c>
      <c r="B448" s="8">
        <v>1</v>
      </c>
      <c r="C448" s="8">
        <v>1</v>
      </c>
      <c r="D448" s="8" t="s">
        <v>391</v>
      </c>
      <c r="E448" s="8" t="s">
        <v>228</v>
      </c>
      <c r="F448" s="8" t="s">
        <v>57</v>
      </c>
      <c r="G448" s="8">
        <v>2016</v>
      </c>
      <c r="H448" s="8">
        <v>12</v>
      </c>
      <c r="I448" s="8" t="s">
        <v>521</v>
      </c>
      <c r="J448" s="8" t="s">
        <v>228</v>
      </c>
      <c r="K448" s="8">
        <v>1983</v>
      </c>
      <c r="L448" s="17">
        <v>1</v>
      </c>
      <c r="M448" s="8">
        <v>1</v>
      </c>
      <c r="N448" s="8" t="s">
        <v>48</v>
      </c>
      <c r="O448" s="8" t="s">
        <v>283</v>
      </c>
      <c r="P448" s="8" t="s">
        <v>217</v>
      </c>
      <c r="Q448" s="8">
        <v>3000</v>
      </c>
      <c r="R448" s="8" t="s">
        <v>57</v>
      </c>
      <c r="S448" s="8" t="s">
        <v>52</v>
      </c>
      <c r="T448" s="8" t="s">
        <v>69</v>
      </c>
      <c r="U448" s="8" t="s">
        <v>228</v>
      </c>
      <c r="V448" s="8">
        <v>500</v>
      </c>
      <c r="W448" s="8" t="s">
        <v>328</v>
      </c>
      <c r="X448" s="8">
        <v>3000</v>
      </c>
      <c r="Y448" s="8" t="s">
        <v>271</v>
      </c>
      <c r="Z448" s="8">
        <v>85</v>
      </c>
      <c r="AA448" s="8" t="s">
        <v>278</v>
      </c>
      <c r="AB448" s="8" t="s">
        <v>247</v>
      </c>
      <c r="AC448" s="8" t="s">
        <v>228</v>
      </c>
      <c r="AD448" s="8" t="s">
        <v>228</v>
      </c>
      <c r="AE448" s="8" t="s">
        <v>228</v>
      </c>
      <c r="AF448" s="8" t="s">
        <v>228</v>
      </c>
      <c r="AG448" s="8" t="s">
        <v>228</v>
      </c>
      <c r="AH448" s="8" t="s">
        <v>228</v>
      </c>
      <c r="AI448" s="8" t="s">
        <v>228</v>
      </c>
      <c r="AJ448" t="s">
        <v>468</v>
      </c>
      <c r="AK448">
        <v>1</v>
      </c>
      <c r="AL448">
        <v>1</v>
      </c>
      <c r="AM448" t="s">
        <v>391</v>
      </c>
      <c r="AN448" t="s">
        <v>228</v>
      </c>
      <c r="AO448" t="s">
        <v>526</v>
      </c>
      <c r="AP448" t="s">
        <v>109</v>
      </c>
      <c r="AQ448">
        <v>12</v>
      </c>
      <c r="AR448" t="s">
        <v>521</v>
      </c>
      <c r="AS448" t="s">
        <v>228</v>
      </c>
      <c r="AT448" t="s">
        <v>140</v>
      </c>
      <c r="AU448">
        <v>1</v>
      </c>
      <c r="AV448">
        <v>1</v>
      </c>
      <c r="AW448" t="s">
        <v>406</v>
      </c>
      <c r="AX448" t="s">
        <v>283</v>
      </c>
      <c r="AY448" t="s">
        <v>217</v>
      </c>
      <c r="AZ448">
        <v>1</v>
      </c>
      <c r="BA448" t="s">
        <v>408</v>
      </c>
      <c r="BB448" t="s">
        <v>405</v>
      </c>
      <c r="BC448" t="s">
        <v>395</v>
      </c>
      <c r="BD448" t="s">
        <v>228</v>
      </c>
      <c r="BE448" t="s">
        <v>522</v>
      </c>
      <c r="BF448" t="s">
        <v>523</v>
      </c>
      <c r="BG448" t="s">
        <v>407</v>
      </c>
      <c r="BH448" t="s">
        <v>544</v>
      </c>
      <c r="BI448" t="s">
        <v>524</v>
      </c>
      <c r="BJ448" t="s">
        <v>228</v>
      </c>
      <c r="BK448" t="s">
        <v>543</v>
      </c>
      <c r="BL448" t="s">
        <v>228</v>
      </c>
      <c r="BM448" t="s">
        <v>228</v>
      </c>
      <c r="BN448" t="s">
        <v>228</v>
      </c>
      <c r="BO448" t="s">
        <v>228</v>
      </c>
      <c r="BP448" t="s">
        <v>228</v>
      </c>
      <c r="BQ448" t="s">
        <v>228</v>
      </c>
      <c r="BR448" t="s">
        <v>228</v>
      </c>
      <c r="BS448" t="s">
        <v>465</v>
      </c>
      <c r="BT448">
        <v>0</v>
      </c>
    </row>
    <row r="449" spans="1:72" x14ac:dyDescent="0.15">
      <c r="A449" s="43">
        <v>2023</v>
      </c>
      <c r="B449" s="8">
        <v>1</v>
      </c>
      <c r="C449" s="8">
        <v>1</v>
      </c>
      <c r="D449" s="8">
        <v>8</v>
      </c>
      <c r="E449" s="8" t="s">
        <v>228</v>
      </c>
      <c r="F449" s="8" t="s">
        <v>59</v>
      </c>
      <c r="G449" s="8">
        <v>2019</v>
      </c>
      <c r="H449" s="8">
        <v>1</v>
      </c>
      <c r="I449" s="8" t="s">
        <v>528</v>
      </c>
      <c r="J449" s="8" t="s">
        <v>228</v>
      </c>
      <c r="K449" s="8">
        <v>1953</v>
      </c>
      <c r="L449" s="17">
        <v>1</v>
      </c>
      <c r="M449" s="8">
        <v>1</v>
      </c>
      <c r="N449" s="8" t="s">
        <v>48</v>
      </c>
      <c r="O449" s="8" t="s">
        <v>283</v>
      </c>
      <c r="P449" s="8" t="s">
        <v>280</v>
      </c>
      <c r="Q449" s="8">
        <v>20000</v>
      </c>
      <c r="R449" s="8" t="s">
        <v>59</v>
      </c>
      <c r="S449" s="8" t="s">
        <v>54</v>
      </c>
      <c r="T449" s="8" t="s">
        <v>69</v>
      </c>
      <c r="U449" s="8" t="s">
        <v>228</v>
      </c>
      <c r="V449" s="8">
        <v>500</v>
      </c>
      <c r="W449" s="8" t="s">
        <v>328</v>
      </c>
      <c r="X449" s="8">
        <v>3000</v>
      </c>
      <c r="Y449" s="8" t="s">
        <v>268</v>
      </c>
      <c r="Z449" s="8">
        <v>480</v>
      </c>
      <c r="AA449" s="8" t="s">
        <v>278</v>
      </c>
      <c r="AB449" s="8" t="s">
        <v>228</v>
      </c>
      <c r="AC449" s="8" t="s">
        <v>228</v>
      </c>
      <c r="AD449" s="8" t="s">
        <v>228</v>
      </c>
      <c r="AE449" s="8" t="s">
        <v>228</v>
      </c>
      <c r="AF449" s="8" t="s">
        <v>228</v>
      </c>
      <c r="AG449" s="8" t="s">
        <v>228</v>
      </c>
      <c r="AH449" s="8" t="s">
        <v>228</v>
      </c>
      <c r="AI449" s="8" t="s">
        <v>228</v>
      </c>
      <c r="AJ449" t="s">
        <v>468</v>
      </c>
      <c r="AK449">
        <v>1</v>
      </c>
      <c r="AL449">
        <v>1</v>
      </c>
      <c r="AM449" t="s">
        <v>93</v>
      </c>
      <c r="AN449" t="s">
        <v>228</v>
      </c>
      <c r="AO449" t="s">
        <v>533</v>
      </c>
      <c r="AP449" t="s">
        <v>545</v>
      </c>
      <c r="AQ449">
        <v>1</v>
      </c>
      <c r="AR449" t="s">
        <v>528</v>
      </c>
      <c r="AS449" t="s">
        <v>228</v>
      </c>
      <c r="AT449" t="s">
        <v>170</v>
      </c>
      <c r="AU449">
        <v>1</v>
      </c>
      <c r="AV449">
        <v>1</v>
      </c>
      <c r="AW449" t="s">
        <v>406</v>
      </c>
      <c r="AX449" t="s">
        <v>283</v>
      </c>
      <c r="AY449" t="s">
        <v>280</v>
      </c>
      <c r="AZ449">
        <v>5</v>
      </c>
      <c r="BA449" t="s">
        <v>533</v>
      </c>
      <c r="BB449" t="s">
        <v>541</v>
      </c>
      <c r="BC449" t="s">
        <v>395</v>
      </c>
      <c r="BD449" t="s">
        <v>228</v>
      </c>
      <c r="BE449" t="s">
        <v>522</v>
      </c>
      <c r="BF449" t="s">
        <v>523</v>
      </c>
      <c r="BG449" t="s">
        <v>407</v>
      </c>
      <c r="BH449" t="s">
        <v>396</v>
      </c>
      <c r="BI449" t="s">
        <v>546</v>
      </c>
      <c r="BJ449" t="s">
        <v>228</v>
      </c>
      <c r="BK449" t="s">
        <v>228</v>
      </c>
      <c r="BL449" t="s">
        <v>228</v>
      </c>
      <c r="BM449" t="s">
        <v>228</v>
      </c>
      <c r="BN449" t="s">
        <v>228</v>
      </c>
      <c r="BO449" t="s">
        <v>228</v>
      </c>
      <c r="BP449" t="s">
        <v>228</v>
      </c>
      <c r="BQ449" t="s">
        <v>228</v>
      </c>
      <c r="BR449" t="s">
        <v>228</v>
      </c>
      <c r="BS449" t="s">
        <v>409</v>
      </c>
      <c r="BT449">
        <v>1</v>
      </c>
    </row>
    <row r="450" spans="1:72" x14ac:dyDescent="0.15">
      <c r="A450" s="43">
        <v>2023</v>
      </c>
      <c r="B450" s="8">
        <v>1</v>
      </c>
      <c r="C450" s="8">
        <v>1</v>
      </c>
      <c r="D450" s="8">
        <v>8</v>
      </c>
      <c r="E450" s="8" t="s">
        <v>228</v>
      </c>
      <c r="F450" s="8" t="s">
        <v>59</v>
      </c>
      <c r="G450" s="8">
        <v>2019</v>
      </c>
      <c r="H450" s="8">
        <v>1</v>
      </c>
      <c r="I450" s="8" t="s">
        <v>528</v>
      </c>
      <c r="J450" s="8" t="s">
        <v>228</v>
      </c>
      <c r="K450" s="8">
        <v>1953</v>
      </c>
      <c r="L450" s="17">
        <v>1</v>
      </c>
      <c r="M450" s="8">
        <v>1</v>
      </c>
      <c r="N450" s="8" t="s">
        <v>48</v>
      </c>
      <c r="O450" s="8" t="s">
        <v>283</v>
      </c>
      <c r="P450" s="8" t="s">
        <v>280</v>
      </c>
      <c r="Q450" s="8">
        <v>20000</v>
      </c>
      <c r="R450" s="8" t="s">
        <v>59</v>
      </c>
      <c r="S450" s="8" t="s">
        <v>54</v>
      </c>
      <c r="T450" s="8" t="s">
        <v>69</v>
      </c>
      <c r="U450" s="8" t="s">
        <v>228</v>
      </c>
      <c r="V450" s="8">
        <v>500</v>
      </c>
      <c r="W450" s="8" t="s">
        <v>328</v>
      </c>
      <c r="X450" s="8">
        <v>3000</v>
      </c>
      <c r="Y450" s="8" t="s">
        <v>268</v>
      </c>
      <c r="Z450" s="8">
        <v>480</v>
      </c>
      <c r="AA450" s="8" t="s">
        <v>277</v>
      </c>
      <c r="AB450" s="8" t="s">
        <v>228</v>
      </c>
      <c r="AC450" s="8" t="s">
        <v>228</v>
      </c>
      <c r="AD450" s="8" t="s">
        <v>228</v>
      </c>
      <c r="AE450" s="8" t="s">
        <v>228</v>
      </c>
      <c r="AF450" s="8" t="s">
        <v>228</v>
      </c>
      <c r="AG450" s="8" t="s">
        <v>228</v>
      </c>
      <c r="AH450" s="8" t="s">
        <v>228</v>
      </c>
      <c r="AI450" s="8" t="s">
        <v>228</v>
      </c>
      <c r="AJ450" t="s">
        <v>468</v>
      </c>
      <c r="AK450">
        <v>1</v>
      </c>
      <c r="AL450">
        <v>1</v>
      </c>
      <c r="AM450" t="s">
        <v>93</v>
      </c>
      <c r="AN450" t="s">
        <v>228</v>
      </c>
      <c r="AO450" t="s">
        <v>533</v>
      </c>
      <c r="AP450" t="s">
        <v>545</v>
      </c>
      <c r="AQ450">
        <v>1</v>
      </c>
      <c r="AR450" t="s">
        <v>528</v>
      </c>
      <c r="AS450" t="s">
        <v>228</v>
      </c>
      <c r="AT450" t="s">
        <v>170</v>
      </c>
      <c r="AU450">
        <v>1</v>
      </c>
      <c r="AV450">
        <v>1</v>
      </c>
      <c r="AW450" t="s">
        <v>406</v>
      </c>
      <c r="AX450" t="s">
        <v>283</v>
      </c>
      <c r="AY450" t="s">
        <v>280</v>
      </c>
      <c r="AZ450">
        <v>5</v>
      </c>
      <c r="BA450" t="s">
        <v>533</v>
      </c>
      <c r="BB450" t="s">
        <v>541</v>
      </c>
      <c r="BC450" t="s">
        <v>395</v>
      </c>
      <c r="BD450" t="s">
        <v>228</v>
      </c>
      <c r="BE450" t="s">
        <v>522</v>
      </c>
      <c r="BF450" t="s">
        <v>523</v>
      </c>
      <c r="BG450" t="s">
        <v>407</v>
      </c>
      <c r="BH450" t="s">
        <v>396</v>
      </c>
      <c r="BI450" t="s">
        <v>546</v>
      </c>
      <c r="BJ450" t="s">
        <v>67</v>
      </c>
      <c r="BK450" t="s">
        <v>228</v>
      </c>
      <c r="BL450" t="s">
        <v>228</v>
      </c>
      <c r="BM450" t="s">
        <v>228</v>
      </c>
      <c r="BN450" t="s">
        <v>228</v>
      </c>
      <c r="BO450" t="s">
        <v>228</v>
      </c>
      <c r="BP450" t="s">
        <v>228</v>
      </c>
      <c r="BQ450" t="s">
        <v>228</v>
      </c>
      <c r="BR450" t="s">
        <v>228</v>
      </c>
      <c r="BS450" t="s">
        <v>409</v>
      </c>
      <c r="BT450">
        <v>0</v>
      </c>
    </row>
    <row r="451" spans="1:72" x14ac:dyDescent="0.15">
      <c r="A451" s="43">
        <v>2023</v>
      </c>
      <c r="B451" s="8">
        <v>1</v>
      </c>
      <c r="C451" s="8">
        <v>1</v>
      </c>
      <c r="D451" s="8">
        <v>8</v>
      </c>
      <c r="E451" s="8" t="s">
        <v>228</v>
      </c>
      <c r="F451" s="8" t="s">
        <v>59</v>
      </c>
      <c r="G451" s="8">
        <v>2017</v>
      </c>
      <c r="H451" s="8">
        <v>12</v>
      </c>
      <c r="I451" s="8" t="s">
        <v>529</v>
      </c>
      <c r="J451" s="8" t="s">
        <v>228</v>
      </c>
      <c r="K451" s="8">
        <v>1953</v>
      </c>
      <c r="L451" s="17">
        <v>1</v>
      </c>
      <c r="M451" s="8">
        <v>1</v>
      </c>
      <c r="N451" s="8" t="s">
        <v>48</v>
      </c>
      <c r="O451" s="8" t="s">
        <v>283</v>
      </c>
      <c r="P451" s="8" t="s">
        <v>280</v>
      </c>
      <c r="Q451" s="8">
        <v>20000</v>
      </c>
      <c r="R451" s="8" t="s">
        <v>59</v>
      </c>
      <c r="S451" s="8" t="s">
        <v>54</v>
      </c>
      <c r="T451" s="8" t="s">
        <v>69</v>
      </c>
      <c r="U451" s="8" t="s">
        <v>228</v>
      </c>
      <c r="V451" s="8">
        <v>500</v>
      </c>
      <c r="W451" s="8" t="s">
        <v>328</v>
      </c>
      <c r="X451" s="8">
        <v>3000</v>
      </c>
      <c r="Y451" s="8" t="s">
        <v>268</v>
      </c>
      <c r="Z451" s="8">
        <v>105</v>
      </c>
      <c r="AA451" s="8" t="s">
        <v>278</v>
      </c>
      <c r="AB451" s="8" t="s">
        <v>228</v>
      </c>
      <c r="AC451" s="8" t="s">
        <v>228</v>
      </c>
      <c r="AD451" s="8" t="s">
        <v>228</v>
      </c>
      <c r="AE451" s="8" t="s">
        <v>228</v>
      </c>
      <c r="AF451" s="8" t="s">
        <v>228</v>
      </c>
      <c r="AG451" s="8" t="s">
        <v>228</v>
      </c>
      <c r="AH451" s="8" t="s">
        <v>228</v>
      </c>
      <c r="AI451" s="8" t="s">
        <v>228</v>
      </c>
      <c r="AJ451" t="s">
        <v>468</v>
      </c>
      <c r="AK451">
        <v>1</v>
      </c>
      <c r="AL451">
        <v>1</v>
      </c>
      <c r="AM451" t="s">
        <v>93</v>
      </c>
      <c r="AN451" t="s">
        <v>228</v>
      </c>
      <c r="AO451" t="s">
        <v>533</v>
      </c>
      <c r="AP451" t="s">
        <v>108</v>
      </c>
      <c r="AQ451">
        <v>12</v>
      </c>
      <c r="AR451" t="s">
        <v>529</v>
      </c>
      <c r="AS451" t="s">
        <v>228</v>
      </c>
      <c r="AT451" t="s">
        <v>170</v>
      </c>
      <c r="AU451">
        <v>1</v>
      </c>
      <c r="AV451">
        <v>1</v>
      </c>
      <c r="AW451" t="s">
        <v>406</v>
      </c>
      <c r="AX451" t="s">
        <v>283</v>
      </c>
      <c r="AY451" t="s">
        <v>280</v>
      </c>
      <c r="AZ451">
        <v>5</v>
      </c>
      <c r="BA451" t="s">
        <v>533</v>
      </c>
      <c r="BB451" t="s">
        <v>541</v>
      </c>
      <c r="BC451" t="s">
        <v>395</v>
      </c>
      <c r="BD451" t="s">
        <v>228</v>
      </c>
      <c r="BE451" t="s">
        <v>522</v>
      </c>
      <c r="BF451" t="s">
        <v>523</v>
      </c>
      <c r="BG451" t="s">
        <v>407</v>
      </c>
      <c r="BH451" t="s">
        <v>396</v>
      </c>
      <c r="BI451" t="s">
        <v>548</v>
      </c>
      <c r="BJ451" t="s">
        <v>228</v>
      </c>
      <c r="BK451" t="s">
        <v>228</v>
      </c>
      <c r="BL451" t="s">
        <v>228</v>
      </c>
      <c r="BM451" t="s">
        <v>228</v>
      </c>
      <c r="BN451" t="s">
        <v>228</v>
      </c>
      <c r="BO451" t="s">
        <v>228</v>
      </c>
      <c r="BP451" t="s">
        <v>228</v>
      </c>
      <c r="BQ451" t="s">
        <v>228</v>
      </c>
      <c r="BR451" t="s">
        <v>228</v>
      </c>
      <c r="BS451" t="s">
        <v>409</v>
      </c>
      <c r="BT451">
        <v>1</v>
      </c>
    </row>
    <row r="452" spans="1:72" x14ac:dyDescent="0.15">
      <c r="A452" s="43">
        <v>2023</v>
      </c>
      <c r="B452" s="8">
        <v>1</v>
      </c>
      <c r="C452" s="8">
        <v>1</v>
      </c>
      <c r="D452" s="8">
        <v>8</v>
      </c>
      <c r="E452" s="8" t="s">
        <v>228</v>
      </c>
      <c r="F452" s="8" t="s">
        <v>59</v>
      </c>
      <c r="G452" s="8">
        <v>2017</v>
      </c>
      <c r="H452" s="8">
        <v>12</v>
      </c>
      <c r="I452" s="8" t="s">
        <v>529</v>
      </c>
      <c r="J452" s="8" t="s">
        <v>228</v>
      </c>
      <c r="K452" s="8">
        <v>1953</v>
      </c>
      <c r="L452" s="17">
        <v>1</v>
      </c>
      <c r="M452" s="8">
        <v>1</v>
      </c>
      <c r="N452" s="8" t="s">
        <v>48</v>
      </c>
      <c r="O452" s="8" t="s">
        <v>283</v>
      </c>
      <c r="P452" s="8" t="s">
        <v>280</v>
      </c>
      <c r="Q452" s="8">
        <v>20000</v>
      </c>
      <c r="R452" s="8" t="s">
        <v>59</v>
      </c>
      <c r="S452" s="8" t="s">
        <v>54</v>
      </c>
      <c r="T452" s="8" t="s">
        <v>69</v>
      </c>
      <c r="U452" s="8" t="s">
        <v>228</v>
      </c>
      <c r="V452" s="8">
        <v>500</v>
      </c>
      <c r="W452" s="8" t="s">
        <v>328</v>
      </c>
      <c r="X452" s="8">
        <v>3000</v>
      </c>
      <c r="Y452" s="8" t="s">
        <v>268</v>
      </c>
      <c r="Z452" s="8">
        <v>105</v>
      </c>
      <c r="AA452" s="8" t="s">
        <v>277</v>
      </c>
      <c r="AB452" s="8" t="s">
        <v>228</v>
      </c>
      <c r="AC452" s="8" t="s">
        <v>228</v>
      </c>
      <c r="AD452" s="8" t="s">
        <v>228</v>
      </c>
      <c r="AE452" s="8" t="s">
        <v>228</v>
      </c>
      <c r="AF452" s="8" t="s">
        <v>228</v>
      </c>
      <c r="AG452" s="8" t="s">
        <v>228</v>
      </c>
      <c r="AH452" s="8" t="s">
        <v>228</v>
      </c>
      <c r="AI452" s="8" t="s">
        <v>228</v>
      </c>
      <c r="AJ452" t="s">
        <v>468</v>
      </c>
      <c r="AK452">
        <v>1</v>
      </c>
      <c r="AL452">
        <v>1</v>
      </c>
      <c r="AM452" t="s">
        <v>93</v>
      </c>
      <c r="AN452" t="s">
        <v>228</v>
      </c>
      <c r="AO452" t="s">
        <v>533</v>
      </c>
      <c r="AP452" t="s">
        <v>108</v>
      </c>
      <c r="AQ452">
        <v>12</v>
      </c>
      <c r="AR452" t="s">
        <v>529</v>
      </c>
      <c r="AS452" t="s">
        <v>228</v>
      </c>
      <c r="AT452" t="s">
        <v>170</v>
      </c>
      <c r="AU452">
        <v>1</v>
      </c>
      <c r="AV452">
        <v>1</v>
      </c>
      <c r="AW452" t="s">
        <v>406</v>
      </c>
      <c r="AX452" t="s">
        <v>283</v>
      </c>
      <c r="AY452" t="s">
        <v>280</v>
      </c>
      <c r="AZ452">
        <v>5</v>
      </c>
      <c r="BA452" t="s">
        <v>533</v>
      </c>
      <c r="BB452" t="s">
        <v>541</v>
      </c>
      <c r="BC452" t="s">
        <v>395</v>
      </c>
      <c r="BD452" t="s">
        <v>228</v>
      </c>
      <c r="BE452" t="s">
        <v>522</v>
      </c>
      <c r="BF452" t="s">
        <v>523</v>
      </c>
      <c r="BG452" t="s">
        <v>407</v>
      </c>
      <c r="BH452" t="s">
        <v>396</v>
      </c>
      <c r="BI452" t="s">
        <v>548</v>
      </c>
      <c r="BJ452" t="s">
        <v>67</v>
      </c>
      <c r="BK452" t="s">
        <v>228</v>
      </c>
      <c r="BL452" t="s">
        <v>228</v>
      </c>
      <c r="BM452" t="s">
        <v>228</v>
      </c>
      <c r="BN452" t="s">
        <v>228</v>
      </c>
      <c r="BO452" t="s">
        <v>228</v>
      </c>
      <c r="BP452" t="s">
        <v>228</v>
      </c>
      <c r="BQ452" t="s">
        <v>228</v>
      </c>
      <c r="BR452" t="s">
        <v>228</v>
      </c>
      <c r="BS452" t="s">
        <v>409</v>
      </c>
      <c r="BT452">
        <v>0</v>
      </c>
    </row>
    <row r="453" spans="1:72" x14ac:dyDescent="0.15">
      <c r="A453" s="43">
        <v>2023</v>
      </c>
      <c r="B453" s="8">
        <v>1</v>
      </c>
      <c r="C453" s="8">
        <v>1</v>
      </c>
      <c r="D453" s="8">
        <v>8</v>
      </c>
      <c r="E453" s="8" t="s">
        <v>228</v>
      </c>
      <c r="F453" s="8" t="s">
        <v>59</v>
      </c>
      <c r="G453" s="8">
        <v>2021</v>
      </c>
      <c r="H453" s="8">
        <v>11</v>
      </c>
      <c r="I453" s="8" t="s">
        <v>530</v>
      </c>
      <c r="J453" s="8" t="s">
        <v>228</v>
      </c>
      <c r="K453" s="8">
        <v>1953</v>
      </c>
      <c r="L453" s="17">
        <v>1</v>
      </c>
      <c r="M453" s="8">
        <v>1</v>
      </c>
      <c r="N453" s="8" t="s">
        <v>48</v>
      </c>
      <c r="O453" s="8" t="s">
        <v>283</v>
      </c>
      <c r="P453" s="8" t="s">
        <v>280</v>
      </c>
      <c r="Q453" s="8">
        <v>20000</v>
      </c>
      <c r="R453" s="8" t="s">
        <v>59</v>
      </c>
      <c r="S453" s="8" t="s">
        <v>54</v>
      </c>
      <c r="T453" s="8" t="s">
        <v>69</v>
      </c>
      <c r="U453" s="8" t="s">
        <v>228</v>
      </c>
      <c r="V453" s="8">
        <v>500</v>
      </c>
      <c r="W453" s="8" t="s">
        <v>328</v>
      </c>
      <c r="X453" s="8">
        <v>3000</v>
      </c>
      <c r="Y453" s="8" t="s">
        <v>268</v>
      </c>
      <c r="Z453" s="8">
        <v>270</v>
      </c>
      <c r="AA453" s="8" t="s">
        <v>278</v>
      </c>
      <c r="AB453" s="8" t="s">
        <v>228</v>
      </c>
      <c r="AC453" s="8" t="s">
        <v>228</v>
      </c>
      <c r="AD453" s="8" t="s">
        <v>228</v>
      </c>
      <c r="AE453" s="8" t="s">
        <v>228</v>
      </c>
      <c r="AF453" s="8" t="s">
        <v>228</v>
      </c>
      <c r="AG453" s="8" t="s">
        <v>228</v>
      </c>
      <c r="AH453" s="8" t="s">
        <v>228</v>
      </c>
      <c r="AI453" s="8" t="s">
        <v>228</v>
      </c>
      <c r="AJ453" t="s">
        <v>468</v>
      </c>
      <c r="AK453">
        <v>1</v>
      </c>
      <c r="AL453">
        <v>1</v>
      </c>
      <c r="AM453" t="s">
        <v>93</v>
      </c>
      <c r="AN453" t="s">
        <v>228</v>
      </c>
      <c r="AO453" t="s">
        <v>533</v>
      </c>
      <c r="AP453" t="s">
        <v>550</v>
      </c>
      <c r="AQ453">
        <v>11</v>
      </c>
      <c r="AR453" t="s">
        <v>530</v>
      </c>
      <c r="AS453" t="s">
        <v>228</v>
      </c>
      <c r="AT453" t="s">
        <v>170</v>
      </c>
      <c r="AU453">
        <v>1</v>
      </c>
      <c r="AV453">
        <v>1</v>
      </c>
      <c r="AW453" t="s">
        <v>406</v>
      </c>
      <c r="AX453" t="s">
        <v>283</v>
      </c>
      <c r="AY453" t="s">
        <v>280</v>
      </c>
      <c r="AZ453">
        <v>5</v>
      </c>
      <c r="BA453" t="s">
        <v>533</v>
      </c>
      <c r="BB453" t="s">
        <v>541</v>
      </c>
      <c r="BC453" t="s">
        <v>395</v>
      </c>
      <c r="BD453" t="s">
        <v>228</v>
      </c>
      <c r="BE453" t="s">
        <v>522</v>
      </c>
      <c r="BF453" t="s">
        <v>523</v>
      </c>
      <c r="BG453" t="s">
        <v>407</v>
      </c>
      <c r="BH453" t="s">
        <v>396</v>
      </c>
      <c r="BI453" t="s">
        <v>547</v>
      </c>
      <c r="BJ453" t="s">
        <v>228</v>
      </c>
      <c r="BK453" t="s">
        <v>228</v>
      </c>
      <c r="BL453" t="s">
        <v>228</v>
      </c>
      <c r="BM453" t="s">
        <v>228</v>
      </c>
      <c r="BN453" t="s">
        <v>228</v>
      </c>
      <c r="BO453" t="s">
        <v>228</v>
      </c>
      <c r="BP453" t="s">
        <v>228</v>
      </c>
      <c r="BQ453" t="s">
        <v>228</v>
      </c>
      <c r="BR453" t="s">
        <v>228</v>
      </c>
      <c r="BS453" t="s">
        <v>409</v>
      </c>
      <c r="BT453">
        <v>1</v>
      </c>
    </row>
    <row r="454" spans="1:72" x14ac:dyDescent="0.15">
      <c r="A454" s="43">
        <v>2023</v>
      </c>
      <c r="B454" s="8">
        <v>1</v>
      </c>
      <c r="C454" s="8">
        <v>1</v>
      </c>
      <c r="D454" s="8">
        <v>8</v>
      </c>
      <c r="E454" s="8" t="s">
        <v>228</v>
      </c>
      <c r="F454" s="8" t="s">
        <v>59</v>
      </c>
      <c r="G454" s="8">
        <v>2021</v>
      </c>
      <c r="H454" s="8">
        <v>11</v>
      </c>
      <c r="I454" s="8" t="s">
        <v>530</v>
      </c>
      <c r="J454" s="8" t="s">
        <v>228</v>
      </c>
      <c r="K454" s="8">
        <v>1953</v>
      </c>
      <c r="L454" s="17">
        <v>1</v>
      </c>
      <c r="M454" s="8">
        <v>1</v>
      </c>
      <c r="N454" s="8" t="s">
        <v>48</v>
      </c>
      <c r="O454" s="8" t="s">
        <v>283</v>
      </c>
      <c r="P454" s="8" t="s">
        <v>280</v>
      </c>
      <c r="Q454" s="8">
        <v>20000</v>
      </c>
      <c r="R454" s="8" t="s">
        <v>59</v>
      </c>
      <c r="S454" s="8" t="s">
        <v>54</v>
      </c>
      <c r="T454" s="8" t="s">
        <v>69</v>
      </c>
      <c r="U454" s="8" t="s">
        <v>228</v>
      </c>
      <c r="V454" s="8">
        <v>500</v>
      </c>
      <c r="W454" s="8" t="s">
        <v>328</v>
      </c>
      <c r="X454" s="8">
        <v>3000</v>
      </c>
      <c r="Y454" s="8" t="s">
        <v>268</v>
      </c>
      <c r="Z454" s="8">
        <v>270</v>
      </c>
      <c r="AA454" s="8" t="s">
        <v>277</v>
      </c>
      <c r="AB454" s="8" t="s">
        <v>228</v>
      </c>
      <c r="AC454" s="8" t="s">
        <v>228</v>
      </c>
      <c r="AD454" s="8" t="s">
        <v>228</v>
      </c>
      <c r="AE454" s="8" t="s">
        <v>228</v>
      </c>
      <c r="AF454" s="8" t="s">
        <v>228</v>
      </c>
      <c r="AG454" s="8" t="s">
        <v>228</v>
      </c>
      <c r="AH454" s="8" t="s">
        <v>228</v>
      </c>
      <c r="AI454" s="8" t="s">
        <v>228</v>
      </c>
      <c r="AJ454" t="s">
        <v>468</v>
      </c>
      <c r="AK454">
        <v>1</v>
      </c>
      <c r="AL454">
        <v>1</v>
      </c>
      <c r="AM454" t="s">
        <v>93</v>
      </c>
      <c r="AN454" t="s">
        <v>228</v>
      </c>
      <c r="AO454" t="s">
        <v>533</v>
      </c>
      <c r="AP454" t="s">
        <v>550</v>
      </c>
      <c r="AQ454">
        <v>11</v>
      </c>
      <c r="AR454" t="s">
        <v>530</v>
      </c>
      <c r="AS454" t="s">
        <v>228</v>
      </c>
      <c r="AT454" t="s">
        <v>170</v>
      </c>
      <c r="AU454">
        <v>1</v>
      </c>
      <c r="AV454">
        <v>1</v>
      </c>
      <c r="AW454" t="s">
        <v>406</v>
      </c>
      <c r="AX454" t="s">
        <v>283</v>
      </c>
      <c r="AY454" t="s">
        <v>280</v>
      </c>
      <c r="AZ454">
        <v>5</v>
      </c>
      <c r="BA454" t="s">
        <v>533</v>
      </c>
      <c r="BB454" t="s">
        <v>541</v>
      </c>
      <c r="BC454" t="s">
        <v>395</v>
      </c>
      <c r="BD454" t="s">
        <v>228</v>
      </c>
      <c r="BE454" t="s">
        <v>522</v>
      </c>
      <c r="BF454" t="s">
        <v>523</v>
      </c>
      <c r="BG454" t="s">
        <v>407</v>
      </c>
      <c r="BH454" t="s">
        <v>396</v>
      </c>
      <c r="BI454" t="s">
        <v>547</v>
      </c>
      <c r="BJ454" t="s">
        <v>67</v>
      </c>
      <c r="BK454" t="s">
        <v>228</v>
      </c>
      <c r="BL454" t="s">
        <v>228</v>
      </c>
      <c r="BM454" t="s">
        <v>228</v>
      </c>
      <c r="BN454" t="s">
        <v>228</v>
      </c>
      <c r="BO454" t="s">
        <v>228</v>
      </c>
      <c r="BP454" t="s">
        <v>228</v>
      </c>
      <c r="BQ454" t="s">
        <v>228</v>
      </c>
      <c r="BR454" t="s">
        <v>228</v>
      </c>
      <c r="BS454" t="s">
        <v>409</v>
      </c>
      <c r="BT454">
        <v>0</v>
      </c>
    </row>
    <row r="455" spans="1:72" x14ac:dyDescent="0.15">
      <c r="A455" s="43">
        <v>2023</v>
      </c>
      <c r="B455" s="8">
        <v>1</v>
      </c>
      <c r="C455" s="8">
        <v>1</v>
      </c>
      <c r="D455" s="8">
        <v>8</v>
      </c>
      <c r="E455" s="8" t="s">
        <v>228</v>
      </c>
      <c r="F455" s="8" t="s">
        <v>59</v>
      </c>
      <c r="G455" s="8">
        <v>2018</v>
      </c>
      <c r="H455" s="8">
        <v>1</v>
      </c>
      <c r="I455" s="8" t="s">
        <v>531</v>
      </c>
      <c r="J455" s="8" t="s">
        <v>228</v>
      </c>
      <c r="K455" s="8">
        <v>1953</v>
      </c>
      <c r="L455" s="17">
        <v>1</v>
      </c>
      <c r="M455" s="8">
        <v>1</v>
      </c>
      <c r="N455" s="8" t="s">
        <v>48</v>
      </c>
      <c r="O455" s="8" t="s">
        <v>283</v>
      </c>
      <c r="P455" s="8" t="s">
        <v>280</v>
      </c>
      <c r="Q455" s="8">
        <v>20000</v>
      </c>
      <c r="R455" s="8" t="s">
        <v>59</v>
      </c>
      <c r="S455" s="8" t="s">
        <v>54</v>
      </c>
      <c r="T455" s="8" t="s">
        <v>69</v>
      </c>
      <c r="U455" s="8" t="s">
        <v>228</v>
      </c>
      <c r="V455" s="8">
        <v>500</v>
      </c>
      <c r="W455" s="8" t="s">
        <v>328</v>
      </c>
      <c r="X455" s="8">
        <v>3000</v>
      </c>
      <c r="Y455" s="8" t="s">
        <v>268</v>
      </c>
      <c r="Z455" s="8">
        <v>70</v>
      </c>
      <c r="AA455" s="8" t="s">
        <v>278</v>
      </c>
      <c r="AB455" s="8" t="s">
        <v>228</v>
      </c>
      <c r="AC455" s="8" t="s">
        <v>228</v>
      </c>
      <c r="AD455" s="8" t="s">
        <v>228</v>
      </c>
      <c r="AE455" s="8" t="s">
        <v>228</v>
      </c>
      <c r="AF455" s="8" t="s">
        <v>228</v>
      </c>
      <c r="AG455" s="8" t="s">
        <v>228</v>
      </c>
      <c r="AH455" s="8" t="s">
        <v>228</v>
      </c>
      <c r="AI455" s="8" t="s">
        <v>228</v>
      </c>
      <c r="AJ455" t="s">
        <v>468</v>
      </c>
      <c r="AK455">
        <v>1</v>
      </c>
      <c r="AL455">
        <v>1</v>
      </c>
      <c r="AM455" t="s">
        <v>93</v>
      </c>
      <c r="AN455" t="s">
        <v>228</v>
      </c>
      <c r="AO455" t="s">
        <v>533</v>
      </c>
      <c r="AP455" t="s">
        <v>107</v>
      </c>
      <c r="AQ455">
        <v>1</v>
      </c>
      <c r="AR455" t="s">
        <v>531</v>
      </c>
      <c r="AS455" t="s">
        <v>228</v>
      </c>
      <c r="AT455" t="s">
        <v>170</v>
      </c>
      <c r="AU455">
        <v>1</v>
      </c>
      <c r="AV455">
        <v>1</v>
      </c>
      <c r="AW455" t="s">
        <v>406</v>
      </c>
      <c r="AX455" t="s">
        <v>283</v>
      </c>
      <c r="AY455" t="s">
        <v>280</v>
      </c>
      <c r="AZ455">
        <v>5</v>
      </c>
      <c r="BA455" t="s">
        <v>533</v>
      </c>
      <c r="BB455" t="s">
        <v>541</v>
      </c>
      <c r="BC455" t="s">
        <v>395</v>
      </c>
      <c r="BD455" t="s">
        <v>228</v>
      </c>
      <c r="BE455" t="s">
        <v>522</v>
      </c>
      <c r="BF455" t="s">
        <v>523</v>
      </c>
      <c r="BG455" t="s">
        <v>407</v>
      </c>
      <c r="BH455" t="s">
        <v>396</v>
      </c>
      <c r="BI455" t="s">
        <v>549</v>
      </c>
      <c r="BJ455" t="s">
        <v>228</v>
      </c>
      <c r="BK455" t="s">
        <v>228</v>
      </c>
      <c r="BL455" t="s">
        <v>228</v>
      </c>
      <c r="BM455" t="s">
        <v>228</v>
      </c>
      <c r="BN455" t="s">
        <v>228</v>
      </c>
      <c r="BO455" t="s">
        <v>228</v>
      </c>
      <c r="BP455" t="s">
        <v>228</v>
      </c>
      <c r="BQ455" t="s">
        <v>228</v>
      </c>
      <c r="BR455" t="s">
        <v>228</v>
      </c>
      <c r="BS455" t="s">
        <v>409</v>
      </c>
      <c r="BT455">
        <v>1</v>
      </c>
    </row>
    <row r="456" spans="1:72" x14ac:dyDescent="0.15">
      <c r="A456" s="43">
        <v>2023</v>
      </c>
      <c r="B456" s="8">
        <v>1</v>
      </c>
      <c r="C456" s="8">
        <v>1</v>
      </c>
      <c r="D456" s="8">
        <v>8</v>
      </c>
      <c r="E456" s="8" t="s">
        <v>228</v>
      </c>
      <c r="F456" s="8" t="s">
        <v>59</v>
      </c>
      <c r="G456" s="8">
        <v>2018</v>
      </c>
      <c r="H456" s="8">
        <v>1</v>
      </c>
      <c r="I456" s="8" t="s">
        <v>531</v>
      </c>
      <c r="J456" s="8" t="s">
        <v>228</v>
      </c>
      <c r="K456" s="8">
        <v>1953</v>
      </c>
      <c r="L456" s="17">
        <v>1</v>
      </c>
      <c r="M456" s="8">
        <v>1</v>
      </c>
      <c r="N456" s="8" t="s">
        <v>48</v>
      </c>
      <c r="O456" s="8" t="s">
        <v>283</v>
      </c>
      <c r="P456" s="8" t="s">
        <v>280</v>
      </c>
      <c r="Q456" s="8">
        <v>20000</v>
      </c>
      <c r="R456" s="8" t="s">
        <v>59</v>
      </c>
      <c r="S456" s="8" t="s">
        <v>54</v>
      </c>
      <c r="T456" s="8" t="s">
        <v>69</v>
      </c>
      <c r="U456" s="8" t="s">
        <v>228</v>
      </c>
      <c r="V456" s="8">
        <v>500</v>
      </c>
      <c r="W456" s="8" t="s">
        <v>328</v>
      </c>
      <c r="X456" s="8">
        <v>3000</v>
      </c>
      <c r="Y456" s="8" t="s">
        <v>268</v>
      </c>
      <c r="Z456" s="8">
        <v>70</v>
      </c>
      <c r="AA456" s="8" t="s">
        <v>277</v>
      </c>
      <c r="AB456" s="8" t="s">
        <v>228</v>
      </c>
      <c r="AC456" s="8" t="s">
        <v>228</v>
      </c>
      <c r="AD456" s="8" t="s">
        <v>228</v>
      </c>
      <c r="AE456" s="8" t="s">
        <v>228</v>
      </c>
      <c r="AF456" s="8" t="s">
        <v>228</v>
      </c>
      <c r="AG456" s="8" t="s">
        <v>228</v>
      </c>
      <c r="AH456" s="8" t="s">
        <v>228</v>
      </c>
      <c r="AI456" s="8" t="s">
        <v>228</v>
      </c>
      <c r="AJ456" t="s">
        <v>468</v>
      </c>
      <c r="AK456">
        <v>1</v>
      </c>
      <c r="AL456">
        <v>1</v>
      </c>
      <c r="AM456" t="s">
        <v>93</v>
      </c>
      <c r="AN456" t="s">
        <v>228</v>
      </c>
      <c r="AO456" t="s">
        <v>533</v>
      </c>
      <c r="AP456" t="s">
        <v>107</v>
      </c>
      <c r="AQ456">
        <v>1</v>
      </c>
      <c r="AR456" t="s">
        <v>531</v>
      </c>
      <c r="AS456" t="s">
        <v>228</v>
      </c>
      <c r="AT456" t="s">
        <v>170</v>
      </c>
      <c r="AU456">
        <v>1</v>
      </c>
      <c r="AV456">
        <v>1</v>
      </c>
      <c r="AW456" t="s">
        <v>406</v>
      </c>
      <c r="AX456" t="s">
        <v>283</v>
      </c>
      <c r="AY456" t="s">
        <v>280</v>
      </c>
      <c r="AZ456">
        <v>5</v>
      </c>
      <c r="BA456" t="s">
        <v>533</v>
      </c>
      <c r="BB456" t="s">
        <v>541</v>
      </c>
      <c r="BC456" t="s">
        <v>395</v>
      </c>
      <c r="BD456" t="s">
        <v>228</v>
      </c>
      <c r="BE456" t="s">
        <v>522</v>
      </c>
      <c r="BF456" t="s">
        <v>523</v>
      </c>
      <c r="BG456" t="s">
        <v>407</v>
      </c>
      <c r="BH456" t="s">
        <v>396</v>
      </c>
      <c r="BI456" t="s">
        <v>549</v>
      </c>
      <c r="BJ456" t="s">
        <v>67</v>
      </c>
      <c r="BK456" t="s">
        <v>228</v>
      </c>
      <c r="BL456" t="s">
        <v>228</v>
      </c>
      <c r="BM456" t="s">
        <v>228</v>
      </c>
      <c r="BN456" t="s">
        <v>228</v>
      </c>
      <c r="BO456" t="s">
        <v>228</v>
      </c>
      <c r="BP456" t="s">
        <v>228</v>
      </c>
      <c r="BQ456" t="s">
        <v>228</v>
      </c>
      <c r="BR456" t="s">
        <v>228</v>
      </c>
      <c r="BS456" t="s">
        <v>409</v>
      </c>
      <c r="BT456">
        <v>0</v>
      </c>
    </row>
    <row r="457" spans="1:72" x14ac:dyDescent="0.15">
      <c r="A457" s="43">
        <v>2023</v>
      </c>
      <c r="B457" s="8">
        <v>1</v>
      </c>
      <c r="C457" s="8">
        <v>1</v>
      </c>
      <c r="D457" s="8">
        <v>20</v>
      </c>
      <c r="E457" s="8" t="s">
        <v>228</v>
      </c>
      <c r="F457" s="8" t="s">
        <v>57</v>
      </c>
      <c r="G457" s="8">
        <v>2016</v>
      </c>
      <c r="H457" s="8">
        <v>12</v>
      </c>
      <c r="I457" s="8" t="s">
        <v>521</v>
      </c>
      <c r="J457" s="8" t="s">
        <v>228</v>
      </c>
      <c r="K457" s="8">
        <v>1953</v>
      </c>
      <c r="L457" s="17">
        <v>1</v>
      </c>
      <c r="M457" s="8">
        <v>1</v>
      </c>
      <c r="N457" s="8" t="s">
        <v>49</v>
      </c>
      <c r="O457" s="8" t="s">
        <v>283</v>
      </c>
      <c r="P457" s="8" t="s">
        <v>280</v>
      </c>
      <c r="Q457" s="8">
        <v>20000</v>
      </c>
      <c r="R457" s="8" t="s">
        <v>59</v>
      </c>
      <c r="S457" s="8" t="s">
        <v>54</v>
      </c>
      <c r="T457" s="8" t="s">
        <v>69</v>
      </c>
      <c r="U457" s="8" t="s">
        <v>228</v>
      </c>
      <c r="V457" s="8">
        <v>500</v>
      </c>
      <c r="W457" s="8" t="s">
        <v>328</v>
      </c>
      <c r="X457" s="8">
        <v>3000</v>
      </c>
      <c r="Y457" s="8" t="s">
        <v>268</v>
      </c>
      <c r="Z457" s="8">
        <v>85</v>
      </c>
      <c r="AA457" s="8" t="s">
        <v>278</v>
      </c>
      <c r="AB457" s="8" t="s">
        <v>228</v>
      </c>
      <c r="AC457" s="8" t="s">
        <v>228</v>
      </c>
      <c r="AD457" s="8" t="s">
        <v>228</v>
      </c>
      <c r="AE457" s="8" t="s">
        <v>228</v>
      </c>
      <c r="AF457" s="8" t="s">
        <v>228</v>
      </c>
      <c r="AG457" s="8" t="s">
        <v>228</v>
      </c>
      <c r="AH457" s="8" t="s">
        <v>228</v>
      </c>
      <c r="AI457" s="8" t="s">
        <v>228</v>
      </c>
      <c r="AJ457" t="s">
        <v>468</v>
      </c>
      <c r="AK457">
        <v>1</v>
      </c>
      <c r="AL457">
        <v>1</v>
      </c>
      <c r="AM457" t="s">
        <v>81</v>
      </c>
      <c r="AN457" t="s">
        <v>228</v>
      </c>
      <c r="AO457" t="s">
        <v>526</v>
      </c>
      <c r="AP457" t="s">
        <v>109</v>
      </c>
      <c r="AQ457">
        <v>12</v>
      </c>
      <c r="AR457" t="s">
        <v>521</v>
      </c>
      <c r="AS457" t="s">
        <v>228</v>
      </c>
      <c r="AT457" t="s">
        <v>170</v>
      </c>
      <c r="AU457">
        <v>1</v>
      </c>
      <c r="AV457">
        <v>1</v>
      </c>
      <c r="AW457" t="s">
        <v>537</v>
      </c>
      <c r="AX457" t="s">
        <v>283</v>
      </c>
      <c r="AY457" t="s">
        <v>280</v>
      </c>
      <c r="AZ457">
        <v>5</v>
      </c>
      <c r="BA457" t="s">
        <v>533</v>
      </c>
      <c r="BB457" t="s">
        <v>541</v>
      </c>
      <c r="BC457" t="s">
        <v>395</v>
      </c>
      <c r="BD457" t="s">
        <v>228</v>
      </c>
      <c r="BE457" t="s">
        <v>522</v>
      </c>
      <c r="BF457" t="s">
        <v>523</v>
      </c>
      <c r="BG457" t="s">
        <v>407</v>
      </c>
      <c r="BH457" t="s">
        <v>396</v>
      </c>
      <c r="BI457" t="s">
        <v>524</v>
      </c>
      <c r="BJ457" t="s">
        <v>228</v>
      </c>
      <c r="BK457" t="s">
        <v>228</v>
      </c>
      <c r="BL457" t="s">
        <v>228</v>
      </c>
      <c r="BM457" t="s">
        <v>228</v>
      </c>
      <c r="BN457" t="s">
        <v>228</v>
      </c>
      <c r="BO457" t="s">
        <v>228</v>
      </c>
      <c r="BP457" t="s">
        <v>228</v>
      </c>
      <c r="BQ457" t="s">
        <v>228</v>
      </c>
      <c r="BR457" t="s">
        <v>228</v>
      </c>
      <c r="BS457" t="s">
        <v>409</v>
      </c>
      <c r="BT457">
        <v>1</v>
      </c>
    </row>
    <row r="458" spans="1:72" x14ac:dyDescent="0.15">
      <c r="A458" s="43">
        <v>2023</v>
      </c>
      <c r="B458" s="8">
        <v>1</v>
      </c>
      <c r="C458" s="8">
        <v>1</v>
      </c>
      <c r="D458" s="8">
        <v>20</v>
      </c>
      <c r="E458" s="8" t="s">
        <v>228</v>
      </c>
      <c r="F458" s="8" t="s">
        <v>57</v>
      </c>
      <c r="G458" s="8">
        <v>2016</v>
      </c>
      <c r="H458" s="8">
        <v>12</v>
      </c>
      <c r="I458" s="8" t="s">
        <v>521</v>
      </c>
      <c r="J458" s="8" t="s">
        <v>228</v>
      </c>
      <c r="K458" s="8">
        <v>1953</v>
      </c>
      <c r="L458" s="17">
        <v>1</v>
      </c>
      <c r="M458" s="8">
        <v>1</v>
      </c>
      <c r="N458" s="8" t="s">
        <v>49</v>
      </c>
      <c r="O458" s="8" t="s">
        <v>283</v>
      </c>
      <c r="P458" s="8" t="s">
        <v>280</v>
      </c>
      <c r="Q458" s="8">
        <v>20000</v>
      </c>
      <c r="R458" s="8" t="s">
        <v>59</v>
      </c>
      <c r="S458" s="8" t="s">
        <v>54</v>
      </c>
      <c r="T458" s="8" t="s">
        <v>69</v>
      </c>
      <c r="U458" s="8" t="s">
        <v>228</v>
      </c>
      <c r="V458" s="8">
        <v>500</v>
      </c>
      <c r="W458" s="8" t="s">
        <v>328</v>
      </c>
      <c r="X458" s="8">
        <v>3000</v>
      </c>
      <c r="Y458" s="8" t="s">
        <v>394</v>
      </c>
      <c r="Z458" s="8">
        <v>85</v>
      </c>
      <c r="AA458" s="8" t="s">
        <v>278</v>
      </c>
      <c r="AB458" s="8" t="s">
        <v>228</v>
      </c>
      <c r="AC458" s="8" t="s">
        <v>228</v>
      </c>
      <c r="AD458" s="8" t="s">
        <v>228</v>
      </c>
      <c r="AE458" s="8" t="s">
        <v>228</v>
      </c>
      <c r="AF458" s="8" t="s">
        <v>228</v>
      </c>
      <c r="AG458" s="8" t="s">
        <v>228</v>
      </c>
      <c r="AH458" s="8" t="s">
        <v>228</v>
      </c>
      <c r="AI458" s="8" t="s">
        <v>228</v>
      </c>
      <c r="AJ458" t="s">
        <v>468</v>
      </c>
      <c r="AK458">
        <v>1</v>
      </c>
      <c r="AL458">
        <v>1</v>
      </c>
      <c r="AM458" t="s">
        <v>81</v>
      </c>
      <c r="AN458" t="s">
        <v>228</v>
      </c>
      <c r="AO458" t="s">
        <v>526</v>
      </c>
      <c r="AP458" t="s">
        <v>109</v>
      </c>
      <c r="AQ458">
        <v>12</v>
      </c>
      <c r="AR458" t="s">
        <v>521</v>
      </c>
      <c r="AS458" t="s">
        <v>228</v>
      </c>
      <c r="AT458" t="s">
        <v>170</v>
      </c>
      <c r="AU458">
        <v>1</v>
      </c>
      <c r="AV458">
        <v>1</v>
      </c>
      <c r="AW458" t="s">
        <v>537</v>
      </c>
      <c r="AX458" t="s">
        <v>283</v>
      </c>
      <c r="AY458" t="s">
        <v>280</v>
      </c>
      <c r="AZ458">
        <v>5</v>
      </c>
      <c r="BA458" t="s">
        <v>533</v>
      </c>
      <c r="BB458" t="s">
        <v>541</v>
      </c>
      <c r="BC458" t="s">
        <v>395</v>
      </c>
      <c r="BD458" t="s">
        <v>228</v>
      </c>
      <c r="BE458" t="s">
        <v>522</v>
      </c>
      <c r="BF458" t="s">
        <v>523</v>
      </c>
      <c r="BG458" t="s">
        <v>407</v>
      </c>
      <c r="BH458" t="s">
        <v>551</v>
      </c>
      <c r="BI458" t="s">
        <v>524</v>
      </c>
      <c r="BJ458" t="s">
        <v>228</v>
      </c>
      <c r="BK458" t="s">
        <v>228</v>
      </c>
      <c r="BL458" t="s">
        <v>228</v>
      </c>
      <c r="BM458" t="s">
        <v>228</v>
      </c>
      <c r="BN458" t="s">
        <v>228</v>
      </c>
      <c r="BO458" t="s">
        <v>228</v>
      </c>
      <c r="BP458" t="s">
        <v>228</v>
      </c>
      <c r="BQ458" t="s">
        <v>228</v>
      </c>
      <c r="BR458" t="s">
        <v>228</v>
      </c>
      <c r="BS458" t="s">
        <v>409</v>
      </c>
      <c r="BT458">
        <v>1</v>
      </c>
    </row>
    <row r="459" spans="1:72" x14ac:dyDescent="0.15">
      <c r="A459" s="43">
        <v>2023</v>
      </c>
      <c r="B459" s="8">
        <v>1</v>
      </c>
      <c r="C459" s="8">
        <v>1</v>
      </c>
      <c r="D459" s="8">
        <v>20</v>
      </c>
      <c r="E459" s="8" t="s">
        <v>228</v>
      </c>
      <c r="F459" s="8" t="s">
        <v>57</v>
      </c>
      <c r="G459" s="8">
        <v>2016</v>
      </c>
      <c r="H459" s="8">
        <v>12</v>
      </c>
      <c r="I459" s="8" t="s">
        <v>521</v>
      </c>
      <c r="J459" s="8" t="s">
        <v>228</v>
      </c>
      <c r="K459" s="8">
        <v>1953</v>
      </c>
      <c r="L459" s="17">
        <v>1</v>
      </c>
      <c r="M459" s="8">
        <v>1</v>
      </c>
      <c r="N459" s="8" t="s">
        <v>49</v>
      </c>
      <c r="O459" s="8" t="s">
        <v>283</v>
      </c>
      <c r="P459" s="8" t="s">
        <v>280</v>
      </c>
      <c r="Q459" s="8">
        <v>20000</v>
      </c>
      <c r="R459" s="8" t="s">
        <v>59</v>
      </c>
      <c r="S459" s="8" t="s">
        <v>54</v>
      </c>
      <c r="T459" s="8" t="s">
        <v>69</v>
      </c>
      <c r="U459" s="8" t="s">
        <v>228</v>
      </c>
      <c r="V459" s="8">
        <v>500</v>
      </c>
      <c r="W459" s="8" t="s">
        <v>328</v>
      </c>
      <c r="X459" s="8">
        <v>3000</v>
      </c>
      <c r="Y459" s="8" t="s">
        <v>271</v>
      </c>
      <c r="Z459" s="8">
        <v>85</v>
      </c>
      <c r="AA459" s="8" t="s">
        <v>278</v>
      </c>
      <c r="AB459" s="8" t="s">
        <v>228</v>
      </c>
      <c r="AC459" s="8" t="s">
        <v>228</v>
      </c>
      <c r="AD459" s="8" t="s">
        <v>228</v>
      </c>
      <c r="AE459" s="8" t="s">
        <v>228</v>
      </c>
      <c r="AF459" s="8" t="s">
        <v>228</v>
      </c>
      <c r="AG459" s="8" t="s">
        <v>228</v>
      </c>
      <c r="AH459" s="8" t="s">
        <v>228</v>
      </c>
      <c r="AI459" s="8" t="s">
        <v>228</v>
      </c>
      <c r="AJ459" t="s">
        <v>468</v>
      </c>
      <c r="AK459">
        <v>1</v>
      </c>
      <c r="AL459">
        <v>1</v>
      </c>
      <c r="AM459" t="s">
        <v>81</v>
      </c>
      <c r="AN459" t="s">
        <v>228</v>
      </c>
      <c r="AO459" t="s">
        <v>526</v>
      </c>
      <c r="AP459" t="s">
        <v>109</v>
      </c>
      <c r="AQ459">
        <v>12</v>
      </c>
      <c r="AR459" t="s">
        <v>521</v>
      </c>
      <c r="AS459" t="s">
        <v>228</v>
      </c>
      <c r="AT459" t="s">
        <v>170</v>
      </c>
      <c r="AU459">
        <v>1</v>
      </c>
      <c r="AV459">
        <v>1</v>
      </c>
      <c r="AW459" t="s">
        <v>537</v>
      </c>
      <c r="AX459" t="s">
        <v>283</v>
      </c>
      <c r="AY459" t="s">
        <v>280</v>
      </c>
      <c r="AZ459">
        <v>5</v>
      </c>
      <c r="BA459" t="s">
        <v>533</v>
      </c>
      <c r="BB459" t="s">
        <v>541</v>
      </c>
      <c r="BC459" t="s">
        <v>395</v>
      </c>
      <c r="BD459" t="s">
        <v>228</v>
      </c>
      <c r="BE459" t="s">
        <v>522</v>
      </c>
      <c r="BF459" t="s">
        <v>523</v>
      </c>
      <c r="BG459" t="s">
        <v>407</v>
      </c>
      <c r="BH459" t="s">
        <v>544</v>
      </c>
      <c r="BI459" t="s">
        <v>524</v>
      </c>
      <c r="BJ459" t="s">
        <v>228</v>
      </c>
      <c r="BK459" t="s">
        <v>228</v>
      </c>
      <c r="BL459" t="s">
        <v>228</v>
      </c>
      <c r="BM459" t="s">
        <v>228</v>
      </c>
      <c r="BN459" t="s">
        <v>228</v>
      </c>
      <c r="BO459" t="s">
        <v>228</v>
      </c>
      <c r="BP459" t="s">
        <v>228</v>
      </c>
      <c r="BQ459" t="s">
        <v>228</v>
      </c>
      <c r="BR459" t="s">
        <v>228</v>
      </c>
      <c r="BS459" t="s">
        <v>409</v>
      </c>
      <c r="BT459">
        <v>0</v>
      </c>
    </row>
    <row r="460" spans="1:72" x14ac:dyDescent="0.15">
      <c r="A460" s="43">
        <v>2023</v>
      </c>
      <c r="B460" s="8">
        <v>1</v>
      </c>
      <c r="C460" s="8">
        <v>1</v>
      </c>
      <c r="D460" s="8">
        <v>19</v>
      </c>
      <c r="E460" s="8" t="s">
        <v>228</v>
      </c>
      <c r="F460" s="8" t="s">
        <v>57</v>
      </c>
      <c r="G460" s="8">
        <v>2016</v>
      </c>
      <c r="H460" s="8">
        <v>12</v>
      </c>
      <c r="I460" s="8" t="s">
        <v>521</v>
      </c>
      <c r="J460" s="8" t="s">
        <v>228</v>
      </c>
      <c r="K460" s="8">
        <v>1953</v>
      </c>
      <c r="L460" s="17">
        <v>1</v>
      </c>
      <c r="M460" s="8">
        <v>1</v>
      </c>
      <c r="N460" s="8" t="s">
        <v>49</v>
      </c>
      <c r="O460" s="8" t="s">
        <v>283</v>
      </c>
      <c r="P460" s="8" t="s">
        <v>280</v>
      </c>
      <c r="Q460" s="8">
        <v>20000</v>
      </c>
      <c r="R460" s="8" t="s">
        <v>59</v>
      </c>
      <c r="S460" s="8" t="s">
        <v>54</v>
      </c>
      <c r="T460" s="8" t="s">
        <v>69</v>
      </c>
      <c r="U460" s="8" t="s">
        <v>228</v>
      </c>
      <c r="V460" s="8">
        <v>500</v>
      </c>
      <c r="W460" s="8" t="s">
        <v>328</v>
      </c>
      <c r="X460" s="8">
        <v>3000</v>
      </c>
      <c r="Y460" s="8" t="s">
        <v>268</v>
      </c>
      <c r="Z460" s="8">
        <v>85</v>
      </c>
      <c r="AA460" s="8" t="s">
        <v>278</v>
      </c>
      <c r="AB460" s="8" t="s">
        <v>228</v>
      </c>
      <c r="AC460" s="8" t="s">
        <v>228</v>
      </c>
      <c r="AD460" s="8" t="s">
        <v>228</v>
      </c>
      <c r="AE460" s="8" t="s">
        <v>228</v>
      </c>
      <c r="AF460" s="8" t="s">
        <v>228</v>
      </c>
      <c r="AG460" s="8" t="s">
        <v>228</v>
      </c>
      <c r="AH460" s="8" t="s">
        <v>228</v>
      </c>
      <c r="AI460" s="8" t="s">
        <v>228</v>
      </c>
      <c r="AJ460" t="s">
        <v>468</v>
      </c>
      <c r="AK460">
        <v>1</v>
      </c>
      <c r="AL460">
        <v>1</v>
      </c>
      <c r="AM460" t="s">
        <v>82</v>
      </c>
      <c r="AN460" t="s">
        <v>228</v>
      </c>
      <c r="AO460" t="s">
        <v>526</v>
      </c>
      <c r="AP460" t="s">
        <v>109</v>
      </c>
      <c r="AQ460">
        <v>12</v>
      </c>
      <c r="AR460" t="s">
        <v>521</v>
      </c>
      <c r="AS460" t="s">
        <v>228</v>
      </c>
      <c r="AT460" t="s">
        <v>170</v>
      </c>
      <c r="AU460">
        <v>1</v>
      </c>
      <c r="AV460">
        <v>1</v>
      </c>
      <c r="AW460" t="s">
        <v>537</v>
      </c>
      <c r="AX460" t="s">
        <v>283</v>
      </c>
      <c r="AY460" t="s">
        <v>280</v>
      </c>
      <c r="AZ460">
        <v>5</v>
      </c>
      <c r="BA460" t="s">
        <v>533</v>
      </c>
      <c r="BB460" t="s">
        <v>541</v>
      </c>
      <c r="BC460" t="s">
        <v>395</v>
      </c>
      <c r="BD460" t="s">
        <v>228</v>
      </c>
      <c r="BE460" t="s">
        <v>522</v>
      </c>
      <c r="BF460" t="s">
        <v>523</v>
      </c>
      <c r="BG460" t="s">
        <v>407</v>
      </c>
      <c r="BH460" t="s">
        <v>396</v>
      </c>
      <c r="BI460" t="s">
        <v>524</v>
      </c>
      <c r="BJ460" t="s">
        <v>228</v>
      </c>
      <c r="BK460" t="s">
        <v>228</v>
      </c>
      <c r="BL460" t="s">
        <v>228</v>
      </c>
      <c r="BM460" t="s">
        <v>228</v>
      </c>
      <c r="BN460" t="s">
        <v>228</v>
      </c>
      <c r="BO460" t="s">
        <v>228</v>
      </c>
      <c r="BP460" t="s">
        <v>228</v>
      </c>
      <c r="BQ460" t="s">
        <v>228</v>
      </c>
      <c r="BR460" t="s">
        <v>228</v>
      </c>
      <c r="BS460" t="s">
        <v>409</v>
      </c>
      <c r="BT460">
        <v>1</v>
      </c>
    </row>
    <row r="461" spans="1:72" x14ac:dyDescent="0.15">
      <c r="A461" s="43">
        <v>2023</v>
      </c>
      <c r="B461" s="8">
        <v>1</v>
      </c>
      <c r="C461" s="8">
        <v>1</v>
      </c>
      <c r="D461" s="8">
        <v>19</v>
      </c>
      <c r="E461" s="8" t="s">
        <v>228</v>
      </c>
      <c r="F461" s="8" t="s">
        <v>57</v>
      </c>
      <c r="G461" s="8">
        <v>2016</v>
      </c>
      <c r="H461" s="8">
        <v>12</v>
      </c>
      <c r="I461" s="8" t="s">
        <v>521</v>
      </c>
      <c r="J461" s="8" t="s">
        <v>228</v>
      </c>
      <c r="K461" s="8">
        <v>1953</v>
      </c>
      <c r="L461" s="17">
        <v>1</v>
      </c>
      <c r="M461" s="8">
        <v>1</v>
      </c>
      <c r="N461" s="8" t="s">
        <v>49</v>
      </c>
      <c r="O461" s="8" t="s">
        <v>283</v>
      </c>
      <c r="P461" s="8" t="s">
        <v>280</v>
      </c>
      <c r="Q461" s="8">
        <v>20000</v>
      </c>
      <c r="R461" s="8" t="s">
        <v>59</v>
      </c>
      <c r="S461" s="8" t="s">
        <v>54</v>
      </c>
      <c r="T461" s="8" t="s">
        <v>69</v>
      </c>
      <c r="U461" s="8" t="s">
        <v>228</v>
      </c>
      <c r="V461" s="8">
        <v>500</v>
      </c>
      <c r="W461" s="8" t="s">
        <v>328</v>
      </c>
      <c r="X461" s="8">
        <v>3000</v>
      </c>
      <c r="Y461" s="8" t="s">
        <v>394</v>
      </c>
      <c r="Z461" s="8">
        <v>85</v>
      </c>
      <c r="AA461" s="8" t="s">
        <v>278</v>
      </c>
      <c r="AB461" s="8" t="s">
        <v>228</v>
      </c>
      <c r="AC461" s="8" t="s">
        <v>228</v>
      </c>
      <c r="AD461" s="8" t="s">
        <v>228</v>
      </c>
      <c r="AE461" s="8" t="s">
        <v>228</v>
      </c>
      <c r="AF461" s="8" t="s">
        <v>228</v>
      </c>
      <c r="AG461" s="8" t="s">
        <v>228</v>
      </c>
      <c r="AH461" s="8" t="s">
        <v>228</v>
      </c>
      <c r="AI461" s="8" t="s">
        <v>228</v>
      </c>
      <c r="AJ461" t="s">
        <v>468</v>
      </c>
      <c r="AK461">
        <v>1</v>
      </c>
      <c r="AL461">
        <v>1</v>
      </c>
      <c r="AM461" t="s">
        <v>82</v>
      </c>
      <c r="AN461" t="s">
        <v>228</v>
      </c>
      <c r="AO461" t="s">
        <v>526</v>
      </c>
      <c r="AP461" t="s">
        <v>109</v>
      </c>
      <c r="AQ461">
        <v>12</v>
      </c>
      <c r="AR461" t="s">
        <v>521</v>
      </c>
      <c r="AS461" t="s">
        <v>228</v>
      </c>
      <c r="AT461" t="s">
        <v>170</v>
      </c>
      <c r="AU461">
        <v>1</v>
      </c>
      <c r="AV461">
        <v>1</v>
      </c>
      <c r="AW461" t="s">
        <v>537</v>
      </c>
      <c r="AX461" t="s">
        <v>283</v>
      </c>
      <c r="AY461" t="s">
        <v>280</v>
      </c>
      <c r="AZ461">
        <v>5</v>
      </c>
      <c r="BA461" t="s">
        <v>533</v>
      </c>
      <c r="BB461" t="s">
        <v>541</v>
      </c>
      <c r="BC461" t="s">
        <v>395</v>
      </c>
      <c r="BD461" t="s">
        <v>228</v>
      </c>
      <c r="BE461" t="s">
        <v>522</v>
      </c>
      <c r="BF461" t="s">
        <v>523</v>
      </c>
      <c r="BG461" t="s">
        <v>407</v>
      </c>
      <c r="BH461" t="s">
        <v>551</v>
      </c>
      <c r="BI461" t="s">
        <v>524</v>
      </c>
      <c r="BJ461" t="s">
        <v>228</v>
      </c>
      <c r="BK461" t="s">
        <v>228</v>
      </c>
      <c r="BL461" t="s">
        <v>228</v>
      </c>
      <c r="BM461" t="s">
        <v>228</v>
      </c>
      <c r="BN461" t="s">
        <v>228</v>
      </c>
      <c r="BO461" t="s">
        <v>228</v>
      </c>
      <c r="BP461" t="s">
        <v>228</v>
      </c>
      <c r="BQ461" t="s">
        <v>228</v>
      </c>
      <c r="BR461" t="s">
        <v>228</v>
      </c>
      <c r="BS461" t="s">
        <v>409</v>
      </c>
      <c r="BT461">
        <v>1</v>
      </c>
    </row>
    <row r="462" spans="1:72" x14ac:dyDescent="0.15">
      <c r="A462" s="43">
        <v>2023</v>
      </c>
      <c r="B462" s="8">
        <v>1</v>
      </c>
      <c r="C462" s="8">
        <v>1</v>
      </c>
      <c r="D462" s="8">
        <v>19</v>
      </c>
      <c r="E462" s="8" t="s">
        <v>228</v>
      </c>
      <c r="F462" s="8" t="s">
        <v>57</v>
      </c>
      <c r="G462" s="8">
        <v>2016</v>
      </c>
      <c r="H462" s="8">
        <v>12</v>
      </c>
      <c r="I462" s="8" t="s">
        <v>521</v>
      </c>
      <c r="J462" s="8" t="s">
        <v>228</v>
      </c>
      <c r="K462" s="8">
        <v>1953</v>
      </c>
      <c r="L462" s="17">
        <v>1</v>
      </c>
      <c r="M462" s="8">
        <v>1</v>
      </c>
      <c r="N462" s="8" t="s">
        <v>49</v>
      </c>
      <c r="O462" s="8" t="s">
        <v>283</v>
      </c>
      <c r="P462" s="8" t="s">
        <v>280</v>
      </c>
      <c r="Q462" s="8">
        <v>20000</v>
      </c>
      <c r="R462" s="8" t="s">
        <v>59</v>
      </c>
      <c r="S462" s="8" t="s">
        <v>54</v>
      </c>
      <c r="T462" s="8" t="s">
        <v>69</v>
      </c>
      <c r="U462" s="8" t="s">
        <v>228</v>
      </c>
      <c r="V462" s="8">
        <v>500</v>
      </c>
      <c r="W462" s="8" t="s">
        <v>328</v>
      </c>
      <c r="X462" s="8">
        <v>3000</v>
      </c>
      <c r="Y462" s="8" t="s">
        <v>271</v>
      </c>
      <c r="Z462" s="8">
        <v>85</v>
      </c>
      <c r="AA462" s="8" t="s">
        <v>278</v>
      </c>
      <c r="AB462" s="8" t="s">
        <v>228</v>
      </c>
      <c r="AC462" s="8" t="s">
        <v>228</v>
      </c>
      <c r="AD462" s="8" t="s">
        <v>228</v>
      </c>
      <c r="AE462" s="8" t="s">
        <v>228</v>
      </c>
      <c r="AF462" s="8" t="s">
        <v>228</v>
      </c>
      <c r="AG462" s="8" t="s">
        <v>228</v>
      </c>
      <c r="AH462" s="8" t="s">
        <v>228</v>
      </c>
      <c r="AI462" s="8" t="s">
        <v>228</v>
      </c>
      <c r="AJ462" t="s">
        <v>468</v>
      </c>
      <c r="AK462">
        <v>1</v>
      </c>
      <c r="AL462">
        <v>1</v>
      </c>
      <c r="AM462" t="s">
        <v>82</v>
      </c>
      <c r="AN462" t="s">
        <v>228</v>
      </c>
      <c r="AO462" t="s">
        <v>526</v>
      </c>
      <c r="AP462" t="s">
        <v>109</v>
      </c>
      <c r="AQ462">
        <v>12</v>
      </c>
      <c r="AR462" t="s">
        <v>521</v>
      </c>
      <c r="AS462" t="s">
        <v>228</v>
      </c>
      <c r="AT462" t="s">
        <v>170</v>
      </c>
      <c r="AU462">
        <v>1</v>
      </c>
      <c r="AV462">
        <v>1</v>
      </c>
      <c r="AW462" t="s">
        <v>537</v>
      </c>
      <c r="AX462" t="s">
        <v>283</v>
      </c>
      <c r="AY462" t="s">
        <v>280</v>
      </c>
      <c r="AZ462">
        <v>5</v>
      </c>
      <c r="BA462" t="s">
        <v>533</v>
      </c>
      <c r="BB462" t="s">
        <v>541</v>
      </c>
      <c r="BC462" t="s">
        <v>395</v>
      </c>
      <c r="BD462" t="s">
        <v>228</v>
      </c>
      <c r="BE462" t="s">
        <v>522</v>
      </c>
      <c r="BF462" t="s">
        <v>523</v>
      </c>
      <c r="BG462" t="s">
        <v>407</v>
      </c>
      <c r="BH462" t="s">
        <v>544</v>
      </c>
      <c r="BI462" t="s">
        <v>524</v>
      </c>
      <c r="BJ462" t="s">
        <v>228</v>
      </c>
      <c r="BK462" t="s">
        <v>228</v>
      </c>
      <c r="BL462" t="s">
        <v>228</v>
      </c>
      <c r="BM462" t="s">
        <v>228</v>
      </c>
      <c r="BN462" t="s">
        <v>228</v>
      </c>
      <c r="BO462" t="s">
        <v>228</v>
      </c>
      <c r="BP462" t="s">
        <v>228</v>
      </c>
      <c r="BQ462" t="s">
        <v>228</v>
      </c>
      <c r="BR462" t="s">
        <v>228</v>
      </c>
      <c r="BS462" t="s">
        <v>409</v>
      </c>
      <c r="BT462">
        <v>0</v>
      </c>
    </row>
    <row r="463" spans="1:72" x14ac:dyDescent="0.15">
      <c r="A463" s="43">
        <v>2023</v>
      </c>
      <c r="B463" s="8">
        <v>1</v>
      </c>
      <c r="C463" s="8">
        <v>1</v>
      </c>
      <c r="D463" s="8">
        <v>18</v>
      </c>
      <c r="E463" s="8" t="s">
        <v>228</v>
      </c>
      <c r="F463" s="8" t="s">
        <v>57</v>
      </c>
      <c r="G463" s="8">
        <v>2016</v>
      </c>
      <c r="H463" s="8">
        <v>12</v>
      </c>
      <c r="I463" s="8" t="s">
        <v>521</v>
      </c>
      <c r="J463" s="8" t="s">
        <v>228</v>
      </c>
      <c r="K463" s="8">
        <v>1953</v>
      </c>
      <c r="L463" s="17">
        <v>1</v>
      </c>
      <c r="M463" s="8">
        <v>1</v>
      </c>
      <c r="N463" s="8" t="s">
        <v>49</v>
      </c>
      <c r="O463" s="8" t="s">
        <v>283</v>
      </c>
      <c r="P463" s="8" t="s">
        <v>280</v>
      </c>
      <c r="Q463" s="8">
        <v>20000</v>
      </c>
      <c r="R463" s="8" t="s">
        <v>59</v>
      </c>
      <c r="S463" s="8" t="s">
        <v>54</v>
      </c>
      <c r="T463" s="8" t="s">
        <v>69</v>
      </c>
      <c r="U463" s="8" t="s">
        <v>228</v>
      </c>
      <c r="V463" s="8">
        <v>500</v>
      </c>
      <c r="W463" s="8" t="s">
        <v>328</v>
      </c>
      <c r="X463" s="8">
        <v>3000</v>
      </c>
      <c r="Y463" s="8" t="s">
        <v>268</v>
      </c>
      <c r="Z463" s="8">
        <v>85</v>
      </c>
      <c r="AA463" s="8" t="s">
        <v>278</v>
      </c>
      <c r="AB463" s="8" t="s">
        <v>228</v>
      </c>
      <c r="AC463" s="8" t="s">
        <v>228</v>
      </c>
      <c r="AD463" s="8" t="s">
        <v>228</v>
      </c>
      <c r="AE463" s="8" t="s">
        <v>228</v>
      </c>
      <c r="AF463" s="8" t="s">
        <v>228</v>
      </c>
      <c r="AG463" s="8" t="s">
        <v>228</v>
      </c>
      <c r="AH463" s="8" t="s">
        <v>228</v>
      </c>
      <c r="AI463" s="8" t="s">
        <v>228</v>
      </c>
      <c r="AJ463" t="s">
        <v>468</v>
      </c>
      <c r="AK463">
        <v>1</v>
      </c>
      <c r="AL463">
        <v>1</v>
      </c>
      <c r="AM463" t="s">
        <v>83</v>
      </c>
      <c r="AN463" t="s">
        <v>228</v>
      </c>
      <c r="AO463" t="s">
        <v>526</v>
      </c>
      <c r="AP463" t="s">
        <v>109</v>
      </c>
      <c r="AQ463">
        <v>12</v>
      </c>
      <c r="AR463" t="s">
        <v>521</v>
      </c>
      <c r="AS463" t="s">
        <v>228</v>
      </c>
      <c r="AT463" t="s">
        <v>170</v>
      </c>
      <c r="AU463">
        <v>1</v>
      </c>
      <c r="AV463">
        <v>1</v>
      </c>
      <c r="AW463" t="s">
        <v>537</v>
      </c>
      <c r="AX463" t="s">
        <v>283</v>
      </c>
      <c r="AY463" t="s">
        <v>280</v>
      </c>
      <c r="AZ463">
        <v>5</v>
      </c>
      <c r="BA463" t="s">
        <v>533</v>
      </c>
      <c r="BB463" t="s">
        <v>541</v>
      </c>
      <c r="BC463" t="s">
        <v>395</v>
      </c>
      <c r="BD463" t="s">
        <v>228</v>
      </c>
      <c r="BE463" t="s">
        <v>522</v>
      </c>
      <c r="BF463" t="s">
        <v>523</v>
      </c>
      <c r="BG463" t="s">
        <v>407</v>
      </c>
      <c r="BH463" t="s">
        <v>396</v>
      </c>
      <c r="BI463" t="s">
        <v>524</v>
      </c>
      <c r="BJ463" t="s">
        <v>228</v>
      </c>
      <c r="BK463" t="s">
        <v>228</v>
      </c>
      <c r="BL463" t="s">
        <v>228</v>
      </c>
      <c r="BM463" t="s">
        <v>228</v>
      </c>
      <c r="BN463" t="s">
        <v>228</v>
      </c>
      <c r="BO463" t="s">
        <v>228</v>
      </c>
      <c r="BP463" t="s">
        <v>228</v>
      </c>
      <c r="BQ463" t="s">
        <v>228</v>
      </c>
      <c r="BR463" t="s">
        <v>228</v>
      </c>
      <c r="BS463" t="s">
        <v>409</v>
      </c>
      <c r="BT463">
        <v>1</v>
      </c>
    </row>
    <row r="464" spans="1:72" x14ac:dyDescent="0.15">
      <c r="A464" s="43">
        <v>2023</v>
      </c>
      <c r="B464" s="8">
        <v>1</v>
      </c>
      <c r="C464" s="8">
        <v>1</v>
      </c>
      <c r="D464" s="8">
        <v>18</v>
      </c>
      <c r="E464" s="8" t="s">
        <v>228</v>
      </c>
      <c r="F464" s="8" t="s">
        <v>57</v>
      </c>
      <c r="G464" s="8">
        <v>2016</v>
      </c>
      <c r="H464" s="8">
        <v>12</v>
      </c>
      <c r="I464" s="8" t="s">
        <v>521</v>
      </c>
      <c r="J464" s="8" t="s">
        <v>228</v>
      </c>
      <c r="K464" s="8">
        <v>1953</v>
      </c>
      <c r="L464" s="17">
        <v>1</v>
      </c>
      <c r="M464" s="8">
        <v>1</v>
      </c>
      <c r="N464" s="8" t="s">
        <v>49</v>
      </c>
      <c r="O464" s="8" t="s">
        <v>283</v>
      </c>
      <c r="P464" s="8" t="s">
        <v>280</v>
      </c>
      <c r="Q464" s="8">
        <v>20000</v>
      </c>
      <c r="R464" s="8" t="s">
        <v>59</v>
      </c>
      <c r="S464" s="8" t="s">
        <v>54</v>
      </c>
      <c r="T464" s="8" t="s">
        <v>69</v>
      </c>
      <c r="U464" s="8" t="s">
        <v>228</v>
      </c>
      <c r="V464" s="8">
        <v>500</v>
      </c>
      <c r="W464" s="8" t="s">
        <v>328</v>
      </c>
      <c r="X464" s="8">
        <v>3000</v>
      </c>
      <c r="Y464" s="8" t="s">
        <v>394</v>
      </c>
      <c r="Z464" s="8">
        <v>85</v>
      </c>
      <c r="AA464" s="8" t="s">
        <v>278</v>
      </c>
      <c r="AB464" s="8" t="s">
        <v>228</v>
      </c>
      <c r="AC464" s="8" t="s">
        <v>228</v>
      </c>
      <c r="AD464" s="8" t="s">
        <v>228</v>
      </c>
      <c r="AE464" s="8" t="s">
        <v>228</v>
      </c>
      <c r="AF464" s="8" t="s">
        <v>228</v>
      </c>
      <c r="AG464" s="8" t="s">
        <v>228</v>
      </c>
      <c r="AH464" s="8" t="s">
        <v>228</v>
      </c>
      <c r="AI464" s="8" t="s">
        <v>228</v>
      </c>
      <c r="AJ464" t="s">
        <v>468</v>
      </c>
      <c r="AK464">
        <v>1</v>
      </c>
      <c r="AL464">
        <v>1</v>
      </c>
      <c r="AM464" t="s">
        <v>83</v>
      </c>
      <c r="AN464" t="s">
        <v>228</v>
      </c>
      <c r="AO464" t="s">
        <v>526</v>
      </c>
      <c r="AP464" t="s">
        <v>109</v>
      </c>
      <c r="AQ464">
        <v>12</v>
      </c>
      <c r="AR464" t="s">
        <v>521</v>
      </c>
      <c r="AS464" t="s">
        <v>228</v>
      </c>
      <c r="AT464" t="s">
        <v>170</v>
      </c>
      <c r="AU464">
        <v>1</v>
      </c>
      <c r="AV464">
        <v>1</v>
      </c>
      <c r="AW464" t="s">
        <v>537</v>
      </c>
      <c r="AX464" t="s">
        <v>283</v>
      </c>
      <c r="AY464" t="s">
        <v>280</v>
      </c>
      <c r="AZ464">
        <v>5</v>
      </c>
      <c r="BA464" t="s">
        <v>533</v>
      </c>
      <c r="BB464" t="s">
        <v>541</v>
      </c>
      <c r="BC464" t="s">
        <v>395</v>
      </c>
      <c r="BD464" t="s">
        <v>228</v>
      </c>
      <c r="BE464" t="s">
        <v>522</v>
      </c>
      <c r="BF464" t="s">
        <v>523</v>
      </c>
      <c r="BG464" t="s">
        <v>407</v>
      </c>
      <c r="BH464" t="s">
        <v>551</v>
      </c>
      <c r="BI464" t="s">
        <v>524</v>
      </c>
      <c r="BJ464" t="s">
        <v>228</v>
      </c>
      <c r="BK464" t="s">
        <v>228</v>
      </c>
      <c r="BL464" t="s">
        <v>228</v>
      </c>
      <c r="BM464" t="s">
        <v>228</v>
      </c>
      <c r="BN464" t="s">
        <v>228</v>
      </c>
      <c r="BO464" t="s">
        <v>228</v>
      </c>
      <c r="BP464" t="s">
        <v>228</v>
      </c>
      <c r="BQ464" t="s">
        <v>228</v>
      </c>
      <c r="BR464" t="s">
        <v>228</v>
      </c>
      <c r="BS464" t="s">
        <v>409</v>
      </c>
      <c r="BT464">
        <v>1</v>
      </c>
    </row>
    <row r="465" spans="1:72" x14ac:dyDescent="0.15">
      <c r="A465" s="43">
        <v>2023</v>
      </c>
      <c r="B465" s="8">
        <v>1</v>
      </c>
      <c r="C465" s="8">
        <v>1</v>
      </c>
      <c r="D465" s="8">
        <v>18</v>
      </c>
      <c r="E465" s="8" t="s">
        <v>228</v>
      </c>
      <c r="F465" s="8" t="s">
        <v>57</v>
      </c>
      <c r="G465" s="8">
        <v>2016</v>
      </c>
      <c r="H465" s="8">
        <v>12</v>
      </c>
      <c r="I465" s="8" t="s">
        <v>521</v>
      </c>
      <c r="J465" s="8" t="s">
        <v>228</v>
      </c>
      <c r="K465" s="8">
        <v>1953</v>
      </c>
      <c r="L465" s="17">
        <v>1</v>
      </c>
      <c r="M465" s="8">
        <v>1</v>
      </c>
      <c r="N465" s="8" t="s">
        <v>49</v>
      </c>
      <c r="O465" s="8" t="s">
        <v>283</v>
      </c>
      <c r="P465" s="8" t="s">
        <v>280</v>
      </c>
      <c r="Q465" s="8">
        <v>20000</v>
      </c>
      <c r="R465" s="8" t="s">
        <v>59</v>
      </c>
      <c r="S465" s="8" t="s">
        <v>54</v>
      </c>
      <c r="T465" s="8" t="s">
        <v>69</v>
      </c>
      <c r="U465" s="8" t="s">
        <v>228</v>
      </c>
      <c r="V465" s="8">
        <v>500</v>
      </c>
      <c r="W465" s="8" t="s">
        <v>328</v>
      </c>
      <c r="X465" s="8">
        <v>3000</v>
      </c>
      <c r="Y465" s="8" t="s">
        <v>271</v>
      </c>
      <c r="Z465" s="8">
        <v>85</v>
      </c>
      <c r="AA465" s="8" t="s">
        <v>278</v>
      </c>
      <c r="AB465" s="8" t="s">
        <v>228</v>
      </c>
      <c r="AC465" s="8" t="s">
        <v>228</v>
      </c>
      <c r="AD465" s="8" t="s">
        <v>228</v>
      </c>
      <c r="AE465" s="8" t="s">
        <v>228</v>
      </c>
      <c r="AF465" s="8" t="s">
        <v>228</v>
      </c>
      <c r="AG465" s="8" t="s">
        <v>228</v>
      </c>
      <c r="AH465" s="8" t="s">
        <v>228</v>
      </c>
      <c r="AI465" s="8" t="s">
        <v>228</v>
      </c>
      <c r="AJ465" t="s">
        <v>468</v>
      </c>
      <c r="AK465">
        <v>1</v>
      </c>
      <c r="AL465">
        <v>1</v>
      </c>
      <c r="AM465" t="s">
        <v>83</v>
      </c>
      <c r="AN465" t="s">
        <v>228</v>
      </c>
      <c r="AO465" t="s">
        <v>526</v>
      </c>
      <c r="AP465" t="s">
        <v>109</v>
      </c>
      <c r="AQ465">
        <v>12</v>
      </c>
      <c r="AR465" t="s">
        <v>521</v>
      </c>
      <c r="AS465" t="s">
        <v>228</v>
      </c>
      <c r="AT465" t="s">
        <v>170</v>
      </c>
      <c r="AU465">
        <v>1</v>
      </c>
      <c r="AV465">
        <v>1</v>
      </c>
      <c r="AW465" t="s">
        <v>537</v>
      </c>
      <c r="AX465" t="s">
        <v>283</v>
      </c>
      <c r="AY465" t="s">
        <v>280</v>
      </c>
      <c r="AZ465">
        <v>5</v>
      </c>
      <c r="BA465" t="s">
        <v>533</v>
      </c>
      <c r="BB465" t="s">
        <v>541</v>
      </c>
      <c r="BC465" t="s">
        <v>395</v>
      </c>
      <c r="BD465" t="s">
        <v>228</v>
      </c>
      <c r="BE465" t="s">
        <v>522</v>
      </c>
      <c r="BF465" t="s">
        <v>523</v>
      </c>
      <c r="BG465" t="s">
        <v>407</v>
      </c>
      <c r="BH465" t="s">
        <v>544</v>
      </c>
      <c r="BI465" t="s">
        <v>524</v>
      </c>
      <c r="BJ465" t="s">
        <v>228</v>
      </c>
      <c r="BK465" t="s">
        <v>228</v>
      </c>
      <c r="BL465" t="s">
        <v>228</v>
      </c>
      <c r="BM465" t="s">
        <v>228</v>
      </c>
      <c r="BN465" t="s">
        <v>228</v>
      </c>
      <c r="BO465" t="s">
        <v>228</v>
      </c>
      <c r="BP465" t="s">
        <v>228</v>
      </c>
      <c r="BQ465" t="s">
        <v>228</v>
      </c>
      <c r="BR465" t="s">
        <v>228</v>
      </c>
      <c r="BS465" t="s">
        <v>409</v>
      </c>
      <c r="BT465">
        <v>0</v>
      </c>
    </row>
    <row r="466" spans="1:72" x14ac:dyDescent="0.15">
      <c r="A466" s="43">
        <v>2023</v>
      </c>
      <c r="B466" s="8">
        <v>1</v>
      </c>
      <c r="C466" s="8">
        <v>1</v>
      </c>
      <c r="D466" s="8">
        <v>17</v>
      </c>
      <c r="E466" s="8" t="s">
        <v>228</v>
      </c>
      <c r="F466" s="8" t="s">
        <v>57</v>
      </c>
      <c r="G466" s="8">
        <v>2016</v>
      </c>
      <c r="H466" s="8">
        <v>12</v>
      </c>
      <c r="I466" s="8" t="s">
        <v>521</v>
      </c>
      <c r="J466" s="8" t="s">
        <v>228</v>
      </c>
      <c r="K466" s="8">
        <v>1953</v>
      </c>
      <c r="L466" s="17">
        <v>1</v>
      </c>
      <c r="M466" s="8">
        <v>1</v>
      </c>
      <c r="N466" s="8" t="s">
        <v>49</v>
      </c>
      <c r="O466" s="8" t="s">
        <v>283</v>
      </c>
      <c r="P466" s="8" t="s">
        <v>280</v>
      </c>
      <c r="Q466" s="8">
        <v>20000</v>
      </c>
      <c r="R466" s="8" t="s">
        <v>59</v>
      </c>
      <c r="S466" s="8" t="s">
        <v>54</v>
      </c>
      <c r="T466" s="8" t="s">
        <v>69</v>
      </c>
      <c r="U466" s="8" t="s">
        <v>228</v>
      </c>
      <c r="V466" s="8">
        <v>500</v>
      </c>
      <c r="W466" s="8" t="s">
        <v>328</v>
      </c>
      <c r="X466" s="8">
        <v>3000</v>
      </c>
      <c r="Y466" s="8" t="s">
        <v>268</v>
      </c>
      <c r="Z466" s="8">
        <v>85</v>
      </c>
      <c r="AA466" s="8" t="s">
        <v>278</v>
      </c>
      <c r="AB466" s="8" t="s">
        <v>228</v>
      </c>
      <c r="AC466" s="8" t="s">
        <v>228</v>
      </c>
      <c r="AD466" s="8" t="s">
        <v>228</v>
      </c>
      <c r="AE466" s="8" t="s">
        <v>228</v>
      </c>
      <c r="AF466" s="8" t="s">
        <v>228</v>
      </c>
      <c r="AG466" s="8" t="s">
        <v>228</v>
      </c>
      <c r="AH466" s="8" t="s">
        <v>228</v>
      </c>
      <c r="AI466" s="8" t="s">
        <v>228</v>
      </c>
      <c r="AJ466" t="s">
        <v>468</v>
      </c>
      <c r="AK466">
        <v>1</v>
      </c>
      <c r="AL466">
        <v>1</v>
      </c>
      <c r="AM466" t="s">
        <v>84</v>
      </c>
      <c r="AN466" t="s">
        <v>228</v>
      </c>
      <c r="AO466" t="s">
        <v>526</v>
      </c>
      <c r="AP466" t="s">
        <v>109</v>
      </c>
      <c r="AQ466">
        <v>12</v>
      </c>
      <c r="AR466" t="s">
        <v>521</v>
      </c>
      <c r="AS466" t="s">
        <v>228</v>
      </c>
      <c r="AT466" t="s">
        <v>170</v>
      </c>
      <c r="AU466">
        <v>1</v>
      </c>
      <c r="AV466">
        <v>1</v>
      </c>
      <c r="AW466" t="s">
        <v>537</v>
      </c>
      <c r="AX466" t="s">
        <v>283</v>
      </c>
      <c r="AY466" t="s">
        <v>280</v>
      </c>
      <c r="AZ466">
        <v>5</v>
      </c>
      <c r="BA466" t="s">
        <v>533</v>
      </c>
      <c r="BB466" t="s">
        <v>541</v>
      </c>
      <c r="BC466" t="s">
        <v>395</v>
      </c>
      <c r="BD466" t="s">
        <v>228</v>
      </c>
      <c r="BE466" t="s">
        <v>522</v>
      </c>
      <c r="BF466" t="s">
        <v>523</v>
      </c>
      <c r="BG466" t="s">
        <v>407</v>
      </c>
      <c r="BH466" t="s">
        <v>396</v>
      </c>
      <c r="BI466" t="s">
        <v>524</v>
      </c>
      <c r="BJ466" t="s">
        <v>228</v>
      </c>
      <c r="BK466" t="s">
        <v>228</v>
      </c>
      <c r="BL466" t="s">
        <v>228</v>
      </c>
      <c r="BM466" t="s">
        <v>228</v>
      </c>
      <c r="BN466" t="s">
        <v>228</v>
      </c>
      <c r="BO466" t="s">
        <v>228</v>
      </c>
      <c r="BP466" t="s">
        <v>228</v>
      </c>
      <c r="BQ466" t="s">
        <v>228</v>
      </c>
      <c r="BR466" t="s">
        <v>228</v>
      </c>
      <c r="BS466" t="s">
        <v>409</v>
      </c>
      <c r="BT466">
        <v>1</v>
      </c>
    </row>
    <row r="467" spans="1:72" x14ac:dyDescent="0.15">
      <c r="A467" s="43">
        <v>2023</v>
      </c>
      <c r="B467" s="8">
        <v>1</v>
      </c>
      <c r="C467" s="8">
        <v>1</v>
      </c>
      <c r="D467" s="8">
        <v>17</v>
      </c>
      <c r="E467" s="8" t="s">
        <v>228</v>
      </c>
      <c r="F467" s="8" t="s">
        <v>57</v>
      </c>
      <c r="G467" s="8">
        <v>2016</v>
      </c>
      <c r="H467" s="8">
        <v>12</v>
      </c>
      <c r="I467" s="8" t="s">
        <v>521</v>
      </c>
      <c r="J467" s="8" t="s">
        <v>228</v>
      </c>
      <c r="K467" s="8">
        <v>1953</v>
      </c>
      <c r="L467" s="17">
        <v>1</v>
      </c>
      <c r="M467" s="8">
        <v>1</v>
      </c>
      <c r="N467" s="8" t="s">
        <v>49</v>
      </c>
      <c r="O467" s="8" t="s">
        <v>283</v>
      </c>
      <c r="P467" s="8" t="s">
        <v>280</v>
      </c>
      <c r="Q467" s="8">
        <v>20000</v>
      </c>
      <c r="R467" s="8" t="s">
        <v>59</v>
      </c>
      <c r="S467" s="8" t="s">
        <v>54</v>
      </c>
      <c r="T467" s="8" t="s">
        <v>69</v>
      </c>
      <c r="U467" s="8" t="s">
        <v>228</v>
      </c>
      <c r="V467" s="8">
        <v>500</v>
      </c>
      <c r="W467" s="8" t="s">
        <v>328</v>
      </c>
      <c r="X467" s="8">
        <v>3000</v>
      </c>
      <c r="Y467" s="8" t="s">
        <v>394</v>
      </c>
      <c r="Z467" s="8">
        <v>85</v>
      </c>
      <c r="AA467" s="8" t="s">
        <v>278</v>
      </c>
      <c r="AB467" s="8" t="s">
        <v>228</v>
      </c>
      <c r="AC467" s="8" t="s">
        <v>228</v>
      </c>
      <c r="AD467" s="8" t="s">
        <v>228</v>
      </c>
      <c r="AE467" s="8" t="s">
        <v>228</v>
      </c>
      <c r="AF467" s="8" t="s">
        <v>228</v>
      </c>
      <c r="AG467" s="8" t="s">
        <v>228</v>
      </c>
      <c r="AH467" s="8" t="s">
        <v>228</v>
      </c>
      <c r="AI467" s="8" t="s">
        <v>228</v>
      </c>
      <c r="AJ467" t="s">
        <v>468</v>
      </c>
      <c r="AK467">
        <v>1</v>
      </c>
      <c r="AL467">
        <v>1</v>
      </c>
      <c r="AM467" t="s">
        <v>84</v>
      </c>
      <c r="AN467" t="s">
        <v>228</v>
      </c>
      <c r="AO467" t="s">
        <v>526</v>
      </c>
      <c r="AP467" t="s">
        <v>109</v>
      </c>
      <c r="AQ467">
        <v>12</v>
      </c>
      <c r="AR467" t="s">
        <v>521</v>
      </c>
      <c r="AS467" t="s">
        <v>228</v>
      </c>
      <c r="AT467" t="s">
        <v>170</v>
      </c>
      <c r="AU467">
        <v>1</v>
      </c>
      <c r="AV467">
        <v>1</v>
      </c>
      <c r="AW467" t="s">
        <v>537</v>
      </c>
      <c r="AX467" t="s">
        <v>283</v>
      </c>
      <c r="AY467" t="s">
        <v>280</v>
      </c>
      <c r="AZ467">
        <v>5</v>
      </c>
      <c r="BA467" t="s">
        <v>533</v>
      </c>
      <c r="BB467" t="s">
        <v>541</v>
      </c>
      <c r="BC467" t="s">
        <v>395</v>
      </c>
      <c r="BD467" t="s">
        <v>228</v>
      </c>
      <c r="BE467" t="s">
        <v>522</v>
      </c>
      <c r="BF467" t="s">
        <v>523</v>
      </c>
      <c r="BG467" t="s">
        <v>407</v>
      </c>
      <c r="BH467" t="s">
        <v>551</v>
      </c>
      <c r="BI467" t="s">
        <v>524</v>
      </c>
      <c r="BJ467" t="s">
        <v>228</v>
      </c>
      <c r="BK467" t="s">
        <v>228</v>
      </c>
      <c r="BL467" t="s">
        <v>228</v>
      </c>
      <c r="BM467" t="s">
        <v>228</v>
      </c>
      <c r="BN467" t="s">
        <v>228</v>
      </c>
      <c r="BO467" t="s">
        <v>228</v>
      </c>
      <c r="BP467" t="s">
        <v>228</v>
      </c>
      <c r="BQ467" t="s">
        <v>228</v>
      </c>
      <c r="BR467" t="s">
        <v>228</v>
      </c>
      <c r="BS467" t="s">
        <v>409</v>
      </c>
      <c r="BT467">
        <v>1</v>
      </c>
    </row>
    <row r="468" spans="1:72" x14ac:dyDescent="0.15">
      <c r="A468" s="43">
        <v>2023</v>
      </c>
      <c r="B468" s="8">
        <v>1</v>
      </c>
      <c r="C468" s="8">
        <v>1</v>
      </c>
      <c r="D468" s="8">
        <v>17</v>
      </c>
      <c r="E468" s="8" t="s">
        <v>228</v>
      </c>
      <c r="F468" s="8" t="s">
        <v>57</v>
      </c>
      <c r="G468" s="8">
        <v>2016</v>
      </c>
      <c r="H468" s="8">
        <v>12</v>
      </c>
      <c r="I468" s="8" t="s">
        <v>521</v>
      </c>
      <c r="J468" s="8" t="s">
        <v>228</v>
      </c>
      <c r="K468" s="8">
        <v>1953</v>
      </c>
      <c r="L468" s="17">
        <v>1</v>
      </c>
      <c r="M468" s="8">
        <v>1</v>
      </c>
      <c r="N468" s="8" t="s">
        <v>49</v>
      </c>
      <c r="O468" s="8" t="s">
        <v>283</v>
      </c>
      <c r="P468" s="8" t="s">
        <v>280</v>
      </c>
      <c r="Q468" s="8">
        <v>20000</v>
      </c>
      <c r="R468" s="8" t="s">
        <v>59</v>
      </c>
      <c r="S468" s="8" t="s">
        <v>54</v>
      </c>
      <c r="T468" s="8" t="s">
        <v>69</v>
      </c>
      <c r="U468" s="8" t="s">
        <v>228</v>
      </c>
      <c r="V468" s="8">
        <v>500</v>
      </c>
      <c r="W468" s="8" t="s">
        <v>328</v>
      </c>
      <c r="X468" s="8">
        <v>3000</v>
      </c>
      <c r="Y468" s="8" t="s">
        <v>271</v>
      </c>
      <c r="Z468" s="8">
        <v>85</v>
      </c>
      <c r="AA468" s="8" t="s">
        <v>278</v>
      </c>
      <c r="AB468" s="8" t="s">
        <v>228</v>
      </c>
      <c r="AC468" s="8" t="s">
        <v>228</v>
      </c>
      <c r="AD468" s="8" t="s">
        <v>228</v>
      </c>
      <c r="AE468" s="8" t="s">
        <v>228</v>
      </c>
      <c r="AF468" s="8" t="s">
        <v>228</v>
      </c>
      <c r="AG468" s="8" t="s">
        <v>228</v>
      </c>
      <c r="AH468" s="8" t="s">
        <v>228</v>
      </c>
      <c r="AI468" s="8" t="s">
        <v>228</v>
      </c>
      <c r="AJ468" t="s">
        <v>468</v>
      </c>
      <c r="AK468">
        <v>1</v>
      </c>
      <c r="AL468">
        <v>1</v>
      </c>
      <c r="AM468" t="s">
        <v>84</v>
      </c>
      <c r="AN468" t="s">
        <v>228</v>
      </c>
      <c r="AO468" t="s">
        <v>526</v>
      </c>
      <c r="AP468" t="s">
        <v>109</v>
      </c>
      <c r="AQ468">
        <v>12</v>
      </c>
      <c r="AR468" t="s">
        <v>521</v>
      </c>
      <c r="AS468" t="s">
        <v>228</v>
      </c>
      <c r="AT468" t="s">
        <v>170</v>
      </c>
      <c r="AU468">
        <v>1</v>
      </c>
      <c r="AV468">
        <v>1</v>
      </c>
      <c r="AW468" t="s">
        <v>537</v>
      </c>
      <c r="AX468" t="s">
        <v>283</v>
      </c>
      <c r="AY468" t="s">
        <v>280</v>
      </c>
      <c r="AZ468">
        <v>5</v>
      </c>
      <c r="BA468" t="s">
        <v>533</v>
      </c>
      <c r="BB468" t="s">
        <v>541</v>
      </c>
      <c r="BC468" t="s">
        <v>395</v>
      </c>
      <c r="BD468" t="s">
        <v>228</v>
      </c>
      <c r="BE468" t="s">
        <v>522</v>
      </c>
      <c r="BF468" t="s">
        <v>523</v>
      </c>
      <c r="BG468" t="s">
        <v>407</v>
      </c>
      <c r="BH468" t="s">
        <v>544</v>
      </c>
      <c r="BI468" t="s">
        <v>524</v>
      </c>
      <c r="BJ468" t="s">
        <v>228</v>
      </c>
      <c r="BK468" t="s">
        <v>228</v>
      </c>
      <c r="BL468" t="s">
        <v>228</v>
      </c>
      <c r="BM468" t="s">
        <v>228</v>
      </c>
      <c r="BN468" t="s">
        <v>228</v>
      </c>
      <c r="BO468" t="s">
        <v>228</v>
      </c>
      <c r="BP468" t="s">
        <v>228</v>
      </c>
      <c r="BQ468" t="s">
        <v>228</v>
      </c>
      <c r="BR468" t="s">
        <v>228</v>
      </c>
      <c r="BS468" t="s">
        <v>409</v>
      </c>
      <c r="BT468">
        <v>0</v>
      </c>
    </row>
    <row r="469" spans="1:72" x14ac:dyDescent="0.15">
      <c r="A469" s="43">
        <v>2023</v>
      </c>
      <c r="B469" s="8">
        <v>1</v>
      </c>
      <c r="C469" s="8">
        <v>1</v>
      </c>
      <c r="D469" s="8">
        <v>16</v>
      </c>
      <c r="E469" s="8" t="s">
        <v>228</v>
      </c>
      <c r="F469" s="8" t="s">
        <v>57</v>
      </c>
      <c r="G469" s="8">
        <v>2016</v>
      </c>
      <c r="H469" s="8">
        <v>12</v>
      </c>
      <c r="I469" s="8" t="s">
        <v>521</v>
      </c>
      <c r="J469" s="8" t="s">
        <v>228</v>
      </c>
      <c r="K469" s="8">
        <v>1953</v>
      </c>
      <c r="L469" s="17">
        <v>1</v>
      </c>
      <c r="M469" s="8">
        <v>1</v>
      </c>
      <c r="N469" s="8" t="s">
        <v>49</v>
      </c>
      <c r="O469" s="8" t="s">
        <v>283</v>
      </c>
      <c r="P469" s="8" t="s">
        <v>280</v>
      </c>
      <c r="Q469" s="8">
        <v>20000</v>
      </c>
      <c r="R469" s="8" t="s">
        <v>59</v>
      </c>
      <c r="S469" s="8" t="s">
        <v>54</v>
      </c>
      <c r="T469" s="8" t="s">
        <v>69</v>
      </c>
      <c r="U469" s="8" t="s">
        <v>228</v>
      </c>
      <c r="V469" s="8">
        <v>500</v>
      </c>
      <c r="W469" s="8" t="s">
        <v>328</v>
      </c>
      <c r="X469" s="8">
        <v>3000</v>
      </c>
      <c r="Y469" s="8" t="s">
        <v>268</v>
      </c>
      <c r="Z469" s="8">
        <v>85</v>
      </c>
      <c r="AA469" s="8" t="s">
        <v>278</v>
      </c>
      <c r="AB469" s="8" t="s">
        <v>228</v>
      </c>
      <c r="AC469" s="8" t="s">
        <v>228</v>
      </c>
      <c r="AD469" s="8" t="s">
        <v>228</v>
      </c>
      <c r="AE469" s="8" t="s">
        <v>228</v>
      </c>
      <c r="AF469" s="8" t="s">
        <v>228</v>
      </c>
      <c r="AG469" s="8" t="s">
        <v>228</v>
      </c>
      <c r="AH469" s="8" t="s">
        <v>228</v>
      </c>
      <c r="AI469" s="8" t="s">
        <v>228</v>
      </c>
      <c r="AJ469" t="s">
        <v>468</v>
      </c>
      <c r="AK469">
        <v>1</v>
      </c>
      <c r="AL469">
        <v>1</v>
      </c>
      <c r="AM469" t="s">
        <v>85</v>
      </c>
      <c r="AN469" t="s">
        <v>228</v>
      </c>
      <c r="AO469" t="s">
        <v>526</v>
      </c>
      <c r="AP469" t="s">
        <v>109</v>
      </c>
      <c r="AQ469">
        <v>12</v>
      </c>
      <c r="AR469" t="s">
        <v>521</v>
      </c>
      <c r="AS469" t="s">
        <v>228</v>
      </c>
      <c r="AT469" t="s">
        <v>170</v>
      </c>
      <c r="AU469">
        <v>1</v>
      </c>
      <c r="AV469">
        <v>1</v>
      </c>
      <c r="AW469" t="s">
        <v>537</v>
      </c>
      <c r="AX469" t="s">
        <v>283</v>
      </c>
      <c r="AY469" t="s">
        <v>280</v>
      </c>
      <c r="AZ469">
        <v>5</v>
      </c>
      <c r="BA469" t="s">
        <v>533</v>
      </c>
      <c r="BB469" t="s">
        <v>541</v>
      </c>
      <c r="BC469" t="s">
        <v>395</v>
      </c>
      <c r="BD469" t="s">
        <v>228</v>
      </c>
      <c r="BE469" t="s">
        <v>522</v>
      </c>
      <c r="BF469" t="s">
        <v>523</v>
      </c>
      <c r="BG469" t="s">
        <v>407</v>
      </c>
      <c r="BH469" t="s">
        <v>396</v>
      </c>
      <c r="BI469" t="s">
        <v>524</v>
      </c>
      <c r="BJ469" t="s">
        <v>228</v>
      </c>
      <c r="BK469" t="s">
        <v>228</v>
      </c>
      <c r="BL469" t="s">
        <v>228</v>
      </c>
      <c r="BM469" t="s">
        <v>228</v>
      </c>
      <c r="BN469" t="s">
        <v>228</v>
      </c>
      <c r="BO469" t="s">
        <v>228</v>
      </c>
      <c r="BP469" t="s">
        <v>228</v>
      </c>
      <c r="BQ469" t="s">
        <v>228</v>
      </c>
      <c r="BR469" t="s">
        <v>228</v>
      </c>
      <c r="BS469" t="s">
        <v>409</v>
      </c>
      <c r="BT469">
        <v>1</v>
      </c>
    </row>
    <row r="470" spans="1:72" x14ac:dyDescent="0.15">
      <c r="A470" s="43">
        <v>2023</v>
      </c>
      <c r="B470" s="8">
        <v>1</v>
      </c>
      <c r="C470" s="8">
        <v>1</v>
      </c>
      <c r="D470" s="8">
        <v>16</v>
      </c>
      <c r="E470" s="8" t="s">
        <v>228</v>
      </c>
      <c r="F470" s="8" t="s">
        <v>57</v>
      </c>
      <c r="G470" s="8">
        <v>2016</v>
      </c>
      <c r="H470" s="8">
        <v>12</v>
      </c>
      <c r="I470" s="8" t="s">
        <v>521</v>
      </c>
      <c r="J470" s="8" t="s">
        <v>228</v>
      </c>
      <c r="K470" s="8">
        <v>1953</v>
      </c>
      <c r="L470" s="17">
        <v>1</v>
      </c>
      <c r="M470" s="8">
        <v>1</v>
      </c>
      <c r="N470" s="8" t="s">
        <v>49</v>
      </c>
      <c r="O470" s="8" t="s">
        <v>283</v>
      </c>
      <c r="P470" s="8" t="s">
        <v>280</v>
      </c>
      <c r="Q470" s="8">
        <v>20000</v>
      </c>
      <c r="R470" s="8" t="s">
        <v>59</v>
      </c>
      <c r="S470" s="8" t="s">
        <v>54</v>
      </c>
      <c r="T470" s="8" t="s">
        <v>69</v>
      </c>
      <c r="U470" s="8" t="s">
        <v>228</v>
      </c>
      <c r="V470" s="8">
        <v>500</v>
      </c>
      <c r="W470" s="8" t="s">
        <v>328</v>
      </c>
      <c r="X470" s="8">
        <v>3000</v>
      </c>
      <c r="Y470" s="8" t="s">
        <v>394</v>
      </c>
      <c r="Z470" s="8">
        <v>85</v>
      </c>
      <c r="AA470" s="8" t="s">
        <v>278</v>
      </c>
      <c r="AB470" s="8" t="s">
        <v>228</v>
      </c>
      <c r="AC470" s="8" t="s">
        <v>228</v>
      </c>
      <c r="AD470" s="8" t="s">
        <v>228</v>
      </c>
      <c r="AE470" s="8" t="s">
        <v>228</v>
      </c>
      <c r="AF470" s="8" t="s">
        <v>228</v>
      </c>
      <c r="AG470" s="8" t="s">
        <v>228</v>
      </c>
      <c r="AH470" s="8" t="s">
        <v>228</v>
      </c>
      <c r="AI470" s="8" t="s">
        <v>228</v>
      </c>
      <c r="AJ470" t="s">
        <v>468</v>
      </c>
      <c r="AK470">
        <v>1</v>
      </c>
      <c r="AL470">
        <v>1</v>
      </c>
      <c r="AM470" t="s">
        <v>85</v>
      </c>
      <c r="AN470" t="s">
        <v>228</v>
      </c>
      <c r="AO470" t="s">
        <v>526</v>
      </c>
      <c r="AP470" t="s">
        <v>109</v>
      </c>
      <c r="AQ470">
        <v>12</v>
      </c>
      <c r="AR470" t="s">
        <v>521</v>
      </c>
      <c r="AS470" t="s">
        <v>228</v>
      </c>
      <c r="AT470" t="s">
        <v>170</v>
      </c>
      <c r="AU470">
        <v>1</v>
      </c>
      <c r="AV470">
        <v>1</v>
      </c>
      <c r="AW470" t="s">
        <v>537</v>
      </c>
      <c r="AX470" t="s">
        <v>283</v>
      </c>
      <c r="AY470" t="s">
        <v>280</v>
      </c>
      <c r="AZ470">
        <v>5</v>
      </c>
      <c r="BA470" t="s">
        <v>533</v>
      </c>
      <c r="BB470" t="s">
        <v>541</v>
      </c>
      <c r="BC470" t="s">
        <v>395</v>
      </c>
      <c r="BD470" t="s">
        <v>228</v>
      </c>
      <c r="BE470" t="s">
        <v>522</v>
      </c>
      <c r="BF470" t="s">
        <v>523</v>
      </c>
      <c r="BG470" t="s">
        <v>407</v>
      </c>
      <c r="BH470" t="s">
        <v>551</v>
      </c>
      <c r="BI470" t="s">
        <v>524</v>
      </c>
      <c r="BJ470" t="s">
        <v>228</v>
      </c>
      <c r="BK470" t="s">
        <v>228</v>
      </c>
      <c r="BL470" t="s">
        <v>228</v>
      </c>
      <c r="BM470" t="s">
        <v>228</v>
      </c>
      <c r="BN470" t="s">
        <v>228</v>
      </c>
      <c r="BO470" t="s">
        <v>228</v>
      </c>
      <c r="BP470" t="s">
        <v>228</v>
      </c>
      <c r="BQ470" t="s">
        <v>228</v>
      </c>
      <c r="BR470" t="s">
        <v>228</v>
      </c>
      <c r="BS470" t="s">
        <v>409</v>
      </c>
      <c r="BT470">
        <v>1</v>
      </c>
    </row>
    <row r="471" spans="1:72" x14ac:dyDescent="0.15">
      <c r="A471" s="43">
        <v>2023</v>
      </c>
      <c r="B471" s="8">
        <v>1</v>
      </c>
      <c r="C471" s="8">
        <v>1</v>
      </c>
      <c r="D471" s="8">
        <v>16</v>
      </c>
      <c r="E471" s="8" t="s">
        <v>228</v>
      </c>
      <c r="F471" s="8" t="s">
        <v>57</v>
      </c>
      <c r="G471" s="8">
        <v>2016</v>
      </c>
      <c r="H471" s="8">
        <v>12</v>
      </c>
      <c r="I471" s="8" t="s">
        <v>521</v>
      </c>
      <c r="J471" s="8" t="s">
        <v>228</v>
      </c>
      <c r="K471" s="8">
        <v>1953</v>
      </c>
      <c r="L471" s="17">
        <v>1</v>
      </c>
      <c r="M471" s="8">
        <v>1</v>
      </c>
      <c r="N471" s="8" t="s">
        <v>49</v>
      </c>
      <c r="O471" s="8" t="s">
        <v>283</v>
      </c>
      <c r="P471" s="8" t="s">
        <v>280</v>
      </c>
      <c r="Q471" s="8">
        <v>20000</v>
      </c>
      <c r="R471" s="8" t="s">
        <v>59</v>
      </c>
      <c r="S471" s="8" t="s">
        <v>54</v>
      </c>
      <c r="T471" s="8" t="s">
        <v>69</v>
      </c>
      <c r="U471" s="8" t="s">
        <v>228</v>
      </c>
      <c r="V471" s="8">
        <v>500</v>
      </c>
      <c r="W471" s="8" t="s">
        <v>328</v>
      </c>
      <c r="X471" s="8">
        <v>3000</v>
      </c>
      <c r="Y471" s="8" t="s">
        <v>271</v>
      </c>
      <c r="Z471" s="8">
        <v>85</v>
      </c>
      <c r="AA471" s="8" t="s">
        <v>278</v>
      </c>
      <c r="AB471" s="8" t="s">
        <v>228</v>
      </c>
      <c r="AC471" s="8" t="s">
        <v>228</v>
      </c>
      <c r="AD471" s="8" t="s">
        <v>228</v>
      </c>
      <c r="AE471" s="8" t="s">
        <v>228</v>
      </c>
      <c r="AF471" s="8" t="s">
        <v>228</v>
      </c>
      <c r="AG471" s="8" t="s">
        <v>228</v>
      </c>
      <c r="AH471" s="8" t="s">
        <v>228</v>
      </c>
      <c r="AI471" s="8" t="s">
        <v>228</v>
      </c>
      <c r="AJ471" t="s">
        <v>468</v>
      </c>
      <c r="AK471">
        <v>1</v>
      </c>
      <c r="AL471">
        <v>1</v>
      </c>
      <c r="AM471" t="s">
        <v>85</v>
      </c>
      <c r="AN471" t="s">
        <v>228</v>
      </c>
      <c r="AO471" t="s">
        <v>526</v>
      </c>
      <c r="AP471" t="s">
        <v>109</v>
      </c>
      <c r="AQ471">
        <v>12</v>
      </c>
      <c r="AR471" t="s">
        <v>521</v>
      </c>
      <c r="AS471" t="s">
        <v>228</v>
      </c>
      <c r="AT471" t="s">
        <v>170</v>
      </c>
      <c r="AU471">
        <v>1</v>
      </c>
      <c r="AV471">
        <v>1</v>
      </c>
      <c r="AW471" t="s">
        <v>537</v>
      </c>
      <c r="AX471" t="s">
        <v>283</v>
      </c>
      <c r="AY471" t="s">
        <v>280</v>
      </c>
      <c r="AZ471">
        <v>5</v>
      </c>
      <c r="BA471" t="s">
        <v>533</v>
      </c>
      <c r="BB471" t="s">
        <v>541</v>
      </c>
      <c r="BC471" t="s">
        <v>395</v>
      </c>
      <c r="BD471" t="s">
        <v>228</v>
      </c>
      <c r="BE471" t="s">
        <v>522</v>
      </c>
      <c r="BF471" t="s">
        <v>523</v>
      </c>
      <c r="BG471" t="s">
        <v>407</v>
      </c>
      <c r="BH471" t="s">
        <v>544</v>
      </c>
      <c r="BI471" t="s">
        <v>524</v>
      </c>
      <c r="BJ471" t="s">
        <v>228</v>
      </c>
      <c r="BK471" t="s">
        <v>228</v>
      </c>
      <c r="BL471" t="s">
        <v>228</v>
      </c>
      <c r="BM471" t="s">
        <v>228</v>
      </c>
      <c r="BN471" t="s">
        <v>228</v>
      </c>
      <c r="BO471" t="s">
        <v>228</v>
      </c>
      <c r="BP471" t="s">
        <v>228</v>
      </c>
      <c r="BQ471" t="s">
        <v>228</v>
      </c>
      <c r="BR471" t="s">
        <v>228</v>
      </c>
      <c r="BS471" t="s">
        <v>409</v>
      </c>
      <c r="BT471">
        <v>0</v>
      </c>
    </row>
    <row r="472" spans="1:72" x14ac:dyDescent="0.15">
      <c r="A472" s="43">
        <v>2023</v>
      </c>
      <c r="B472" s="8">
        <v>1</v>
      </c>
      <c r="C472" s="8">
        <v>1</v>
      </c>
      <c r="D472" s="8">
        <v>15</v>
      </c>
      <c r="E472" s="8" t="s">
        <v>228</v>
      </c>
      <c r="F472" s="8" t="s">
        <v>57</v>
      </c>
      <c r="G472" s="8">
        <v>2016</v>
      </c>
      <c r="H472" s="8">
        <v>12</v>
      </c>
      <c r="I472" s="8" t="s">
        <v>521</v>
      </c>
      <c r="J472" s="8" t="s">
        <v>228</v>
      </c>
      <c r="K472" s="8">
        <v>1953</v>
      </c>
      <c r="L472" s="17">
        <v>1</v>
      </c>
      <c r="M472" s="8">
        <v>1</v>
      </c>
      <c r="N472" s="8" t="s">
        <v>49</v>
      </c>
      <c r="O472" s="8" t="s">
        <v>283</v>
      </c>
      <c r="P472" s="8" t="s">
        <v>280</v>
      </c>
      <c r="Q472" s="8">
        <v>20000</v>
      </c>
      <c r="R472" s="8" t="s">
        <v>59</v>
      </c>
      <c r="S472" s="8" t="s">
        <v>54</v>
      </c>
      <c r="T472" s="8" t="s">
        <v>69</v>
      </c>
      <c r="U472" s="8" t="s">
        <v>228</v>
      </c>
      <c r="V472" s="8">
        <v>500</v>
      </c>
      <c r="W472" s="8" t="s">
        <v>328</v>
      </c>
      <c r="X472" s="8">
        <v>3000</v>
      </c>
      <c r="Y472" s="8" t="s">
        <v>268</v>
      </c>
      <c r="Z472" s="8">
        <v>85</v>
      </c>
      <c r="AA472" s="8" t="s">
        <v>278</v>
      </c>
      <c r="AB472" s="8" t="s">
        <v>228</v>
      </c>
      <c r="AC472" s="8" t="s">
        <v>228</v>
      </c>
      <c r="AD472" s="8" t="s">
        <v>228</v>
      </c>
      <c r="AE472" s="8" t="s">
        <v>228</v>
      </c>
      <c r="AF472" s="8" t="s">
        <v>228</v>
      </c>
      <c r="AG472" s="8" t="s">
        <v>228</v>
      </c>
      <c r="AH472" s="8" t="s">
        <v>228</v>
      </c>
      <c r="AI472" s="8" t="s">
        <v>228</v>
      </c>
      <c r="AJ472" t="s">
        <v>468</v>
      </c>
      <c r="AK472">
        <v>1</v>
      </c>
      <c r="AL472">
        <v>1</v>
      </c>
      <c r="AM472" t="s">
        <v>86</v>
      </c>
      <c r="AN472" t="s">
        <v>228</v>
      </c>
      <c r="AO472" t="s">
        <v>526</v>
      </c>
      <c r="AP472" t="s">
        <v>109</v>
      </c>
      <c r="AQ472">
        <v>12</v>
      </c>
      <c r="AR472" t="s">
        <v>521</v>
      </c>
      <c r="AS472" t="s">
        <v>228</v>
      </c>
      <c r="AT472" t="s">
        <v>170</v>
      </c>
      <c r="AU472">
        <v>1</v>
      </c>
      <c r="AV472">
        <v>1</v>
      </c>
      <c r="AW472" t="s">
        <v>537</v>
      </c>
      <c r="AX472" t="s">
        <v>283</v>
      </c>
      <c r="AY472" t="s">
        <v>280</v>
      </c>
      <c r="AZ472">
        <v>5</v>
      </c>
      <c r="BA472" t="s">
        <v>533</v>
      </c>
      <c r="BB472" t="s">
        <v>541</v>
      </c>
      <c r="BC472" t="s">
        <v>395</v>
      </c>
      <c r="BD472" t="s">
        <v>228</v>
      </c>
      <c r="BE472" t="s">
        <v>522</v>
      </c>
      <c r="BF472" t="s">
        <v>523</v>
      </c>
      <c r="BG472" t="s">
        <v>407</v>
      </c>
      <c r="BH472" t="s">
        <v>396</v>
      </c>
      <c r="BI472" t="s">
        <v>524</v>
      </c>
      <c r="BJ472" t="s">
        <v>228</v>
      </c>
      <c r="BK472" t="s">
        <v>228</v>
      </c>
      <c r="BL472" t="s">
        <v>228</v>
      </c>
      <c r="BM472" t="s">
        <v>228</v>
      </c>
      <c r="BN472" t="s">
        <v>228</v>
      </c>
      <c r="BO472" t="s">
        <v>228</v>
      </c>
      <c r="BP472" t="s">
        <v>228</v>
      </c>
      <c r="BQ472" t="s">
        <v>228</v>
      </c>
      <c r="BR472" t="s">
        <v>228</v>
      </c>
      <c r="BS472" t="s">
        <v>409</v>
      </c>
      <c r="BT472">
        <v>1</v>
      </c>
    </row>
    <row r="473" spans="1:72" x14ac:dyDescent="0.15">
      <c r="A473" s="43">
        <v>2023</v>
      </c>
      <c r="B473" s="8">
        <v>1</v>
      </c>
      <c r="C473" s="8">
        <v>1</v>
      </c>
      <c r="D473" s="8">
        <v>15</v>
      </c>
      <c r="E473" s="8" t="s">
        <v>228</v>
      </c>
      <c r="F473" s="8" t="s">
        <v>57</v>
      </c>
      <c r="G473" s="8">
        <v>2016</v>
      </c>
      <c r="H473" s="8">
        <v>12</v>
      </c>
      <c r="I473" s="8" t="s">
        <v>521</v>
      </c>
      <c r="J473" s="8" t="s">
        <v>228</v>
      </c>
      <c r="K473" s="8">
        <v>1953</v>
      </c>
      <c r="L473" s="17">
        <v>1</v>
      </c>
      <c r="M473" s="8">
        <v>1</v>
      </c>
      <c r="N473" s="8" t="s">
        <v>49</v>
      </c>
      <c r="O473" s="8" t="s">
        <v>283</v>
      </c>
      <c r="P473" s="8" t="s">
        <v>280</v>
      </c>
      <c r="Q473" s="8">
        <v>20000</v>
      </c>
      <c r="R473" s="8" t="s">
        <v>59</v>
      </c>
      <c r="S473" s="8" t="s">
        <v>54</v>
      </c>
      <c r="T473" s="8" t="s">
        <v>69</v>
      </c>
      <c r="U473" s="8" t="s">
        <v>228</v>
      </c>
      <c r="V473" s="8">
        <v>500</v>
      </c>
      <c r="W473" s="8" t="s">
        <v>328</v>
      </c>
      <c r="X473" s="8">
        <v>3000</v>
      </c>
      <c r="Y473" s="8" t="s">
        <v>394</v>
      </c>
      <c r="Z473" s="8">
        <v>85</v>
      </c>
      <c r="AA473" s="8" t="s">
        <v>278</v>
      </c>
      <c r="AB473" s="8" t="s">
        <v>228</v>
      </c>
      <c r="AC473" s="8" t="s">
        <v>228</v>
      </c>
      <c r="AD473" s="8" t="s">
        <v>228</v>
      </c>
      <c r="AE473" s="8" t="s">
        <v>228</v>
      </c>
      <c r="AF473" s="8" t="s">
        <v>228</v>
      </c>
      <c r="AG473" s="8" t="s">
        <v>228</v>
      </c>
      <c r="AH473" s="8" t="s">
        <v>228</v>
      </c>
      <c r="AI473" s="8" t="s">
        <v>228</v>
      </c>
      <c r="AJ473" t="s">
        <v>468</v>
      </c>
      <c r="AK473">
        <v>1</v>
      </c>
      <c r="AL473">
        <v>1</v>
      </c>
      <c r="AM473" t="s">
        <v>86</v>
      </c>
      <c r="AN473" t="s">
        <v>228</v>
      </c>
      <c r="AO473" t="s">
        <v>526</v>
      </c>
      <c r="AP473" t="s">
        <v>109</v>
      </c>
      <c r="AQ473">
        <v>12</v>
      </c>
      <c r="AR473" t="s">
        <v>521</v>
      </c>
      <c r="AS473" t="s">
        <v>228</v>
      </c>
      <c r="AT473" t="s">
        <v>170</v>
      </c>
      <c r="AU473">
        <v>1</v>
      </c>
      <c r="AV473">
        <v>1</v>
      </c>
      <c r="AW473" t="s">
        <v>537</v>
      </c>
      <c r="AX473" t="s">
        <v>283</v>
      </c>
      <c r="AY473" t="s">
        <v>280</v>
      </c>
      <c r="AZ473">
        <v>5</v>
      </c>
      <c r="BA473" t="s">
        <v>533</v>
      </c>
      <c r="BB473" t="s">
        <v>541</v>
      </c>
      <c r="BC473" t="s">
        <v>395</v>
      </c>
      <c r="BD473" t="s">
        <v>228</v>
      </c>
      <c r="BE473" t="s">
        <v>522</v>
      </c>
      <c r="BF473" t="s">
        <v>523</v>
      </c>
      <c r="BG473" t="s">
        <v>407</v>
      </c>
      <c r="BH473" t="s">
        <v>551</v>
      </c>
      <c r="BI473" t="s">
        <v>524</v>
      </c>
      <c r="BJ473" t="s">
        <v>228</v>
      </c>
      <c r="BK473" t="s">
        <v>228</v>
      </c>
      <c r="BL473" t="s">
        <v>228</v>
      </c>
      <c r="BM473" t="s">
        <v>228</v>
      </c>
      <c r="BN473" t="s">
        <v>228</v>
      </c>
      <c r="BO473" t="s">
        <v>228</v>
      </c>
      <c r="BP473" t="s">
        <v>228</v>
      </c>
      <c r="BQ473" t="s">
        <v>228</v>
      </c>
      <c r="BR473" t="s">
        <v>228</v>
      </c>
      <c r="BS473" t="s">
        <v>409</v>
      </c>
      <c r="BT473">
        <v>1</v>
      </c>
    </row>
    <row r="474" spans="1:72" x14ac:dyDescent="0.15">
      <c r="A474" s="43">
        <v>2023</v>
      </c>
      <c r="B474" s="8">
        <v>1</v>
      </c>
      <c r="C474" s="8">
        <v>1</v>
      </c>
      <c r="D474" s="8">
        <v>15</v>
      </c>
      <c r="E474" s="8" t="s">
        <v>228</v>
      </c>
      <c r="F474" s="8" t="s">
        <v>57</v>
      </c>
      <c r="G474" s="8">
        <v>2016</v>
      </c>
      <c r="H474" s="8">
        <v>12</v>
      </c>
      <c r="I474" s="8" t="s">
        <v>521</v>
      </c>
      <c r="J474" s="8" t="s">
        <v>228</v>
      </c>
      <c r="K474" s="8">
        <v>1953</v>
      </c>
      <c r="L474" s="17">
        <v>1</v>
      </c>
      <c r="M474" s="8">
        <v>1</v>
      </c>
      <c r="N474" s="8" t="s">
        <v>49</v>
      </c>
      <c r="O474" s="8" t="s">
        <v>283</v>
      </c>
      <c r="P474" s="8" t="s">
        <v>280</v>
      </c>
      <c r="Q474" s="8">
        <v>20000</v>
      </c>
      <c r="R474" s="8" t="s">
        <v>59</v>
      </c>
      <c r="S474" s="8" t="s">
        <v>54</v>
      </c>
      <c r="T474" s="8" t="s">
        <v>69</v>
      </c>
      <c r="U474" s="8" t="s">
        <v>228</v>
      </c>
      <c r="V474" s="8">
        <v>500</v>
      </c>
      <c r="W474" s="8" t="s">
        <v>328</v>
      </c>
      <c r="X474" s="8">
        <v>3000</v>
      </c>
      <c r="Y474" s="8" t="s">
        <v>271</v>
      </c>
      <c r="Z474" s="8">
        <v>85</v>
      </c>
      <c r="AA474" s="8" t="s">
        <v>278</v>
      </c>
      <c r="AB474" s="8" t="s">
        <v>228</v>
      </c>
      <c r="AC474" s="8" t="s">
        <v>228</v>
      </c>
      <c r="AD474" s="8" t="s">
        <v>228</v>
      </c>
      <c r="AE474" s="8" t="s">
        <v>228</v>
      </c>
      <c r="AF474" s="8" t="s">
        <v>228</v>
      </c>
      <c r="AG474" s="8" t="s">
        <v>228</v>
      </c>
      <c r="AH474" s="8" t="s">
        <v>228</v>
      </c>
      <c r="AI474" s="8" t="s">
        <v>228</v>
      </c>
      <c r="AJ474" t="s">
        <v>468</v>
      </c>
      <c r="AK474">
        <v>1</v>
      </c>
      <c r="AL474">
        <v>1</v>
      </c>
      <c r="AM474" t="s">
        <v>86</v>
      </c>
      <c r="AN474" t="s">
        <v>228</v>
      </c>
      <c r="AO474" t="s">
        <v>526</v>
      </c>
      <c r="AP474" t="s">
        <v>109</v>
      </c>
      <c r="AQ474">
        <v>12</v>
      </c>
      <c r="AR474" t="s">
        <v>521</v>
      </c>
      <c r="AS474" t="s">
        <v>228</v>
      </c>
      <c r="AT474" t="s">
        <v>170</v>
      </c>
      <c r="AU474">
        <v>1</v>
      </c>
      <c r="AV474">
        <v>1</v>
      </c>
      <c r="AW474" t="s">
        <v>537</v>
      </c>
      <c r="AX474" t="s">
        <v>283</v>
      </c>
      <c r="AY474" t="s">
        <v>280</v>
      </c>
      <c r="AZ474">
        <v>5</v>
      </c>
      <c r="BA474" t="s">
        <v>533</v>
      </c>
      <c r="BB474" t="s">
        <v>541</v>
      </c>
      <c r="BC474" t="s">
        <v>395</v>
      </c>
      <c r="BD474" t="s">
        <v>228</v>
      </c>
      <c r="BE474" t="s">
        <v>522</v>
      </c>
      <c r="BF474" t="s">
        <v>523</v>
      </c>
      <c r="BG474" t="s">
        <v>407</v>
      </c>
      <c r="BH474" t="s">
        <v>544</v>
      </c>
      <c r="BI474" t="s">
        <v>524</v>
      </c>
      <c r="BJ474" t="s">
        <v>228</v>
      </c>
      <c r="BK474" t="s">
        <v>228</v>
      </c>
      <c r="BL474" t="s">
        <v>228</v>
      </c>
      <c r="BM474" t="s">
        <v>228</v>
      </c>
      <c r="BN474" t="s">
        <v>228</v>
      </c>
      <c r="BO474" t="s">
        <v>228</v>
      </c>
      <c r="BP474" t="s">
        <v>228</v>
      </c>
      <c r="BQ474" t="s">
        <v>228</v>
      </c>
      <c r="BR474" t="s">
        <v>228</v>
      </c>
      <c r="BS474" t="s">
        <v>409</v>
      </c>
      <c r="BT474">
        <v>0</v>
      </c>
    </row>
    <row r="475" spans="1:72" x14ac:dyDescent="0.15">
      <c r="A475" s="43">
        <v>2023</v>
      </c>
      <c r="B475" s="8">
        <v>1</v>
      </c>
      <c r="C475" s="8">
        <v>1</v>
      </c>
      <c r="D475" s="8">
        <v>14</v>
      </c>
      <c r="E475" s="8" t="s">
        <v>228</v>
      </c>
      <c r="F475" s="8" t="s">
        <v>57</v>
      </c>
      <c r="G475" s="8">
        <v>2016</v>
      </c>
      <c r="H475" s="8">
        <v>12</v>
      </c>
      <c r="I475" s="8" t="s">
        <v>521</v>
      </c>
      <c r="J475" s="8" t="s">
        <v>228</v>
      </c>
      <c r="K475" s="8">
        <v>1953</v>
      </c>
      <c r="L475" s="17">
        <v>1</v>
      </c>
      <c r="M475" s="8">
        <v>1</v>
      </c>
      <c r="N475" s="8" t="s">
        <v>49</v>
      </c>
      <c r="O475" s="8" t="s">
        <v>283</v>
      </c>
      <c r="P475" s="8" t="s">
        <v>280</v>
      </c>
      <c r="Q475" s="8">
        <v>20000</v>
      </c>
      <c r="R475" s="8" t="s">
        <v>59</v>
      </c>
      <c r="S475" s="8" t="s">
        <v>54</v>
      </c>
      <c r="T475" s="8" t="s">
        <v>69</v>
      </c>
      <c r="U475" s="8" t="s">
        <v>228</v>
      </c>
      <c r="V475" s="8">
        <v>500</v>
      </c>
      <c r="W475" s="8" t="s">
        <v>328</v>
      </c>
      <c r="X475" s="8">
        <v>3000</v>
      </c>
      <c r="Y475" s="8" t="s">
        <v>268</v>
      </c>
      <c r="Z475" s="8">
        <v>85</v>
      </c>
      <c r="AA475" s="8" t="s">
        <v>278</v>
      </c>
      <c r="AB475" s="8" t="s">
        <v>228</v>
      </c>
      <c r="AC475" s="8" t="s">
        <v>228</v>
      </c>
      <c r="AD475" s="8" t="s">
        <v>228</v>
      </c>
      <c r="AE475" s="8" t="s">
        <v>228</v>
      </c>
      <c r="AF475" s="8" t="s">
        <v>228</v>
      </c>
      <c r="AG475" s="8" t="s">
        <v>228</v>
      </c>
      <c r="AH475" s="8" t="s">
        <v>228</v>
      </c>
      <c r="AI475" s="8" t="s">
        <v>228</v>
      </c>
      <c r="AJ475" t="s">
        <v>468</v>
      </c>
      <c r="AK475">
        <v>1</v>
      </c>
      <c r="AL475">
        <v>1</v>
      </c>
      <c r="AM475" t="s">
        <v>87</v>
      </c>
      <c r="AN475" t="s">
        <v>228</v>
      </c>
      <c r="AO475" t="s">
        <v>526</v>
      </c>
      <c r="AP475" t="s">
        <v>109</v>
      </c>
      <c r="AQ475">
        <v>12</v>
      </c>
      <c r="AR475" t="s">
        <v>521</v>
      </c>
      <c r="AS475" t="s">
        <v>228</v>
      </c>
      <c r="AT475" t="s">
        <v>170</v>
      </c>
      <c r="AU475">
        <v>1</v>
      </c>
      <c r="AV475">
        <v>1</v>
      </c>
      <c r="AW475" t="s">
        <v>537</v>
      </c>
      <c r="AX475" t="s">
        <v>283</v>
      </c>
      <c r="AY475" t="s">
        <v>280</v>
      </c>
      <c r="AZ475">
        <v>5</v>
      </c>
      <c r="BA475" t="s">
        <v>533</v>
      </c>
      <c r="BB475" t="s">
        <v>541</v>
      </c>
      <c r="BC475" t="s">
        <v>395</v>
      </c>
      <c r="BD475" t="s">
        <v>228</v>
      </c>
      <c r="BE475" t="s">
        <v>522</v>
      </c>
      <c r="BF475" t="s">
        <v>523</v>
      </c>
      <c r="BG475" t="s">
        <v>407</v>
      </c>
      <c r="BH475" t="s">
        <v>396</v>
      </c>
      <c r="BI475" t="s">
        <v>524</v>
      </c>
      <c r="BJ475" t="s">
        <v>228</v>
      </c>
      <c r="BK475" t="s">
        <v>228</v>
      </c>
      <c r="BL475" t="s">
        <v>228</v>
      </c>
      <c r="BM475" t="s">
        <v>228</v>
      </c>
      <c r="BN475" t="s">
        <v>228</v>
      </c>
      <c r="BO475" t="s">
        <v>228</v>
      </c>
      <c r="BP475" t="s">
        <v>228</v>
      </c>
      <c r="BQ475" t="s">
        <v>228</v>
      </c>
      <c r="BR475" t="s">
        <v>228</v>
      </c>
      <c r="BS475" t="s">
        <v>409</v>
      </c>
      <c r="BT475">
        <v>1</v>
      </c>
    </row>
    <row r="476" spans="1:72" x14ac:dyDescent="0.15">
      <c r="A476" s="43">
        <v>2023</v>
      </c>
      <c r="B476" s="8">
        <v>1</v>
      </c>
      <c r="C476" s="8">
        <v>1</v>
      </c>
      <c r="D476" s="8">
        <v>14</v>
      </c>
      <c r="E476" s="8" t="s">
        <v>228</v>
      </c>
      <c r="F476" s="8" t="s">
        <v>57</v>
      </c>
      <c r="G476" s="8">
        <v>2016</v>
      </c>
      <c r="H476" s="8">
        <v>12</v>
      </c>
      <c r="I476" s="8" t="s">
        <v>521</v>
      </c>
      <c r="J476" s="8" t="s">
        <v>228</v>
      </c>
      <c r="K476" s="8">
        <v>1953</v>
      </c>
      <c r="L476" s="17">
        <v>1</v>
      </c>
      <c r="M476" s="8">
        <v>1</v>
      </c>
      <c r="N476" s="8" t="s">
        <v>49</v>
      </c>
      <c r="O476" s="8" t="s">
        <v>283</v>
      </c>
      <c r="P476" s="8" t="s">
        <v>280</v>
      </c>
      <c r="Q476" s="8">
        <v>20000</v>
      </c>
      <c r="R476" s="8" t="s">
        <v>59</v>
      </c>
      <c r="S476" s="8" t="s">
        <v>54</v>
      </c>
      <c r="T476" s="8" t="s">
        <v>69</v>
      </c>
      <c r="U476" s="8" t="s">
        <v>228</v>
      </c>
      <c r="V476" s="8">
        <v>500</v>
      </c>
      <c r="W476" s="8" t="s">
        <v>328</v>
      </c>
      <c r="X476" s="8">
        <v>3000</v>
      </c>
      <c r="Y476" s="8" t="s">
        <v>394</v>
      </c>
      <c r="Z476" s="8">
        <v>85</v>
      </c>
      <c r="AA476" s="8" t="s">
        <v>278</v>
      </c>
      <c r="AB476" s="8" t="s">
        <v>228</v>
      </c>
      <c r="AC476" s="8" t="s">
        <v>228</v>
      </c>
      <c r="AD476" s="8" t="s">
        <v>228</v>
      </c>
      <c r="AE476" s="8" t="s">
        <v>228</v>
      </c>
      <c r="AF476" s="8" t="s">
        <v>228</v>
      </c>
      <c r="AG476" s="8" t="s">
        <v>228</v>
      </c>
      <c r="AH476" s="8" t="s">
        <v>228</v>
      </c>
      <c r="AI476" s="8" t="s">
        <v>228</v>
      </c>
      <c r="AJ476" t="s">
        <v>468</v>
      </c>
      <c r="AK476">
        <v>1</v>
      </c>
      <c r="AL476">
        <v>1</v>
      </c>
      <c r="AM476" t="s">
        <v>87</v>
      </c>
      <c r="AN476" t="s">
        <v>228</v>
      </c>
      <c r="AO476" t="s">
        <v>526</v>
      </c>
      <c r="AP476" t="s">
        <v>109</v>
      </c>
      <c r="AQ476">
        <v>12</v>
      </c>
      <c r="AR476" t="s">
        <v>521</v>
      </c>
      <c r="AS476" t="s">
        <v>228</v>
      </c>
      <c r="AT476" t="s">
        <v>170</v>
      </c>
      <c r="AU476">
        <v>1</v>
      </c>
      <c r="AV476">
        <v>1</v>
      </c>
      <c r="AW476" t="s">
        <v>537</v>
      </c>
      <c r="AX476" t="s">
        <v>283</v>
      </c>
      <c r="AY476" t="s">
        <v>280</v>
      </c>
      <c r="AZ476">
        <v>5</v>
      </c>
      <c r="BA476" t="s">
        <v>533</v>
      </c>
      <c r="BB476" t="s">
        <v>541</v>
      </c>
      <c r="BC476" t="s">
        <v>395</v>
      </c>
      <c r="BD476" t="s">
        <v>228</v>
      </c>
      <c r="BE476" t="s">
        <v>522</v>
      </c>
      <c r="BF476" t="s">
        <v>523</v>
      </c>
      <c r="BG476" t="s">
        <v>407</v>
      </c>
      <c r="BH476" t="s">
        <v>551</v>
      </c>
      <c r="BI476" t="s">
        <v>524</v>
      </c>
      <c r="BJ476" t="s">
        <v>228</v>
      </c>
      <c r="BK476" t="s">
        <v>228</v>
      </c>
      <c r="BL476" t="s">
        <v>228</v>
      </c>
      <c r="BM476" t="s">
        <v>228</v>
      </c>
      <c r="BN476" t="s">
        <v>228</v>
      </c>
      <c r="BO476" t="s">
        <v>228</v>
      </c>
      <c r="BP476" t="s">
        <v>228</v>
      </c>
      <c r="BQ476" t="s">
        <v>228</v>
      </c>
      <c r="BR476" t="s">
        <v>228</v>
      </c>
      <c r="BS476" t="s">
        <v>409</v>
      </c>
      <c r="BT476">
        <v>1</v>
      </c>
    </row>
    <row r="477" spans="1:72" x14ac:dyDescent="0.15">
      <c r="A477" s="43">
        <v>2023</v>
      </c>
      <c r="B477" s="8">
        <v>1</v>
      </c>
      <c r="C477" s="8">
        <v>1</v>
      </c>
      <c r="D477" s="8">
        <v>14</v>
      </c>
      <c r="E477" s="8" t="s">
        <v>228</v>
      </c>
      <c r="F477" s="8" t="s">
        <v>57</v>
      </c>
      <c r="G477" s="8">
        <v>2016</v>
      </c>
      <c r="H477" s="8">
        <v>12</v>
      </c>
      <c r="I477" s="8" t="s">
        <v>521</v>
      </c>
      <c r="J477" s="8" t="s">
        <v>228</v>
      </c>
      <c r="K477" s="8">
        <v>1953</v>
      </c>
      <c r="L477" s="17">
        <v>1</v>
      </c>
      <c r="M477" s="8">
        <v>1</v>
      </c>
      <c r="N477" s="8" t="s">
        <v>49</v>
      </c>
      <c r="O477" s="8" t="s">
        <v>283</v>
      </c>
      <c r="P477" s="8" t="s">
        <v>280</v>
      </c>
      <c r="Q477" s="8">
        <v>20000</v>
      </c>
      <c r="R477" s="8" t="s">
        <v>59</v>
      </c>
      <c r="S477" s="8" t="s">
        <v>54</v>
      </c>
      <c r="T477" s="8" t="s">
        <v>69</v>
      </c>
      <c r="U477" s="8" t="s">
        <v>228</v>
      </c>
      <c r="V477" s="8">
        <v>500</v>
      </c>
      <c r="W477" s="8" t="s">
        <v>328</v>
      </c>
      <c r="X477" s="8">
        <v>3000</v>
      </c>
      <c r="Y477" s="8" t="s">
        <v>271</v>
      </c>
      <c r="Z477" s="8">
        <v>85</v>
      </c>
      <c r="AA477" s="8" t="s">
        <v>278</v>
      </c>
      <c r="AB477" s="8" t="s">
        <v>228</v>
      </c>
      <c r="AC477" s="8" t="s">
        <v>228</v>
      </c>
      <c r="AD477" s="8" t="s">
        <v>228</v>
      </c>
      <c r="AE477" s="8" t="s">
        <v>228</v>
      </c>
      <c r="AF477" s="8" t="s">
        <v>228</v>
      </c>
      <c r="AG477" s="8" t="s">
        <v>228</v>
      </c>
      <c r="AH477" s="8" t="s">
        <v>228</v>
      </c>
      <c r="AI477" s="8" t="s">
        <v>228</v>
      </c>
      <c r="AJ477" t="s">
        <v>468</v>
      </c>
      <c r="AK477">
        <v>1</v>
      </c>
      <c r="AL477">
        <v>1</v>
      </c>
      <c r="AM477" t="s">
        <v>87</v>
      </c>
      <c r="AN477" t="s">
        <v>228</v>
      </c>
      <c r="AO477" t="s">
        <v>526</v>
      </c>
      <c r="AP477" t="s">
        <v>109</v>
      </c>
      <c r="AQ477">
        <v>12</v>
      </c>
      <c r="AR477" t="s">
        <v>521</v>
      </c>
      <c r="AS477" t="s">
        <v>228</v>
      </c>
      <c r="AT477" t="s">
        <v>170</v>
      </c>
      <c r="AU477">
        <v>1</v>
      </c>
      <c r="AV477">
        <v>1</v>
      </c>
      <c r="AW477" t="s">
        <v>537</v>
      </c>
      <c r="AX477" t="s">
        <v>283</v>
      </c>
      <c r="AY477" t="s">
        <v>280</v>
      </c>
      <c r="AZ477">
        <v>5</v>
      </c>
      <c r="BA477" t="s">
        <v>533</v>
      </c>
      <c r="BB477" t="s">
        <v>541</v>
      </c>
      <c r="BC477" t="s">
        <v>395</v>
      </c>
      <c r="BD477" t="s">
        <v>228</v>
      </c>
      <c r="BE477" t="s">
        <v>522</v>
      </c>
      <c r="BF477" t="s">
        <v>523</v>
      </c>
      <c r="BG477" t="s">
        <v>407</v>
      </c>
      <c r="BH477" t="s">
        <v>544</v>
      </c>
      <c r="BI477" t="s">
        <v>524</v>
      </c>
      <c r="BJ477" t="s">
        <v>228</v>
      </c>
      <c r="BK477" t="s">
        <v>228</v>
      </c>
      <c r="BL477" t="s">
        <v>228</v>
      </c>
      <c r="BM477" t="s">
        <v>228</v>
      </c>
      <c r="BN477" t="s">
        <v>228</v>
      </c>
      <c r="BO477" t="s">
        <v>228</v>
      </c>
      <c r="BP477" t="s">
        <v>228</v>
      </c>
      <c r="BQ477" t="s">
        <v>228</v>
      </c>
      <c r="BR477" t="s">
        <v>228</v>
      </c>
      <c r="BS477" t="s">
        <v>409</v>
      </c>
      <c r="BT477">
        <v>0</v>
      </c>
    </row>
    <row r="478" spans="1:72" x14ac:dyDescent="0.15">
      <c r="A478" s="43">
        <v>2023</v>
      </c>
      <c r="B478" s="8">
        <v>1</v>
      </c>
      <c r="C478" s="8">
        <v>1</v>
      </c>
      <c r="D478" s="8">
        <v>13</v>
      </c>
      <c r="E478" s="8" t="s">
        <v>228</v>
      </c>
      <c r="F478" s="8" t="s">
        <v>57</v>
      </c>
      <c r="G478" s="8">
        <v>2016</v>
      </c>
      <c r="H478" s="8">
        <v>12</v>
      </c>
      <c r="I478" s="8" t="s">
        <v>521</v>
      </c>
      <c r="J478" s="8" t="s">
        <v>228</v>
      </c>
      <c r="K478" s="8">
        <v>1953</v>
      </c>
      <c r="L478" s="17">
        <v>1</v>
      </c>
      <c r="M478" s="8">
        <v>1</v>
      </c>
      <c r="N478" s="8" t="s">
        <v>49</v>
      </c>
      <c r="O478" s="8" t="s">
        <v>283</v>
      </c>
      <c r="P478" s="8" t="s">
        <v>280</v>
      </c>
      <c r="Q478" s="8">
        <v>20000</v>
      </c>
      <c r="R478" s="8" t="s">
        <v>59</v>
      </c>
      <c r="S478" s="8" t="s">
        <v>54</v>
      </c>
      <c r="T478" s="8" t="s">
        <v>69</v>
      </c>
      <c r="U478" s="8" t="s">
        <v>228</v>
      </c>
      <c r="V478" s="8">
        <v>500</v>
      </c>
      <c r="W478" s="8" t="s">
        <v>328</v>
      </c>
      <c r="X478" s="8">
        <v>3000</v>
      </c>
      <c r="Y478" s="8" t="s">
        <v>268</v>
      </c>
      <c r="Z478" s="8">
        <v>85</v>
      </c>
      <c r="AA478" s="8" t="s">
        <v>278</v>
      </c>
      <c r="AB478" s="8" t="s">
        <v>228</v>
      </c>
      <c r="AC478" s="8" t="s">
        <v>228</v>
      </c>
      <c r="AD478" s="8" t="s">
        <v>228</v>
      </c>
      <c r="AE478" s="8" t="s">
        <v>228</v>
      </c>
      <c r="AF478" s="8" t="s">
        <v>228</v>
      </c>
      <c r="AG478" s="8" t="s">
        <v>228</v>
      </c>
      <c r="AH478" s="8" t="s">
        <v>228</v>
      </c>
      <c r="AI478" s="8" t="s">
        <v>228</v>
      </c>
      <c r="AJ478" t="s">
        <v>468</v>
      </c>
      <c r="AK478">
        <v>1</v>
      </c>
      <c r="AL478">
        <v>1</v>
      </c>
      <c r="AM478" t="s">
        <v>88</v>
      </c>
      <c r="AN478" t="s">
        <v>228</v>
      </c>
      <c r="AO478" t="s">
        <v>526</v>
      </c>
      <c r="AP478" t="s">
        <v>109</v>
      </c>
      <c r="AQ478">
        <v>12</v>
      </c>
      <c r="AR478" t="s">
        <v>521</v>
      </c>
      <c r="AS478" t="s">
        <v>228</v>
      </c>
      <c r="AT478" t="s">
        <v>170</v>
      </c>
      <c r="AU478">
        <v>1</v>
      </c>
      <c r="AV478">
        <v>1</v>
      </c>
      <c r="AW478" t="s">
        <v>537</v>
      </c>
      <c r="AX478" t="s">
        <v>283</v>
      </c>
      <c r="AY478" t="s">
        <v>280</v>
      </c>
      <c r="AZ478">
        <v>5</v>
      </c>
      <c r="BA478" t="s">
        <v>533</v>
      </c>
      <c r="BB478" t="s">
        <v>541</v>
      </c>
      <c r="BC478" t="s">
        <v>395</v>
      </c>
      <c r="BD478" t="s">
        <v>228</v>
      </c>
      <c r="BE478" t="s">
        <v>522</v>
      </c>
      <c r="BF478" t="s">
        <v>523</v>
      </c>
      <c r="BG478" t="s">
        <v>407</v>
      </c>
      <c r="BH478" t="s">
        <v>396</v>
      </c>
      <c r="BI478" t="s">
        <v>524</v>
      </c>
      <c r="BJ478" t="s">
        <v>228</v>
      </c>
      <c r="BK478" t="s">
        <v>228</v>
      </c>
      <c r="BL478" t="s">
        <v>228</v>
      </c>
      <c r="BM478" t="s">
        <v>228</v>
      </c>
      <c r="BN478" t="s">
        <v>228</v>
      </c>
      <c r="BO478" t="s">
        <v>228</v>
      </c>
      <c r="BP478" t="s">
        <v>228</v>
      </c>
      <c r="BQ478" t="s">
        <v>228</v>
      </c>
      <c r="BR478" t="s">
        <v>228</v>
      </c>
      <c r="BS478" t="s">
        <v>409</v>
      </c>
      <c r="BT478">
        <v>1</v>
      </c>
    </row>
    <row r="479" spans="1:72" x14ac:dyDescent="0.15">
      <c r="A479" s="43">
        <v>2023</v>
      </c>
      <c r="B479" s="8">
        <v>1</v>
      </c>
      <c r="C479" s="8">
        <v>1</v>
      </c>
      <c r="D479" s="8">
        <v>13</v>
      </c>
      <c r="E479" s="8" t="s">
        <v>228</v>
      </c>
      <c r="F479" s="8" t="s">
        <v>57</v>
      </c>
      <c r="G479" s="8">
        <v>2016</v>
      </c>
      <c r="H479" s="8">
        <v>12</v>
      </c>
      <c r="I479" s="8" t="s">
        <v>521</v>
      </c>
      <c r="J479" s="8" t="s">
        <v>228</v>
      </c>
      <c r="K479" s="8">
        <v>1953</v>
      </c>
      <c r="L479" s="17">
        <v>1</v>
      </c>
      <c r="M479" s="8">
        <v>1</v>
      </c>
      <c r="N479" s="8" t="s">
        <v>49</v>
      </c>
      <c r="O479" s="8" t="s">
        <v>283</v>
      </c>
      <c r="P479" s="8" t="s">
        <v>280</v>
      </c>
      <c r="Q479" s="8">
        <v>20000</v>
      </c>
      <c r="R479" s="8" t="s">
        <v>59</v>
      </c>
      <c r="S479" s="8" t="s">
        <v>54</v>
      </c>
      <c r="T479" s="8" t="s">
        <v>69</v>
      </c>
      <c r="U479" s="8" t="s">
        <v>228</v>
      </c>
      <c r="V479" s="8">
        <v>500</v>
      </c>
      <c r="W479" s="8" t="s">
        <v>328</v>
      </c>
      <c r="X479" s="8">
        <v>3000</v>
      </c>
      <c r="Y479" s="8" t="s">
        <v>394</v>
      </c>
      <c r="Z479" s="8">
        <v>85</v>
      </c>
      <c r="AA479" s="8" t="s">
        <v>278</v>
      </c>
      <c r="AB479" s="8" t="s">
        <v>228</v>
      </c>
      <c r="AC479" s="8" t="s">
        <v>228</v>
      </c>
      <c r="AD479" s="8" t="s">
        <v>228</v>
      </c>
      <c r="AE479" s="8" t="s">
        <v>228</v>
      </c>
      <c r="AF479" s="8" t="s">
        <v>228</v>
      </c>
      <c r="AG479" s="8" t="s">
        <v>228</v>
      </c>
      <c r="AH479" s="8" t="s">
        <v>228</v>
      </c>
      <c r="AI479" s="8" t="s">
        <v>228</v>
      </c>
      <c r="AJ479" t="s">
        <v>468</v>
      </c>
      <c r="AK479">
        <v>1</v>
      </c>
      <c r="AL479">
        <v>1</v>
      </c>
      <c r="AM479" t="s">
        <v>88</v>
      </c>
      <c r="AN479" t="s">
        <v>228</v>
      </c>
      <c r="AO479" t="s">
        <v>526</v>
      </c>
      <c r="AP479" t="s">
        <v>109</v>
      </c>
      <c r="AQ479">
        <v>12</v>
      </c>
      <c r="AR479" t="s">
        <v>521</v>
      </c>
      <c r="AS479" t="s">
        <v>228</v>
      </c>
      <c r="AT479" t="s">
        <v>170</v>
      </c>
      <c r="AU479">
        <v>1</v>
      </c>
      <c r="AV479">
        <v>1</v>
      </c>
      <c r="AW479" t="s">
        <v>537</v>
      </c>
      <c r="AX479" t="s">
        <v>283</v>
      </c>
      <c r="AY479" t="s">
        <v>280</v>
      </c>
      <c r="AZ479">
        <v>5</v>
      </c>
      <c r="BA479" t="s">
        <v>533</v>
      </c>
      <c r="BB479" t="s">
        <v>541</v>
      </c>
      <c r="BC479" t="s">
        <v>395</v>
      </c>
      <c r="BD479" t="s">
        <v>228</v>
      </c>
      <c r="BE479" t="s">
        <v>522</v>
      </c>
      <c r="BF479" t="s">
        <v>523</v>
      </c>
      <c r="BG479" t="s">
        <v>407</v>
      </c>
      <c r="BH479" t="s">
        <v>551</v>
      </c>
      <c r="BI479" t="s">
        <v>524</v>
      </c>
      <c r="BJ479" t="s">
        <v>228</v>
      </c>
      <c r="BK479" t="s">
        <v>228</v>
      </c>
      <c r="BL479" t="s">
        <v>228</v>
      </c>
      <c r="BM479" t="s">
        <v>228</v>
      </c>
      <c r="BN479" t="s">
        <v>228</v>
      </c>
      <c r="BO479" t="s">
        <v>228</v>
      </c>
      <c r="BP479" t="s">
        <v>228</v>
      </c>
      <c r="BQ479" t="s">
        <v>228</v>
      </c>
      <c r="BR479" t="s">
        <v>228</v>
      </c>
      <c r="BS479" t="s">
        <v>409</v>
      </c>
      <c r="BT479">
        <v>1</v>
      </c>
    </row>
    <row r="480" spans="1:72" x14ac:dyDescent="0.15">
      <c r="A480" s="43">
        <v>2023</v>
      </c>
      <c r="B480" s="8">
        <v>1</v>
      </c>
      <c r="C480" s="8">
        <v>1</v>
      </c>
      <c r="D480" s="8">
        <v>13</v>
      </c>
      <c r="E480" s="8" t="s">
        <v>228</v>
      </c>
      <c r="F480" s="8" t="s">
        <v>57</v>
      </c>
      <c r="G480" s="8">
        <v>2016</v>
      </c>
      <c r="H480" s="8">
        <v>12</v>
      </c>
      <c r="I480" s="8" t="s">
        <v>521</v>
      </c>
      <c r="J480" s="8" t="s">
        <v>228</v>
      </c>
      <c r="K480" s="8">
        <v>1953</v>
      </c>
      <c r="L480" s="17">
        <v>1</v>
      </c>
      <c r="M480" s="8">
        <v>1</v>
      </c>
      <c r="N480" s="8" t="s">
        <v>49</v>
      </c>
      <c r="O480" s="8" t="s">
        <v>283</v>
      </c>
      <c r="P480" s="8" t="s">
        <v>280</v>
      </c>
      <c r="Q480" s="8">
        <v>20000</v>
      </c>
      <c r="R480" s="8" t="s">
        <v>59</v>
      </c>
      <c r="S480" s="8" t="s">
        <v>54</v>
      </c>
      <c r="T480" s="8" t="s">
        <v>69</v>
      </c>
      <c r="U480" s="8" t="s">
        <v>228</v>
      </c>
      <c r="V480" s="8">
        <v>500</v>
      </c>
      <c r="W480" s="8" t="s">
        <v>328</v>
      </c>
      <c r="X480" s="8">
        <v>3000</v>
      </c>
      <c r="Y480" s="8" t="s">
        <v>271</v>
      </c>
      <c r="Z480" s="8">
        <v>85</v>
      </c>
      <c r="AA480" s="8" t="s">
        <v>278</v>
      </c>
      <c r="AB480" s="8" t="s">
        <v>228</v>
      </c>
      <c r="AC480" s="8" t="s">
        <v>228</v>
      </c>
      <c r="AD480" s="8" t="s">
        <v>228</v>
      </c>
      <c r="AE480" s="8" t="s">
        <v>228</v>
      </c>
      <c r="AF480" s="8" t="s">
        <v>228</v>
      </c>
      <c r="AG480" s="8" t="s">
        <v>228</v>
      </c>
      <c r="AH480" s="8" t="s">
        <v>228</v>
      </c>
      <c r="AI480" s="8" t="s">
        <v>228</v>
      </c>
      <c r="AJ480" t="s">
        <v>468</v>
      </c>
      <c r="AK480">
        <v>1</v>
      </c>
      <c r="AL480">
        <v>1</v>
      </c>
      <c r="AM480" t="s">
        <v>88</v>
      </c>
      <c r="AN480" t="s">
        <v>228</v>
      </c>
      <c r="AO480" t="s">
        <v>526</v>
      </c>
      <c r="AP480" t="s">
        <v>109</v>
      </c>
      <c r="AQ480">
        <v>12</v>
      </c>
      <c r="AR480" t="s">
        <v>521</v>
      </c>
      <c r="AS480" t="s">
        <v>228</v>
      </c>
      <c r="AT480" t="s">
        <v>170</v>
      </c>
      <c r="AU480">
        <v>1</v>
      </c>
      <c r="AV480">
        <v>1</v>
      </c>
      <c r="AW480" t="s">
        <v>537</v>
      </c>
      <c r="AX480" t="s">
        <v>283</v>
      </c>
      <c r="AY480" t="s">
        <v>280</v>
      </c>
      <c r="AZ480">
        <v>5</v>
      </c>
      <c r="BA480" t="s">
        <v>533</v>
      </c>
      <c r="BB480" t="s">
        <v>541</v>
      </c>
      <c r="BC480" t="s">
        <v>395</v>
      </c>
      <c r="BD480" t="s">
        <v>228</v>
      </c>
      <c r="BE480" t="s">
        <v>522</v>
      </c>
      <c r="BF480" t="s">
        <v>523</v>
      </c>
      <c r="BG480" t="s">
        <v>407</v>
      </c>
      <c r="BH480" t="s">
        <v>544</v>
      </c>
      <c r="BI480" t="s">
        <v>524</v>
      </c>
      <c r="BJ480" t="s">
        <v>228</v>
      </c>
      <c r="BK480" t="s">
        <v>228</v>
      </c>
      <c r="BL480" t="s">
        <v>228</v>
      </c>
      <c r="BM480" t="s">
        <v>228</v>
      </c>
      <c r="BN480" t="s">
        <v>228</v>
      </c>
      <c r="BO480" t="s">
        <v>228</v>
      </c>
      <c r="BP480" t="s">
        <v>228</v>
      </c>
      <c r="BQ480" t="s">
        <v>228</v>
      </c>
      <c r="BR480" t="s">
        <v>228</v>
      </c>
      <c r="BS480" t="s">
        <v>409</v>
      </c>
      <c r="BT480">
        <v>0</v>
      </c>
    </row>
    <row r="481" spans="1:72" x14ac:dyDescent="0.15">
      <c r="A481" s="43">
        <v>2023</v>
      </c>
      <c r="B481" s="8">
        <v>1</v>
      </c>
      <c r="C481" s="8">
        <v>1</v>
      </c>
      <c r="D481" s="8">
        <v>12</v>
      </c>
      <c r="E481" s="8" t="s">
        <v>228</v>
      </c>
      <c r="F481" s="8" t="s">
        <v>57</v>
      </c>
      <c r="G481" s="8">
        <v>2016</v>
      </c>
      <c r="H481" s="8">
        <v>12</v>
      </c>
      <c r="I481" s="8" t="s">
        <v>521</v>
      </c>
      <c r="J481" s="8" t="s">
        <v>228</v>
      </c>
      <c r="K481" s="8">
        <v>1953</v>
      </c>
      <c r="L481" s="17">
        <v>1</v>
      </c>
      <c r="M481" s="8">
        <v>1</v>
      </c>
      <c r="N481" s="8" t="s">
        <v>49</v>
      </c>
      <c r="O481" s="8" t="s">
        <v>283</v>
      </c>
      <c r="P481" s="8" t="s">
        <v>280</v>
      </c>
      <c r="Q481" s="8">
        <v>20000</v>
      </c>
      <c r="R481" s="8" t="s">
        <v>59</v>
      </c>
      <c r="S481" s="8" t="s">
        <v>54</v>
      </c>
      <c r="T481" s="8" t="s">
        <v>69</v>
      </c>
      <c r="U481" s="8" t="s">
        <v>228</v>
      </c>
      <c r="V481" s="8">
        <v>500</v>
      </c>
      <c r="W481" s="8" t="s">
        <v>328</v>
      </c>
      <c r="X481" s="8">
        <v>3000</v>
      </c>
      <c r="Y481" s="8" t="s">
        <v>268</v>
      </c>
      <c r="Z481" s="8">
        <v>85</v>
      </c>
      <c r="AA481" s="8" t="s">
        <v>278</v>
      </c>
      <c r="AB481" s="8" t="s">
        <v>228</v>
      </c>
      <c r="AC481" s="8" t="s">
        <v>228</v>
      </c>
      <c r="AD481" s="8" t="s">
        <v>228</v>
      </c>
      <c r="AE481" s="8" t="s">
        <v>228</v>
      </c>
      <c r="AF481" s="8" t="s">
        <v>228</v>
      </c>
      <c r="AG481" s="8" t="s">
        <v>228</v>
      </c>
      <c r="AH481" s="8" t="s">
        <v>228</v>
      </c>
      <c r="AI481" s="8" t="s">
        <v>228</v>
      </c>
      <c r="AJ481" t="s">
        <v>468</v>
      </c>
      <c r="AK481">
        <v>1</v>
      </c>
      <c r="AL481">
        <v>1</v>
      </c>
      <c r="AM481" t="s">
        <v>89</v>
      </c>
      <c r="AN481" t="s">
        <v>228</v>
      </c>
      <c r="AO481" t="s">
        <v>526</v>
      </c>
      <c r="AP481" t="s">
        <v>109</v>
      </c>
      <c r="AQ481">
        <v>12</v>
      </c>
      <c r="AR481" t="s">
        <v>521</v>
      </c>
      <c r="AS481" t="s">
        <v>228</v>
      </c>
      <c r="AT481" t="s">
        <v>170</v>
      </c>
      <c r="AU481">
        <v>1</v>
      </c>
      <c r="AV481">
        <v>1</v>
      </c>
      <c r="AW481" t="s">
        <v>537</v>
      </c>
      <c r="AX481" t="s">
        <v>283</v>
      </c>
      <c r="AY481" t="s">
        <v>280</v>
      </c>
      <c r="AZ481">
        <v>5</v>
      </c>
      <c r="BA481" t="s">
        <v>533</v>
      </c>
      <c r="BB481" t="s">
        <v>541</v>
      </c>
      <c r="BC481" t="s">
        <v>395</v>
      </c>
      <c r="BD481" t="s">
        <v>228</v>
      </c>
      <c r="BE481" t="s">
        <v>522</v>
      </c>
      <c r="BF481" t="s">
        <v>523</v>
      </c>
      <c r="BG481" t="s">
        <v>407</v>
      </c>
      <c r="BH481" t="s">
        <v>396</v>
      </c>
      <c r="BI481" t="s">
        <v>524</v>
      </c>
      <c r="BJ481" t="s">
        <v>228</v>
      </c>
      <c r="BK481" t="s">
        <v>228</v>
      </c>
      <c r="BL481" t="s">
        <v>228</v>
      </c>
      <c r="BM481" t="s">
        <v>228</v>
      </c>
      <c r="BN481" t="s">
        <v>228</v>
      </c>
      <c r="BO481" t="s">
        <v>228</v>
      </c>
      <c r="BP481" t="s">
        <v>228</v>
      </c>
      <c r="BQ481" t="s">
        <v>228</v>
      </c>
      <c r="BR481" t="s">
        <v>228</v>
      </c>
      <c r="BS481" t="s">
        <v>409</v>
      </c>
      <c r="BT481">
        <v>1</v>
      </c>
    </row>
    <row r="482" spans="1:72" x14ac:dyDescent="0.15">
      <c r="A482" s="43">
        <v>2023</v>
      </c>
      <c r="B482" s="8">
        <v>1</v>
      </c>
      <c r="C482" s="8">
        <v>1</v>
      </c>
      <c r="D482" s="8">
        <v>12</v>
      </c>
      <c r="E482" s="8" t="s">
        <v>228</v>
      </c>
      <c r="F482" s="8" t="s">
        <v>57</v>
      </c>
      <c r="G482" s="8">
        <v>2016</v>
      </c>
      <c r="H482" s="8">
        <v>12</v>
      </c>
      <c r="I482" s="8" t="s">
        <v>521</v>
      </c>
      <c r="J482" s="8" t="s">
        <v>228</v>
      </c>
      <c r="K482" s="8">
        <v>1953</v>
      </c>
      <c r="L482" s="17">
        <v>1</v>
      </c>
      <c r="M482" s="8">
        <v>1</v>
      </c>
      <c r="N482" s="8" t="s">
        <v>49</v>
      </c>
      <c r="O482" s="8" t="s">
        <v>283</v>
      </c>
      <c r="P482" s="8" t="s">
        <v>280</v>
      </c>
      <c r="Q482" s="8">
        <v>20000</v>
      </c>
      <c r="R482" s="8" t="s">
        <v>59</v>
      </c>
      <c r="S482" s="8" t="s">
        <v>54</v>
      </c>
      <c r="T482" s="8" t="s">
        <v>69</v>
      </c>
      <c r="U482" s="8" t="s">
        <v>228</v>
      </c>
      <c r="V482" s="8">
        <v>500</v>
      </c>
      <c r="W482" s="8" t="s">
        <v>328</v>
      </c>
      <c r="X482" s="8">
        <v>3000</v>
      </c>
      <c r="Y482" s="8" t="s">
        <v>394</v>
      </c>
      <c r="Z482" s="8">
        <v>85</v>
      </c>
      <c r="AA482" s="8" t="s">
        <v>278</v>
      </c>
      <c r="AB482" s="8" t="s">
        <v>228</v>
      </c>
      <c r="AC482" s="8" t="s">
        <v>228</v>
      </c>
      <c r="AD482" s="8" t="s">
        <v>228</v>
      </c>
      <c r="AE482" s="8" t="s">
        <v>228</v>
      </c>
      <c r="AF482" s="8" t="s">
        <v>228</v>
      </c>
      <c r="AG482" s="8" t="s">
        <v>228</v>
      </c>
      <c r="AH482" s="8" t="s">
        <v>228</v>
      </c>
      <c r="AI482" s="8" t="s">
        <v>228</v>
      </c>
      <c r="AJ482" t="s">
        <v>468</v>
      </c>
      <c r="AK482">
        <v>1</v>
      </c>
      <c r="AL482">
        <v>1</v>
      </c>
      <c r="AM482" t="s">
        <v>89</v>
      </c>
      <c r="AN482" t="s">
        <v>228</v>
      </c>
      <c r="AO482" t="s">
        <v>526</v>
      </c>
      <c r="AP482" t="s">
        <v>109</v>
      </c>
      <c r="AQ482">
        <v>12</v>
      </c>
      <c r="AR482" t="s">
        <v>521</v>
      </c>
      <c r="AS482" t="s">
        <v>228</v>
      </c>
      <c r="AT482" t="s">
        <v>170</v>
      </c>
      <c r="AU482">
        <v>1</v>
      </c>
      <c r="AV482">
        <v>1</v>
      </c>
      <c r="AW482" t="s">
        <v>537</v>
      </c>
      <c r="AX482" t="s">
        <v>283</v>
      </c>
      <c r="AY482" t="s">
        <v>280</v>
      </c>
      <c r="AZ482">
        <v>5</v>
      </c>
      <c r="BA482" t="s">
        <v>533</v>
      </c>
      <c r="BB482" t="s">
        <v>541</v>
      </c>
      <c r="BC482" t="s">
        <v>395</v>
      </c>
      <c r="BD482" t="s">
        <v>228</v>
      </c>
      <c r="BE482" t="s">
        <v>522</v>
      </c>
      <c r="BF482" t="s">
        <v>523</v>
      </c>
      <c r="BG482" t="s">
        <v>407</v>
      </c>
      <c r="BH482" t="s">
        <v>551</v>
      </c>
      <c r="BI482" t="s">
        <v>524</v>
      </c>
      <c r="BJ482" t="s">
        <v>228</v>
      </c>
      <c r="BK482" t="s">
        <v>228</v>
      </c>
      <c r="BL482" t="s">
        <v>228</v>
      </c>
      <c r="BM482" t="s">
        <v>228</v>
      </c>
      <c r="BN482" t="s">
        <v>228</v>
      </c>
      <c r="BO482" t="s">
        <v>228</v>
      </c>
      <c r="BP482" t="s">
        <v>228</v>
      </c>
      <c r="BQ482" t="s">
        <v>228</v>
      </c>
      <c r="BR482" t="s">
        <v>228</v>
      </c>
      <c r="BS482" t="s">
        <v>409</v>
      </c>
      <c r="BT482">
        <v>1</v>
      </c>
    </row>
    <row r="483" spans="1:72" x14ac:dyDescent="0.15">
      <c r="A483" s="43">
        <v>2023</v>
      </c>
      <c r="B483" s="8">
        <v>1</v>
      </c>
      <c r="C483" s="8">
        <v>1</v>
      </c>
      <c r="D483" s="8">
        <v>12</v>
      </c>
      <c r="E483" s="8" t="s">
        <v>228</v>
      </c>
      <c r="F483" s="8" t="s">
        <v>57</v>
      </c>
      <c r="G483" s="8">
        <v>2016</v>
      </c>
      <c r="H483" s="8">
        <v>12</v>
      </c>
      <c r="I483" s="8" t="s">
        <v>521</v>
      </c>
      <c r="J483" s="8" t="s">
        <v>228</v>
      </c>
      <c r="K483" s="8">
        <v>1953</v>
      </c>
      <c r="L483" s="17">
        <v>1</v>
      </c>
      <c r="M483" s="8">
        <v>1</v>
      </c>
      <c r="N483" s="8" t="s">
        <v>49</v>
      </c>
      <c r="O483" s="8" t="s">
        <v>283</v>
      </c>
      <c r="P483" s="8" t="s">
        <v>280</v>
      </c>
      <c r="Q483" s="8">
        <v>20000</v>
      </c>
      <c r="R483" s="8" t="s">
        <v>59</v>
      </c>
      <c r="S483" s="8" t="s">
        <v>54</v>
      </c>
      <c r="T483" s="8" t="s">
        <v>69</v>
      </c>
      <c r="U483" s="8" t="s">
        <v>228</v>
      </c>
      <c r="V483" s="8">
        <v>500</v>
      </c>
      <c r="W483" s="8" t="s">
        <v>328</v>
      </c>
      <c r="X483" s="8">
        <v>3000</v>
      </c>
      <c r="Y483" s="8" t="s">
        <v>271</v>
      </c>
      <c r="Z483" s="8">
        <v>85</v>
      </c>
      <c r="AA483" s="8" t="s">
        <v>278</v>
      </c>
      <c r="AB483" s="8" t="s">
        <v>228</v>
      </c>
      <c r="AC483" s="8" t="s">
        <v>228</v>
      </c>
      <c r="AD483" s="8" t="s">
        <v>228</v>
      </c>
      <c r="AE483" s="8" t="s">
        <v>228</v>
      </c>
      <c r="AF483" s="8" t="s">
        <v>228</v>
      </c>
      <c r="AG483" s="8" t="s">
        <v>228</v>
      </c>
      <c r="AH483" s="8" t="s">
        <v>228</v>
      </c>
      <c r="AI483" s="8" t="s">
        <v>228</v>
      </c>
      <c r="AJ483" t="s">
        <v>468</v>
      </c>
      <c r="AK483">
        <v>1</v>
      </c>
      <c r="AL483">
        <v>1</v>
      </c>
      <c r="AM483" t="s">
        <v>89</v>
      </c>
      <c r="AN483" t="s">
        <v>228</v>
      </c>
      <c r="AO483" t="s">
        <v>526</v>
      </c>
      <c r="AP483" t="s">
        <v>109</v>
      </c>
      <c r="AQ483">
        <v>12</v>
      </c>
      <c r="AR483" t="s">
        <v>521</v>
      </c>
      <c r="AS483" t="s">
        <v>228</v>
      </c>
      <c r="AT483" t="s">
        <v>170</v>
      </c>
      <c r="AU483">
        <v>1</v>
      </c>
      <c r="AV483">
        <v>1</v>
      </c>
      <c r="AW483" t="s">
        <v>537</v>
      </c>
      <c r="AX483" t="s">
        <v>283</v>
      </c>
      <c r="AY483" t="s">
        <v>280</v>
      </c>
      <c r="AZ483">
        <v>5</v>
      </c>
      <c r="BA483" t="s">
        <v>533</v>
      </c>
      <c r="BB483" t="s">
        <v>541</v>
      </c>
      <c r="BC483" t="s">
        <v>395</v>
      </c>
      <c r="BD483" t="s">
        <v>228</v>
      </c>
      <c r="BE483" t="s">
        <v>522</v>
      </c>
      <c r="BF483" t="s">
        <v>523</v>
      </c>
      <c r="BG483" t="s">
        <v>407</v>
      </c>
      <c r="BH483" t="s">
        <v>544</v>
      </c>
      <c r="BI483" t="s">
        <v>524</v>
      </c>
      <c r="BJ483" t="s">
        <v>228</v>
      </c>
      <c r="BK483" t="s">
        <v>228</v>
      </c>
      <c r="BL483" t="s">
        <v>228</v>
      </c>
      <c r="BM483" t="s">
        <v>228</v>
      </c>
      <c r="BN483" t="s">
        <v>228</v>
      </c>
      <c r="BO483" t="s">
        <v>228</v>
      </c>
      <c r="BP483" t="s">
        <v>228</v>
      </c>
      <c r="BQ483" t="s">
        <v>228</v>
      </c>
      <c r="BR483" t="s">
        <v>228</v>
      </c>
      <c r="BS483" t="s">
        <v>409</v>
      </c>
      <c r="BT483">
        <v>0</v>
      </c>
    </row>
    <row r="484" spans="1:72" x14ac:dyDescent="0.15">
      <c r="A484" s="43">
        <v>2023</v>
      </c>
      <c r="B484" s="8">
        <v>1</v>
      </c>
      <c r="C484" s="8">
        <v>1</v>
      </c>
      <c r="D484" s="8">
        <v>11</v>
      </c>
      <c r="E484" s="8" t="s">
        <v>228</v>
      </c>
      <c r="F484" s="8" t="s">
        <v>57</v>
      </c>
      <c r="G484" s="8">
        <v>2016</v>
      </c>
      <c r="H484" s="8">
        <v>12</v>
      </c>
      <c r="I484" s="8" t="s">
        <v>521</v>
      </c>
      <c r="J484" s="8" t="s">
        <v>228</v>
      </c>
      <c r="K484" s="8">
        <v>1953</v>
      </c>
      <c r="L484" s="17">
        <v>1</v>
      </c>
      <c r="M484" s="8">
        <v>1</v>
      </c>
      <c r="N484" s="8" t="s">
        <v>49</v>
      </c>
      <c r="O484" s="8" t="s">
        <v>283</v>
      </c>
      <c r="P484" s="8" t="s">
        <v>280</v>
      </c>
      <c r="Q484" s="8">
        <v>20000</v>
      </c>
      <c r="R484" s="8" t="s">
        <v>59</v>
      </c>
      <c r="S484" s="8" t="s">
        <v>54</v>
      </c>
      <c r="T484" s="8" t="s">
        <v>69</v>
      </c>
      <c r="U484" s="8" t="s">
        <v>228</v>
      </c>
      <c r="V484" s="8">
        <v>500</v>
      </c>
      <c r="W484" s="8" t="s">
        <v>328</v>
      </c>
      <c r="X484" s="8">
        <v>3000</v>
      </c>
      <c r="Y484" s="8" t="s">
        <v>268</v>
      </c>
      <c r="Z484" s="8">
        <v>85</v>
      </c>
      <c r="AA484" s="8" t="s">
        <v>278</v>
      </c>
      <c r="AB484" s="8" t="s">
        <v>228</v>
      </c>
      <c r="AC484" s="8" t="s">
        <v>228</v>
      </c>
      <c r="AD484" s="8" t="s">
        <v>228</v>
      </c>
      <c r="AE484" s="8" t="s">
        <v>228</v>
      </c>
      <c r="AF484" s="8" t="s">
        <v>228</v>
      </c>
      <c r="AG484" s="8" t="s">
        <v>228</v>
      </c>
      <c r="AH484" s="8" t="s">
        <v>228</v>
      </c>
      <c r="AI484" s="8" t="s">
        <v>228</v>
      </c>
      <c r="AJ484" t="s">
        <v>468</v>
      </c>
      <c r="AK484">
        <v>1</v>
      </c>
      <c r="AL484">
        <v>1</v>
      </c>
      <c r="AM484" t="s">
        <v>90</v>
      </c>
      <c r="AN484" t="s">
        <v>228</v>
      </c>
      <c r="AO484" t="s">
        <v>526</v>
      </c>
      <c r="AP484" t="s">
        <v>109</v>
      </c>
      <c r="AQ484">
        <v>12</v>
      </c>
      <c r="AR484" t="s">
        <v>521</v>
      </c>
      <c r="AS484" t="s">
        <v>228</v>
      </c>
      <c r="AT484" t="s">
        <v>170</v>
      </c>
      <c r="AU484">
        <v>1</v>
      </c>
      <c r="AV484">
        <v>1</v>
      </c>
      <c r="AW484" t="s">
        <v>537</v>
      </c>
      <c r="AX484" t="s">
        <v>283</v>
      </c>
      <c r="AY484" t="s">
        <v>280</v>
      </c>
      <c r="AZ484">
        <v>5</v>
      </c>
      <c r="BA484" t="s">
        <v>533</v>
      </c>
      <c r="BB484" t="s">
        <v>541</v>
      </c>
      <c r="BC484" t="s">
        <v>395</v>
      </c>
      <c r="BD484" t="s">
        <v>228</v>
      </c>
      <c r="BE484" t="s">
        <v>522</v>
      </c>
      <c r="BF484" t="s">
        <v>523</v>
      </c>
      <c r="BG484" t="s">
        <v>407</v>
      </c>
      <c r="BH484" t="s">
        <v>396</v>
      </c>
      <c r="BI484" t="s">
        <v>524</v>
      </c>
      <c r="BJ484" t="s">
        <v>228</v>
      </c>
      <c r="BK484" t="s">
        <v>228</v>
      </c>
      <c r="BL484" t="s">
        <v>228</v>
      </c>
      <c r="BM484" t="s">
        <v>228</v>
      </c>
      <c r="BN484" t="s">
        <v>228</v>
      </c>
      <c r="BO484" t="s">
        <v>228</v>
      </c>
      <c r="BP484" t="s">
        <v>228</v>
      </c>
      <c r="BQ484" t="s">
        <v>228</v>
      </c>
      <c r="BR484" t="s">
        <v>228</v>
      </c>
      <c r="BS484" t="s">
        <v>409</v>
      </c>
      <c r="BT484">
        <v>1</v>
      </c>
    </row>
    <row r="485" spans="1:72" x14ac:dyDescent="0.15">
      <c r="A485" s="43">
        <v>2023</v>
      </c>
      <c r="B485" s="8">
        <v>1</v>
      </c>
      <c r="C485" s="8">
        <v>1</v>
      </c>
      <c r="D485" s="8">
        <v>11</v>
      </c>
      <c r="E485" s="8" t="s">
        <v>228</v>
      </c>
      <c r="F485" s="8" t="s">
        <v>57</v>
      </c>
      <c r="G485" s="8">
        <v>2016</v>
      </c>
      <c r="H485" s="8">
        <v>12</v>
      </c>
      <c r="I485" s="8" t="s">
        <v>521</v>
      </c>
      <c r="J485" s="8" t="s">
        <v>228</v>
      </c>
      <c r="K485" s="8">
        <v>1953</v>
      </c>
      <c r="L485" s="17">
        <v>1</v>
      </c>
      <c r="M485" s="8">
        <v>1</v>
      </c>
      <c r="N485" s="8" t="s">
        <v>49</v>
      </c>
      <c r="O485" s="8" t="s">
        <v>283</v>
      </c>
      <c r="P485" s="8" t="s">
        <v>280</v>
      </c>
      <c r="Q485" s="8">
        <v>20000</v>
      </c>
      <c r="R485" s="8" t="s">
        <v>59</v>
      </c>
      <c r="S485" s="8" t="s">
        <v>54</v>
      </c>
      <c r="T485" s="8" t="s">
        <v>69</v>
      </c>
      <c r="U485" s="8" t="s">
        <v>228</v>
      </c>
      <c r="V485" s="8">
        <v>500</v>
      </c>
      <c r="W485" s="8" t="s">
        <v>328</v>
      </c>
      <c r="X485" s="8">
        <v>3000</v>
      </c>
      <c r="Y485" s="8" t="s">
        <v>394</v>
      </c>
      <c r="Z485" s="8">
        <v>85</v>
      </c>
      <c r="AA485" s="8" t="s">
        <v>278</v>
      </c>
      <c r="AB485" s="8" t="s">
        <v>228</v>
      </c>
      <c r="AC485" s="8" t="s">
        <v>228</v>
      </c>
      <c r="AD485" s="8" t="s">
        <v>228</v>
      </c>
      <c r="AE485" s="8" t="s">
        <v>228</v>
      </c>
      <c r="AF485" s="8" t="s">
        <v>228</v>
      </c>
      <c r="AG485" s="8" t="s">
        <v>228</v>
      </c>
      <c r="AH485" s="8" t="s">
        <v>228</v>
      </c>
      <c r="AI485" s="8" t="s">
        <v>228</v>
      </c>
      <c r="AJ485" t="s">
        <v>468</v>
      </c>
      <c r="AK485">
        <v>1</v>
      </c>
      <c r="AL485">
        <v>1</v>
      </c>
      <c r="AM485" t="s">
        <v>90</v>
      </c>
      <c r="AN485" t="s">
        <v>228</v>
      </c>
      <c r="AO485" t="s">
        <v>526</v>
      </c>
      <c r="AP485" t="s">
        <v>109</v>
      </c>
      <c r="AQ485">
        <v>12</v>
      </c>
      <c r="AR485" t="s">
        <v>521</v>
      </c>
      <c r="AS485" t="s">
        <v>228</v>
      </c>
      <c r="AT485" t="s">
        <v>170</v>
      </c>
      <c r="AU485">
        <v>1</v>
      </c>
      <c r="AV485">
        <v>1</v>
      </c>
      <c r="AW485" t="s">
        <v>537</v>
      </c>
      <c r="AX485" t="s">
        <v>283</v>
      </c>
      <c r="AY485" t="s">
        <v>280</v>
      </c>
      <c r="AZ485">
        <v>5</v>
      </c>
      <c r="BA485" t="s">
        <v>533</v>
      </c>
      <c r="BB485" t="s">
        <v>541</v>
      </c>
      <c r="BC485" t="s">
        <v>395</v>
      </c>
      <c r="BD485" t="s">
        <v>228</v>
      </c>
      <c r="BE485" t="s">
        <v>522</v>
      </c>
      <c r="BF485" t="s">
        <v>523</v>
      </c>
      <c r="BG485" t="s">
        <v>407</v>
      </c>
      <c r="BH485" t="s">
        <v>551</v>
      </c>
      <c r="BI485" t="s">
        <v>524</v>
      </c>
      <c r="BJ485" t="s">
        <v>228</v>
      </c>
      <c r="BK485" t="s">
        <v>228</v>
      </c>
      <c r="BL485" t="s">
        <v>228</v>
      </c>
      <c r="BM485" t="s">
        <v>228</v>
      </c>
      <c r="BN485" t="s">
        <v>228</v>
      </c>
      <c r="BO485" t="s">
        <v>228</v>
      </c>
      <c r="BP485" t="s">
        <v>228</v>
      </c>
      <c r="BQ485" t="s">
        <v>228</v>
      </c>
      <c r="BR485" t="s">
        <v>228</v>
      </c>
      <c r="BS485" t="s">
        <v>409</v>
      </c>
      <c r="BT485">
        <v>1</v>
      </c>
    </row>
    <row r="486" spans="1:72" x14ac:dyDescent="0.15">
      <c r="A486" s="43">
        <v>2023</v>
      </c>
      <c r="B486" s="8">
        <v>1</v>
      </c>
      <c r="C486" s="8">
        <v>1</v>
      </c>
      <c r="D486" s="8">
        <v>11</v>
      </c>
      <c r="E486" s="8" t="s">
        <v>228</v>
      </c>
      <c r="F486" s="8" t="s">
        <v>57</v>
      </c>
      <c r="G486" s="8">
        <v>2016</v>
      </c>
      <c r="H486" s="8">
        <v>12</v>
      </c>
      <c r="I486" s="8" t="s">
        <v>521</v>
      </c>
      <c r="J486" s="8" t="s">
        <v>228</v>
      </c>
      <c r="K486" s="8">
        <v>1953</v>
      </c>
      <c r="L486" s="17">
        <v>1</v>
      </c>
      <c r="M486" s="8">
        <v>1</v>
      </c>
      <c r="N486" s="8" t="s">
        <v>49</v>
      </c>
      <c r="O486" s="8" t="s">
        <v>283</v>
      </c>
      <c r="P486" s="8" t="s">
        <v>280</v>
      </c>
      <c r="Q486" s="8">
        <v>20000</v>
      </c>
      <c r="R486" s="8" t="s">
        <v>59</v>
      </c>
      <c r="S486" s="8" t="s">
        <v>54</v>
      </c>
      <c r="T486" s="8" t="s">
        <v>69</v>
      </c>
      <c r="U486" s="8" t="s">
        <v>228</v>
      </c>
      <c r="V486" s="8">
        <v>500</v>
      </c>
      <c r="W486" s="8" t="s">
        <v>328</v>
      </c>
      <c r="X486" s="8">
        <v>3000</v>
      </c>
      <c r="Y486" s="8" t="s">
        <v>271</v>
      </c>
      <c r="Z486" s="8">
        <v>85</v>
      </c>
      <c r="AA486" s="8" t="s">
        <v>278</v>
      </c>
      <c r="AB486" s="8" t="s">
        <v>228</v>
      </c>
      <c r="AC486" s="8" t="s">
        <v>228</v>
      </c>
      <c r="AD486" s="8" t="s">
        <v>228</v>
      </c>
      <c r="AE486" s="8" t="s">
        <v>228</v>
      </c>
      <c r="AF486" s="8" t="s">
        <v>228</v>
      </c>
      <c r="AG486" s="8" t="s">
        <v>228</v>
      </c>
      <c r="AH486" s="8" t="s">
        <v>228</v>
      </c>
      <c r="AI486" s="8" t="s">
        <v>228</v>
      </c>
      <c r="AJ486" t="s">
        <v>468</v>
      </c>
      <c r="AK486">
        <v>1</v>
      </c>
      <c r="AL486">
        <v>1</v>
      </c>
      <c r="AM486" t="s">
        <v>90</v>
      </c>
      <c r="AN486" t="s">
        <v>228</v>
      </c>
      <c r="AO486" t="s">
        <v>526</v>
      </c>
      <c r="AP486" t="s">
        <v>109</v>
      </c>
      <c r="AQ486">
        <v>12</v>
      </c>
      <c r="AR486" t="s">
        <v>521</v>
      </c>
      <c r="AS486" t="s">
        <v>228</v>
      </c>
      <c r="AT486" t="s">
        <v>170</v>
      </c>
      <c r="AU486">
        <v>1</v>
      </c>
      <c r="AV486">
        <v>1</v>
      </c>
      <c r="AW486" t="s">
        <v>537</v>
      </c>
      <c r="AX486" t="s">
        <v>283</v>
      </c>
      <c r="AY486" t="s">
        <v>280</v>
      </c>
      <c r="AZ486">
        <v>5</v>
      </c>
      <c r="BA486" t="s">
        <v>533</v>
      </c>
      <c r="BB486" t="s">
        <v>541</v>
      </c>
      <c r="BC486" t="s">
        <v>395</v>
      </c>
      <c r="BD486" t="s">
        <v>228</v>
      </c>
      <c r="BE486" t="s">
        <v>522</v>
      </c>
      <c r="BF486" t="s">
        <v>523</v>
      </c>
      <c r="BG486" t="s">
        <v>407</v>
      </c>
      <c r="BH486" t="s">
        <v>544</v>
      </c>
      <c r="BI486" t="s">
        <v>524</v>
      </c>
      <c r="BJ486" t="s">
        <v>228</v>
      </c>
      <c r="BK486" t="s">
        <v>228</v>
      </c>
      <c r="BL486" t="s">
        <v>228</v>
      </c>
      <c r="BM486" t="s">
        <v>228</v>
      </c>
      <c r="BN486" t="s">
        <v>228</v>
      </c>
      <c r="BO486" t="s">
        <v>228</v>
      </c>
      <c r="BP486" t="s">
        <v>228</v>
      </c>
      <c r="BQ486" t="s">
        <v>228</v>
      </c>
      <c r="BR486" t="s">
        <v>228</v>
      </c>
      <c r="BS486" t="s">
        <v>409</v>
      </c>
      <c r="BT486">
        <v>0</v>
      </c>
    </row>
    <row r="487" spans="1:72" x14ac:dyDescent="0.15">
      <c r="A487" s="43">
        <v>2023</v>
      </c>
      <c r="B487" s="8">
        <v>1</v>
      </c>
      <c r="C487" s="8">
        <v>1</v>
      </c>
      <c r="D487" s="8">
        <v>10</v>
      </c>
      <c r="E487" s="8" t="s">
        <v>228</v>
      </c>
      <c r="F487" s="8" t="s">
        <v>57</v>
      </c>
      <c r="G487" s="8">
        <v>2016</v>
      </c>
      <c r="H487" s="8">
        <v>12</v>
      </c>
      <c r="I487" s="8" t="s">
        <v>521</v>
      </c>
      <c r="J487" s="8" t="s">
        <v>228</v>
      </c>
      <c r="K487" s="8">
        <v>1953</v>
      </c>
      <c r="L487" s="17">
        <v>1</v>
      </c>
      <c r="M487" s="8">
        <v>1</v>
      </c>
      <c r="N487" s="8" t="s">
        <v>49</v>
      </c>
      <c r="O487" s="8" t="s">
        <v>283</v>
      </c>
      <c r="P487" s="8" t="s">
        <v>280</v>
      </c>
      <c r="Q487" s="8">
        <v>20000</v>
      </c>
      <c r="R487" s="8" t="s">
        <v>59</v>
      </c>
      <c r="S487" s="8" t="s">
        <v>54</v>
      </c>
      <c r="T487" s="8" t="s">
        <v>69</v>
      </c>
      <c r="U487" s="8" t="s">
        <v>228</v>
      </c>
      <c r="V487" s="8">
        <v>500</v>
      </c>
      <c r="W487" s="8" t="s">
        <v>328</v>
      </c>
      <c r="X487" s="8">
        <v>3000</v>
      </c>
      <c r="Y487" s="8" t="s">
        <v>268</v>
      </c>
      <c r="Z487" s="8">
        <v>85</v>
      </c>
      <c r="AA487" s="8" t="s">
        <v>278</v>
      </c>
      <c r="AB487" s="8" t="s">
        <v>228</v>
      </c>
      <c r="AC487" s="8" t="s">
        <v>228</v>
      </c>
      <c r="AD487" s="8" t="s">
        <v>228</v>
      </c>
      <c r="AE487" s="8" t="s">
        <v>228</v>
      </c>
      <c r="AF487" s="8" t="s">
        <v>228</v>
      </c>
      <c r="AG487" s="8" t="s">
        <v>228</v>
      </c>
      <c r="AH487" s="8" t="s">
        <v>228</v>
      </c>
      <c r="AI487" s="8" t="s">
        <v>228</v>
      </c>
      <c r="AJ487" t="s">
        <v>468</v>
      </c>
      <c r="AK487">
        <v>1</v>
      </c>
      <c r="AL487">
        <v>1</v>
      </c>
      <c r="AM487" t="s">
        <v>91</v>
      </c>
      <c r="AN487" t="s">
        <v>228</v>
      </c>
      <c r="AO487" t="s">
        <v>526</v>
      </c>
      <c r="AP487" t="s">
        <v>109</v>
      </c>
      <c r="AQ487">
        <v>12</v>
      </c>
      <c r="AR487" t="s">
        <v>521</v>
      </c>
      <c r="AS487" t="s">
        <v>228</v>
      </c>
      <c r="AT487" t="s">
        <v>170</v>
      </c>
      <c r="AU487">
        <v>1</v>
      </c>
      <c r="AV487">
        <v>1</v>
      </c>
      <c r="AW487" t="s">
        <v>537</v>
      </c>
      <c r="AX487" t="s">
        <v>283</v>
      </c>
      <c r="AY487" t="s">
        <v>280</v>
      </c>
      <c r="AZ487">
        <v>5</v>
      </c>
      <c r="BA487" t="s">
        <v>533</v>
      </c>
      <c r="BB487" t="s">
        <v>541</v>
      </c>
      <c r="BC487" t="s">
        <v>395</v>
      </c>
      <c r="BD487" t="s">
        <v>228</v>
      </c>
      <c r="BE487" t="s">
        <v>522</v>
      </c>
      <c r="BF487" t="s">
        <v>523</v>
      </c>
      <c r="BG487" t="s">
        <v>407</v>
      </c>
      <c r="BH487" t="s">
        <v>396</v>
      </c>
      <c r="BI487" t="s">
        <v>524</v>
      </c>
      <c r="BJ487" t="s">
        <v>228</v>
      </c>
      <c r="BK487" t="s">
        <v>228</v>
      </c>
      <c r="BL487" t="s">
        <v>228</v>
      </c>
      <c r="BM487" t="s">
        <v>228</v>
      </c>
      <c r="BN487" t="s">
        <v>228</v>
      </c>
      <c r="BO487" t="s">
        <v>228</v>
      </c>
      <c r="BP487" t="s">
        <v>228</v>
      </c>
      <c r="BQ487" t="s">
        <v>228</v>
      </c>
      <c r="BR487" t="s">
        <v>228</v>
      </c>
      <c r="BS487" t="s">
        <v>409</v>
      </c>
      <c r="BT487">
        <v>1</v>
      </c>
    </row>
    <row r="488" spans="1:72" x14ac:dyDescent="0.15">
      <c r="A488" s="43">
        <v>2023</v>
      </c>
      <c r="B488" s="8">
        <v>1</v>
      </c>
      <c r="C488" s="8">
        <v>1</v>
      </c>
      <c r="D488" s="8">
        <v>10</v>
      </c>
      <c r="E488" s="8" t="s">
        <v>228</v>
      </c>
      <c r="F488" s="8" t="s">
        <v>57</v>
      </c>
      <c r="G488" s="8">
        <v>2016</v>
      </c>
      <c r="H488" s="8">
        <v>12</v>
      </c>
      <c r="I488" s="8" t="s">
        <v>521</v>
      </c>
      <c r="J488" s="8" t="s">
        <v>228</v>
      </c>
      <c r="K488" s="8">
        <v>1953</v>
      </c>
      <c r="L488" s="17">
        <v>1</v>
      </c>
      <c r="M488" s="8">
        <v>1</v>
      </c>
      <c r="N488" s="8" t="s">
        <v>49</v>
      </c>
      <c r="O488" s="8" t="s">
        <v>283</v>
      </c>
      <c r="P488" s="8" t="s">
        <v>280</v>
      </c>
      <c r="Q488" s="8">
        <v>20000</v>
      </c>
      <c r="R488" s="8" t="s">
        <v>59</v>
      </c>
      <c r="S488" s="8" t="s">
        <v>54</v>
      </c>
      <c r="T488" s="8" t="s">
        <v>69</v>
      </c>
      <c r="U488" s="8" t="s">
        <v>228</v>
      </c>
      <c r="V488" s="8">
        <v>500</v>
      </c>
      <c r="W488" s="8" t="s">
        <v>328</v>
      </c>
      <c r="X488" s="8">
        <v>3000</v>
      </c>
      <c r="Y488" s="8" t="s">
        <v>394</v>
      </c>
      <c r="Z488" s="8">
        <v>85</v>
      </c>
      <c r="AA488" s="8" t="s">
        <v>278</v>
      </c>
      <c r="AB488" s="8" t="s">
        <v>228</v>
      </c>
      <c r="AC488" s="8" t="s">
        <v>228</v>
      </c>
      <c r="AD488" s="8" t="s">
        <v>228</v>
      </c>
      <c r="AE488" s="8" t="s">
        <v>228</v>
      </c>
      <c r="AF488" s="8" t="s">
        <v>228</v>
      </c>
      <c r="AG488" s="8" t="s">
        <v>228</v>
      </c>
      <c r="AH488" s="8" t="s">
        <v>228</v>
      </c>
      <c r="AI488" s="8" t="s">
        <v>228</v>
      </c>
      <c r="AJ488" t="s">
        <v>468</v>
      </c>
      <c r="AK488">
        <v>1</v>
      </c>
      <c r="AL488">
        <v>1</v>
      </c>
      <c r="AM488" t="s">
        <v>91</v>
      </c>
      <c r="AN488" t="s">
        <v>228</v>
      </c>
      <c r="AO488" t="s">
        <v>526</v>
      </c>
      <c r="AP488" t="s">
        <v>109</v>
      </c>
      <c r="AQ488">
        <v>12</v>
      </c>
      <c r="AR488" t="s">
        <v>521</v>
      </c>
      <c r="AS488" t="s">
        <v>228</v>
      </c>
      <c r="AT488" t="s">
        <v>170</v>
      </c>
      <c r="AU488">
        <v>1</v>
      </c>
      <c r="AV488">
        <v>1</v>
      </c>
      <c r="AW488" t="s">
        <v>537</v>
      </c>
      <c r="AX488" t="s">
        <v>283</v>
      </c>
      <c r="AY488" t="s">
        <v>280</v>
      </c>
      <c r="AZ488">
        <v>5</v>
      </c>
      <c r="BA488" t="s">
        <v>533</v>
      </c>
      <c r="BB488" t="s">
        <v>541</v>
      </c>
      <c r="BC488" t="s">
        <v>395</v>
      </c>
      <c r="BD488" t="s">
        <v>228</v>
      </c>
      <c r="BE488" t="s">
        <v>522</v>
      </c>
      <c r="BF488" t="s">
        <v>523</v>
      </c>
      <c r="BG488" t="s">
        <v>407</v>
      </c>
      <c r="BH488" t="s">
        <v>551</v>
      </c>
      <c r="BI488" t="s">
        <v>524</v>
      </c>
      <c r="BJ488" t="s">
        <v>228</v>
      </c>
      <c r="BK488" t="s">
        <v>228</v>
      </c>
      <c r="BL488" t="s">
        <v>228</v>
      </c>
      <c r="BM488" t="s">
        <v>228</v>
      </c>
      <c r="BN488" t="s">
        <v>228</v>
      </c>
      <c r="BO488" t="s">
        <v>228</v>
      </c>
      <c r="BP488" t="s">
        <v>228</v>
      </c>
      <c r="BQ488" t="s">
        <v>228</v>
      </c>
      <c r="BR488" t="s">
        <v>228</v>
      </c>
      <c r="BS488" t="s">
        <v>409</v>
      </c>
      <c r="BT488">
        <v>1</v>
      </c>
    </row>
    <row r="489" spans="1:72" x14ac:dyDescent="0.15">
      <c r="A489" s="43">
        <v>2023</v>
      </c>
      <c r="B489" s="8">
        <v>1</v>
      </c>
      <c r="C489" s="8">
        <v>1</v>
      </c>
      <c r="D489" s="8">
        <v>10</v>
      </c>
      <c r="E489" s="8" t="s">
        <v>228</v>
      </c>
      <c r="F489" s="8" t="s">
        <v>57</v>
      </c>
      <c r="G489" s="8">
        <v>2016</v>
      </c>
      <c r="H489" s="8">
        <v>12</v>
      </c>
      <c r="I489" s="8" t="s">
        <v>521</v>
      </c>
      <c r="J489" s="8" t="s">
        <v>228</v>
      </c>
      <c r="K489" s="8">
        <v>1953</v>
      </c>
      <c r="L489" s="17">
        <v>1</v>
      </c>
      <c r="M489" s="8">
        <v>1</v>
      </c>
      <c r="N489" s="8" t="s">
        <v>49</v>
      </c>
      <c r="O489" s="8" t="s">
        <v>283</v>
      </c>
      <c r="P489" s="8" t="s">
        <v>280</v>
      </c>
      <c r="Q489" s="8">
        <v>20000</v>
      </c>
      <c r="R489" s="8" t="s">
        <v>59</v>
      </c>
      <c r="S489" s="8" t="s">
        <v>54</v>
      </c>
      <c r="T489" s="8" t="s">
        <v>69</v>
      </c>
      <c r="U489" s="8" t="s">
        <v>228</v>
      </c>
      <c r="V489" s="8">
        <v>500</v>
      </c>
      <c r="W489" s="8" t="s">
        <v>328</v>
      </c>
      <c r="X489" s="8">
        <v>3000</v>
      </c>
      <c r="Y489" s="8" t="s">
        <v>271</v>
      </c>
      <c r="Z489" s="8">
        <v>85</v>
      </c>
      <c r="AA489" s="8" t="s">
        <v>278</v>
      </c>
      <c r="AB489" s="8" t="s">
        <v>228</v>
      </c>
      <c r="AC489" s="8" t="s">
        <v>228</v>
      </c>
      <c r="AD489" s="8" t="s">
        <v>228</v>
      </c>
      <c r="AE489" s="8" t="s">
        <v>228</v>
      </c>
      <c r="AF489" s="8" t="s">
        <v>228</v>
      </c>
      <c r="AG489" s="8" t="s">
        <v>228</v>
      </c>
      <c r="AH489" s="8" t="s">
        <v>228</v>
      </c>
      <c r="AI489" s="8" t="s">
        <v>228</v>
      </c>
      <c r="AJ489" t="s">
        <v>468</v>
      </c>
      <c r="AK489">
        <v>1</v>
      </c>
      <c r="AL489">
        <v>1</v>
      </c>
      <c r="AM489" t="s">
        <v>91</v>
      </c>
      <c r="AN489" t="s">
        <v>228</v>
      </c>
      <c r="AO489" t="s">
        <v>526</v>
      </c>
      <c r="AP489" t="s">
        <v>109</v>
      </c>
      <c r="AQ489">
        <v>12</v>
      </c>
      <c r="AR489" t="s">
        <v>521</v>
      </c>
      <c r="AS489" t="s">
        <v>228</v>
      </c>
      <c r="AT489" t="s">
        <v>170</v>
      </c>
      <c r="AU489">
        <v>1</v>
      </c>
      <c r="AV489">
        <v>1</v>
      </c>
      <c r="AW489" t="s">
        <v>537</v>
      </c>
      <c r="AX489" t="s">
        <v>283</v>
      </c>
      <c r="AY489" t="s">
        <v>280</v>
      </c>
      <c r="AZ489">
        <v>5</v>
      </c>
      <c r="BA489" t="s">
        <v>533</v>
      </c>
      <c r="BB489" t="s">
        <v>541</v>
      </c>
      <c r="BC489" t="s">
        <v>395</v>
      </c>
      <c r="BD489" t="s">
        <v>228</v>
      </c>
      <c r="BE489" t="s">
        <v>522</v>
      </c>
      <c r="BF489" t="s">
        <v>523</v>
      </c>
      <c r="BG489" t="s">
        <v>407</v>
      </c>
      <c r="BH489" t="s">
        <v>544</v>
      </c>
      <c r="BI489" t="s">
        <v>524</v>
      </c>
      <c r="BJ489" t="s">
        <v>228</v>
      </c>
      <c r="BK489" t="s">
        <v>228</v>
      </c>
      <c r="BL489" t="s">
        <v>228</v>
      </c>
      <c r="BM489" t="s">
        <v>228</v>
      </c>
      <c r="BN489" t="s">
        <v>228</v>
      </c>
      <c r="BO489" t="s">
        <v>228</v>
      </c>
      <c r="BP489" t="s">
        <v>228</v>
      </c>
      <c r="BQ489" t="s">
        <v>228</v>
      </c>
      <c r="BR489" t="s">
        <v>228</v>
      </c>
      <c r="BS489" t="s">
        <v>409</v>
      </c>
      <c r="BT489">
        <v>0</v>
      </c>
    </row>
    <row r="490" spans="1:72" x14ac:dyDescent="0.15">
      <c r="A490" s="43">
        <v>2023</v>
      </c>
      <c r="B490" s="8">
        <v>1</v>
      </c>
      <c r="C490" s="8">
        <v>1</v>
      </c>
      <c r="D490" s="8">
        <v>9</v>
      </c>
      <c r="E490" s="8" t="s">
        <v>228</v>
      </c>
      <c r="F490" s="8" t="s">
        <v>57</v>
      </c>
      <c r="G490" s="8">
        <v>2016</v>
      </c>
      <c r="H490" s="8">
        <v>12</v>
      </c>
      <c r="I490" s="8" t="s">
        <v>521</v>
      </c>
      <c r="J490" s="8" t="s">
        <v>228</v>
      </c>
      <c r="K490" s="8">
        <v>1953</v>
      </c>
      <c r="L490" s="17">
        <v>1</v>
      </c>
      <c r="M490" s="8">
        <v>1</v>
      </c>
      <c r="N490" s="8" t="s">
        <v>49</v>
      </c>
      <c r="O490" s="8" t="s">
        <v>283</v>
      </c>
      <c r="P490" s="8" t="s">
        <v>280</v>
      </c>
      <c r="Q490" s="8">
        <v>20000</v>
      </c>
      <c r="R490" s="8" t="s">
        <v>59</v>
      </c>
      <c r="S490" s="8" t="s">
        <v>54</v>
      </c>
      <c r="T490" s="8" t="s">
        <v>69</v>
      </c>
      <c r="U490" s="8" t="s">
        <v>228</v>
      </c>
      <c r="V490" s="8">
        <v>500</v>
      </c>
      <c r="W490" s="8" t="s">
        <v>328</v>
      </c>
      <c r="X490" s="8">
        <v>3000</v>
      </c>
      <c r="Y490" s="8" t="s">
        <v>268</v>
      </c>
      <c r="Z490" s="8">
        <v>85</v>
      </c>
      <c r="AA490" s="8" t="s">
        <v>278</v>
      </c>
      <c r="AB490" s="8" t="s">
        <v>228</v>
      </c>
      <c r="AC490" s="8" t="s">
        <v>228</v>
      </c>
      <c r="AD490" s="8" t="s">
        <v>228</v>
      </c>
      <c r="AE490" s="8" t="s">
        <v>228</v>
      </c>
      <c r="AF490" s="8" t="s">
        <v>228</v>
      </c>
      <c r="AG490" s="8" t="s">
        <v>228</v>
      </c>
      <c r="AH490" s="8" t="s">
        <v>228</v>
      </c>
      <c r="AI490" s="8" t="s">
        <v>228</v>
      </c>
      <c r="AJ490" t="s">
        <v>468</v>
      </c>
      <c r="AK490">
        <v>1</v>
      </c>
      <c r="AL490">
        <v>1</v>
      </c>
      <c r="AM490" t="s">
        <v>92</v>
      </c>
      <c r="AN490" t="s">
        <v>228</v>
      </c>
      <c r="AO490" t="s">
        <v>526</v>
      </c>
      <c r="AP490" t="s">
        <v>109</v>
      </c>
      <c r="AQ490">
        <v>12</v>
      </c>
      <c r="AR490" t="s">
        <v>521</v>
      </c>
      <c r="AS490" t="s">
        <v>228</v>
      </c>
      <c r="AT490" t="s">
        <v>170</v>
      </c>
      <c r="AU490">
        <v>1</v>
      </c>
      <c r="AV490">
        <v>1</v>
      </c>
      <c r="AW490" t="s">
        <v>537</v>
      </c>
      <c r="AX490" t="s">
        <v>283</v>
      </c>
      <c r="AY490" t="s">
        <v>280</v>
      </c>
      <c r="AZ490">
        <v>5</v>
      </c>
      <c r="BA490" t="s">
        <v>533</v>
      </c>
      <c r="BB490" t="s">
        <v>541</v>
      </c>
      <c r="BC490" t="s">
        <v>395</v>
      </c>
      <c r="BD490" t="s">
        <v>228</v>
      </c>
      <c r="BE490" t="s">
        <v>522</v>
      </c>
      <c r="BF490" t="s">
        <v>523</v>
      </c>
      <c r="BG490" t="s">
        <v>407</v>
      </c>
      <c r="BH490" t="s">
        <v>396</v>
      </c>
      <c r="BI490" t="s">
        <v>524</v>
      </c>
      <c r="BJ490" t="s">
        <v>228</v>
      </c>
      <c r="BK490" t="s">
        <v>228</v>
      </c>
      <c r="BL490" t="s">
        <v>228</v>
      </c>
      <c r="BM490" t="s">
        <v>228</v>
      </c>
      <c r="BN490" t="s">
        <v>228</v>
      </c>
      <c r="BO490" t="s">
        <v>228</v>
      </c>
      <c r="BP490" t="s">
        <v>228</v>
      </c>
      <c r="BQ490" t="s">
        <v>228</v>
      </c>
      <c r="BR490" t="s">
        <v>228</v>
      </c>
      <c r="BS490" t="s">
        <v>409</v>
      </c>
      <c r="BT490">
        <v>1</v>
      </c>
    </row>
    <row r="491" spans="1:72" x14ac:dyDescent="0.15">
      <c r="A491" s="43">
        <v>2023</v>
      </c>
      <c r="B491" s="8">
        <v>1</v>
      </c>
      <c r="C491" s="8">
        <v>1</v>
      </c>
      <c r="D491" s="8">
        <v>9</v>
      </c>
      <c r="E491" s="8" t="s">
        <v>228</v>
      </c>
      <c r="F491" s="8" t="s">
        <v>57</v>
      </c>
      <c r="G491" s="8">
        <v>2016</v>
      </c>
      <c r="H491" s="8">
        <v>12</v>
      </c>
      <c r="I491" s="8" t="s">
        <v>521</v>
      </c>
      <c r="J491" s="8" t="s">
        <v>228</v>
      </c>
      <c r="K491" s="8">
        <v>1953</v>
      </c>
      <c r="L491" s="17">
        <v>1</v>
      </c>
      <c r="M491" s="8">
        <v>1</v>
      </c>
      <c r="N491" s="8" t="s">
        <v>49</v>
      </c>
      <c r="O491" s="8" t="s">
        <v>283</v>
      </c>
      <c r="P491" s="8" t="s">
        <v>280</v>
      </c>
      <c r="Q491" s="8">
        <v>20000</v>
      </c>
      <c r="R491" s="8" t="s">
        <v>59</v>
      </c>
      <c r="S491" s="8" t="s">
        <v>54</v>
      </c>
      <c r="T491" s="8" t="s">
        <v>69</v>
      </c>
      <c r="U491" s="8" t="s">
        <v>228</v>
      </c>
      <c r="V491" s="8">
        <v>500</v>
      </c>
      <c r="W491" s="8" t="s">
        <v>328</v>
      </c>
      <c r="X491" s="8">
        <v>3000</v>
      </c>
      <c r="Y491" s="8" t="s">
        <v>394</v>
      </c>
      <c r="Z491" s="8">
        <v>85</v>
      </c>
      <c r="AA491" s="8" t="s">
        <v>278</v>
      </c>
      <c r="AB491" s="8" t="s">
        <v>228</v>
      </c>
      <c r="AC491" s="8" t="s">
        <v>228</v>
      </c>
      <c r="AD491" s="8" t="s">
        <v>228</v>
      </c>
      <c r="AE491" s="8" t="s">
        <v>228</v>
      </c>
      <c r="AF491" s="8" t="s">
        <v>228</v>
      </c>
      <c r="AG491" s="8" t="s">
        <v>228</v>
      </c>
      <c r="AH491" s="8" t="s">
        <v>228</v>
      </c>
      <c r="AI491" s="8" t="s">
        <v>228</v>
      </c>
      <c r="AJ491" t="s">
        <v>468</v>
      </c>
      <c r="AK491">
        <v>1</v>
      </c>
      <c r="AL491">
        <v>1</v>
      </c>
      <c r="AM491" t="s">
        <v>92</v>
      </c>
      <c r="AN491" t="s">
        <v>228</v>
      </c>
      <c r="AO491" t="s">
        <v>526</v>
      </c>
      <c r="AP491" t="s">
        <v>109</v>
      </c>
      <c r="AQ491">
        <v>12</v>
      </c>
      <c r="AR491" t="s">
        <v>521</v>
      </c>
      <c r="AS491" t="s">
        <v>228</v>
      </c>
      <c r="AT491" t="s">
        <v>170</v>
      </c>
      <c r="AU491">
        <v>1</v>
      </c>
      <c r="AV491">
        <v>1</v>
      </c>
      <c r="AW491" t="s">
        <v>537</v>
      </c>
      <c r="AX491" t="s">
        <v>283</v>
      </c>
      <c r="AY491" t="s">
        <v>280</v>
      </c>
      <c r="AZ491">
        <v>5</v>
      </c>
      <c r="BA491" t="s">
        <v>533</v>
      </c>
      <c r="BB491" t="s">
        <v>541</v>
      </c>
      <c r="BC491" t="s">
        <v>395</v>
      </c>
      <c r="BD491" t="s">
        <v>228</v>
      </c>
      <c r="BE491" t="s">
        <v>522</v>
      </c>
      <c r="BF491" t="s">
        <v>523</v>
      </c>
      <c r="BG491" t="s">
        <v>407</v>
      </c>
      <c r="BH491" t="s">
        <v>551</v>
      </c>
      <c r="BI491" t="s">
        <v>524</v>
      </c>
      <c r="BJ491" t="s">
        <v>228</v>
      </c>
      <c r="BK491" t="s">
        <v>228</v>
      </c>
      <c r="BL491" t="s">
        <v>228</v>
      </c>
      <c r="BM491" t="s">
        <v>228</v>
      </c>
      <c r="BN491" t="s">
        <v>228</v>
      </c>
      <c r="BO491" t="s">
        <v>228</v>
      </c>
      <c r="BP491" t="s">
        <v>228</v>
      </c>
      <c r="BQ491" t="s">
        <v>228</v>
      </c>
      <c r="BR491" t="s">
        <v>228</v>
      </c>
      <c r="BS491" t="s">
        <v>409</v>
      </c>
      <c r="BT491">
        <v>1</v>
      </c>
    </row>
    <row r="492" spans="1:72" x14ac:dyDescent="0.15">
      <c r="A492" s="43">
        <v>2023</v>
      </c>
      <c r="B492" s="8">
        <v>1</v>
      </c>
      <c r="C492" s="8">
        <v>1</v>
      </c>
      <c r="D492" s="8">
        <v>9</v>
      </c>
      <c r="E492" s="8" t="s">
        <v>228</v>
      </c>
      <c r="F492" s="8" t="s">
        <v>57</v>
      </c>
      <c r="G492" s="8">
        <v>2016</v>
      </c>
      <c r="H492" s="8">
        <v>12</v>
      </c>
      <c r="I492" s="8" t="s">
        <v>521</v>
      </c>
      <c r="J492" s="8" t="s">
        <v>228</v>
      </c>
      <c r="K492" s="8">
        <v>1953</v>
      </c>
      <c r="L492" s="17">
        <v>1</v>
      </c>
      <c r="M492" s="8">
        <v>1</v>
      </c>
      <c r="N492" s="8" t="s">
        <v>49</v>
      </c>
      <c r="O492" s="8" t="s">
        <v>283</v>
      </c>
      <c r="P492" s="8" t="s">
        <v>280</v>
      </c>
      <c r="Q492" s="8">
        <v>20000</v>
      </c>
      <c r="R492" s="8" t="s">
        <v>59</v>
      </c>
      <c r="S492" s="8" t="s">
        <v>54</v>
      </c>
      <c r="T492" s="8" t="s">
        <v>69</v>
      </c>
      <c r="U492" s="8" t="s">
        <v>228</v>
      </c>
      <c r="V492" s="8">
        <v>500</v>
      </c>
      <c r="W492" s="8" t="s">
        <v>328</v>
      </c>
      <c r="X492" s="8">
        <v>3000</v>
      </c>
      <c r="Y492" s="8" t="s">
        <v>271</v>
      </c>
      <c r="Z492" s="8">
        <v>85</v>
      </c>
      <c r="AA492" s="8" t="s">
        <v>278</v>
      </c>
      <c r="AB492" s="8" t="s">
        <v>228</v>
      </c>
      <c r="AC492" s="8" t="s">
        <v>228</v>
      </c>
      <c r="AD492" s="8" t="s">
        <v>228</v>
      </c>
      <c r="AE492" s="8" t="s">
        <v>228</v>
      </c>
      <c r="AF492" s="8" t="s">
        <v>228</v>
      </c>
      <c r="AG492" s="8" t="s">
        <v>228</v>
      </c>
      <c r="AH492" s="8" t="s">
        <v>228</v>
      </c>
      <c r="AI492" s="8" t="s">
        <v>228</v>
      </c>
      <c r="AJ492" t="s">
        <v>468</v>
      </c>
      <c r="AK492">
        <v>1</v>
      </c>
      <c r="AL492">
        <v>1</v>
      </c>
      <c r="AM492" t="s">
        <v>92</v>
      </c>
      <c r="AN492" t="s">
        <v>228</v>
      </c>
      <c r="AO492" t="s">
        <v>526</v>
      </c>
      <c r="AP492" t="s">
        <v>109</v>
      </c>
      <c r="AQ492">
        <v>12</v>
      </c>
      <c r="AR492" t="s">
        <v>521</v>
      </c>
      <c r="AS492" t="s">
        <v>228</v>
      </c>
      <c r="AT492" t="s">
        <v>170</v>
      </c>
      <c r="AU492">
        <v>1</v>
      </c>
      <c r="AV492">
        <v>1</v>
      </c>
      <c r="AW492" t="s">
        <v>537</v>
      </c>
      <c r="AX492" t="s">
        <v>283</v>
      </c>
      <c r="AY492" t="s">
        <v>280</v>
      </c>
      <c r="AZ492">
        <v>5</v>
      </c>
      <c r="BA492" t="s">
        <v>533</v>
      </c>
      <c r="BB492" t="s">
        <v>541</v>
      </c>
      <c r="BC492" t="s">
        <v>395</v>
      </c>
      <c r="BD492" t="s">
        <v>228</v>
      </c>
      <c r="BE492" t="s">
        <v>522</v>
      </c>
      <c r="BF492" t="s">
        <v>523</v>
      </c>
      <c r="BG492" t="s">
        <v>407</v>
      </c>
      <c r="BH492" t="s">
        <v>544</v>
      </c>
      <c r="BI492" t="s">
        <v>524</v>
      </c>
      <c r="BJ492" t="s">
        <v>228</v>
      </c>
      <c r="BK492" t="s">
        <v>228</v>
      </c>
      <c r="BL492" t="s">
        <v>228</v>
      </c>
      <c r="BM492" t="s">
        <v>228</v>
      </c>
      <c r="BN492" t="s">
        <v>228</v>
      </c>
      <c r="BO492" t="s">
        <v>228</v>
      </c>
      <c r="BP492" t="s">
        <v>228</v>
      </c>
      <c r="BQ492" t="s">
        <v>228</v>
      </c>
      <c r="BR492" t="s">
        <v>228</v>
      </c>
      <c r="BS492" t="s">
        <v>409</v>
      </c>
      <c r="BT492">
        <v>0</v>
      </c>
    </row>
    <row r="493" spans="1:72" x14ac:dyDescent="0.15">
      <c r="A493" s="43">
        <v>2023</v>
      </c>
      <c r="B493" s="8">
        <v>1</v>
      </c>
      <c r="C493" s="8">
        <v>1</v>
      </c>
      <c r="D493" s="8">
        <v>8</v>
      </c>
      <c r="E493" s="8" t="s">
        <v>228</v>
      </c>
      <c r="F493" s="8" t="s">
        <v>57</v>
      </c>
      <c r="G493" s="8">
        <v>2016</v>
      </c>
      <c r="H493" s="8">
        <v>12</v>
      </c>
      <c r="I493" s="8" t="s">
        <v>521</v>
      </c>
      <c r="J493" s="8" t="s">
        <v>228</v>
      </c>
      <c r="K493" s="8">
        <v>1953</v>
      </c>
      <c r="L493" s="17">
        <v>1</v>
      </c>
      <c r="M493" s="8">
        <v>1</v>
      </c>
      <c r="N493" s="8" t="s">
        <v>49</v>
      </c>
      <c r="O493" s="8" t="s">
        <v>283</v>
      </c>
      <c r="P493" s="8" t="s">
        <v>280</v>
      </c>
      <c r="Q493" s="8">
        <v>20000</v>
      </c>
      <c r="R493" s="8" t="s">
        <v>59</v>
      </c>
      <c r="S493" s="8" t="s">
        <v>54</v>
      </c>
      <c r="T493" s="8" t="s">
        <v>69</v>
      </c>
      <c r="U493" s="8" t="s">
        <v>228</v>
      </c>
      <c r="V493" s="8">
        <v>500</v>
      </c>
      <c r="W493" s="8" t="s">
        <v>328</v>
      </c>
      <c r="X493" s="8">
        <v>3000</v>
      </c>
      <c r="Y493" s="8" t="s">
        <v>268</v>
      </c>
      <c r="Z493" s="8">
        <v>85</v>
      </c>
      <c r="AA493" s="8" t="s">
        <v>278</v>
      </c>
      <c r="AB493" s="8" t="s">
        <v>228</v>
      </c>
      <c r="AC493" s="8" t="s">
        <v>228</v>
      </c>
      <c r="AD493" s="8" t="s">
        <v>228</v>
      </c>
      <c r="AE493" s="8" t="s">
        <v>228</v>
      </c>
      <c r="AF493" s="8" t="s">
        <v>228</v>
      </c>
      <c r="AG493" s="8" t="s">
        <v>228</v>
      </c>
      <c r="AH493" s="8" t="s">
        <v>228</v>
      </c>
      <c r="AI493" s="8" t="s">
        <v>228</v>
      </c>
      <c r="AJ493" t="s">
        <v>468</v>
      </c>
      <c r="AK493">
        <v>1</v>
      </c>
      <c r="AL493">
        <v>1</v>
      </c>
      <c r="AM493" t="s">
        <v>93</v>
      </c>
      <c r="AN493" t="s">
        <v>228</v>
      </c>
      <c r="AO493" t="s">
        <v>526</v>
      </c>
      <c r="AP493" t="s">
        <v>109</v>
      </c>
      <c r="AQ493">
        <v>12</v>
      </c>
      <c r="AR493" t="s">
        <v>521</v>
      </c>
      <c r="AS493" t="s">
        <v>228</v>
      </c>
      <c r="AT493" t="s">
        <v>170</v>
      </c>
      <c r="AU493">
        <v>1</v>
      </c>
      <c r="AV493">
        <v>1</v>
      </c>
      <c r="AW493" t="s">
        <v>537</v>
      </c>
      <c r="AX493" t="s">
        <v>283</v>
      </c>
      <c r="AY493" t="s">
        <v>280</v>
      </c>
      <c r="AZ493">
        <v>5</v>
      </c>
      <c r="BA493" t="s">
        <v>533</v>
      </c>
      <c r="BB493" t="s">
        <v>541</v>
      </c>
      <c r="BC493" t="s">
        <v>395</v>
      </c>
      <c r="BD493" t="s">
        <v>228</v>
      </c>
      <c r="BE493" t="s">
        <v>522</v>
      </c>
      <c r="BF493" t="s">
        <v>523</v>
      </c>
      <c r="BG493" t="s">
        <v>407</v>
      </c>
      <c r="BH493" t="s">
        <v>396</v>
      </c>
      <c r="BI493" t="s">
        <v>524</v>
      </c>
      <c r="BJ493" t="s">
        <v>228</v>
      </c>
      <c r="BK493" t="s">
        <v>228</v>
      </c>
      <c r="BL493" t="s">
        <v>228</v>
      </c>
      <c r="BM493" t="s">
        <v>228</v>
      </c>
      <c r="BN493" t="s">
        <v>228</v>
      </c>
      <c r="BO493" t="s">
        <v>228</v>
      </c>
      <c r="BP493" t="s">
        <v>228</v>
      </c>
      <c r="BQ493" t="s">
        <v>228</v>
      </c>
      <c r="BR493" t="s">
        <v>228</v>
      </c>
      <c r="BS493" t="s">
        <v>409</v>
      </c>
      <c r="BT493">
        <v>1</v>
      </c>
    </row>
    <row r="494" spans="1:72" x14ac:dyDescent="0.15">
      <c r="A494" s="43">
        <v>2023</v>
      </c>
      <c r="B494" s="8">
        <v>1</v>
      </c>
      <c r="C494" s="8">
        <v>1</v>
      </c>
      <c r="D494" s="8">
        <v>8</v>
      </c>
      <c r="E494" s="8" t="s">
        <v>228</v>
      </c>
      <c r="F494" s="8" t="s">
        <v>57</v>
      </c>
      <c r="G494" s="8">
        <v>2016</v>
      </c>
      <c r="H494" s="8">
        <v>12</v>
      </c>
      <c r="I494" s="8" t="s">
        <v>521</v>
      </c>
      <c r="J494" s="8" t="s">
        <v>228</v>
      </c>
      <c r="K494" s="8">
        <v>1953</v>
      </c>
      <c r="L494" s="17">
        <v>1</v>
      </c>
      <c r="M494" s="8">
        <v>1</v>
      </c>
      <c r="N494" s="8" t="s">
        <v>49</v>
      </c>
      <c r="O494" s="8" t="s">
        <v>283</v>
      </c>
      <c r="P494" s="8" t="s">
        <v>280</v>
      </c>
      <c r="Q494" s="8">
        <v>20000</v>
      </c>
      <c r="R494" s="8" t="s">
        <v>59</v>
      </c>
      <c r="S494" s="8" t="s">
        <v>54</v>
      </c>
      <c r="T494" s="8" t="s">
        <v>69</v>
      </c>
      <c r="U494" s="8" t="s">
        <v>228</v>
      </c>
      <c r="V494" s="8">
        <v>500</v>
      </c>
      <c r="W494" s="8" t="s">
        <v>328</v>
      </c>
      <c r="X494" s="8">
        <v>3000</v>
      </c>
      <c r="Y494" s="8" t="s">
        <v>394</v>
      </c>
      <c r="Z494" s="8">
        <v>85</v>
      </c>
      <c r="AA494" s="8" t="s">
        <v>278</v>
      </c>
      <c r="AB494" s="8" t="s">
        <v>228</v>
      </c>
      <c r="AC494" s="8" t="s">
        <v>228</v>
      </c>
      <c r="AD494" s="8" t="s">
        <v>228</v>
      </c>
      <c r="AE494" s="8" t="s">
        <v>228</v>
      </c>
      <c r="AF494" s="8" t="s">
        <v>228</v>
      </c>
      <c r="AG494" s="8" t="s">
        <v>228</v>
      </c>
      <c r="AH494" s="8" t="s">
        <v>228</v>
      </c>
      <c r="AI494" s="8" t="s">
        <v>228</v>
      </c>
      <c r="AJ494" t="s">
        <v>468</v>
      </c>
      <c r="AK494">
        <v>1</v>
      </c>
      <c r="AL494">
        <v>1</v>
      </c>
      <c r="AM494" t="s">
        <v>93</v>
      </c>
      <c r="AN494" t="s">
        <v>228</v>
      </c>
      <c r="AO494" t="s">
        <v>526</v>
      </c>
      <c r="AP494" t="s">
        <v>109</v>
      </c>
      <c r="AQ494">
        <v>12</v>
      </c>
      <c r="AR494" t="s">
        <v>521</v>
      </c>
      <c r="AS494" t="s">
        <v>228</v>
      </c>
      <c r="AT494" t="s">
        <v>170</v>
      </c>
      <c r="AU494">
        <v>1</v>
      </c>
      <c r="AV494">
        <v>1</v>
      </c>
      <c r="AW494" t="s">
        <v>537</v>
      </c>
      <c r="AX494" t="s">
        <v>283</v>
      </c>
      <c r="AY494" t="s">
        <v>280</v>
      </c>
      <c r="AZ494">
        <v>5</v>
      </c>
      <c r="BA494" t="s">
        <v>533</v>
      </c>
      <c r="BB494" t="s">
        <v>541</v>
      </c>
      <c r="BC494" t="s">
        <v>395</v>
      </c>
      <c r="BD494" t="s">
        <v>228</v>
      </c>
      <c r="BE494" t="s">
        <v>522</v>
      </c>
      <c r="BF494" t="s">
        <v>523</v>
      </c>
      <c r="BG494" t="s">
        <v>407</v>
      </c>
      <c r="BH494" t="s">
        <v>551</v>
      </c>
      <c r="BI494" t="s">
        <v>524</v>
      </c>
      <c r="BJ494" t="s">
        <v>228</v>
      </c>
      <c r="BK494" t="s">
        <v>228</v>
      </c>
      <c r="BL494" t="s">
        <v>228</v>
      </c>
      <c r="BM494" t="s">
        <v>228</v>
      </c>
      <c r="BN494" t="s">
        <v>228</v>
      </c>
      <c r="BO494" t="s">
        <v>228</v>
      </c>
      <c r="BP494" t="s">
        <v>228</v>
      </c>
      <c r="BQ494" t="s">
        <v>228</v>
      </c>
      <c r="BR494" t="s">
        <v>228</v>
      </c>
      <c r="BS494" t="s">
        <v>409</v>
      </c>
      <c r="BT494">
        <v>1</v>
      </c>
    </row>
    <row r="495" spans="1:72" x14ac:dyDescent="0.15">
      <c r="A495" s="43">
        <v>2023</v>
      </c>
      <c r="B495" s="8">
        <v>1</v>
      </c>
      <c r="C495" s="8">
        <v>1</v>
      </c>
      <c r="D495" s="8">
        <v>8</v>
      </c>
      <c r="E495" s="8" t="s">
        <v>228</v>
      </c>
      <c r="F495" s="8" t="s">
        <v>57</v>
      </c>
      <c r="G495" s="8">
        <v>2016</v>
      </c>
      <c r="H495" s="8">
        <v>12</v>
      </c>
      <c r="I495" s="8" t="s">
        <v>521</v>
      </c>
      <c r="J495" s="8" t="s">
        <v>228</v>
      </c>
      <c r="K495" s="8">
        <v>1953</v>
      </c>
      <c r="L495" s="17">
        <v>1</v>
      </c>
      <c r="M495" s="8">
        <v>1</v>
      </c>
      <c r="N495" s="8" t="s">
        <v>49</v>
      </c>
      <c r="O495" s="8" t="s">
        <v>283</v>
      </c>
      <c r="P495" s="8" t="s">
        <v>280</v>
      </c>
      <c r="Q495" s="8">
        <v>20000</v>
      </c>
      <c r="R495" s="8" t="s">
        <v>59</v>
      </c>
      <c r="S495" s="8" t="s">
        <v>54</v>
      </c>
      <c r="T495" s="8" t="s">
        <v>69</v>
      </c>
      <c r="U495" s="8" t="s">
        <v>228</v>
      </c>
      <c r="V495" s="8">
        <v>500</v>
      </c>
      <c r="W495" s="8" t="s">
        <v>328</v>
      </c>
      <c r="X495" s="8">
        <v>3000</v>
      </c>
      <c r="Y495" s="8" t="s">
        <v>271</v>
      </c>
      <c r="Z495" s="8">
        <v>85</v>
      </c>
      <c r="AA495" s="8" t="s">
        <v>278</v>
      </c>
      <c r="AB495" s="8" t="s">
        <v>228</v>
      </c>
      <c r="AC495" s="8" t="s">
        <v>228</v>
      </c>
      <c r="AD495" s="8" t="s">
        <v>228</v>
      </c>
      <c r="AE495" s="8" t="s">
        <v>228</v>
      </c>
      <c r="AF495" s="8" t="s">
        <v>228</v>
      </c>
      <c r="AG495" s="8" t="s">
        <v>228</v>
      </c>
      <c r="AH495" s="8" t="s">
        <v>228</v>
      </c>
      <c r="AI495" s="8" t="s">
        <v>228</v>
      </c>
      <c r="AJ495" t="s">
        <v>468</v>
      </c>
      <c r="AK495">
        <v>1</v>
      </c>
      <c r="AL495">
        <v>1</v>
      </c>
      <c r="AM495" t="s">
        <v>93</v>
      </c>
      <c r="AN495" t="s">
        <v>228</v>
      </c>
      <c r="AO495" t="s">
        <v>526</v>
      </c>
      <c r="AP495" t="s">
        <v>109</v>
      </c>
      <c r="AQ495">
        <v>12</v>
      </c>
      <c r="AR495" t="s">
        <v>521</v>
      </c>
      <c r="AS495" t="s">
        <v>228</v>
      </c>
      <c r="AT495" t="s">
        <v>170</v>
      </c>
      <c r="AU495">
        <v>1</v>
      </c>
      <c r="AV495">
        <v>1</v>
      </c>
      <c r="AW495" t="s">
        <v>537</v>
      </c>
      <c r="AX495" t="s">
        <v>283</v>
      </c>
      <c r="AY495" t="s">
        <v>280</v>
      </c>
      <c r="AZ495">
        <v>5</v>
      </c>
      <c r="BA495" t="s">
        <v>533</v>
      </c>
      <c r="BB495" t="s">
        <v>541</v>
      </c>
      <c r="BC495" t="s">
        <v>395</v>
      </c>
      <c r="BD495" t="s">
        <v>228</v>
      </c>
      <c r="BE495" t="s">
        <v>522</v>
      </c>
      <c r="BF495" t="s">
        <v>523</v>
      </c>
      <c r="BG495" t="s">
        <v>407</v>
      </c>
      <c r="BH495" t="s">
        <v>544</v>
      </c>
      <c r="BI495" t="s">
        <v>524</v>
      </c>
      <c r="BJ495" t="s">
        <v>228</v>
      </c>
      <c r="BK495" t="s">
        <v>228</v>
      </c>
      <c r="BL495" t="s">
        <v>228</v>
      </c>
      <c r="BM495" t="s">
        <v>228</v>
      </c>
      <c r="BN495" t="s">
        <v>228</v>
      </c>
      <c r="BO495" t="s">
        <v>228</v>
      </c>
      <c r="BP495" t="s">
        <v>228</v>
      </c>
      <c r="BQ495" t="s">
        <v>228</v>
      </c>
      <c r="BR495" t="s">
        <v>228</v>
      </c>
      <c r="BS495" t="s">
        <v>409</v>
      </c>
      <c r="BT495">
        <v>0</v>
      </c>
    </row>
    <row r="496" spans="1:72" x14ac:dyDescent="0.15">
      <c r="A496" s="43">
        <v>2023</v>
      </c>
      <c r="B496" s="8">
        <v>1</v>
      </c>
      <c r="C496" s="8">
        <v>1</v>
      </c>
      <c r="D496" s="8">
        <v>7</v>
      </c>
      <c r="E496" s="8" t="s">
        <v>228</v>
      </c>
      <c r="F496" s="8" t="s">
        <v>57</v>
      </c>
      <c r="G496" s="8">
        <v>2016</v>
      </c>
      <c r="H496" s="8">
        <v>12</v>
      </c>
      <c r="I496" s="8" t="s">
        <v>521</v>
      </c>
      <c r="J496" s="8" t="s">
        <v>228</v>
      </c>
      <c r="K496" s="8">
        <v>1953</v>
      </c>
      <c r="L496" s="17">
        <v>1</v>
      </c>
      <c r="M496" s="8">
        <v>1</v>
      </c>
      <c r="N496" s="8" t="s">
        <v>49</v>
      </c>
      <c r="O496" s="8" t="s">
        <v>283</v>
      </c>
      <c r="P496" s="8" t="s">
        <v>280</v>
      </c>
      <c r="Q496" s="8">
        <v>20000</v>
      </c>
      <c r="R496" s="8" t="s">
        <v>59</v>
      </c>
      <c r="S496" s="8" t="s">
        <v>54</v>
      </c>
      <c r="T496" s="8" t="s">
        <v>69</v>
      </c>
      <c r="U496" s="8" t="s">
        <v>228</v>
      </c>
      <c r="V496" s="8">
        <v>500</v>
      </c>
      <c r="W496" s="8" t="s">
        <v>328</v>
      </c>
      <c r="X496" s="8">
        <v>3000</v>
      </c>
      <c r="Y496" s="8" t="s">
        <v>268</v>
      </c>
      <c r="Z496" s="8">
        <v>85</v>
      </c>
      <c r="AA496" s="8" t="s">
        <v>278</v>
      </c>
      <c r="AB496" s="8" t="s">
        <v>228</v>
      </c>
      <c r="AC496" s="8" t="s">
        <v>228</v>
      </c>
      <c r="AD496" s="8" t="s">
        <v>228</v>
      </c>
      <c r="AE496" s="8" t="s">
        <v>228</v>
      </c>
      <c r="AF496" s="8" t="s">
        <v>228</v>
      </c>
      <c r="AG496" s="8" t="s">
        <v>228</v>
      </c>
      <c r="AH496" s="8" t="s">
        <v>228</v>
      </c>
      <c r="AI496" s="8" t="s">
        <v>228</v>
      </c>
      <c r="AJ496" t="s">
        <v>468</v>
      </c>
      <c r="AK496">
        <v>1</v>
      </c>
      <c r="AL496">
        <v>1</v>
      </c>
      <c r="AM496" t="s">
        <v>94</v>
      </c>
      <c r="AN496" t="s">
        <v>228</v>
      </c>
      <c r="AO496" t="s">
        <v>526</v>
      </c>
      <c r="AP496" t="s">
        <v>109</v>
      </c>
      <c r="AQ496">
        <v>12</v>
      </c>
      <c r="AR496" t="s">
        <v>521</v>
      </c>
      <c r="AS496" t="s">
        <v>228</v>
      </c>
      <c r="AT496" t="s">
        <v>170</v>
      </c>
      <c r="AU496">
        <v>1</v>
      </c>
      <c r="AV496">
        <v>1</v>
      </c>
      <c r="AW496" t="s">
        <v>537</v>
      </c>
      <c r="AX496" t="s">
        <v>283</v>
      </c>
      <c r="AY496" t="s">
        <v>280</v>
      </c>
      <c r="AZ496">
        <v>5</v>
      </c>
      <c r="BA496" t="s">
        <v>533</v>
      </c>
      <c r="BB496" t="s">
        <v>541</v>
      </c>
      <c r="BC496" t="s">
        <v>395</v>
      </c>
      <c r="BD496" t="s">
        <v>228</v>
      </c>
      <c r="BE496" t="s">
        <v>522</v>
      </c>
      <c r="BF496" t="s">
        <v>523</v>
      </c>
      <c r="BG496" t="s">
        <v>407</v>
      </c>
      <c r="BH496" t="s">
        <v>396</v>
      </c>
      <c r="BI496" t="s">
        <v>524</v>
      </c>
      <c r="BJ496" t="s">
        <v>228</v>
      </c>
      <c r="BK496" t="s">
        <v>228</v>
      </c>
      <c r="BL496" t="s">
        <v>228</v>
      </c>
      <c r="BM496" t="s">
        <v>228</v>
      </c>
      <c r="BN496" t="s">
        <v>228</v>
      </c>
      <c r="BO496" t="s">
        <v>228</v>
      </c>
      <c r="BP496" t="s">
        <v>228</v>
      </c>
      <c r="BQ496" t="s">
        <v>228</v>
      </c>
      <c r="BR496" t="s">
        <v>228</v>
      </c>
      <c r="BS496" t="s">
        <v>409</v>
      </c>
      <c r="BT496">
        <v>1</v>
      </c>
    </row>
    <row r="497" spans="1:72" x14ac:dyDescent="0.15">
      <c r="A497" s="43">
        <v>2023</v>
      </c>
      <c r="B497" s="8">
        <v>1</v>
      </c>
      <c r="C497" s="8">
        <v>1</v>
      </c>
      <c r="D497" s="8">
        <v>7</v>
      </c>
      <c r="E497" s="8" t="s">
        <v>228</v>
      </c>
      <c r="F497" s="8" t="s">
        <v>57</v>
      </c>
      <c r="G497" s="8">
        <v>2016</v>
      </c>
      <c r="H497" s="8">
        <v>12</v>
      </c>
      <c r="I497" s="8" t="s">
        <v>521</v>
      </c>
      <c r="J497" s="8" t="s">
        <v>228</v>
      </c>
      <c r="K497" s="8">
        <v>1953</v>
      </c>
      <c r="L497" s="17">
        <v>1</v>
      </c>
      <c r="M497" s="8">
        <v>1</v>
      </c>
      <c r="N497" s="8" t="s">
        <v>49</v>
      </c>
      <c r="O497" s="8" t="s">
        <v>283</v>
      </c>
      <c r="P497" s="8" t="s">
        <v>280</v>
      </c>
      <c r="Q497" s="8">
        <v>20000</v>
      </c>
      <c r="R497" s="8" t="s">
        <v>59</v>
      </c>
      <c r="S497" s="8" t="s">
        <v>54</v>
      </c>
      <c r="T497" s="8" t="s">
        <v>69</v>
      </c>
      <c r="U497" s="8" t="s">
        <v>228</v>
      </c>
      <c r="V497" s="8">
        <v>500</v>
      </c>
      <c r="W497" s="8" t="s">
        <v>328</v>
      </c>
      <c r="X497" s="8">
        <v>3000</v>
      </c>
      <c r="Y497" s="8" t="s">
        <v>394</v>
      </c>
      <c r="Z497" s="8">
        <v>85</v>
      </c>
      <c r="AA497" s="8" t="s">
        <v>278</v>
      </c>
      <c r="AB497" s="8" t="s">
        <v>228</v>
      </c>
      <c r="AC497" s="8" t="s">
        <v>228</v>
      </c>
      <c r="AD497" s="8" t="s">
        <v>228</v>
      </c>
      <c r="AE497" s="8" t="s">
        <v>228</v>
      </c>
      <c r="AF497" s="8" t="s">
        <v>228</v>
      </c>
      <c r="AG497" s="8" t="s">
        <v>228</v>
      </c>
      <c r="AH497" s="8" t="s">
        <v>228</v>
      </c>
      <c r="AI497" s="8" t="s">
        <v>228</v>
      </c>
      <c r="AJ497" t="s">
        <v>468</v>
      </c>
      <c r="AK497">
        <v>1</v>
      </c>
      <c r="AL497">
        <v>1</v>
      </c>
      <c r="AM497" t="s">
        <v>94</v>
      </c>
      <c r="AN497" t="s">
        <v>228</v>
      </c>
      <c r="AO497" t="s">
        <v>526</v>
      </c>
      <c r="AP497" t="s">
        <v>109</v>
      </c>
      <c r="AQ497">
        <v>12</v>
      </c>
      <c r="AR497" t="s">
        <v>521</v>
      </c>
      <c r="AS497" t="s">
        <v>228</v>
      </c>
      <c r="AT497" t="s">
        <v>170</v>
      </c>
      <c r="AU497">
        <v>1</v>
      </c>
      <c r="AV497">
        <v>1</v>
      </c>
      <c r="AW497" t="s">
        <v>537</v>
      </c>
      <c r="AX497" t="s">
        <v>283</v>
      </c>
      <c r="AY497" t="s">
        <v>280</v>
      </c>
      <c r="AZ497">
        <v>5</v>
      </c>
      <c r="BA497" t="s">
        <v>533</v>
      </c>
      <c r="BB497" t="s">
        <v>541</v>
      </c>
      <c r="BC497" t="s">
        <v>395</v>
      </c>
      <c r="BD497" t="s">
        <v>228</v>
      </c>
      <c r="BE497" t="s">
        <v>522</v>
      </c>
      <c r="BF497" t="s">
        <v>523</v>
      </c>
      <c r="BG497" t="s">
        <v>407</v>
      </c>
      <c r="BH497" t="s">
        <v>551</v>
      </c>
      <c r="BI497" t="s">
        <v>524</v>
      </c>
      <c r="BJ497" t="s">
        <v>228</v>
      </c>
      <c r="BK497" t="s">
        <v>228</v>
      </c>
      <c r="BL497" t="s">
        <v>228</v>
      </c>
      <c r="BM497" t="s">
        <v>228</v>
      </c>
      <c r="BN497" t="s">
        <v>228</v>
      </c>
      <c r="BO497" t="s">
        <v>228</v>
      </c>
      <c r="BP497" t="s">
        <v>228</v>
      </c>
      <c r="BQ497" t="s">
        <v>228</v>
      </c>
      <c r="BR497" t="s">
        <v>228</v>
      </c>
      <c r="BS497" t="s">
        <v>409</v>
      </c>
      <c r="BT497">
        <v>1</v>
      </c>
    </row>
    <row r="498" spans="1:72" x14ac:dyDescent="0.15">
      <c r="A498" s="43">
        <v>2023</v>
      </c>
      <c r="B498" s="8">
        <v>1</v>
      </c>
      <c r="C498" s="8">
        <v>1</v>
      </c>
      <c r="D498" s="8">
        <v>7</v>
      </c>
      <c r="E498" s="8" t="s">
        <v>228</v>
      </c>
      <c r="F498" s="8" t="s">
        <v>57</v>
      </c>
      <c r="G498" s="8">
        <v>2016</v>
      </c>
      <c r="H498" s="8">
        <v>12</v>
      </c>
      <c r="I498" s="8" t="s">
        <v>521</v>
      </c>
      <c r="J498" s="8" t="s">
        <v>228</v>
      </c>
      <c r="K498" s="8">
        <v>1953</v>
      </c>
      <c r="L498" s="17">
        <v>1</v>
      </c>
      <c r="M498" s="8">
        <v>1</v>
      </c>
      <c r="N498" s="8" t="s">
        <v>49</v>
      </c>
      <c r="O498" s="8" t="s">
        <v>283</v>
      </c>
      <c r="P498" s="8" t="s">
        <v>280</v>
      </c>
      <c r="Q498" s="8">
        <v>20000</v>
      </c>
      <c r="R498" s="8" t="s">
        <v>59</v>
      </c>
      <c r="S498" s="8" t="s">
        <v>54</v>
      </c>
      <c r="T498" s="8" t="s">
        <v>69</v>
      </c>
      <c r="U498" s="8" t="s">
        <v>228</v>
      </c>
      <c r="V498" s="8">
        <v>500</v>
      </c>
      <c r="W498" s="8" t="s">
        <v>328</v>
      </c>
      <c r="X498" s="8">
        <v>3000</v>
      </c>
      <c r="Y498" s="8" t="s">
        <v>271</v>
      </c>
      <c r="Z498" s="8">
        <v>85</v>
      </c>
      <c r="AA498" s="8" t="s">
        <v>278</v>
      </c>
      <c r="AB498" s="8" t="s">
        <v>228</v>
      </c>
      <c r="AC498" s="8" t="s">
        <v>228</v>
      </c>
      <c r="AD498" s="8" t="s">
        <v>228</v>
      </c>
      <c r="AE498" s="8" t="s">
        <v>228</v>
      </c>
      <c r="AF498" s="8" t="s">
        <v>228</v>
      </c>
      <c r="AG498" s="8" t="s">
        <v>228</v>
      </c>
      <c r="AH498" s="8" t="s">
        <v>228</v>
      </c>
      <c r="AI498" s="8" t="s">
        <v>228</v>
      </c>
      <c r="AJ498" t="s">
        <v>468</v>
      </c>
      <c r="AK498">
        <v>1</v>
      </c>
      <c r="AL498">
        <v>1</v>
      </c>
      <c r="AM498" t="s">
        <v>94</v>
      </c>
      <c r="AN498" t="s">
        <v>228</v>
      </c>
      <c r="AO498" t="s">
        <v>526</v>
      </c>
      <c r="AP498" t="s">
        <v>109</v>
      </c>
      <c r="AQ498">
        <v>12</v>
      </c>
      <c r="AR498" t="s">
        <v>521</v>
      </c>
      <c r="AS498" t="s">
        <v>228</v>
      </c>
      <c r="AT498" t="s">
        <v>170</v>
      </c>
      <c r="AU498">
        <v>1</v>
      </c>
      <c r="AV498">
        <v>1</v>
      </c>
      <c r="AW498" t="s">
        <v>537</v>
      </c>
      <c r="AX498" t="s">
        <v>283</v>
      </c>
      <c r="AY498" t="s">
        <v>280</v>
      </c>
      <c r="AZ498">
        <v>5</v>
      </c>
      <c r="BA498" t="s">
        <v>533</v>
      </c>
      <c r="BB498" t="s">
        <v>541</v>
      </c>
      <c r="BC498" t="s">
        <v>395</v>
      </c>
      <c r="BD498" t="s">
        <v>228</v>
      </c>
      <c r="BE498" t="s">
        <v>522</v>
      </c>
      <c r="BF498" t="s">
        <v>523</v>
      </c>
      <c r="BG498" t="s">
        <v>407</v>
      </c>
      <c r="BH498" t="s">
        <v>544</v>
      </c>
      <c r="BI498" t="s">
        <v>524</v>
      </c>
      <c r="BJ498" t="s">
        <v>228</v>
      </c>
      <c r="BK498" t="s">
        <v>228</v>
      </c>
      <c r="BL498" t="s">
        <v>228</v>
      </c>
      <c r="BM498" t="s">
        <v>228</v>
      </c>
      <c r="BN498" t="s">
        <v>228</v>
      </c>
      <c r="BO498" t="s">
        <v>228</v>
      </c>
      <c r="BP498" t="s">
        <v>228</v>
      </c>
      <c r="BQ498" t="s">
        <v>228</v>
      </c>
      <c r="BR498" t="s">
        <v>228</v>
      </c>
      <c r="BS498" t="s">
        <v>409</v>
      </c>
      <c r="BT498">
        <v>0</v>
      </c>
    </row>
    <row r="499" spans="1:72" x14ac:dyDescent="0.15">
      <c r="A499" s="43">
        <v>2023</v>
      </c>
      <c r="B499" s="8">
        <v>1</v>
      </c>
      <c r="C499" s="8">
        <v>1</v>
      </c>
      <c r="D499" s="8">
        <v>20</v>
      </c>
      <c r="E499" s="8" t="s">
        <v>67</v>
      </c>
      <c r="F499" s="8" t="s">
        <v>57</v>
      </c>
      <c r="G499" s="8">
        <v>2016</v>
      </c>
      <c r="H499" s="8">
        <v>12</v>
      </c>
      <c r="I499" s="8" t="s">
        <v>521</v>
      </c>
      <c r="J499" s="8" t="s">
        <v>228</v>
      </c>
      <c r="K499" s="8">
        <v>1953</v>
      </c>
      <c r="L499" s="17">
        <v>1</v>
      </c>
      <c r="M499" s="8">
        <v>1</v>
      </c>
      <c r="N499" s="8" t="s">
        <v>49</v>
      </c>
      <c r="O499" s="8" t="s">
        <v>283</v>
      </c>
      <c r="P499" s="8" t="s">
        <v>280</v>
      </c>
      <c r="Q499" s="8">
        <v>20000</v>
      </c>
      <c r="R499" s="8" t="s">
        <v>59</v>
      </c>
      <c r="S499" s="8" t="s">
        <v>54</v>
      </c>
      <c r="T499" s="8" t="s">
        <v>69</v>
      </c>
      <c r="U499" s="8" t="s">
        <v>228</v>
      </c>
      <c r="V499" s="8">
        <v>500</v>
      </c>
      <c r="W499" s="8" t="s">
        <v>328</v>
      </c>
      <c r="X499" s="8">
        <v>3000</v>
      </c>
      <c r="Y499" s="8" t="s">
        <v>268</v>
      </c>
      <c r="Z499" s="8">
        <v>85</v>
      </c>
      <c r="AA499" s="8" t="s">
        <v>278</v>
      </c>
      <c r="AB499" s="8" t="s">
        <v>228</v>
      </c>
      <c r="AC499" s="8" t="s">
        <v>228</v>
      </c>
      <c r="AD499" s="8" t="s">
        <v>228</v>
      </c>
      <c r="AE499" s="8" t="s">
        <v>228</v>
      </c>
      <c r="AF499" s="8" t="s">
        <v>228</v>
      </c>
      <c r="AG499" s="8" t="s">
        <v>228</v>
      </c>
      <c r="AH499" s="8" t="s">
        <v>228</v>
      </c>
      <c r="AI499" s="8" t="s">
        <v>228</v>
      </c>
      <c r="AJ499" t="s">
        <v>468</v>
      </c>
      <c r="AK499">
        <v>1</v>
      </c>
      <c r="AL499">
        <v>1</v>
      </c>
      <c r="AM499" t="s">
        <v>81</v>
      </c>
      <c r="AN499" t="s">
        <v>67</v>
      </c>
      <c r="AO499" t="s">
        <v>526</v>
      </c>
      <c r="AP499" t="s">
        <v>109</v>
      </c>
      <c r="AQ499">
        <v>12</v>
      </c>
      <c r="AR499" t="s">
        <v>521</v>
      </c>
      <c r="AS499" t="s">
        <v>228</v>
      </c>
      <c r="AT499" t="s">
        <v>170</v>
      </c>
      <c r="AU499">
        <v>1</v>
      </c>
      <c r="AV499">
        <v>1</v>
      </c>
      <c r="AW499" t="s">
        <v>537</v>
      </c>
      <c r="AX499" t="s">
        <v>283</v>
      </c>
      <c r="AY499" t="s">
        <v>280</v>
      </c>
      <c r="AZ499">
        <v>5</v>
      </c>
      <c r="BA499" t="s">
        <v>533</v>
      </c>
      <c r="BB499" t="s">
        <v>541</v>
      </c>
      <c r="BC499" t="s">
        <v>395</v>
      </c>
      <c r="BD499" t="s">
        <v>228</v>
      </c>
      <c r="BE499" t="s">
        <v>522</v>
      </c>
      <c r="BF499" t="s">
        <v>523</v>
      </c>
      <c r="BG499" t="s">
        <v>407</v>
      </c>
      <c r="BH499" t="s">
        <v>396</v>
      </c>
      <c r="BI499" t="s">
        <v>524</v>
      </c>
      <c r="BJ499" t="s">
        <v>228</v>
      </c>
      <c r="BK499" t="s">
        <v>228</v>
      </c>
      <c r="BL499" t="s">
        <v>228</v>
      </c>
      <c r="BM499" t="s">
        <v>228</v>
      </c>
      <c r="BN499" t="s">
        <v>228</v>
      </c>
      <c r="BO499" t="s">
        <v>228</v>
      </c>
      <c r="BP499" t="s">
        <v>228</v>
      </c>
      <c r="BQ499" t="s">
        <v>228</v>
      </c>
      <c r="BR499" t="s">
        <v>228</v>
      </c>
      <c r="BS499" t="s">
        <v>409</v>
      </c>
      <c r="BT499">
        <v>1</v>
      </c>
    </row>
    <row r="500" spans="1:72" x14ac:dyDescent="0.15">
      <c r="A500" s="43">
        <v>2023</v>
      </c>
      <c r="B500" s="8">
        <v>1</v>
      </c>
      <c r="C500" s="8">
        <v>1</v>
      </c>
      <c r="D500" s="8">
        <v>20</v>
      </c>
      <c r="E500" s="8" t="s">
        <v>67</v>
      </c>
      <c r="F500" s="8" t="s">
        <v>57</v>
      </c>
      <c r="G500" s="8">
        <v>2016</v>
      </c>
      <c r="H500" s="8">
        <v>12</v>
      </c>
      <c r="I500" s="8" t="s">
        <v>521</v>
      </c>
      <c r="J500" s="8" t="s">
        <v>228</v>
      </c>
      <c r="K500" s="8">
        <v>1953</v>
      </c>
      <c r="L500" s="17">
        <v>1</v>
      </c>
      <c r="M500" s="8">
        <v>1</v>
      </c>
      <c r="N500" s="8" t="s">
        <v>49</v>
      </c>
      <c r="O500" s="8" t="s">
        <v>283</v>
      </c>
      <c r="P500" s="8" t="s">
        <v>280</v>
      </c>
      <c r="Q500" s="8">
        <v>20000</v>
      </c>
      <c r="R500" s="8" t="s">
        <v>59</v>
      </c>
      <c r="S500" s="8" t="s">
        <v>54</v>
      </c>
      <c r="T500" s="8" t="s">
        <v>69</v>
      </c>
      <c r="U500" s="8" t="s">
        <v>228</v>
      </c>
      <c r="V500" s="8">
        <v>500</v>
      </c>
      <c r="W500" s="8" t="s">
        <v>328</v>
      </c>
      <c r="X500" s="8">
        <v>3000</v>
      </c>
      <c r="Y500" s="8" t="s">
        <v>394</v>
      </c>
      <c r="Z500" s="8">
        <v>85</v>
      </c>
      <c r="AA500" s="8" t="s">
        <v>278</v>
      </c>
      <c r="AB500" s="8" t="s">
        <v>228</v>
      </c>
      <c r="AC500" s="8" t="s">
        <v>228</v>
      </c>
      <c r="AD500" s="8" t="s">
        <v>228</v>
      </c>
      <c r="AE500" s="8" t="s">
        <v>228</v>
      </c>
      <c r="AF500" s="8" t="s">
        <v>228</v>
      </c>
      <c r="AG500" s="8" t="s">
        <v>228</v>
      </c>
      <c r="AH500" s="8" t="s">
        <v>228</v>
      </c>
      <c r="AI500" s="8" t="s">
        <v>228</v>
      </c>
      <c r="AJ500" t="s">
        <v>468</v>
      </c>
      <c r="AK500">
        <v>1</v>
      </c>
      <c r="AL500">
        <v>1</v>
      </c>
      <c r="AM500" t="s">
        <v>81</v>
      </c>
      <c r="AN500" t="s">
        <v>67</v>
      </c>
      <c r="AO500" t="s">
        <v>526</v>
      </c>
      <c r="AP500" t="s">
        <v>109</v>
      </c>
      <c r="AQ500">
        <v>12</v>
      </c>
      <c r="AR500" t="s">
        <v>521</v>
      </c>
      <c r="AS500" t="s">
        <v>228</v>
      </c>
      <c r="AT500" t="s">
        <v>170</v>
      </c>
      <c r="AU500">
        <v>1</v>
      </c>
      <c r="AV500">
        <v>1</v>
      </c>
      <c r="AW500" t="s">
        <v>537</v>
      </c>
      <c r="AX500" t="s">
        <v>283</v>
      </c>
      <c r="AY500" t="s">
        <v>280</v>
      </c>
      <c r="AZ500">
        <v>5</v>
      </c>
      <c r="BA500" t="s">
        <v>533</v>
      </c>
      <c r="BB500" t="s">
        <v>541</v>
      </c>
      <c r="BC500" t="s">
        <v>395</v>
      </c>
      <c r="BD500" t="s">
        <v>228</v>
      </c>
      <c r="BE500" t="s">
        <v>522</v>
      </c>
      <c r="BF500" t="s">
        <v>523</v>
      </c>
      <c r="BG500" t="s">
        <v>407</v>
      </c>
      <c r="BH500" t="s">
        <v>551</v>
      </c>
      <c r="BI500" t="s">
        <v>524</v>
      </c>
      <c r="BJ500" t="s">
        <v>228</v>
      </c>
      <c r="BK500" t="s">
        <v>228</v>
      </c>
      <c r="BL500" t="s">
        <v>228</v>
      </c>
      <c r="BM500" t="s">
        <v>228</v>
      </c>
      <c r="BN500" t="s">
        <v>228</v>
      </c>
      <c r="BO500" t="s">
        <v>228</v>
      </c>
      <c r="BP500" t="s">
        <v>228</v>
      </c>
      <c r="BQ500" t="s">
        <v>228</v>
      </c>
      <c r="BR500" t="s">
        <v>228</v>
      </c>
      <c r="BS500" t="s">
        <v>409</v>
      </c>
      <c r="BT500">
        <v>1</v>
      </c>
    </row>
    <row r="501" spans="1:72" x14ac:dyDescent="0.15">
      <c r="A501" s="43">
        <v>2023</v>
      </c>
      <c r="B501" s="8">
        <v>1</v>
      </c>
      <c r="C501" s="8">
        <v>1</v>
      </c>
      <c r="D501" s="8">
        <v>20</v>
      </c>
      <c r="E501" s="8" t="s">
        <v>67</v>
      </c>
      <c r="F501" s="8" t="s">
        <v>57</v>
      </c>
      <c r="G501" s="8">
        <v>2016</v>
      </c>
      <c r="H501" s="8">
        <v>12</v>
      </c>
      <c r="I501" s="8" t="s">
        <v>521</v>
      </c>
      <c r="J501" s="8" t="s">
        <v>228</v>
      </c>
      <c r="K501" s="8">
        <v>1953</v>
      </c>
      <c r="L501" s="17">
        <v>1</v>
      </c>
      <c r="M501" s="8">
        <v>1</v>
      </c>
      <c r="N501" s="8" t="s">
        <v>49</v>
      </c>
      <c r="O501" s="8" t="s">
        <v>283</v>
      </c>
      <c r="P501" s="8" t="s">
        <v>280</v>
      </c>
      <c r="Q501" s="8">
        <v>20000</v>
      </c>
      <c r="R501" s="8" t="s">
        <v>59</v>
      </c>
      <c r="S501" s="8" t="s">
        <v>54</v>
      </c>
      <c r="T501" s="8" t="s">
        <v>69</v>
      </c>
      <c r="U501" s="8" t="s">
        <v>228</v>
      </c>
      <c r="V501" s="8">
        <v>500</v>
      </c>
      <c r="W501" s="8" t="s">
        <v>328</v>
      </c>
      <c r="X501" s="8">
        <v>3000</v>
      </c>
      <c r="Y501" s="8" t="s">
        <v>271</v>
      </c>
      <c r="Z501" s="8">
        <v>85</v>
      </c>
      <c r="AA501" s="8" t="s">
        <v>278</v>
      </c>
      <c r="AB501" s="8" t="s">
        <v>228</v>
      </c>
      <c r="AC501" s="8" t="s">
        <v>228</v>
      </c>
      <c r="AD501" s="8" t="s">
        <v>228</v>
      </c>
      <c r="AE501" s="8" t="s">
        <v>228</v>
      </c>
      <c r="AF501" s="8" t="s">
        <v>228</v>
      </c>
      <c r="AG501" s="8" t="s">
        <v>228</v>
      </c>
      <c r="AH501" s="8" t="s">
        <v>228</v>
      </c>
      <c r="AI501" s="8" t="s">
        <v>228</v>
      </c>
      <c r="AJ501" t="s">
        <v>468</v>
      </c>
      <c r="AK501">
        <v>1</v>
      </c>
      <c r="AL501">
        <v>1</v>
      </c>
      <c r="AM501" t="s">
        <v>81</v>
      </c>
      <c r="AN501" t="s">
        <v>67</v>
      </c>
      <c r="AO501" t="s">
        <v>526</v>
      </c>
      <c r="AP501" t="s">
        <v>109</v>
      </c>
      <c r="AQ501">
        <v>12</v>
      </c>
      <c r="AR501" t="s">
        <v>521</v>
      </c>
      <c r="AS501" t="s">
        <v>228</v>
      </c>
      <c r="AT501" t="s">
        <v>170</v>
      </c>
      <c r="AU501">
        <v>1</v>
      </c>
      <c r="AV501">
        <v>1</v>
      </c>
      <c r="AW501" t="s">
        <v>537</v>
      </c>
      <c r="AX501" t="s">
        <v>283</v>
      </c>
      <c r="AY501" t="s">
        <v>280</v>
      </c>
      <c r="AZ501">
        <v>5</v>
      </c>
      <c r="BA501" t="s">
        <v>533</v>
      </c>
      <c r="BB501" t="s">
        <v>541</v>
      </c>
      <c r="BC501" t="s">
        <v>395</v>
      </c>
      <c r="BD501" t="s">
        <v>228</v>
      </c>
      <c r="BE501" t="s">
        <v>522</v>
      </c>
      <c r="BF501" t="s">
        <v>523</v>
      </c>
      <c r="BG501" t="s">
        <v>407</v>
      </c>
      <c r="BH501" t="s">
        <v>544</v>
      </c>
      <c r="BI501" t="s">
        <v>524</v>
      </c>
      <c r="BJ501" t="s">
        <v>228</v>
      </c>
      <c r="BK501" t="s">
        <v>228</v>
      </c>
      <c r="BL501" t="s">
        <v>228</v>
      </c>
      <c r="BM501" t="s">
        <v>228</v>
      </c>
      <c r="BN501" t="s">
        <v>228</v>
      </c>
      <c r="BO501" t="s">
        <v>228</v>
      </c>
      <c r="BP501" t="s">
        <v>228</v>
      </c>
      <c r="BQ501" t="s">
        <v>228</v>
      </c>
      <c r="BR501" t="s">
        <v>228</v>
      </c>
      <c r="BS501" t="s">
        <v>409</v>
      </c>
      <c r="BT501">
        <v>0</v>
      </c>
    </row>
    <row r="502" spans="1:72" x14ac:dyDescent="0.15">
      <c r="A502" s="43">
        <v>2023</v>
      </c>
      <c r="B502" s="8">
        <v>1</v>
      </c>
      <c r="C502" s="8">
        <v>1</v>
      </c>
      <c r="D502" s="8">
        <v>19</v>
      </c>
      <c r="E502" s="8" t="s">
        <v>67</v>
      </c>
      <c r="F502" s="8" t="s">
        <v>57</v>
      </c>
      <c r="G502" s="8">
        <v>2016</v>
      </c>
      <c r="H502" s="8">
        <v>12</v>
      </c>
      <c r="I502" s="8" t="s">
        <v>521</v>
      </c>
      <c r="J502" s="8" t="s">
        <v>228</v>
      </c>
      <c r="K502" s="8">
        <v>1953</v>
      </c>
      <c r="L502" s="17">
        <v>1</v>
      </c>
      <c r="M502" s="8">
        <v>1</v>
      </c>
      <c r="N502" s="8" t="s">
        <v>49</v>
      </c>
      <c r="O502" s="8" t="s">
        <v>283</v>
      </c>
      <c r="P502" s="8" t="s">
        <v>280</v>
      </c>
      <c r="Q502" s="8">
        <v>20000</v>
      </c>
      <c r="R502" s="8" t="s">
        <v>59</v>
      </c>
      <c r="S502" s="8" t="s">
        <v>54</v>
      </c>
      <c r="T502" s="8" t="s">
        <v>69</v>
      </c>
      <c r="U502" s="8" t="s">
        <v>228</v>
      </c>
      <c r="V502" s="8">
        <v>500</v>
      </c>
      <c r="W502" s="8" t="s">
        <v>328</v>
      </c>
      <c r="X502" s="8">
        <v>3000</v>
      </c>
      <c r="Y502" s="8" t="s">
        <v>268</v>
      </c>
      <c r="Z502" s="8">
        <v>85</v>
      </c>
      <c r="AA502" s="8" t="s">
        <v>278</v>
      </c>
      <c r="AB502" s="8" t="s">
        <v>228</v>
      </c>
      <c r="AC502" s="8" t="s">
        <v>228</v>
      </c>
      <c r="AD502" s="8" t="s">
        <v>228</v>
      </c>
      <c r="AE502" s="8" t="s">
        <v>228</v>
      </c>
      <c r="AF502" s="8" t="s">
        <v>228</v>
      </c>
      <c r="AG502" s="8" t="s">
        <v>228</v>
      </c>
      <c r="AH502" s="8" t="s">
        <v>228</v>
      </c>
      <c r="AI502" s="8" t="s">
        <v>228</v>
      </c>
      <c r="AJ502" t="s">
        <v>468</v>
      </c>
      <c r="AK502">
        <v>1</v>
      </c>
      <c r="AL502">
        <v>1</v>
      </c>
      <c r="AM502" t="s">
        <v>82</v>
      </c>
      <c r="AN502" t="s">
        <v>67</v>
      </c>
      <c r="AO502" t="s">
        <v>526</v>
      </c>
      <c r="AP502" t="s">
        <v>109</v>
      </c>
      <c r="AQ502">
        <v>12</v>
      </c>
      <c r="AR502" t="s">
        <v>521</v>
      </c>
      <c r="AS502" t="s">
        <v>228</v>
      </c>
      <c r="AT502" t="s">
        <v>170</v>
      </c>
      <c r="AU502">
        <v>1</v>
      </c>
      <c r="AV502">
        <v>1</v>
      </c>
      <c r="AW502" t="s">
        <v>537</v>
      </c>
      <c r="AX502" t="s">
        <v>283</v>
      </c>
      <c r="AY502" t="s">
        <v>280</v>
      </c>
      <c r="AZ502">
        <v>5</v>
      </c>
      <c r="BA502" t="s">
        <v>533</v>
      </c>
      <c r="BB502" t="s">
        <v>541</v>
      </c>
      <c r="BC502" t="s">
        <v>395</v>
      </c>
      <c r="BD502" t="s">
        <v>228</v>
      </c>
      <c r="BE502" t="s">
        <v>522</v>
      </c>
      <c r="BF502" t="s">
        <v>523</v>
      </c>
      <c r="BG502" t="s">
        <v>407</v>
      </c>
      <c r="BH502" t="s">
        <v>396</v>
      </c>
      <c r="BI502" t="s">
        <v>524</v>
      </c>
      <c r="BJ502" t="s">
        <v>228</v>
      </c>
      <c r="BK502" t="s">
        <v>228</v>
      </c>
      <c r="BL502" t="s">
        <v>228</v>
      </c>
      <c r="BM502" t="s">
        <v>228</v>
      </c>
      <c r="BN502" t="s">
        <v>228</v>
      </c>
      <c r="BO502" t="s">
        <v>228</v>
      </c>
      <c r="BP502" t="s">
        <v>228</v>
      </c>
      <c r="BQ502" t="s">
        <v>228</v>
      </c>
      <c r="BR502" t="s">
        <v>228</v>
      </c>
      <c r="BS502" t="s">
        <v>409</v>
      </c>
      <c r="BT502">
        <v>1</v>
      </c>
    </row>
    <row r="503" spans="1:72" x14ac:dyDescent="0.15">
      <c r="A503" s="43">
        <v>2023</v>
      </c>
      <c r="B503" s="8">
        <v>1</v>
      </c>
      <c r="C503" s="8">
        <v>1</v>
      </c>
      <c r="D503" s="8">
        <v>19</v>
      </c>
      <c r="E503" s="8" t="s">
        <v>67</v>
      </c>
      <c r="F503" s="8" t="s">
        <v>57</v>
      </c>
      <c r="G503" s="8">
        <v>2016</v>
      </c>
      <c r="H503" s="8">
        <v>12</v>
      </c>
      <c r="I503" s="8" t="s">
        <v>521</v>
      </c>
      <c r="J503" s="8" t="s">
        <v>228</v>
      </c>
      <c r="K503" s="8">
        <v>1953</v>
      </c>
      <c r="L503" s="17">
        <v>1</v>
      </c>
      <c r="M503" s="8">
        <v>1</v>
      </c>
      <c r="N503" s="8" t="s">
        <v>49</v>
      </c>
      <c r="O503" s="8" t="s">
        <v>283</v>
      </c>
      <c r="P503" s="8" t="s">
        <v>280</v>
      </c>
      <c r="Q503" s="8">
        <v>20000</v>
      </c>
      <c r="R503" s="8" t="s">
        <v>59</v>
      </c>
      <c r="S503" s="8" t="s">
        <v>54</v>
      </c>
      <c r="T503" s="8" t="s">
        <v>69</v>
      </c>
      <c r="U503" s="8" t="s">
        <v>228</v>
      </c>
      <c r="V503" s="8">
        <v>500</v>
      </c>
      <c r="W503" s="8" t="s">
        <v>328</v>
      </c>
      <c r="X503" s="8">
        <v>3000</v>
      </c>
      <c r="Y503" s="8" t="s">
        <v>394</v>
      </c>
      <c r="Z503" s="8">
        <v>85</v>
      </c>
      <c r="AA503" s="8" t="s">
        <v>278</v>
      </c>
      <c r="AB503" s="8" t="s">
        <v>228</v>
      </c>
      <c r="AC503" s="8" t="s">
        <v>228</v>
      </c>
      <c r="AD503" s="8" t="s">
        <v>228</v>
      </c>
      <c r="AE503" s="8" t="s">
        <v>228</v>
      </c>
      <c r="AF503" s="8" t="s">
        <v>228</v>
      </c>
      <c r="AG503" s="8" t="s">
        <v>228</v>
      </c>
      <c r="AH503" s="8" t="s">
        <v>228</v>
      </c>
      <c r="AI503" s="8" t="s">
        <v>228</v>
      </c>
      <c r="AJ503" t="s">
        <v>468</v>
      </c>
      <c r="AK503">
        <v>1</v>
      </c>
      <c r="AL503">
        <v>1</v>
      </c>
      <c r="AM503" t="s">
        <v>82</v>
      </c>
      <c r="AN503" t="s">
        <v>67</v>
      </c>
      <c r="AO503" t="s">
        <v>526</v>
      </c>
      <c r="AP503" t="s">
        <v>109</v>
      </c>
      <c r="AQ503">
        <v>12</v>
      </c>
      <c r="AR503" t="s">
        <v>521</v>
      </c>
      <c r="AS503" t="s">
        <v>228</v>
      </c>
      <c r="AT503" t="s">
        <v>170</v>
      </c>
      <c r="AU503">
        <v>1</v>
      </c>
      <c r="AV503">
        <v>1</v>
      </c>
      <c r="AW503" t="s">
        <v>537</v>
      </c>
      <c r="AX503" t="s">
        <v>283</v>
      </c>
      <c r="AY503" t="s">
        <v>280</v>
      </c>
      <c r="AZ503">
        <v>5</v>
      </c>
      <c r="BA503" t="s">
        <v>533</v>
      </c>
      <c r="BB503" t="s">
        <v>541</v>
      </c>
      <c r="BC503" t="s">
        <v>395</v>
      </c>
      <c r="BD503" t="s">
        <v>228</v>
      </c>
      <c r="BE503" t="s">
        <v>522</v>
      </c>
      <c r="BF503" t="s">
        <v>523</v>
      </c>
      <c r="BG503" t="s">
        <v>407</v>
      </c>
      <c r="BH503" t="s">
        <v>551</v>
      </c>
      <c r="BI503" t="s">
        <v>524</v>
      </c>
      <c r="BJ503" t="s">
        <v>228</v>
      </c>
      <c r="BK503" t="s">
        <v>228</v>
      </c>
      <c r="BL503" t="s">
        <v>228</v>
      </c>
      <c r="BM503" t="s">
        <v>228</v>
      </c>
      <c r="BN503" t="s">
        <v>228</v>
      </c>
      <c r="BO503" t="s">
        <v>228</v>
      </c>
      <c r="BP503" t="s">
        <v>228</v>
      </c>
      <c r="BQ503" t="s">
        <v>228</v>
      </c>
      <c r="BR503" t="s">
        <v>228</v>
      </c>
      <c r="BS503" t="s">
        <v>409</v>
      </c>
      <c r="BT503">
        <v>1</v>
      </c>
    </row>
    <row r="504" spans="1:72" x14ac:dyDescent="0.15">
      <c r="A504" s="43">
        <v>2023</v>
      </c>
      <c r="B504" s="8">
        <v>1</v>
      </c>
      <c r="C504" s="8">
        <v>1</v>
      </c>
      <c r="D504" s="8">
        <v>19</v>
      </c>
      <c r="E504" s="8" t="s">
        <v>67</v>
      </c>
      <c r="F504" s="8" t="s">
        <v>57</v>
      </c>
      <c r="G504" s="8">
        <v>2016</v>
      </c>
      <c r="H504" s="8">
        <v>12</v>
      </c>
      <c r="I504" s="8" t="s">
        <v>521</v>
      </c>
      <c r="J504" s="8" t="s">
        <v>228</v>
      </c>
      <c r="K504" s="8">
        <v>1953</v>
      </c>
      <c r="L504" s="17">
        <v>1</v>
      </c>
      <c r="M504" s="8">
        <v>1</v>
      </c>
      <c r="N504" s="8" t="s">
        <v>49</v>
      </c>
      <c r="O504" s="8" t="s">
        <v>283</v>
      </c>
      <c r="P504" s="8" t="s">
        <v>280</v>
      </c>
      <c r="Q504" s="8">
        <v>20000</v>
      </c>
      <c r="R504" s="8" t="s">
        <v>59</v>
      </c>
      <c r="S504" s="8" t="s">
        <v>54</v>
      </c>
      <c r="T504" s="8" t="s">
        <v>69</v>
      </c>
      <c r="U504" s="8" t="s">
        <v>228</v>
      </c>
      <c r="V504" s="8">
        <v>500</v>
      </c>
      <c r="W504" s="8" t="s">
        <v>328</v>
      </c>
      <c r="X504" s="8">
        <v>3000</v>
      </c>
      <c r="Y504" s="8" t="s">
        <v>271</v>
      </c>
      <c r="Z504" s="8">
        <v>85</v>
      </c>
      <c r="AA504" s="8" t="s">
        <v>278</v>
      </c>
      <c r="AB504" s="8" t="s">
        <v>228</v>
      </c>
      <c r="AC504" s="8" t="s">
        <v>228</v>
      </c>
      <c r="AD504" s="8" t="s">
        <v>228</v>
      </c>
      <c r="AE504" s="8" t="s">
        <v>228</v>
      </c>
      <c r="AF504" s="8" t="s">
        <v>228</v>
      </c>
      <c r="AG504" s="8" t="s">
        <v>228</v>
      </c>
      <c r="AH504" s="8" t="s">
        <v>228</v>
      </c>
      <c r="AI504" s="8" t="s">
        <v>228</v>
      </c>
      <c r="AJ504" t="s">
        <v>468</v>
      </c>
      <c r="AK504">
        <v>1</v>
      </c>
      <c r="AL504">
        <v>1</v>
      </c>
      <c r="AM504" t="s">
        <v>82</v>
      </c>
      <c r="AN504" t="s">
        <v>67</v>
      </c>
      <c r="AO504" t="s">
        <v>526</v>
      </c>
      <c r="AP504" t="s">
        <v>109</v>
      </c>
      <c r="AQ504">
        <v>12</v>
      </c>
      <c r="AR504" t="s">
        <v>521</v>
      </c>
      <c r="AS504" t="s">
        <v>228</v>
      </c>
      <c r="AT504" t="s">
        <v>170</v>
      </c>
      <c r="AU504">
        <v>1</v>
      </c>
      <c r="AV504">
        <v>1</v>
      </c>
      <c r="AW504" t="s">
        <v>537</v>
      </c>
      <c r="AX504" t="s">
        <v>283</v>
      </c>
      <c r="AY504" t="s">
        <v>280</v>
      </c>
      <c r="AZ504">
        <v>5</v>
      </c>
      <c r="BA504" t="s">
        <v>533</v>
      </c>
      <c r="BB504" t="s">
        <v>541</v>
      </c>
      <c r="BC504" t="s">
        <v>395</v>
      </c>
      <c r="BD504" t="s">
        <v>228</v>
      </c>
      <c r="BE504" t="s">
        <v>522</v>
      </c>
      <c r="BF504" t="s">
        <v>523</v>
      </c>
      <c r="BG504" t="s">
        <v>407</v>
      </c>
      <c r="BH504" t="s">
        <v>544</v>
      </c>
      <c r="BI504" t="s">
        <v>524</v>
      </c>
      <c r="BJ504" t="s">
        <v>228</v>
      </c>
      <c r="BK504" t="s">
        <v>228</v>
      </c>
      <c r="BL504" t="s">
        <v>228</v>
      </c>
      <c r="BM504" t="s">
        <v>228</v>
      </c>
      <c r="BN504" t="s">
        <v>228</v>
      </c>
      <c r="BO504" t="s">
        <v>228</v>
      </c>
      <c r="BP504" t="s">
        <v>228</v>
      </c>
      <c r="BQ504" t="s">
        <v>228</v>
      </c>
      <c r="BR504" t="s">
        <v>228</v>
      </c>
      <c r="BS504" t="s">
        <v>409</v>
      </c>
      <c r="BT504">
        <v>0</v>
      </c>
    </row>
    <row r="505" spans="1:72" x14ac:dyDescent="0.15">
      <c r="A505" s="43">
        <v>2023</v>
      </c>
      <c r="B505" s="8">
        <v>1</v>
      </c>
      <c r="C505" s="8">
        <v>1</v>
      </c>
      <c r="D505" s="8">
        <v>18</v>
      </c>
      <c r="E505" s="8" t="s">
        <v>67</v>
      </c>
      <c r="F505" s="8" t="s">
        <v>57</v>
      </c>
      <c r="G505" s="8">
        <v>2016</v>
      </c>
      <c r="H505" s="8">
        <v>12</v>
      </c>
      <c r="I505" s="8" t="s">
        <v>521</v>
      </c>
      <c r="J505" s="8" t="s">
        <v>228</v>
      </c>
      <c r="K505" s="8">
        <v>1953</v>
      </c>
      <c r="L505" s="17">
        <v>1</v>
      </c>
      <c r="M505" s="8">
        <v>1</v>
      </c>
      <c r="N505" s="8" t="s">
        <v>49</v>
      </c>
      <c r="O505" s="8" t="s">
        <v>283</v>
      </c>
      <c r="P505" s="8" t="s">
        <v>280</v>
      </c>
      <c r="Q505" s="8">
        <v>20000</v>
      </c>
      <c r="R505" s="8" t="s">
        <v>59</v>
      </c>
      <c r="S505" s="8" t="s">
        <v>54</v>
      </c>
      <c r="T505" s="8" t="s">
        <v>69</v>
      </c>
      <c r="U505" s="8" t="s">
        <v>228</v>
      </c>
      <c r="V505" s="8">
        <v>500</v>
      </c>
      <c r="W505" s="8" t="s">
        <v>328</v>
      </c>
      <c r="X505" s="8">
        <v>3000</v>
      </c>
      <c r="Y505" s="8" t="s">
        <v>268</v>
      </c>
      <c r="Z505" s="8">
        <v>85</v>
      </c>
      <c r="AA505" s="8" t="s">
        <v>278</v>
      </c>
      <c r="AB505" s="8" t="s">
        <v>228</v>
      </c>
      <c r="AC505" s="8" t="s">
        <v>228</v>
      </c>
      <c r="AD505" s="8" t="s">
        <v>228</v>
      </c>
      <c r="AE505" s="8" t="s">
        <v>228</v>
      </c>
      <c r="AF505" s="8" t="s">
        <v>228</v>
      </c>
      <c r="AG505" s="8" t="s">
        <v>228</v>
      </c>
      <c r="AH505" s="8" t="s">
        <v>228</v>
      </c>
      <c r="AI505" s="8" t="s">
        <v>228</v>
      </c>
      <c r="AJ505" t="s">
        <v>468</v>
      </c>
      <c r="AK505">
        <v>1</v>
      </c>
      <c r="AL505">
        <v>1</v>
      </c>
      <c r="AM505" t="s">
        <v>83</v>
      </c>
      <c r="AN505" t="s">
        <v>67</v>
      </c>
      <c r="AO505" t="s">
        <v>526</v>
      </c>
      <c r="AP505" t="s">
        <v>109</v>
      </c>
      <c r="AQ505">
        <v>12</v>
      </c>
      <c r="AR505" t="s">
        <v>521</v>
      </c>
      <c r="AS505" t="s">
        <v>228</v>
      </c>
      <c r="AT505" t="s">
        <v>170</v>
      </c>
      <c r="AU505">
        <v>1</v>
      </c>
      <c r="AV505">
        <v>1</v>
      </c>
      <c r="AW505" t="s">
        <v>537</v>
      </c>
      <c r="AX505" t="s">
        <v>283</v>
      </c>
      <c r="AY505" t="s">
        <v>280</v>
      </c>
      <c r="AZ505">
        <v>5</v>
      </c>
      <c r="BA505" t="s">
        <v>533</v>
      </c>
      <c r="BB505" t="s">
        <v>541</v>
      </c>
      <c r="BC505" t="s">
        <v>395</v>
      </c>
      <c r="BD505" t="s">
        <v>228</v>
      </c>
      <c r="BE505" t="s">
        <v>522</v>
      </c>
      <c r="BF505" t="s">
        <v>523</v>
      </c>
      <c r="BG505" t="s">
        <v>407</v>
      </c>
      <c r="BH505" t="s">
        <v>396</v>
      </c>
      <c r="BI505" t="s">
        <v>524</v>
      </c>
      <c r="BJ505" t="s">
        <v>228</v>
      </c>
      <c r="BK505" t="s">
        <v>228</v>
      </c>
      <c r="BL505" t="s">
        <v>228</v>
      </c>
      <c r="BM505" t="s">
        <v>228</v>
      </c>
      <c r="BN505" t="s">
        <v>228</v>
      </c>
      <c r="BO505" t="s">
        <v>228</v>
      </c>
      <c r="BP505" t="s">
        <v>228</v>
      </c>
      <c r="BQ505" t="s">
        <v>228</v>
      </c>
      <c r="BR505" t="s">
        <v>228</v>
      </c>
      <c r="BS505" t="s">
        <v>409</v>
      </c>
      <c r="BT505">
        <v>1</v>
      </c>
    </row>
    <row r="506" spans="1:72" x14ac:dyDescent="0.15">
      <c r="A506" s="43">
        <v>2023</v>
      </c>
      <c r="B506" s="8">
        <v>1</v>
      </c>
      <c r="C506" s="8">
        <v>1</v>
      </c>
      <c r="D506" s="8">
        <v>18</v>
      </c>
      <c r="E506" s="8" t="s">
        <v>67</v>
      </c>
      <c r="F506" s="8" t="s">
        <v>57</v>
      </c>
      <c r="G506" s="8">
        <v>2016</v>
      </c>
      <c r="H506" s="8">
        <v>12</v>
      </c>
      <c r="I506" s="8" t="s">
        <v>521</v>
      </c>
      <c r="J506" s="8" t="s">
        <v>228</v>
      </c>
      <c r="K506" s="8">
        <v>1953</v>
      </c>
      <c r="L506" s="17">
        <v>1</v>
      </c>
      <c r="M506" s="8">
        <v>1</v>
      </c>
      <c r="N506" s="8" t="s">
        <v>49</v>
      </c>
      <c r="O506" s="8" t="s">
        <v>283</v>
      </c>
      <c r="P506" s="8" t="s">
        <v>280</v>
      </c>
      <c r="Q506" s="8">
        <v>20000</v>
      </c>
      <c r="R506" s="8" t="s">
        <v>59</v>
      </c>
      <c r="S506" s="8" t="s">
        <v>54</v>
      </c>
      <c r="T506" s="8" t="s">
        <v>69</v>
      </c>
      <c r="U506" s="8" t="s">
        <v>228</v>
      </c>
      <c r="V506" s="8">
        <v>500</v>
      </c>
      <c r="W506" s="8" t="s">
        <v>328</v>
      </c>
      <c r="X506" s="8">
        <v>3000</v>
      </c>
      <c r="Y506" s="8" t="s">
        <v>394</v>
      </c>
      <c r="Z506" s="8">
        <v>85</v>
      </c>
      <c r="AA506" s="8" t="s">
        <v>278</v>
      </c>
      <c r="AB506" s="8" t="s">
        <v>228</v>
      </c>
      <c r="AC506" s="8" t="s">
        <v>228</v>
      </c>
      <c r="AD506" s="8" t="s">
        <v>228</v>
      </c>
      <c r="AE506" s="8" t="s">
        <v>228</v>
      </c>
      <c r="AF506" s="8" t="s">
        <v>228</v>
      </c>
      <c r="AG506" s="8" t="s">
        <v>228</v>
      </c>
      <c r="AH506" s="8" t="s">
        <v>228</v>
      </c>
      <c r="AI506" s="8" t="s">
        <v>228</v>
      </c>
      <c r="AJ506" t="s">
        <v>468</v>
      </c>
      <c r="AK506">
        <v>1</v>
      </c>
      <c r="AL506">
        <v>1</v>
      </c>
      <c r="AM506" t="s">
        <v>83</v>
      </c>
      <c r="AN506" t="s">
        <v>67</v>
      </c>
      <c r="AO506" t="s">
        <v>526</v>
      </c>
      <c r="AP506" t="s">
        <v>109</v>
      </c>
      <c r="AQ506">
        <v>12</v>
      </c>
      <c r="AR506" t="s">
        <v>521</v>
      </c>
      <c r="AS506" t="s">
        <v>228</v>
      </c>
      <c r="AT506" t="s">
        <v>170</v>
      </c>
      <c r="AU506">
        <v>1</v>
      </c>
      <c r="AV506">
        <v>1</v>
      </c>
      <c r="AW506" t="s">
        <v>537</v>
      </c>
      <c r="AX506" t="s">
        <v>283</v>
      </c>
      <c r="AY506" t="s">
        <v>280</v>
      </c>
      <c r="AZ506">
        <v>5</v>
      </c>
      <c r="BA506" t="s">
        <v>533</v>
      </c>
      <c r="BB506" t="s">
        <v>541</v>
      </c>
      <c r="BC506" t="s">
        <v>395</v>
      </c>
      <c r="BD506" t="s">
        <v>228</v>
      </c>
      <c r="BE506" t="s">
        <v>522</v>
      </c>
      <c r="BF506" t="s">
        <v>523</v>
      </c>
      <c r="BG506" t="s">
        <v>407</v>
      </c>
      <c r="BH506" t="s">
        <v>551</v>
      </c>
      <c r="BI506" t="s">
        <v>524</v>
      </c>
      <c r="BJ506" t="s">
        <v>228</v>
      </c>
      <c r="BK506" t="s">
        <v>228</v>
      </c>
      <c r="BL506" t="s">
        <v>228</v>
      </c>
      <c r="BM506" t="s">
        <v>228</v>
      </c>
      <c r="BN506" t="s">
        <v>228</v>
      </c>
      <c r="BO506" t="s">
        <v>228</v>
      </c>
      <c r="BP506" t="s">
        <v>228</v>
      </c>
      <c r="BQ506" t="s">
        <v>228</v>
      </c>
      <c r="BR506" t="s">
        <v>228</v>
      </c>
      <c r="BS506" t="s">
        <v>409</v>
      </c>
      <c r="BT506">
        <v>1</v>
      </c>
    </row>
    <row r="507" spans="1:72" x14ac:dyDescent="0.15">
      <c r="A507" s="43">
        <v>2023</v>
      </c>
      <c r="B507" s="8">
        <v>1</v>
      </c>
      <c r="C507" s="8">
        <v>1</v>
      </c>
      <c r="D507" s="8">
        <v>18</v>
      </c>
      <c r="E507" s="8" t="s">
        <v>67</v>
      </c>
      <c r="F507" s="8" t="s">
        <v>57</v>
      </c>
      <c r="G507" s="8">
        <v>2016</v>
      </c>
      <c r="H507" s="8">
        <v>12</v>
      </c>
      <c r="I507" s="8" t="s">
        <v>521</v>
      </c>
      <c r="J507" s="8" t="s">
        <v>228</v>
      </c>
      <c r="K507" s="8">
        <v>1953</v>
      </c>
      <c r="L507" s="17">
        <v>1</v>
      </c>
      <c r="M507" s="8">
        <v>1</v>
      </c>
      <c r="N507" s="8" t="s">
        <v>49</v>
      </c>
      <c r="O507" s="8" t="s">
        <v>283</v>
      </c>
      <c r="P507" s="8" t="s">
        <v>280</v>
      </c>
      <c r="Q507" s="8">
        <v>20000</v>
      </c>
      <c r="R507" s="8" t="s">
        <v>59</v>
      </c>
      <c r="S507" s="8" t="s">
        <v>54</v>
      </c>
      <c r="T507" s="8" t="s">
        <v>69</v>
      </c>
      <c r="U507" s="8" t="s">
        <v>228</v>
      </c>
      <c r="V507" s="8">
        <v>500</v>
      </c>
      <c r="W507" s="8" t="s">
        <v>328</v>
      </c>
      <c r="X507" s="8">
        <v>3000</v>
      </c>
      <c r="Y507" s="8" t="s">
        <v>271</v>
      </c>
      <c r="Z507" s="8">
        <v>85</v>
      </c>
      <c r="AA507" s="8" t="s">
        <v>278</v>
      </c>
      <c r="AB507" s="8" t="s">
        <v>228</v>
      </c>
      <c r="AC507" s="8" t="s">
        <v>228</v>
      </c>
      <c r="AD507" s="8" t="s">
        <v>228</v>
      </c>
      <c r="AE507" s="8" t="s">
        <v>228</v>
      </c>
      <c r="AF507" s="8" t="s">
        <v>228</v>
      </c>
      <c r="AG507" s="8" t="s">
        <v>228</v>
      </c>
      <c r="AH507" s="8" t="s">
        <v>228</v>
      </c>
      <c r="AI507" s="8" t="s">
        <v>228</v>
      </c>
      <c r="AJ507" t="s">
        <v>468</v>
      </c>
      <c r="AK507">
        <v>1</v>
      </c>
      <c r="AL507">
        <v>1</v>
      </c>
      <c r="AM507" t="s">
        <v>83</v>
      </c>
      <c r="AN507" t="s">
        <v>67</v>
      </c>
      <c r="AO507" t="s">
        <v>526</v>
      </c>
      <c r="AP507" t="s">
        <v>109</v>
      </c>
      <c r="AQ507">
        <v>12</v>
      </c>
      <c r="AR507" t="s">
        <v>521</v>
      </c>
      <c r="AS507" t="s">
        <v>228</v>
      </c>
      <c r="AT507" t="s">
        <v>170</v>
      </c>
      <c r="AU507">
        <v>1</v>
      </c>
      <c r="AV507">
        <v>1</v>
      </c>
      <c r="AW507" t="s">
        <v>537</v>
      </c>
      <c r="AX507" t="s">
        <v>283</v>
      </c>
      <c r="AY507" t="s">
        <v>280</v>
      </c>
      <c r="AZ507">
        <v>5</v>
      </c>
      <c r="BA507" t="s">
        <v>533</v>
      </c>
      <c r="BB507" t="s">
        <v>541</v>
      </c>
      <c r="BC507" t="s">
        <v>395</v>
      </c>
      <c r="BD507" t="s">
        <v>228</v>
      </c>
      <c r="BE507" t="s">
        <v>522</v>
      </c>
      <c r="BF507" t="s">
        <v>523</v>
      </c>
      <c r="BG507" t="s">
        <v>407</v>
      </c>
      <c r="BH507" t="s">
        <v>544</v>
      </c>
      <c r="BI507" t="s">
        <v>524</v>
      </c>
      <c r="BJ507" t="s">
        <v>228</v>
      </c>
      <c r="BK507" t="s">
        <v>228</v>
      </c>
      <c r="BL507" t="s">
        <v>228</v>
      </c>
      <c r="BM507" t="s">
        <v>228</v>
      </c>
      <c r="BN507" t="s">
        <v>228</v>
      </c>
      <c r="BO507" t="s">
        <v>228</v>
      </c>
      <c r="BP507" t="s">
        <v>228</v>
      </c>
      <c r="BQ507" t="s">
        <v>228</v>
      </c>
      <c r="BR507" t="s">
        <v>228</v>
      </c>
      <c r="BS507" t="s">
        <v>409</v>
      </c>
      <c r="BT507">
        <v>0</v>
      </c>
    </row>
    <row r="508" spans="1:72" x14ac:dyDescent="0.15">
      <c r="A508" s="43">
        <v>2023</v>
      </c>
      <c r="B508" s="8">
        <v>1</v>
      </c>
      <c r="C508" s="8">
        <v>1</v>
      </c>
      <c r="D508" s="8">
        <v>17</v>
      </c>
      <c r="E508" s="8" t="s">
        <v>67</v>
      </c>
      <c r="F508" s="8" t="s">
        <v>57</v>
      </c>
      <c r="G508" s="8">
        <v>2016</v>
      </c>
      <c r="H508" s="8">
        <v>12</v>
      </c>
      <c r="I508" s="8" t="s">
        <v>521</v>
      </c>
      <c r="J508" s="8" t="s">
        <v>228</v>
      </c>
      <c r="K508" s="8">
        <v>1953</v>
      </c>
      <c r="L508" s="17">
        <v>1</v>
      </c>
      <c r="M508" s="8">
        <v>1</v>
      </c>
      <c r="N508" s="8" t="s">
        <v>49</v>
      </c>
      <c r="O508" s="8" t="s">
        <v>283</v>
      </c>
      <c r="P508" s="8" t="s">
        <v>280</v>
      </c>
      <c r="Q508" s="8">
        <v>20000</v>
      </c>
      <c r="R508" s="8" t="s">
        <v>59</v>
      </c>
      <c r="S508" s="8" t="s">
        <v>54</v>
      </c>
      <c r="T508" s="8" t="s">
        <v>69</v>
      </c>
      <c r="U508" s="8" t="s">
        <v>228</v>
      </c>
      <c r="V508" s="8">
        <v>500</v>
      </c>
      <c r="W508" s="8" t="s">
        <v>328</v>
      </c>
      <c r="X508" s="8">
        <v>3000</v>
      </c>
      <c r="Y508" s="8" t="s">
        <v>268</v>
      </c>
      <c r="Z508" s="8">
        <v>85</v>
      </c>
      <c r="AA508" s="8" t="s">
        <v>278</v>
      </c>
      <c r="AB508" s="8" t="s">
        <v>228</v>
      </c>
      <c r="AC508" s="8" t="s">
        <v>228</v>
      </c>
      <c r="AD508" s="8" t="s">
        <v>228</v>
      </c>
      <c r="AE508" s="8" t="s">
        <v>228</v>
      </c>
      <c r="AF508" s="8" t="s">
        <v>228</v>
      </c>
      <c r="AG508" s="8" t="s">
        <v>228</v>
      </c>
      <c r="AH508" s="8" t="s">
        <v>228</v>
      </c>
      <c r="AI508" s="8" t="s">
        <v>228</v>
      </c>
      <c r="AJ508" t="s">
        <v>468</v>
      </c>
      <c r="AK508">
        <v>1</v>
      </c>
      <c r="AL508">
        <v>1</v>
      </c>
      <c r="AM508" t="s">
        <v>84</v>
      </c>
      <c r="AN508" t="s">
        <v>67</v>
      </c>
      <c r="AO508" t="s">
        <v>526</v>
      </c>
      <c r="AP508" t="s">
        <v>109</v>
      </c>
      <c r="AQ508">
        <v>12</v>
      </c>
      <c r="AR508" t="s">
        <v>521</v>
      </c>
      <c r="AS508" t="s">
        <v>228</v>
      </c>
      <c r="AT508" t="s">
        <v>170</v>
      </c>
      <c r="AU508">
        <v>1</v>
      </c>
      <c r="AV508">
        <v>1</v>
      </c>
      <c r="AW508" t="s">
        <v>537</v>
      </c>
      <c r="AX508" t="s">
        <v>283</v>
      </c>
      <c r="AY508" t="s">
        <v>280</v>
      </c>
      <c r="AZ508">
        <v>5</v>
      </c>
      <c r="BA508" t="s">
        <v>533</v>
      </c>
      <c r="BB508" t="s">
        <v>541</v>
      </c>
      <c r="BC508" t="s">
        <v>395</v>
      </c>
      <c r="BD508" t="s">
        <v>228</v>
      </c>
      <c r="BE508" t="s">
        <v>522</v>
      </c>
      <c r="BF508" t="s">
        <v>523</v>
      </c>
      <c r="BG508" t="s">
        <v>407</v>
      </c>
      <c r="BH508" t="s">
        <v>396</v>
      </c>
      <c r="BI508" t="s">
        <v>524</v>
      </c>
      <c r="BJ508" t="s">
        <v>228</v>
      </c>
      <c r="BK508" t="s">
        <v>228</v>
      </c>
      <c r="BL508" t="s">
        <v>228</v>
      </c>
      <c r="BM508" t="s">
        <v>228</v>
      </c>
      <c r="BN508" t="s">
        <v>228</v>
      </c>
      <c r="BO508" t="s">
        <v>228</v>
      </c>
      <c r="BP508" t="s">
        <v>228</v>
      </c>
      <c r="BQ508" t="s">
        <v>228</v>
      </c>
      <c r="BR508" t="s">
        <v>228</v>
      </c>
      <c r="BS508" t="s">
        <v>409</v>
      </c>
      <c r="BT508">
        <v>1</v>
      </c>
    </row>
    <row r="509" spans="1:72" x14ac:dyDescent="0.15">
      <c r="A509" s="43">
        <v>2023</v>
      </c>
      <c r="B509" s="8">
        <v>1</v>
      </c>
      <c r="C509" s="8">
        <v>1</v>
      </c>
      <c r="D509" s="8">
        <v>17</v>
      </c>
      <c r="E509" s="8" t="s">
        <v>67</v>
      </c>
      <c r="F509" s="8" t="s">
        <v>57</v>
      </c>
      <c r="G509" s="8">
        <v>2016</v>
      </c>
      <c r="H509" s="8">
        <v>12</v>
      </c>
      <c r="I509" s="8" t="s">
        <v>521</v>
      </c>
      <c r="J509" s="8" t="s">
        <v>228</v>
      </c>
      <c r="K509" s="8">
        <v>1953</v>
      </c>
      <c r="L509" s="17">
        <v>1</v>
      </c>
      <c r="M509" s="8">
        <v>1</v>
      </c>
      <c r="N509" s="8" t="s">
        <v>49</v>
      </c>
      <c r="O509" s="8" t="s">
        <v>283</v>
      </c>
      <c r="P509" s="8" t="s">
        <v>280</v>
      </c>
      <c r="Q509" s="8">
        <v>20000</v>
      </c>
      <c r="R509" s="8" t="s">
        <v>59</v>
      </c>
      <c r="S509" s="8" t="s">
        <v>54</v>
      </c>
      <c r="T509" s="8" t="s">
        <v>69</v>
      </c>
      <c r="U509" s="8" t="s">
        <v>228</v>
      </c>
      <c r="V509" s="8">
        <v>500</v>
      </c>
      <c r="W509" s="8" t="s">
        <v>328</v>
      </c>
      <c r="X509" s="8">
        <v>3000</v>
      </c>
      <c r="Y509" s="8" t="s">
        <v>394</v>
      </c>
      <c r="Z509" s="8">
        <v>85</v>
      </c>
      <c r="AA509" s="8" t="s">
        <v>278</v>
      </c>
      <c r="AB509" s="8" t="s">
        <v>228</v>
      </c>
      <c r="AC509" s="8" t="s">
        <v>228</v>
      </c>
      <c r="AD509" s="8" t="s">
        <v>228</v>
      </c>
      <c r="AE509" s="8" t="s">
        <v>228</v>
      </c>
      <c r="AF509" s="8" t="s">
        <v>228</v>
      </c>
      <c r="AG509" s="8" t="s">
        <v>228</v>
      </c>
      <c r="AH509" s="8" t="s">
        <v>228</v>
      </c>
      <c r="AI509" s="8" t="s">
        <v>228</v>
      </c>
      <c r="AJ509" t="s">
        <v>468</v>
      </c>
      <c r="AK509">
        <v>1</v>
      </c>
      <c r="AL509">
        <v>1</v>
      </c>
      <c r="AM509" t="s">
        <v>84</v>
      </c>
      <c r="AN509" t="s">
        <v>67</v>
      </c>
      <c r="AO509" t="s">
        <v>526</v>
      </c>
      <c r="AP509" t="s">
        <v>109</v>
      </c>
      <c r="AQ509">
        <v>12</v>
      </c>
      <c r="AR509" t="s">
        <v>521</v>
      </c>
      <c r="AS509" t="s">
        <v>228</v>
      </c>
      <c r="AT509" t="s">
        <v>170</v>
      </c>
      <c r="AU509">
        <v>1</v>
      </c>
      <c r="AV509">
        <v>1</v>
      </c>
      <c r="AW509" t="s">
        <v>537</v>
      </c>
      <c r="AX509" t="s">
        <v>283</v>
      </c>
      <c r="AY509" t="s">
        <v>280</v>
      </c>
      <c r="AZ509">
        <v>5</v>
      </c>
      <c r="BA509" t="s">
        <v>533</v>
      </c>
      <c r="BB509" t="s">
        <v>541</v>
      </c>
      <c r="BC509" t="s">
        <v>395</v>
      </c>
      <c r="BD509" t="s">
        <v>228</v>
      </c>
      <c r="BE509" t="s">
        <v>522</v>
      </c>
      <c r="BF509" t="s">
        <v>523</v>
      </c>
      <c r="BG509" t="s">
        <v>407</v>
      </c>
      <c r="BH509" t="s">
        <v>551</v>
      </c>
      <c r="BI509" t="s">
        <v>524</v>
      </c>
      <c r="BJ509" t="s">
        <v>228</v>
      </c>
      <c r="BK509" t="s">
        <v>228</v>
      </c>
      <c r="BL509" t="s">
        <v>228</v>
      </c>
      <c r="BM509" t="s">
        <v>228</v>
      </c>
      <c r="BN509" t="s">
        <v>228</v>
      </c>
      <c r="BO509" t="s">
        <v>228</v>
      </c>
      <c r="BP509" t="s">
        <v>228</v>
      </c>
      <c r="BQ509" t="s">
        <v>228</v>
      </c>
      <c r="BR509" t="s">
        <v>228</v>
      </c>
      <c r="BS509" t="s">
        <v>409</v>
      </c>
      <c r="BT509">
        <v>1</v>
      </c>
    </row>
    <row r="510" spans="1:72" x14ac:dyDescent="0.15">
      <c r="A510" s="43">
        <v>2023</v>
      </c>
      <c r="B510" s="8">
        <v>1</v>
      </c>
      <c r="C510" s="8">
        <v>1</v>
      </c>
      <c r="D510" s="8">
        <v>17</v>
      </c>
      <c r="E510" s="8" t="s">
        <v>67</v>
      </c>
      <c r="F510" s="8" t="s">
        <v>57</v>
      </c>
      <c r="G510" s="8">
        <v>2016</v>
      </c>
      <c r="H510" s="8">
        <v>12</v>
      </c>
      <c r="I510" s="8" t="s">
        <v>521</v>
      </c>
      <c r="J510" s="8" t="s">
        <v>228</v>
      </c>
      <c r="K510" s="8">
        <v>1953</v>
      </c>
      <c r="L510" s="17">
        <v>1</v>
      </c>
      <c r="M510" s="8">
        <v>1</v>
      </c>
      <c r="N510" s="8" t="s">
        <v>49</v>
      </c>
      <c r="O510" s="8" t="s">
        <v>283</v>
      </c>
      <c r="P510" s="8" t="s">
        <v>280</v>
      </c>
      <c r="Q510" s="8">
        <v>20000</v>
      </c>
      <c r="R510" s="8" t="s">
        <v>59</v>
      </c>
      <c r="S510" s="8" t="s">
        <v>54</v>
      </c>
      <c r="T510" s="8" t="s">
        <v>69</v>
      </c>
      <c r="U510" s="8" t="s">
        <v>228</v>
      </c>
      <c r="V510" s="8">
        <v>500</v>
      </c>
      <c r="W510" s="8" t="s">
        <v>328</v>
      </c>
      <c r="X510" s="8">
        <v>3000</v>
      </c>
      <c r="Y510" s="8" t="s">
        <v>271</v>
      </c>
      <c r="Z510" s="8">
        <v>85</v>
      </c>
      <c r="AA510" s="8" t="s">
        <v>278</v>
      </c>
      <c r="AB510" s="8" t="s">
        <v>228</v>
      </c>
      <c r="AC510" s="8" t="s">
        <v>228</v>
      </c>
      <c r="AD510" s="8" t="s">
        <v>228</v>
      </c>
      <c r="AE510" s="8" t="s">
        <v>228</v>
      </c>
      <c r="AF510" s="8" t="s">
        <v>228</v>
      </c>
      <c r="AG510" s="8" t="s">
        <v>228</v>
      </c>
      <c r="AH510" s="8" t="s">
        <v>228</v>
      </c>
      <c r="AI510" s="8" t="s">
        <v>228</v>
      </c>
      <c r="AJ510" t="s">
        <v>468</v>
      </c>
      <c r="AK510">
        <v>1</v>
      </c>
      <c r="AL510">
        <v>1</v>
      </c>
      <c r="AM510" t="s">
        <v>84</v>
      </c>
      <c r="AN510" t="s">
        <v>67</v>
      </c>
      <c r="AO510" t="s">
        <v>526</v>
      </c>
      <c r="AP510" t="s">
        <v>109</v>
      </c>
      <c r="AQ510">
        <v>12</v>
      </c>
      <c r="AR510" t="s">
        <v>521</v>
      </c>
      <c r="AS510" t="s">
        <v>228</v>
      </c>
      <c r="AT510" t="s">
        <v>170</v>
      </c>
      <c r="AU510">
        <v>1</v>
      </c>
      <c r="AV510">
        <v>1</v>
      </c>
      <c r="AW510" t="s">
        <v>537</v>
      </c>
      <c r="AX510" t="s">
        <v>283</v>
      </c>
      <c r="AY510" t="s">
        <v>280</v>
      </c>
      <c r="AZ510">
        <v>5</v>
      </c>
      <c r="BA510" t="s">
        <v>533</v>
      </c>
      <c r="BB510" t="s">
        <v>541</v>
      </c>
      <c r="BC510" t="s">
        <v>395</v>
      </c>
      <c r="BD510" t="s">
        <v>228</v>
      </c>
      <c r="BE510" t="s">
        <v>522</v>
      </c>
      <c r="BF510" t="s">
        <v>523</v>
      </c>
      <c r="BG510" t="s">
        <v>407</v>
      </c>
      <c r="BH510" t="s">
        <v>544</v>
      </c>
      <c r="BI510" t="s">
        <v>524</v>
      </c>
      <c r="BJ510" t="s">
        <v>228</v>
      </c>
      <c r="BK510" t="s">
        <v>228</v>
      </c>
      <c r="BL510" t="s">
        <v>228</v>
      </c>
      <c r="BM510" t="s">
        <v>228</v>
      </c>
      <c r="BN510" t="s">
        <v>228</v>
      </c>
      <c r="BO510" t="s">
        <v>228</v>
      </c>
      <c r="BP510" t="s">
        <v>228</v>
      </c>
      <c r="BQ510" t="s">
        <v>228</v>
      </c>
      <c r="BR510" t="s">
        <v>228</v>
      </c>
      <c r="BS510" t="s">
        <v>409</v>
      </c>
      <c r="BT510">
        <v>0</v>
      </c>
    </row>
    <row r="511" spans="1:72" x14ac:dyDescent="0.15">
      <c r="A511" s="43">
        <v>2023</v>
      </c>
      <c r="B511" s="8">
        <v>1</v>
      </c>
      <c r="C511" s="8">
        <v>1</v>
      </c>
      <c r="D511" s="8">
        <v>16</v>
      </c>
      <c r="E511" s="8" t="s">
        <v>67</v>
      </c>
      <c r="F511" s="8" t="s">
        <v>57</v>
      </c>
      <c r="G511" s="8">
        <v>2016</v>
      </c>
      <c r="H511" s="8">
        <v>12</v>
      </c>
      <c r="I511" s="8" t="s">
        <v>521</v>
      </c>
      <c r="J511" s="8" t="s">
        <v>228</v>
      </c>
      <c r="K511" s="8">
        <v>1953</v>
      </c>
      <c r="L511" s="17">
        <v>1</v>
      </c>
      <c r="M511" s="8">
        <v>1</v>
      </c>
      <c r="N511" s="8" t="s">
        <v>49</v>
      </c>
      <c r="O511" s="8" t="s">
        <v>283</v>
      </c>
      <c r="P511" s="8" t="s">
        <v>280</v>
      </c>
      <c r="Q511" s="8">
        <v>20000</v>
      </c>
      <c r="R511" s="8" t="s">
        <v>59</v>
      </c>
      <c r="S511" s="8" t="s">
        <v>54</v>
      </c>
      <c r="T511" s="8" t="s">
        <v>69</v>
      </c>
      <c r="U511" s="8" t="s">
        <v>228</v>
      </c>
      <c r="V511" s="8">
        <v>500</v>
      </c>
      <c r="W511" s="8" t="s">
        <v>328</v>
      </c>
      <c r="X511" s="8">
        <v>3000</v>
      </c>
      <c r="Y511" s="8" t="s">
        <v>268</v>
      </c>
      <c r="Z511" s="8">
        <v>85</v>
      </c>
      <c r="AA511" s="8" t="s">
        <v>278</v>
      </c>
      <c r="AB511" s="8" t="s">
        <v>228</v>
      </c>
      <c r="AC511" s="8" t="s">
        <v>228</v>
      </c>
      <c r="AD511" s="8" t="s">
        <v>228</v>
      </c>
      <c r="AE511" s="8" t="s">
        <v>228</v>
      </c>
      <c r="AF511" s="8" t="s">
        <v>228</v>
      </c>
      <c r="AG511" s="8" t="s">
        <v>228</v>
      </c>
      <c r="AH511" s="8" t="s">
        <v>228</v>
      </c>
      <c r="AI511" s="8" t="s">
        <v>228</v>
      </c>
      <c r="AJ511" t="s">
        <v>468</v>
      </c>
      <c r="AK511">
        <v>1</v>
      </c>
      <c r="AL511">
        <v>1</v>
      </c>
      <c r="AM511" t="s">
        <v>85</v>
      </c>
      <c r="AN511" t="s">
        <v>67</v>
      </c>
      <c r="AO511" t="s">
        <v>526</v>
      </c>
      <c r="AP511" t="s">
        <v>109</v>
      </c>
      <c r="AQ511">
        <v>12</v>
      </c>
      <c r="AR511" t="s">
        <v>521</v>
      </c>
      <c r="AS511" t="s">
        <v>228</v>
      </c>
      <c r="AT511" t="s">
        <v>170</v>
      </c>
      <c r="AU511">
        <v>1</v>
      </c>
      <c r="AV511">
        <v>1</v>
      </c>
      <c r="AW511" t="s">
        <v>537</v>
      </c>
      <c r="AX511" t="s">
        <v>283</v>
      </c>
      <c r="AY511" t="s">
        <v>280</v>
      </c>
      <c r="AZ511">
        <v>5</v>
      </c>
      <c r="BA511" t="s">
        <v>533</v>
      </c>
      <c r="BB511" t="s">
        <v>541</v>
      </c>
      <c r="BC511" t="s">
        <v>395</v>
      </c>
      <c r="BD511" t="s">
        <v>228</v>
      </c>
      <c r="BE511" t="s">
        <v>522</v>
      </c>
      <c r="BF511" t="s">
        <v>523</v>
      </c>
      <c r="BG511" t="s">
        <v>407</v>
      </c>
      <c r="BH511" t="s">
        <v>396</v>
      </c>
      <c r="BI511" t="s">
        <v>524</v>
      </c>
      <c r="BJ511" t="s">
        <v>228</v>
      </c>
      <c r="BK511" t="s">
        <v>228</v>
      </c>
      <c r="BL511" t="s">
        <v>228</v>
      </c>
      <c r="BM511" t="s">
        <v>228</v>
      </c>
      <c r="BN511" t="s">
        <v>228</v>
      </c>
      <c r="BO511" t="s">
        <v>228</v>
      </c>
      <c r="BP511" t="s">
        <v>228</v>
      </c>
      <c r="BQ511" t="s">
        <v>228</v>
      </c>
      <c r="BR511" t="s">
        <v>228</v>
      </c>
      <c r="BS511" t="s">
        <v>409</v>
      </c>
      <c r="BT511">
        <v>1</v>
      </c>
    </row>
    <row r="512" spans="1:72" x14ac:dyDescent="0.15">
      <c r="A512" s="43">
        <v>2023</v>
      </c>
      <c r="B512" s="8">
        <v>1</v>
      </c>
      <c r="C512" s="8">
        <v>1</v>
      </c>
      <c r="D512" s="8">
        <v>16</v>
      </c>
      <c r="E512" s="8" t="s">
        <v>67</v>
      </c>
      <c r="F512" s="8" t="s">
        <v>57</v>
      </c>
      <c r="G512" s="8">
        <v>2016</v>
      </c>
      <c r="H512" s="8">
        <v>12</v>
      </c>
      <c r="I512" s="8" t="s">
        <v>521</v>
      </c>
      <c r="J512" s="8" t="s">
        <v>228</v>
      </c>
      <c r="K512" s="8">
        <v>1953</v>
      </c>
      <c r="L512" s="17">
        <v>1</v>
      </c>
      <c r="M512" s="8">
        <v>1</v>
      </c>
      <c r="N512" s="8" t="s">
        <v>49</v>
      </c>
      <c r="O512" s="8" t="s">
        <v>283</v>
      </c>
      <c r="P512" s="8" t="s">
        <v>280</v>
      </c>
      <c r="Q512" s="8">
        <v>20000</v>
      </c>
      <c r="R512" s="8" t="s">
        <v>59</v>
      </c>
      <c r="S512" s="8" t="s">
        <v>54</v>
      </c>
      <c r="T512" s="8" t="s">
        <v>69</v>
      </c>
      <c r="U512" s="8" t="s">
        <v>228</v>
      </c>
      <c r="V512" s="8">
        <v>500</v>
      </c>
      <c r="W512" s="8" t="s">
        <v>328</v>
      </c>
      <c r="X512" s="8">
        <v>3000</v>
      </c>
      <c r="Y512" s="8" t="s">
        <v>394</v>
      </c>
      <c r="Z512" s="8">
        <v>85</v>
      </c>
      <c r="AA512" s="8" t="s">
        <v>278</v>
      </c>
      <c r="AB512" s="8" t="s">
        <v>228</v>
      </c>
      <c r="AC512" s="8" t="s">
        <v>228</v>
      </c>
      <c r="AD512" s="8" t="s">
        <v>228</v>
      </c>
      <c r="AE512" s="8" t="s">
        <v>228</v>
      </c>
      <c r="AF512" s="8" t="s">
        <v>228</v>
      </c>
      <c r="AG512" s="8" t="s">
        <v>228</v>
      </c>
      <c r="AH512" s="8" t="s">
        <v>228</v>
      </c>
      <c r="AI512" s="8" t="s">
        <v>228</v>
      </c>
      <c r="AJ512" t="s">
        <v>468</v>
      </c>
      <c r="AK512">
        <v>1</v>
      </c>
      <c r="AL512">
        <v>1</v>
      </c>
      <c r="AM512" t="s">
        <v>85</v>
      </c>
      <c r="AN512" t="s">
        <v>67</v>
      </c>
      <c r="AO512" t="s">
        <v>526</v>
      </c>
      <c r="AP512" t="s">
        <v>109</v>
      </c>
      <c r="AQ512">
        <v>12</v>
      </c>
      <c r="AR512" t="s">
        <v>521</v>
      </c>
      <c r="AS512" t="s">
        <v>228</v>
      </c>
      <c r="AT512" t="s">
        <v>170</v>
      </c>
      <c r="AU512">
        <v>1</v>
      </c>
      <c r="AV512">
        <v>1</v>
      </c>
      <c r="AW512" t="s">
        <v>537</v>
      </c>
      <c r="AX512" t="s">
        <v>283</v>
      </c>
      <c r="AY512" t="s">
        <v>280</v>
      </c>
      <c r="AZ512">
        <v>5</v>
      </c>
      <c r="BA512" t="s">
        <v>533</v>
      </c>
      <c r="BB512" t="s">
        <v>541</v>
      </c>
      <c r="BC512" t="s">
        <v>395</v>
      </c>
      <c r="BD512" t="s">
        <v>228</v>
      </c>
      <c r="BE512" t="s">
        <v>522</v>
      </c>
      <c r="BF512" t="s">
        <v>523</v>
      </c>
      <c r="BG512" t="s">
        <v>407</v>
      </c>
      <c r="BH512" t="s">
        <v>551</v>
      </c>
      <c r="BI512" t="s">
        <v>524</v>
      </c>
      <c r="BJ512" t="s">
        <v>228</v>
      </c>
      <c r="BK512" t="s">
        <v>228</v>
      </c>
      <c r="BL512" t="s">
        <v>228</v>
      </c>
      <c r="BM512" t="s">
        <v>228</v>
      </c>
      <c r="BN512" t="s">
        <v>228</v>
      </c>
      <c r="BO512" t="s">
        <v>228</v>
      </c>
      <c r="BP512" t="s">
        <v>228</v>
      </c>
      <c r="BQ512" t="s">
        <v>228</v>
      </c>
      <c r="BR512" t="s">
        <v>228</v>
      </c>
      <c r="BS512" t="s">
        <v>409</v>
      </c>
      <c r="BT512">
        <v>1</v>
      </c>
    </row>
    <row r="513" spans="1:72" x14ac:dyDescent="0.15">
      <c r="A513" s="43">
        <v>2023</v>
      </c>
      <c r="B513" s="8">
        <v>1</v>
      </c>
      <c r="C513" s="8">
        <v>1</v>
      </c>
      <c r="D513" s="8">
        <v>16</v>
      </c>
      <c r="E513" s="8" t="s">
        <v>67</v>
      </c>
      <c r="F513" s="8" t="s">
        <v>57</v>
      </c>
      <c r="G513" s="8">
        <v>2016</v>
      </c>
      <c r="H513" s="8">
        <v>12</v>
      </c>
      <c r="I513" s="8" t="s">
        <v>521</v>
      </c>
      <c r="J513" s="8" t="s">
        <v>228</v>
      </c>
      <c r="K513" s="8">
        <v>1953</v>
      </c>
      <c r="L513" s="17">
        <v>1</v>
      </c>
      <c r="M513" s="8">
        <v>1</v>
      </c>
      <c r="N513" s="8" t="s">
        <v>49</v>
      </c>
      <c r="O513" s="8" t="s">
        <v>283</v>
      </c>
      <c r="P513" s="8" t="s">
        <v>280</v>
      </c>
      <c r="Q513" s="8">
        <v>20000</v>
      </c>
      <c r="R513" s="8" t="s">
        <v>59</v>
      </c>
      <c r="S513" s="8" t="s">
        <v>54</v>
      </c>
      <c r="T513" s="8" t="s">
        <v>69</v>
      </c>
      <c r="U513" s="8" t="s">
        <v>228</v>
      </c>
      <c r="V513" s="8">
        <v>500</v>
      </c>
      <c r="W513" s="8" t="s">
        <v>328</v>
      </c>
      <c r="X513" s="8">
        <v>3000</v>
      </c>
      <c r="Y513" s="8" t="s">
        <v>271</v>
      </c>
      <c r="Z513" s="8">
        <v>85</v>
      </c>
      <c r="AA513" s="8" t="s">
        <v>278</v>
      </c>
      <c r="AB513" s="8" t="s">
        <v>228</v>
      </c>
      <c r="AC513" s="8" t="s">
        <v>228</v>
      </c>
      <c r="AD513" s="8" t="s">
        <v>228</v>
      </c>
      <c r="AE513" s="8" t="s">
        <v>228</v>
      </c>
      <c r="AF513" s="8" t="s">
        <v>228</v>
      </c>
      <c r="AG513" s="8" t="s">
        <v>228</v>
      </c>
      <c r="AH513" s="8" t="s">
        <v>228</v>
      </c>
      <c r="AI513" s="8" t="s">
        <v>228</v>
      </c>
      <c r="AJ513" t="s">
        <v>468</v>
      </c>
      <c r="AK513">
        <v>1</v>
      </c>
      <c r="AL513">
        <v>1</v>
      </c>
      <c r="AM513" t="s">
        <v>85</v>
      </c>
      <c r="AN513" t="s">
        <v>67</v>
      </c>
      <c r="AO513" t="s">
        <v>526</v>
      </c>
      <c r="AP513" t="s">
        <v>109</v>
      </c>
      <c r="AQ513">
        <v>12</v>
      </c>
      <c r="AR513" t="s">
        <v>521</v>
      </c>
      <c r="AS513" t="s">
        <v>228</v>
      </c>
      <c r="AT513" t="s">
        <v>170</v>
      </c>
      <c r="AU513">
        <v>1</v>
      </c>
      <c r="AV513">
        <v>1</v>
      </c>
      <c r="AW513" t="s">
        <v>537</v>
      </c>
      <c r="AX513" t="s">
        <v>283</v>
      </c>
      <c r="AY513" t="s">
        <v>280</v>
      </c>
      <c r="AZ513">
        <v>5</v>
      </c>
      <c r="BA513" t="s">
        <v>533</v>
      </c>
      <c r="BB513" t="s">
        <v>541</v>
      </c>
      <c r="BC513" t="s">
        <v>395</v>
      </c>
      <c r="BD513" t="s">
        <v>228</v>
      </c>
      <c r="BE513" t="s">
        <v>522</v>
      </c>
      <c r="BF513" t="s">
        <v>523</v>
      </c>
      <c r="BG513" t="s">
        <v>407</v>
      </c>
      <c r="BH513" t="s">
        <v>544</v>
      </c>
      <c r="BI513" t="s">
        <v>524</v>
      </c>
      <c r="BJ513" t="s">
        <v>228</v>
      </c>
      <c r="BK513" t="s">
        <v>228</v>
      </c>
      <c r="BL513" t="s">
        <v>228</v>
      </c>
      <c r="BM513" t="s">
        <v>228</v>
      </c>
      <c r="BN513" t="s">
        <v>228</v>
      </c>
      <c r="BO513" t="s">
        <v>228</v>
      </c>
      <c r="BP513" t="s">
        <v>228</v>
      </c>
      <c r="BQ513" t="s">
        <v>228</v>
      </c>
      <c r="BR513" t="s">
        <v>228</v>
      </c>
      <c r="BS513" t="s">
        <v>409</v>
      </c>
      <c r="BT513">
        <v>0</v>
      </c>
    </row>
    <row r="514" spans="1:72" x14ac:dyDescent="0.15">
      <c r="A514" s="43">
        <v>2023</v>
      </c>
      <c r="B514" s="8">
        <v>1</v>
      </c>
      <c r="C514" s="8">
        <v>1</v>
      </c>
      <c r="D514" s="8">
        <v>15</v>
      </c>
      <c r="E514" s="8" t="s">
        <v>67</v>
      </c>
      <c r="F514" s="8" t="s">
        <v>57</v>
      </c>
      <c r="G514" s="8">
        <v>2016</v>
      </c>
      <c r="H514" s="8">
        <v>12</v>
      </c>
      <c r="I514" s="8" t="s">
        <v>521</v>
      </c>
      <c r="J514" s="8" t="s">
        <v>228</v>
      </c>
      <c r="K514" s="8">
        <v>1953</v>
      </c>
      <c r="L514" s="17">
        <v>1</v>
      </c>
      <c r="M514" s="8">
        <v>1</v>
      </c>
      <c r="N514" s="8" t="s">
        <v>49</v>
      </c>
      <c r="O514" s="8" t="s">
        <v>283</v>
      </c>
      <c r="P514" s="8" t="s">
        <v>280</v>
      </c>
      <c r="Q514" s="8">
        <v>20000</v>
      </c>
      <c r="R514" s="8" t="s">
        <v>59</v>
      </c>
      <c r="S514" s="8" t="s">
        <v>54</v>
      </c>
      <c r="T514" s="8" t="s">
        <v>69</v>
      </c>
      <c r="U514" s="8" t="s">
        <v>228</v>
      </c>
      <c r="V514" s="8">
        <v>500</v>
      </c>
      <c r="W514" s="8" t="s">
        <v>328</v>
      </c>
      <c r="X514" s="8">
        <v>3000</v>
      </c>
      <c r="Y514" s="8" t="s">
        <v>268</v>
      </c>
      <c r="Z514" s="8">
        <v>85</v>
      </c>
      <c r="AA514" s="8" t="s">
        <v>278</v>
      </c>
      <c r="AB514" s="8" t="s">
        <v>228</v>
      </c>
      <c r="AC514" s="8" t="s">
        <v>228</v>
      </c>
      <c r="AD514" s="8" t="s">
        <v>228</v>
      </c>
      <c r="AE514" s="8" t="s">
        <v>228</v>
      </c>
      <c r="AF514" s="8" t="s">
        <v>228</v>
      </c>
      <c r="AG514" s="8" t="s">
        <v>228</v>
      </c>
      <c r="AH514" s="8" t="s">
        <v>228</v>
      </c>
      <c r="AI514" s="8" t="s">
        <v>228</v>
      </c>
      <c r="AJ514" t="s">
        <v>468</v>
      </c>
      <c r="AK514">
        <v>1</v>
      </c>
      <c r="AL514">
        <v>1</v>
      </c>
      <c r="AM514" t="s">
        <v>86</v>
      </c>
      <c r="AN514" t="s">
        <v>67</v>
      </c>
      <c r="AO514" t="s">
        <v>526</v>
      </c>
      <c r="AP514" t="s">
        <v>109</v>
      </c>
      <c r="AQ514">
        <v>12</v>
      </c>
      <c r="AR514" t="s">
        <v>521</v>
      </c>
      <c r="AS514" t="s">
        <v>228</v>
      </c>
      <c r="AT514" t="s">
        <v>170</v>
      </c>
      <c r="AU514">
        <v>1</v>
      </c>
      <c r="AV514">
        <v>1</v>
      </c>
      <c r="AW514" t="s">
        <v>537</v>
      </c>
      <c r="AX514" t="s">
        <v>283</v>
      </c>
      <c r="AY514" t="s">
        <v>280</v>
      </c>
      <c r="AZ514">
        <v>5</v>
      </c>
      <c r="BA514" t="s">
        <v>533</v>
      </c>
      <c r="BB514" t="s">
        <v>541</v>
      </c>
      <c r="BC514" t="s">
        <v>395</v>
      </c>
      <c r="BD514" t="s">
        <v>228</v>
      </c>
      <c r="BE514" t="s">
        <v>522</v>
      </c>
      <c r="BF514" t="s">
        <v>523</v>
      </c>
      <c r="BG514" t="s">
        <v>407</v>
      </c>
      <c r="BH514" t="s">
        <v>396</v>
      </c>
      <c r="BI514" t="s">
        <v>524</v>
      </c>
      <c r="BJ514" t="s">
        <v>228</v>
      </c>
      <c r="BK514" t="s">
        <v>228</v>
      </c>
      <c r="BL514" t="s">
        <v>228</v>
      </c>
      <c r="BM514" t="s">
        <v>228</v>
      </c>
      <c r="BN514" t="s">
        <v>228</v>
      </c>
      <c r="BO514" t="s">
        <v>228</v>
      </c>
      <c r="BP514" t="s">
        <v>228</v>
      </c>
      <c r="BQ514" t="s">
        <v>228</v>
      </c>
      <c r="BR514" t="s">
        <v>228</v>
      </c>
      <c r="BS514" t="s">
        <v>409</v>
      </c>
      <c r="BT514">
        <v>1</v>
      </c>
    </row>
    <row r="515" spans="1:72" x14ac:dyDescent="0.15">
      <c r="A515" s="43">
        <v>2023</v>
      </c>
      <c r="B515" s="8">
        <v>1</v>
      </c>
      <c r="C515" s="8">
        <v>1</v>
      </c>
      <c r="D515" s="8">
        <v>15</v>
      </c>
      <c r="E515" s="8" t="s">
        <v>67</v>
      </c>
      <c r="F515" s="8" t="s">
        <v>57</v>
      </c>
      <c r="G515" s="8">
        <v>2016</v>
      </c>
      <c r="H515" s="8">
        <v>12</v>
      </c>
      <c r="I515" s="8" t="s">
        <v>521</v>
      </c>
      <c r="J515" s="8" t="s">
        <v>228</v>
      </c>
      <c r="K515" s="8">
        <v>1953</v>
      </c>
      <c r="L515" s="17">
        <v>1</v>
      </c>
      <c r="M515" s="8">
        <v>1</v>
      </c>
      <c r="N515" s="8" t="s">
        <v>49</v>
      </c>
      <c r="O515" s="8" t="s">
        <v>283</v>
      </c>
      <c r="P515" s="8" t="s">
        <v>280</v>
      </c>
      <c r="Q515" s="8">
        <v>20000</v>
      </c>
      <c r="R515" s="8" t="s">
        <v>59</v>
      </c>
      <c r="S515" s="8" t="s">
        <v>54</v>
      </c>
      <c r="T515" s="8" t="s">
        <v>69</v>
      </c>
      <c r="U515" s="8" t="s">
        <v>228</v>
      </c>
      <c r="V515" s="8">
        <v>500</v>
      </c>
      <c r="W515" s="8" t="s">
        <v>328</v>
      </c>
      <c r="X515" s="8">
        <v>3000</v>
      </c>
      <c r="Y515" s="8" t="s">
        <v>394</v>
      </c>
      <c r="Z515" s="8">
        <v>85</v>
      </c>
      <c r="AA515" s="8" t="s">
        <v>278</v>
      </c>
      <c r="AB515" s="8" t="s">
        <v>228</v>
      </c>
      <c r="AC515" s="8" t="s">
        <v>228</v>
      </c>
      <c r="AD515" s="8" t="s">
        <v>228</v>
      </c>
      <c r="AE515" s="8" t="s">
        <v>228</v>
      </c>
      <c r="AF515" s="8" t="s">
        <v>228</v>
      </c>
      <c r="AG515" s="8" t="s">
        <v>228</v>
      </c>
      <c r="AH515" s="8" t="s">
        <v>228</v>
      </c>
      <c r="AI515" s="8" t="s">
        <v>228</v>
      </c>
      <c r="AJ515" t="s">
        <v>468</v>
      </c>
      <c r="AK515">
        <v>1</v>
      </c>
      <c r="AL515">
        <v>1</v>
      </c>
      <c r="AM515" t="s">
        <v>86</v>
      </c>
      <c r="AN515" t="s">
        <v>67</v>
      </c>
      <c r="AO515" t="s">
        <v>526</v>
      </c>
      <c r="AP515" t="s">
        <v>109</v>
      </c>
      <c r="AQ515">
        <v>12</v>
      </c>
      <c r="AR515" t="s">
        <v>521</v>
      </c>
      <c r="AS515" t="s">
        <v>228</v>
      </c>
      <c r="AT515" t="s">
        <v>170</v>
      </c>
      <c r="AU515">
        <v>1</v>
      </c>
      <c r="AV515">
        <v>1</v>
      </c>
      <c r="AW515" t="s">
        <v>537</v>
      </c>
      <c r="AX515" t="s">
        <v>283</v>
      </c>
      <c r="AY515" t="s">
        <v>280</v>
      </c>
      <c r="AZ515">
        <v>5</v>
      </c>
      <c r="BA515" t="s">
        <v>533</v>
      </c>
      <c r="BB515" t="s">
        <v>541</v>
      </c>
      <c r="BC515" t="s">
        <v>395</v>
      </c>
      <c r="BD515" t="s">
        <v>228</v>
      </c>
      <c r="BE515" t="s">
        <v>522</v>
      </c>
      <c r="BF515" t="s">
        <v>523</v>
      </c>
      <c r="BG515" t="s">
        <v>407</v>
      </c>
      <c r="BH515" t="s">
        <v>551</v>
      </c>
      <c r="BI515" t="s">
        <v>524</v>
      </c>
      <c r="BJ515" t="s">
        <v>228</v>
      </c>
      <c r="BK515" t="s">
        <v>228</v>
      </c>
      <c r="BL515" t="s">
        <v>228</v>
      </c>
      <c r="BM515" t="s">
        <v>228</v>
      </c>
      <c r="BN515" t="s">
        <v>228</v>
      </c>
      <c r="BO515" t="s">
        <v>228</v>
      </c>
      <c r="BP515" t="s">
        <v>228</v>
      </c>
      <c r="BQ515" t="s">
        <v>228</v>
      </c>
      <c r="BR515" t="s">
        <v>228</v>
      </c>
      <c r="BS515" t="s">
        <v>409</v>
      </c>
      <c r="BT515">
        <v>1</v>
      </c>
    </row>
    <row r="516" spans="1:72" x14ac:dyDescent="0.15">
      <c r="A516" s="43">
        <v>2023</v>
      </c>
      <c r="B516" s="8">
        <v>1</v>
      </c>
      <c r="C516" s="8">
        <v>1</v>
      </c>
      <c r="D516" s="8">
        <v>15</v>
      </c>
      <c r="E516" s="8" t="s">
        <v>67</v>
      </c>
      <c r="F516" s="8" t="s">
        <v>57</v>
      </c>
      <c r="G516" s="8">
        <v>2016</v>
      </c>
      <c r="H516" s="8">
        <v>12</v>
      </c>
      <c r="I516" s="8" t="s">
        <v>521</v>
      </c>
      <c r="J516" s="8" t="s">
        <v>228</v>
      </c>
      <c r="K516" s="8">
        <v>1953</v>
      </c>
      <c r="L516" s="17">
        <v>1</v>
      </c>
      <c r="M516" s="8">
        <v>1</v>
      </c>
      <c r="N516" s="8" t="s">
        <v>49</v>
      </c>
      <c r="O516" s="8" t="s">
        <v>283</v>
      </c>
      <c r="P516" s="8" t="s">
        <v>280</v>
      </c>
      <c r="Q516" s="8">
        <v>20000</v>
      </c>
      <c r="R516" s="8" t="s">
        <v>59</v>
      </c>
      <c r="S516" s="8" t="s">
        <v>54</v>
      </c>
      <c r="T516" s="8" t="s">
        <v>69</v>
      </c>
      <c r="U516" s="8" t="s">
        <v>228</v>
      </c>
      <c r="V516" s="8">
        <v>500</v>
      </c>
      <c r="W516" s="8" t="s">
        <v>328</v>
      </c>
      <c r="X516" s="8">
        <v>3000</v>
      </c>
      <c r="Y516" s="8" t="s">
        <v>271</v>
      </c>
      <c r="Z516" s="8">
        <v>85</v>
      </c>
      <c r="AA516" s="8" t="s">
        <v>278</v>
      </c>
      <c r="AB516" s="8" t="s">
        <v>228</v>
      </c>
      <c r="AC516" s="8" t="s">
        <v>228</v>
      </c>
      <c r="AD516" s="8" t="s">
        <v>228</v>
      </c>
      <c r="AE516" s="8" t="s">
        <v>228</v>
      </c>
      <c r="AF516" s="8" t="s">
        <v>228</v>
      </c>
      <c r="AG516" s="8" t="s">
        <v>228</v>
      </c>
      <c r="AH516" s="8" t="s">
        <v>228</v>
      </c>
      <c r="AI516" s="8" t="s">
        <v>228</v>
      </c>
      <c r="AJ516" t="s">
        <v>468</v>
      </c>
      <c r="AK516">
        <v>1</v>
      </c>
      <c r="AL516">
        <v>1</v>
      </c>
      <c r="AM516" t="s">
        <v>86</v>
      </c>
      <c r="AN516" t="s">
        <v>67</v>
      </c>
      <c r="AO516" t="s">
        <v>526</v>
      </c>
      <c r="AP516" t="s">
        <v>109</v>
      </c>
      <c r="AQ516">
        <v>12</v>
      </c>
      <c r="AR516" t="s">
        <v>521</v>
      </c>
      <c r="AS516" t="s">
        <v>228</v>
      </c>
      <c r="AT516" t="s">
        <v>170</v>
      </c>
      <c r="AU516">
        <v>1</v>
      </c>
      <c r="AV516">
        <v>1</v>
      </c>
      <c r="AW516" t="s">
        <v>537</v>
      </c>
      <c r="AX516" t="s">
        <v>283</v>
      </c>
      <c r="AY516" t="s">
        <v>280</v>
      </c>
      <c r="AZ516">
        <v>5</v>
      </c>
      <c r="BA516" t="s">
        <v>533</v>
      </c>
      <c r="BB516" t="s">
        <v>541</v>
      </c>
      <c r="BC516" t="s">
        <v>395</v>
      </c>
      <c r="BD516" t="s">
        <v>228</v>
      </c>
      <c r="BE516" t="s">
        <v>522</v>
      </c>
      <c r="BF516" t="s">
        <v>523</v>
      </c>
      <c r="BG516" t="s">
        <v>407</v>
      </c>
      <c r="BH516" t="s">
        <v>544</v>
      </c>
      <c r="BI516" t="s">
        <v>524</v>
      </c>
      <c r="BJ516" t="s">
        <v>228</v>
      </c>
      <c r="BK516" t="s">
        <v>228</v>
      </c>
      <c r="BL516" t="s">
        <v>228</v>
      </c>
      <c r="BM516" t="s">
        <v>228</v>
      </c>
      <c r="BN516" t="s">
        <v>228</v>
      </c>
      <c r="BO516" t="s">
        <v>228</v>
      </c>
      <c r="BP516" t="s">
        <v>228</v>
      </c>
      <c r="BQ516" t="s">
        <v>228</v>
      </c>
      <c r="BR516" t="s">
        <v>228</v>
      </c>
      <c r="BS516" t="s">
        <v>409</v>
      </c>
      <c r="BT516">
        <v>0</v>
      </c>
    </row>
    <row r="517" spans="1:72" x14ac:dyDescent="0.15">
      <c r="A517" s="43">
        <v>2023</v>
      </c>
      <c r="B517" s="8">
        <v>1</v>
      </c>
      <c r="C517" s="8">
        <v>1</v>
      </c>
      <c r="D517" s="8">
        <v>14</v>
      </c>
      <c r="E517" s="8" t="s">
        <v>67</v>
      </c>
      <c r="F517" s="8" t="s">
        <v>57</v>
      </c>
      <c r="G517" s="8">
        <v>2016</v>
      </c>
      <c r="H517" s="8">
        <v>12</v>
      </c>
      <c r="I517" s="8" t="s">
        <v>521</v>
      </c>
      <c r="J517" s="8" t="s">
        <v>228</v>
      </c>
      <c r="K517" s="8">
        <v>1953</v>
      </c>
      <c r="L517" s="17">
        <v>1</v>
      </c>
      <c r="M517" s="8">
        <v>1</v>
      </c>
      <c r="N517" s="8" t="s">
        <v>49</v>
      </c>
      <c r="O517" s="8" t="s">
        <v>283</v>
      </c>
      <c r="P517" s="8" t="s">
        <v>280</v>
      </c>
      <c r="Q517" s="8">
        <v>20000</v>
      </c>
      <c r="R517" s="8" t="s">
        <v>59</v>
      </c>
      <c r="S517" s="8" t="s">
        <v>54</v>
      </c>
      <c r="T517" s="8" t="s">
        <v>69</v>
      </c>
      <c r="U517" s="8" t="s">
        <v>228</v>
      </c>
      <c r="V517" s="8">
        <v>500</v>
      </c>
      <c r="W517" s="8" t="s">
        <v>328</v>
      </c>
      <c r="X517" s="8">
        <v>3000</v>
      </c>
      <c r="Y517" s="8" t="s">
        <v>268</v>
      </c>
      <c r="Z517" s="8">
        <v>85</v>
      </c>
      <c r="AA517" s="8" t="s">
        <v>278</v>
      </c>
      <c r="AB517" s="8" t="s">
        <v>228</v>
      </c>
      <c r="AC517" s="8" t="s">
        <v>228</v>
      </c>
      <c r="AD517" s="8" t="s">
        <v>228</v>
      </c>
      <c r="AE517" s="8" t="s">
        <v>228</v>
      </c>
      <c r="AF517" s="8" t="s">
        <v>228</v>
      </c>
      <c r="AG517" s="8" t="s">
        <v>228</v>
      </c>
      <c r="AH517" s="8" t="s">
        <v>228</v>
      </c>
      <c r="AI517" s="8" t="s">
        <v>228</v>
      </c>
      <c r="AJ517" t="s">
        <v>468</v>
      </c>
      <c r="AK517">
        <v>1</v>
      </c>
      <c r="AL517">
        <v>1</v>
      </c>
      <c r="AM517" t="s">
        <v>87</v>
      </c>
      <c r="AN517" t="s">
        <v>67</v>
      </c>
      <c r="AO517" t="s">
        <v>526</v>
      </c>
      <c r="AP517" t="s">
        <v>109</v>
      </c>
      <c r="AQ517">
        <v>12</v>
      </c>
      <c r="AR517" t="s">
        <v>521</v>
      </c>
      <c r="AS517" t="s">
        <v>228</v>
      </c>
      <c r="AT517" t="s">
        <v>170</v>
      </c>
      <c r="AU517">
        <v>1</v>
      </c>
      <c r="AV517">
        <v>1</v>
      </c>
      <c r="AW517" t="s">
        <v>537</v>
      </c>
      <c r="AX517" t="s">
        <v>283</v>
      </c>
      <c r="AY517" t="s">
        <v>280</v>
      </c>
      <c r="AZ517">
        <v>5</v>
      </c>
      <c r="BA517" t="s">
        <v>533</v>
      </c>
      <c r="BB517" t="s">
        <v>541</v>
      </c>
      <c r="BC517" t="s">
        <v>395</v>
      </c>
      <c r="BD517" t="s">
        <v>228</v>
      </c>
      <c r="BE517" t="s">
        <v>522</v>
      </c>
      <c r="BF517" t="s">
        <v>523</v>
      </c>
      <c r="BG517" t="s">
        <v>407</v>
      </c>
      <c r="BH517" t="s">
        <v>396</v>
      </c>
      <c r="BI517" t="s">
        <v>524</v>
      </c>
      <c r="BJ517" t="s">
        <v>228</v>
      </c>
      <c r="BK517" t="s">
        <v>228</v>
      </c>
      <c r="BL517" t="s">
        <v>228</v>
      </c>
      <c r="BM517" t="s">
        <v>228</v>
      </c>
      <c r="BN517" t="s">
        <v>228</v>
      </c>
      <c r="BO517" t="s">
        <v>228</v>
      </c>
      <c r="BP517" t="s">
        <v>228</v>
      </c>
      <c r="BQ517" t="s">
        <v>228</v>
      </c>
      <c r="BR517" t="s">
        <v>228</v>
      </c>
      <c r="BS517" t="s">
        <v>409</v>
      </c>
      <c r="BT517">
        <v>1</v>
      </c>
    </row>
    <row r="518" spans="1:72" x14ac:dyDescent="0.15">
      <c r="A518" s="43">
        <v>2023</v>
      </c>
      <c r="B518" s="8">
        <v>1</v>
      </c>
      <c r="C518" s="8">
        <v>1</v>
      </c>
      <c r="D518" s="8">
        <v>14</v>
      </c>
      <c r="E518" s="8" t="s">
        <v>67</v>
      </c>
      <c r="F518" s="8" t="s">
        <v>57</v>
      </c>
      <c r="G518" s="8">
        <v>2016</v>
      </c>
      <c r="H518" s="8">
        <v>12</v>
      </c>
      <c r="I518" s="8" t="s">
        <v>521</v>
      </c>
      <c r="J518" s="8" t="s">
        <v>228</v>
      </c>
      <c r="K518" s="8">
        <v>1953</v>
      </c>
      <c r="L518" s="17">
        <v>1</v>
      </c>
      <c r="M518" s="8">
        <v>1</v>
      </c>
      <c r="N518" s="8" t="s">
        <v>49</v>
      </c>
      <c r="O518" s="8" t="s">
        <v>283</v>
      </c>
      <c r="P518" s="8" t="s">
        <v>280</v>
      </c>
      <c r="Q518" s="8">
        <v>20000</v>
      </c>
      <c r="R518" s="8" t="s">
        <v>59</v>
      </c>
      <c r="S518" s="8" t="s">
        <v>54</v>
      </c>
      <c r="T518" s="8" t="s">
        <v>69</v>
      </c>
      <c r="U518" s="8" t="s">
        <v>228</v>
      </c>
      <c r="V518" s="8">
        <v>500</v>
      </c>
      <c r="W518" s="8" t="s">
        <v>328</v>
      </c>
      <c r="X518" s="8">
        <v>3000</v>
      </c>
      <c r="Y518" s="8" t="s">
        <v>394</v>
      </c>
      <c r="Z518" s="8">
        <v>85</v>
      </c>
      <c r="AA518" s="8" t="s">
        <v>278</v>
      </c>
      <c r="AB518" s="8" t="s">
        <v>228</v>
      </c>
      <c r="AC518" s="8" t="s">
        <v>228</v>
      </c>
      <c r="AD518" s="8" t="s">
        <v>228</v>
      </c>
      <c r="AE518" s="8" t="s">
        <v>228</v>
      </c>
      <c r="AF518" s="8" t="s">
        <v>228</v>
      </c>
      <c r="AG518" s="8" t="s">
        <v>228</v>
      </c>
      <c r="AH518" s="8" t="s">
        <v>228</v>
      </c>
      <c r="AI518" s="8" t="s">
        <v>228</v>
      </c>
      <c r="AJ518" t="s">
        <v>468</v>
      </c>
      <c r="AK518">
        <v>1</v>
      </c>
      <c r="AL518">
        <v>1</v>
      </c>
      <c r="AM518" t="s">
        <v>87</v>
      </c>
      <c r="AN518" t="s">
        <v>67</v>
      </c>
      <c r="AO518" t="s">
        <v>526</v>
      </c>
      <c r="AP518" t="s">
        <v>109</v>
      </c>
      <c r="AQ518">
        <v>12</v>
      </c>
      <c r="AR518" t="s">
        <v>521</v>
      </c>
      <c r="AS518" t="s">
        <v>228</v>
      </c>
      <c r="AT518" t="s">
        <v>170</v>
      </c>
      <c r="AU518">
        <v>1</v>
      </c>
      <c r="AV518">
        <v>1</v>
      </c>
      <c r="AW518" t="s">
        <v>537</v>
      </c>
      <c r="AX518" t="s">
        <v>283</v>
      </c>
      <c r="AY518" t="s">
        <v>280</v>
      </c>
      <c r="AZ518">
        <v>5</v>
      </c>
      <c r="BA518" t="s">
        <v>533</v>
      </c>
      <c r="BB518" t="s">
        <v>541</v>
      </c>
      <c r="BC518" t="s">
        <v>395</v>
      </c>
      <c r="BD518" t="s">
        <v>228</v>
      </c>
      <c r="BE518" t="s">
        <v>522</v>
      </c>
      <c r="BF518" t="s">
        <v>523</v>
      </c>
      <c r="BG518" t="s">
        <v>407</v>
      </c>
      <c r="BH518" t="s">
        <v>551</v>
      </c>
      <c r="BI518" t="s">
        <v>524</v>
      </c>
      <c r="BJ518" t="s">
        <v>228</v>
      </c>
      <c r="BK518" t="s">
        <v>228</v>
      </c>
      <c r="BL518" t="s">
        <v>228</v>
      </c>
      <c r="BM518" t="s">
        <v>228</v>
      </c>
      <c r="BN518" t="s">
        <v>228</v>
      </c>
      <c r="BO518" t="s">
        <v>228</v>
      </c>
      <c r="BP518" t="s">
        <v>228</v>
      </c>
      <c r="BQ518" t="s">
        <v>228</v>
      </c>
      <c r="BR518" t="s">
        <v>228</v>
      </c>
      <c r="BS518" t="s">
        <v>409</v>
      </c>
      <c r="BT518">
        <v>1</v>
      </c>
    </row>
    <row r="519" spans="1:72" x14ac:dyDescent="0.15">
      <c r="A519" s="43">
        <v>2023</v>
      </c>
      <c r="B519" s="8">
        <v>1</v>
      </c>
      <c r="C519" s="8">
        <v>1</v>
      </c>
      <c r="D519" s="8">
        <v>14</v>
      </c>
      <c r="E519" s="8" t="s">
        <v>67</v>
      </c>
      <c r="F519" s="8" t="s">
        <v>57</v>
      </c>
      <c r="G519" s="8">
        <v>2016</v>
      </c>
      <c r="H519" s="8">
        <v>12</v>
      </c>
      <c r="I519" s="8" t="s">
        <v>521</v>
      </c>
      <c r="J519" s="8" t="s">
        <v>228</v>
      </c>
      <c r="K519" s="8">
        <v>1953</v>
      </c>
      <c r="L519" s="17">
        <v>1</v>
      </c>
      <c r="M519" s="8">
        <v>1</v>
      </c>
      <c r="N519" s="8" t="s">
        <v>49</v>
      </c>
      <c r="O519" s="8" t="s">
        <v>283</v>
      </c>
      <c r="P519" s="8" t="s">
        <v>280</v>
      </c>
      <c r="Q519" s="8">
        <v>20000</v>
      </c>
      <c r="R519" s="8" t="s">
        <v>59</v>
      </c>
      <c r="S519" s="8" t="s">
        <v>54</v>
      </c>
      <c r="T519" s="8" t="s">
        <v>69</v>
      </c>
      <c r="U519" s="8" t="s">
        <v>228</v>
      </c>
      <c r="V519" s="8">
        <v>500</v>
      </c>
      <c r="W519" s="8" t="s">
        <v>328</v>
      </c>
      <c r="X519" s="8">
        <v>3000</v>
      </c>
      <c r="Y519" s="8" t="s">
        <v>271</v>
      </c>
      <c r="Z519" s="8">
        <v>85</v>
      </c>
      <c r="AA519" s="8" t="s">
        <v>278</v>
      </c>
      <c r="AB519" s="8" t="s">
        <v>228</v>
      </c>
      <c r="AC519" s="8" t="s">
        <v>228</v>
      </c>
      <c r="AD519" s="8" t="s">
        <v>228</v>
      </c>
      <c r="AE519" s="8" t="s">
        <v>228</v>
      </c>
      <c r="AF519" s="8" t="s">
        <v>228</v>
      </c>
      <c r="AG519" s="8" t="s">
        <v>228</v>
      </c>
      <c r="AH519" s="8" t="s">
        <v>228</v>
      </c>
      <c r="AI519" s="8" t="s">
        <v>228</v>
      </c>
      <c r="AJ519" t="s">
        <v>468</v>
      </c>
      <c r="AK519">
        <v>1</v>
      </c>
      <c r="AL519">
        <v>1</v>
      </c>
      <c r="AM519" t="s">
        <v>87</v>
      </c>
      <c r="AN519" t="s">
        <v>67</v>
      </c>
      <c r="AO519" t="s">
        <v>526</v>
      </c>
      <c r="AP519" t="s">
        <v>109</v>
      </c>
      <c r="AQ519">
        <v>12</v>
      </c>
      <c r="AR519" t="s">
        <v>521</v>
      </c>
      <c r="AS519" t="s">
        <v>228</v>
      </c>
      <c r="AT519" t="s">
        <v>170</v>
      </c>
      <c r="AU519">
        <v>1</v>
      </c>
      <c r="AV519">
        <v>1</v>
      </c>
      <c r="AW519" t="s">
        <v>537</v>
      </c>
      <c r="AX519" t="s">
        <v>283</v>
      </c>
      <c r="AY519" t="s">
        <v>280</v>
      </c>
      <c r="AZ519">
        <v>5</v>
      </c>
      <c r="BA519" t="s">
        <v>533</v>
      </c>
      <c r="BB519" t="s">
        <v>541</v>
      </c>
      <c r="BC519" t="s">
        <v>395</v>
      </c>
      <c r="BD519" t="s">
        <v>228</v>
      </c>
      <c r="BE519" t="s">
        <v>522</v>
      </c>
      <c r="BF519" t="s">
        <v>523</v>
      </c>
      <c r="BG519" t="s">
        <v>407</v>
      </c>
      <c r="BH519" t="s">
        <v>544</v>
      </c>
      <c r="BI519" t="s">
        <v>524</v>
      </c>
      <c r="BJ519" t="s">
        <v>228</v>
      </c>
      <c r="BK519" t="s">
        <v>228</v>
      </c>
      <c r="BL519" t="s">
        <v>228</v>
      </c>
      <c r="BM519" t="s">
        <v>228</v>
      </c>
      <c r="BN519" t="s">
        <v>228</v>
      </c>
      <c r="BO519" t="s">
        <v>228</v>
      </c>
      <c r="BP519" t="s">
        <v>228</v>
      </c>
      <c r="BQ519" t="s">
        <v>228</v>
      </c>
      <c r="BR519" t="s">
        <v>228</v>
      </c>
      <c r="BS519" t="s">
        <v>409</v>
      </c>
      <c r="BT519">
        <v>0</v>
      </c>
    </row>
    <row r="520" spans="1:72" x14ac:dyDescent="0.15">
      <c r="A520" s="43">
        <v>2023</v>
      </c>
      <c r="B520" s="8">
        <v>1</v>
      </c>
      <c r="C520" s="8">
        <v>1</v>
      </c>
      <c r="D520" s="8">
        <v>13</v>
      </c>
      <c r="E520" s="8" t="s">
        <v>67</v>
      </c>
      <c r="F520" s="8" t="s">
        <v>57</v>
      </c>
      <c r="G520" s="8">
        <v>2016</v>
      </c>
      <c r="H520" s="8">
        <v>12</v>
      </c>
      <c r="I520" s="8" t="s">
        <v>521</v>
      </c>
      <c r="J520" s="8" t="s">
        <v>228</v>
      </c>
      <c r="K520" s="8">
        <v>1953</v>
      </c>
      <c r="L520" s="17">
        <v>1</v>
      </c>
      <c r="M520" s="8">
        <v>1</v>
      </c>
      <c r="N520" s="8" t="s">
        <v>49</v>
      </c>
      <c r="O520" s="8" t="s">
        <v>283</v>
      </c>
      <c r="P520" s="8" t="s">
        <v>280</v>
      </c>
      <c r="Q520" s="8">
        <v>20000</v>
      </c>
      <c r="R520" s="8" t="s">
        <v>59</v>
      </c>
      <c r="S520" s="8" t="s">
        <v>54</v>
      </c>
      <c r="T520" s="8" t="s">
        <v>69</v>
      </c>
      <c r="U520" s="8" t="s">
        <v>228</v>
      </c>
      <c r="V520" s="8">
        <v>500</v>
      </c>
      <c r="W520" s="8" t="s">
        <v>328</v>
      </c>
      <c r="X520" s="8">
        <v>3000</v>
      </c>
      <c r="Y520" s="8" t="s">
        <v>268</v>
      </c>
      <c r="Z520" s="8">
        <v>85</v>
      </c>
      <c r="AA520" s="8" t="s">
        <v>278</v>
      </c>
      <c r="AB520" s="8" t="s">
        <v>228</v>
      </c>
      <c r="AC520" s="8" t="s">
        <v>228</v>
      </c>
      <c r="AD520" s="8" t="s">
        <v>228</v>
      </c>
      <c r="AE520" s="8" t="s">
        <v>228</v>
      </c>
      <c r="AF520" s="8" t="s">
        <v>228</v>
      </c>
      <c r="AG520" s="8" t="s">
        <v>228</v>
      </c>
      <c r="AH520" s="8" t="s">
        <v>228</v>
      </c>
      <c r="AI520" s="8" t="s">
        <v>228</v>
      </c>
      <c r="AJ520" t="s">
        <v>468</v>
      </c>
      <c r="AK520">
        <v>1</v>
      </c>
      <c r="AL520">
        <v>1</v>
      </c>
      <c r="AM520" t="s">
        <v>88</v>
      </c>
      <c r="AN520" t="s">
        <v>67</v>
      </c>
      <c r="AO520" t="s">
        <v>526</v>
      </c>
      <c r="AP520" t="s">
        <v>109</v>
      </c>
      <c r="AQ520">
        <v>12</v>
      </c>
      <c r="AR520" t="s">
        <v>521</v>
      </c>
      <c r="AS520" t="s">
        <v>228</v>
      </c>
      <c r="AT520" t="s">
        <v>170</v>
      </c>
      <c r="AU520">
        <v>1</v>
      </c>
      <c r="AV520">
        <v>1</v>
      </c>
      <c r="AW520" t="s">
        <v>537</v>
      </c>
      <c r="AX520" t="s">
        <v>283</v>
      </c>
      <c r="AY520" t="s">
        <v>280</v>
      </c>
      <c r="AZ520">
        <v>5</v>
      </c>
      <c r="BA520" t="s">
        <v>533</v>
      </c>
      <c r="BB520" t="s">
        <v>541</v>
      </c>
      <c r="BC520" t="s">
        <v>395</v>
      </c>
      <c r="BD520" t="s">
        <v>228</v>
      </c>
      <c r="BE520" t="s">
        <v>522</v>
      </c>
      <c r="BF520" t="s">
        <v>523</v>
      </c>
      <c r="BG520" t="s">
        <v>407</v>
      </c>
      <c r="BH520" t="s">
        <v>396</v>
      </c>
      <c r="BI520" t="s">
        <v>524</v>
      </c>
      <c r="BJ520" t="s">
        <v>228</v>
      </c>
      <c r="BK520" t="s">
        <v>228</v>
      </c>
      <c r="BL520" t="s">
        <v>228</v>
      </c>
      <c r="BM520" t="s">
        <v>228</v>
      </c>
      <c r="BN520" t="s">
        <v>228</v>
      </c>
      <c r="BO520" t="s">
        <v>228</v>
      </c>
      <c r="BP520" t="s">
        <v>228</v>
      </c>
      <c r="BQ520" t="s">
        <v>228</v>
      </c>
      <c r="BR520" t="s">
        <v>228</v>
      </c>
      <c r="BS520" t="s">
        <v>409</v>
      </c>
      <c r="BT520">
        <v>1</v>
      </c>
    </row>
    <row r="521" spans="1:72" x14ac:dyDescent="0.15">
      <c r="A521" s="43">
        <v>2023</v>
      </c>
      <c r="B521" s="8">
        <v>1</v>
      </c>
      <c r="C521" s="8">
        <v>1</v>
      </c>
      <c r="D521" s="8">
        <v>13</v>
      </c>
      <c r="E521" s="8" t="s">
        <v>67</v>
      </c>
      <c r="F521" s="8" t="s">
        <v>57</v>
      </c>
      <c r="G521" s="8">
        <v>2016</v>
      </c>
      <c r="H521" s="8">
        <v>12</v>
      </c>
      <c r="I521" s="8" t="s">
        <v>521</v>
      </c>
      <c r="J521" s="8" t="s">
        <v>228</v>
      </c>
      <c r="K521" s="8">
        <v>1953</v>
      </c>
      <c r="L521" s="17">
        <v>1</v>
      </c>
      <c r="M521" s="8">
        <v>1</v>
      </c>
      <c r="N521" s="8" t="s">
        <v>49</v>
      </c>
      <c r="O521" s="8" t="s">
        <v>283</v>
      </c>
      <c r="P521" s="8" t="s">
        <v>280</v>
      </c>
      <c r="Q521" s="8">
        <v>20000</v>
      </c>
      <c r="R521" s="8" t="s">
        <v>59</v>
      </c>
      <c r="S521" s="8" t="s">
        <v>54</v>
      </c>
      <c r="T521" s="8" t="s">
        <v>69</v>
      </c>
      <c r="U521" s="8" t="s">
        <v>228</v>
      </c>
      <c r="V521" s="8">
        <v>500</v>
      </c>
      <c r="W521" s="8" t="s">
        <v>328</v>
      </c>
      <c r="X521" s="8">
        <v>3000</v>
      </c>
      <c r="Y521" s="8" t="s">
        <v>394</v>
      </c>
      <c r="Z521" s="8">
        <v>85</v>
      </c>
      <c r="AA521" s="8" t="s">
        <v>278</v>
      </c>
      <c r="AB521" s="8" t="s">
        <v>228</v>
      </c>
      <c r="AC521" s="8" t="s">
        <v>228</v>
      </c>
      <c r="AD521" s="8" t="s">
        <v>228</v>
      </c>
      <c r="AE521" s="8" t="s">
        <v>228</v>
      </c>
      <c r="AF521" s="8" t="s">
        <v>228</v>
      </c>
      <c r="AG521" s="8" t="s">
        <v>228</v>
      </c>
      <c r="AH521" s="8" t="s">
        <v>228</v>
      </c>
      <c r="AI521" s="8" t="s">
        <v>228</v>
      </c>
      <c r="AJ521" t="s">
        <v>468</v>
      </c>
      <c r="AK521">
        <v>1</v>
      </c>
      <c r="AL521">
        <v>1</v>
      </c>
      <c r="AM521" t="s">
        <v>88</v>
      </c>
      <c r="AN521" t="s">
        <v>67</v>
      </c>
      <c r="AO521" t="s">
        <v>526</v>
      </c>
      <c r="AP521" t="s">
        <v>109</v>
      </c>
      <c r="AQ521">
        <v>12</v>
      </c>
      <c r="AR521" t="s">
        <v>521</v>
      </c>
      <c r="AS521" t="s">
        <v>228</v>
      </c>
      <c r="AT521" t="s">
        <v>170</v>
      </c>
      <c r="AU521">
        <v>1</v>
      </c>
      <c r="AV521">
        <v>1</v>
      </c>
      <c r="AW521" t="s">
        <v>537</v>
      </c>
      <c r="AX521" t="s">
        <v>283</v>
      </c>
      <c r="AY521" t="s">
        <v>280</v>
      </c>
      <c r="AZ521">
        <v>5</v>
      </c>
      <c r="BA521" t="s">
        <v>533</v>
      </c>
      <c r="BB521" t="s">
        <v>541</v>
      </c>
      <c r="BC521" t="s">
        <v>395</v>
      </c>
      <c r="BD521" t="s">
        <v>228</v>
      </c>
      <c r="BE521" t="s">
        <v>522</v>
      </c>
      <c r="BF521" t="s">
        <v>523</v>
      </c>
      <c r="BG521" t="s">
        <v>407</v>
      </c>
      <c r="BH521" t="s">
        <v>551</v>
      </c>
      <c r="BI521" t="s">
        <v>524</v>
      </c>
      <c r="BJ521" t="s">
        <v>228</v>
      </c>
      <c r="BK521" t="s">
        <v>228</v>
      </c>
      <c r="BL521" t="s">
        <v>228</v>
      </c>
      <c r="BM521" t="s">
        <v>228</v>
      </c>
      <c r="BN521" t="s">
        <v>228</v>
      </c>
      <c r="BO521" t="s">
        <v>228</v>
      </c>
      <c r="BP521" t="s">
        <v>228</v>
      </c>
      <c r="BQ521" t="s">
        <v>228</v>
      </c>
      <c r="BR521" t="s">
        <v>228</v>
      </c>
      <c r="BS521" t="s">
        <v>409</v>
      </c>
      <c r="BT521">
        <v>1</v>
      </c>
    </row>
    <row r="522" spans="1:72" x14ac:dyDescent="0.15">
      <c r="A522" s="43">
        <v>2023</v>
      </c>
      <c r="B522" s="8">
        <v>1</v>
      </c>
      <c r="C522" s="8">
        <v>1</v>
      </c>
      <c r="D522" s="8">
        <v>13</v>
      </c>
      <c r="E522" s="8" t="s">
        <v>67</v>
      </c>
      <c r="F522" s="8" t="s">
        <v>57</v>
      </c>
      <c r="G522" s="8">
        <v>2016</v>
      </c>
      <c r="H522" s="8">
        <v>12</v>
      </c>
      <c r="I522" s="8" t="s">
        <v>521</v>
      </c>
      <c r="J522" s="8" t="s">
        <v>228</v>
      </c>
      <c r="K522" s="8">
        <v>1953</v>
      </c>
      <c r="L522" s="17">
        <v>1</v>
      </c>
      <c r="M522" s="8">
        <v>1</v>
      </c>
      <c r="N522" s="8" t="s">
        <v>49</v>
      </c>
      <c r="O522" s="8" t="s">
        <v>283</v>
      </c>
      <c r="P522" s="8" t="s">
        <v>280</v>
      </c>
      <c r="Q522" s="8">
        <v>20000</v>
      </c>
      <c r="R522" s="8" t="s">
        <v>59</v>
      </c>
      <c r="S522" s="8" t="s">
        <v>54</v>
      </c>
      <c r="T522" s="8" t="s">
        <v>69</v>
      </c>
      <c r="U522" s="8" t="s">
        <v>228</v>
      </c>
      <c r="V522" s="8">
        <v>500</v>
      </c>
      <c r="W522" s="8" t="s">
        <v>328</v>
      </c>
      <c r="X522" s="8">
        <v>3000</v>
      </c>
      <c r="Y522" s="8" t="s">
        <v>271</v>
      </c>
      <c r="Z522" s="8">
        <v>85</v>
      </c>
      <c r="AA522" s="8" t="s">
        <v>278</v>
      </c>
      <c r="AB522" s="8" t="s">
        <v>228</v>
      </c>
      <c r="AC522" s="8" t="s">
        <v>228</v>
      </c>
      <c r="AD522" s="8" t="s">
        <v>228</v>
      </c>
      <c r="AE522" s="8" t="s">
        <v>228</v>
      </c>
      <c r="AF522" s="8" t="s">
        <v>228</v>
      </c>
      <c r="AG522" s="8" t="s">
        <v>228</v>
      </c>
      <c r="AH522" s="8" t="s">
        <v>228</v>
      </c>
      <c r="AI522" s="8" t="s">
        <v>228</v>
      </c>
      <c r="AJ522" t="s">
        <v>468</v>
      </c>
      <c r="AK522">
        <v>1</v>
      </c>
      <c r="AL522">
        <v>1</v>
      </c>
      <c r="AM522" t="s">
        <v>88</v>
      </c>
      <c r="AN522" t="s">
        <v>67</v>
      </c>
      <c r="AO522" t="s">
        <v>526</v>
      </c>
      <c r="AP522" t="s">
        <v>109</v>
      </c>
      <c r="AQ522">
        <v>12</v>
      </c>
      <c r="AR522" t="s">
        <v>521</v>
      </c>
      <c r="AS522" t="s">
        <v>228</v>
      </c>
      <c r="AT522" t="s">
        <v>170</v>
      </c>
      <c r="AU522">
        <v>1</v>
      </c>
      <c r="AV522">
        <v>1</v>
      </c>
      <c r="AW522" t="s">
        <v>537</v>
      </c>
      <c r="AX522" t="s">
        <v>283</v>
      </c>
      <c r="AY522" t="s">
        <v>280</v>
      </c>
      <c r="AZ522">
        <v>5</v>
      </c>
      <c r="BA522" t="s">
        <v>533</v>
      </c>
      <c r="BB522" t="s">
        <v>541</v>
      </c>
      <c r="BC522" t="s">
        <v>395</v>
      </c>
      <c r="BD522" t="s">
        <v>228</v>
      </c>
      <c r="BE522" t="s">
        <v>522</v>
      </c>
      <c r="BF522" t="s">
        <v>523</v>
      </c>
      <c r="BG522" t="s">
        <v>407</v>
      </c>
      <c r="BH522" t="s">
        <v>544</v>
      </c>
      <c r="BI522" t="s">
        <v>524</v>
      </c>
      <c r="BJ522" t="s">
        <v>228</v>
      </c>
      <c r="BK522" t="s">
        <v>228</v>
      </c>
      <c r="BL522" t="s">
        <v>228</v>
      </c>
      <c r="BM522" t="s">
        <v>228</v>
      </c>
      <c r="BN522" t="s">
        <v>228</v>
      </c>
      <c r="BO522" t="s">
        <v>228</v>
      </c>
      <c r="BP522" t="s">
        <v>228</v>
      </c>
      <c r="BQ522" t="s">
        <v>228</v>
      </c>
      <c r="BR522" t="s">
        <v>228</v>
      </c>
      <c r="BS522" t="s">
        <v>409</v>
      </c>
      <c r="BT522">
        <v>0</v>
      </c>
    </row>
    <row r="523" spans="1:72" x14ac:dyDescent="0.15">
      <c r="A523" s="43">
        <v>2023</v>
      </c>
      <c r="B523" s="8">
        <v>1</v>
      </c>
      <c r="C523" s="8">
        <v>1</v>
      </c>
      <c r="D523" s="8">
        <v>12</v>
      </c>
      <c r="E523" s="8" t="s">
        <v>67</v>
      </c>
      <c r="F523" s="8" t="s">
        <v>57</v>
      </c>
      <c r="G523" s="8">
        <v>2016</v>
      </c>
      <c r="H523" s="8">
        <v>12</v>
      </c>
      <c r="I523" s="8" t="s">
        <v>521</v>
      </c>
      <c r="J523" s="8" t="s">
        <v>228</v>
      </c>
      <c r="K523" s="8">
        <v>1953</v>
      </c>
      <c r="L523" s="17">
        <v>1</v>
      </c>
      <c r="M523" s="8">
        <v>1</v>
      </c>
      <c r="N523" s="8" t="s">
        <v>49</v>
      </c>
      <c r="O523" s="8" t="s">
        <v>283</v>
      </c>
      <c r="P523" s="8" t="s">
        <v>280</v>
      </c>
      <c r="Q523" s="8">
        <v>20000</v>
      </c>
      <c r="R523" s="8" t="s">
        <v>59</v>
      </c>
      <c r="S523" s="8" t="s">
        <v>54</v>
      </c>
      <c r="T523" s="8" t="s">
        <v>69</v>
      </c>
      <c r="U523" s="8" t="s">
        <v>228</v>
      </c>
      <c r="V523" s="8">
        <v>500</v>
      </c>
      <c r="W523" s="8" t="s">
        <v>328</v>
      </c>
      <c r="X523" s="8">
        <v>3000</v>
      </c>
      <c r="Y523" s="8" t="s">
        <v>268</v>
      </c>
      <c r="Z523" s="8">
        <v>85</v>
      </c>
      <c r="AA523" s="8" t="s">
        <v>278</v>
      </c>
      <c r="AB523" s="8" t="s">
        <v>228</v>
      </c>
      <c r="AC523" s="8" t="s">
        <v>228</v>
      </c>
      <c r="AD523" s="8" t="s">
        <v>228</v>
      </c>
      <c r="AE523" s="8" t="s">
        <v>228</v>
      </c>
      <c r="AF523" s="8" t="s">
        <v>228</v>
      </c>
      <c r="AG523" s="8" t="s">
        <v>228</v>
      </c>
      <c r="AH523" s="8" t="s">
        <v>228</v>
      </c>
      <c r="AI523" s="8" t="s">
        <v>228</v>
      </c>
      <c r="AJ523" t="s">
        <v>468</v>
      </c>
      <c r="AK523">
        <v>1</v>
      </c>
      <c r="AL523">
        <v>1</v>
      </c>
      <c r="AM523" t="s">
        <v>89</v>
      </c>
      <c r="AN523" t="s">
        <v>67</v>
      </c>
      <c r="AO523" t="s">
        <v>526</v>
      </c>
      <c r="AP523" t="s">
        <v>109</v>
      </c>
      <c r="AQ523">
        <v>12</v>
      </c>
      <c r="AR523" t="s">
        <v>521</v>
      </c>
      <c r="AS523" t="s">
        <v>228</v>
      </c>
      <c r="AT523" t="s">
        <v>170</v>
      </c>
      <c r="AU523">
        <v>1</v>
      </c>
      <c r="AV523">
        <v>1</v>
      </c>
      <c r="AW523" t="s">
        <v>537</v>
      </c>
      <c r="AX523" t="s">
        <v>283</v>
      </c>
      <c r="AY523" t="s">
        <v>280</v>
      </c>
      <c r="AZ523">
        <v>5</v>
      </c>
      <c r="BA523" t="s">
        <v>533</v>
      </c>
      <c r="BB523" t="s">
        <v>541</v>
      </c>
      <c r="BC523" t="s">
        <v>395</v>
      </c>
      <c r="BD523" t="s">
        <v>228</v>
      </c>
      <c r="BE523" t="s">
        <v>522</v>
      </c>
      <c r="BF523" t="s">
        <v>523</v>
      </c>
      <c r="BG523" t="s">
        <v>407</v>
      </c>
      <c r="BH523" t="s">
        <v>396</v>
      </c>
      <c r="BI523" t="s">
        <v>524</v>
      </c>
      <c r="BJ523" t="s">
        <v>228</v>
      </c>
      <c r="BK523" t="s">
        <v>228</v>
      </c>
      <c r="BL523" t="s">
        <v>228</v>
      </c>
      <c r="BM523" t="s">
        <v>228</v>
      </c>
      <c r="BN523" t="s">
        <v>228</v>
      </c>
      <c r="BO523" t="s">
        <v>228</v>
      </c>
      <c r="BP523" t="s">
        <v>228</v>
      </c>
      <c r="BQ523" t="s">
        <v>228</v>
      </c>
      <c r="BR523" t="s">
        <v>228</v>
      </c>
      <c r="BS523" t="s">
        <v>409</v>
      </c>
      <c r="BT523">
        <v>1</v>
      </c>
    </row>
    <row r="524" spans="1:72" x14ac:dyDescent="0.15">
      <c r="A524" s="43">
        <v>2023</v>
      </c>
      <c r="B524" s="8">
        <v>1</v>
      </c>
      <c r="C524" s="8">
        <v>1</v>
      </c>
      <c r="D524" s="8">
        <v>12</v>
      </c>
      <c r="E524" s="8" t="s">
        <v>67</v>
      </c>
      <c r="F524" s="8" t="s">
        <v>57</v>
      </c>
      <c r="G524" s="8">
        <v>2016</v>
      </c>
      <c r="H524" s="8">
        <v>12</v>
      </c>
      <c r="I524" s="8" t="s">
        <v>521</v>
      </c>
      <c r="J524" s="8" t="s">
        <v>228</v>
      </c>
      <c r="K524" s="8">
        <v>1953</v>
      </c>
      <c r="L524" s="17">
        <v>1</v>
      </c>
      <c r="M524" s="8">
        <v>1</v>
      </c>
      <c r="N524" s="8" t="s">
        <v>49</v>
      </c>
      <c r="O524" s="8" t="s">
        <v>283</v>
      </c>
      <c r="P524" s="8" t="s">
        <v>280</v>
      </c>
      <c r="Q524" s="8">
        <v>20000</v>
      </c>
      <c r="R524" s="8" t="s">
        <v>59</v>
      </c>
      <c r="S524" s="8" t="s">
        <v>54</v>
      </c>
      <c r="T524" s="8" t="s">
        <v>69</v>
      </c>
      <c r="U524" s="8" t="s">
        <v>228</v>
      </c>
      <c r="V524" s="8">
        <v>500</v>
      </c>
      <c r="W524" s="8" t="s">
        <v>328</v>
      </c>
      <c r="X524" s="8">
        <v>3000</v>
      </c>
      <c r="Y524" s="8" t="s">
        <v>394</v>
      </c>
      <c r="Z524" s="8">
        <v>85</v>
      </c>
      <c r="AA524" s="8" t="s">
        <v>278</v>
      </c>
      <c r="AB524" s="8" t="s">
        <v>228</v>
      </c>
      <c r="AC524" s="8" t="s">
        <v>228</v>
      </c>
      <c r="AD524" s="8" t="s">
        <v>228</v>
      </c>
      <c r="AE524" s="8" t="s">
        <v>228</v>
      </c>
      <c r="AF524" s="8" t="s">
        <v>228</v>
      </c>
      <c r="AG524" s="8" t="s">
        <v>228</v>
      </c>
      <c r="AH524" s="8" t="s">
        <v>228</v>
      </c>
      <c r="AI524" s="8" t="s">
        <v>228</v>
      </c>
      <c r="AJ524" t="s">
        <v>468</v>
      </c>
      <c r="AK524">
        <v>1</v>
      </c>
      <c r="AL524">
        <v>1</v>
      </c>
      <c r="AM524" t="s">
        <v>89</v>
      </c>
      <c r="AN524" t="s">
        <v>67</v>
      </c>
      <c r="AO524" t="s">
        <v>526</v>
      </c>
      <c r="AP524" t="s">
        <v>109</v>
      </c>
      <c r="AQ524">
        <v>12</v>
      </c>
      <c r="AR524" t="s">
        <v>521</v>
      </c>
      <c r="AS524" t="s">
        <v>228</v>
      </c>
      <c r="AT524" t="s">
        <v>170</v>
      </c>
      <c r="AU524">
        <v>1</v>
      </c>
      <c r="AV524">
        <v>1</v>
      </c>
      <c r="AW524" t="s">
        <v>537</v>
      </c>
      <c r="AX524" t="s">
        <v>283</v>
      </c>
      <c r="AY524" t="s">
        <v>280</v>
      </c>
      <c r="AZ524">
        <v>5</v>
      </c>
      <c r="BA524" t="s">
        <v>533</v>
      </c>
      <c r="BB524" t="s">
        <v>541</v>
      </c>
      <c r="BC524" t="s">
        <v>395</v>
      </c>
      <c r="BD524" t="s">
        <v>228</v>
      </c>
      <c r="BE524" t="s">
        <v>522</v>
      </c>
      <c r="BF524" t="s">
        <v>523</v>
      </c>
      <c r="BG524" t="s">
        <v>407</v>
      </c>
      <c r="BH524" t="s">
        <v>551</v>
      </c>
      <c r="BI524" t="s">
        <v>524</v>
      </c>
      <c r="BJ524" t="s">
        <v>228</v>
      </c>
      <c r="BK524" t="s">
        <v>228</v>
      </c>
      <c r="BL524" t="s">
        <v>228</v>
      </c>
      <c r="BM524" t="s">
        <v>228</v>
      </c>
      <c r="BN524" t="s">
        <v>228</v>
      </c>
      <c r="BO524" t="s">
        <v>228</v>
      </c>
      <c r="BP524" t="s">
        <v>228</v>
      </c>
      <c r="BQ524" t="s">
        <v>228</v>
      </c>
      <c r="BR524" t="s">
        <v>228</v>
      </c>
      <c r="BS524" t="s">
        <v>409</v>
      </c>
      <c r="BT524">
        <v>1</v>
      </c>
    </row>
    <row r="525" spans="1:72" x14ac:dyDescent="0.15">
      <c r="A525" s="43">
        <v>2023</v>
      </c>
      <c r="B525" s="8">
        <v>1</v>
      </c>
      <c r="C525" s="8">
        <v>1</v>
      </c>
      <c r="D525" s="8">
        <v>12</v>
      </c>
      <c r="E525" s="8" t="s">
        <v>67</v>
      </c>
      <c r="F525" s="8" t="s">
        <v>57</v>
      </c>
      <c r="G525" s="8">
        <v>2016</v>
      </c>
      <c r="H525" s="8">
        <v>12</v>
      </c>
      <c r="I525" s="8" t="s">
        <v>521</v>
      </c>
      <c r="J525" s="8" t="s">
        <v>228</v>
      </c>
      <c r="K525" s="8">
        <v>1953</v>
      </c>
      <c r="L525" s="17">
        <v>1</v>
      </c>
      <c r="M525" s="8">
        <v>1</v>
      </c>
      <c r="N525" s="8" t="s">
        <v>49</v>
      </c>
      <c r="O525" s="8" t="s">
        <v>283</v>
      </c>
      <c r="P525" s="8" t="s">
        <v>280</v>
      </c>
      <c r="Q525" s="8">
        <v>20000</v>
      </c>
      <c r="R525" s="8" t="s">
        <v>59</v>
      </c>
      <c r="S525" s="8" t="s">
        <v>54</v>
      </c>
      <c r="T525" s="8" t="s">
        <v>69</v>
      </c>
      <c r="U525" s="8" t="s">
        <v>228</v>
      </c>
      <c r="V525" s="8">
        <v>500</v>
      </c>
      <c r="W525" s="8" t="s">
        <v>328</v>
      </c>
      <c r="X525" s="8">
        <v>3000</v>
      </c>
      <c r="Y525" s="8" t="s">
        <v>271</v>
      </c>
      <c r="Z525" s="8">
        <v>85</v>
      </c>
      <c r="AA525" s="8" t="s">
        <v>278</v>
      </c>
      <c r="AB525" s="8" t="s">
        <v>228</v>
      </c>
      <c r="AC525" s="8" t="s">
        <v>228</v>
      </c>
      <c r="AD525" s="8" t="s">
        <v>228</v>
      </c>
      <c r="AE525" s="8" t="s">
        <v>228</v>
      </c>
      <c r="AF525" s="8" t="s">
        <v>228</v>
      </c>
      <c r="AG525" s="8" t="s">
        <v>228</v>
      </c>
      <c r="AH525" s="8" t="s">
        <v>228</v>
      </c>
      <c r="AI525" s="8" t="s">
        <v>228</v>
      </c>
      <c r="AJ525" t="s">
        <v>468</v>
      </c>
      <c r="AK525">
        <v>1</v>
      </c>
      <c r="AL525">
        <v>1</v>
      </c>
      <c r="AM525" t="s">
        <v>89</v>
      </c>
      <c r="AN525" t="s">
        <v>67</v>
      </c>
      <c r="AO525" t="s">
        <v>526</v>
      </c>
      <c r="AP525" t="s">
        <v>109</v>
      </c>
      <c r="AQ525">
        <v>12</v>
      </c>
      <c r="AR525" t="s">
        <v>521</v>
      </c>
      <c r="AS525" t="s">
        <v>228</v>
      </c>
      <c r="AT525" t="s">
        <v>170</v>
      </c>
      <c r="AU525">
        <v>1</v>
      </c>
      <c r="AV525">
        <v>1</v>
      </c>
      <c r="AW525" t="s">
        <v>537</v>
      </c>
      <c r="AX525" t="s">
        <v>283</v>
      </c>
      <c r="AY525" t="s">
        <v>280</v>
      </c>
      <c r="AZ525">
        <v>5</v>
      </c>
      <c r="BA525" t="s">
        <v>533</v>
      </c>
      <c r="BB525" t="s">
        <v>541</v>
      </c>
      <c r="BC525" t="s">
        <v>395</v>
      </c>
      <c r="BD525" t="s">
        <v>228</v>
      </c>
      <c r="BE525" t="s">
        <v>522</v>
      </c>
      <c r="BF525" t="s">
        <v>523</v>
      </c>
      <c r="BG525" t="s">
        <v>407</v>
      </c>
      <c r="BH525" t="s">
        <v>544</v>
      </c>
      <c r="BI525" t="s">
        <v>524</v>
      </c>
      <c r="BJ525" t="s">
        <v>228</v>
      </c>
      <c r="BK525" t="s">
        <v>228</v>
      </c>
      <c r="BL525" t="s">
        <v>228</v>
      </c>
      <c r="BM525" t="s">
        <v>228</v>
      </c>
      <c r="BN525" t="s">
        <v>228</v>
      </c>
      <c r="BO525" t="s">
        <v>228</v>
      </c>
      <c r="BP525" t="s">
        <v>228</v>
      </c>
      <c r="BQ525" t="s">
        <v>228</v>
      </c>
      <c r="BR525" t="s">
        <v>228</v>
      </c>
      <c r="BS525" t="s">
        <v>409</v>
      </c>
      <c r="BT525">
        <v>0</v>
      </c>
    </row>
    <row r="526" spans="1:72" x14ac:dyDescent="0.15">
      <c r="A526" s="43">
        <v>2023</v>
      </c>
      <c r="B526" s="8">
        <v>1</v>
      </c>
      <c r="C526" s="8">
        <v>1</v>
      </c>
      <c r="D526" s="8">
        <v>11</v>
      </c>
      <c r="E526" s="8" t="s">
        <v>67</v>
      </c>
      <c r="F526" s="8" t="s">
        <v>57</v>
      </c>
      <c r="G526" s="8">
        <v>2016</v>
      </c>
      <c r="H526" s="8">
        <v>12</v>
      </c>
      <c r="I526" s="8" t="s">
        <v>521</v>
      </c>
      <c r="J526" s="8" t="s">
        <v>228</v>
      </c>
      <c r="K526" s="8">
        <v>1953</v>
      </c>
      <c r="L526" s="17">
        <v>1</v>
      </c>
      <c r="M526" s="8">
        <v>1</v>
      </c>
      <c r="N526" s="8" t="s">
        <v>49</v>
      </c>
      <c r="O526" s="8" t="s">
        <v>283</v>
      </c>
      <c r="P526" s="8" t="s">
        <v>280</v>
      </c>
      <c r="Q526" s="8">
        <v>20000</v>
      </c>
      <c r="R526" s="8" t="s">
        <v>59</v>
      </c>
      <c r="S526" s="8" t="s">
        <v>54</v>
      </c>
      <c r="T526" s="8" t="s">
        <v>69</v>
      </c>
      <c r="U526" s="8" t="s">
        <v>228</v>
      </c>
      <c r="V526" s="8">
        <v>500</v>
      </c>
      <c r="W526" s="8" t="s">
        <v>328</v>
      </c>
      <c r="X526" s="8">
        <v>3000</v>
      </c>
      <c r="Y526" s="8" t="s">
        <v>268</v>
      </c>
      <c r="Z526" s="8">
        <v>85</v>
      </c>
      <c r="AA526" s="8" t="s">
        <v>278</v>
      </c>
      <c r="AB526" s="8" t="s">
        <v>228</v>
      </c>
      <c r="AC526" s="8" t="s">
        <v>228</v>
      </c>
      <c r="AD526" s="8" t="s">
        <v>228</v>
      </c>
      <c r="AE526" s="8" t="s">
        <v>228</v>
      </c>
      <c r="AF526" s="8" t="s">
        <v>228</v>
      </c>
      <c r="AG526" s="8" t="s">
        <v>228</v>
      </c>
      <c r="AH526" s="8" t="s">
        <v>228</v>
      </c>
      <c r="AI526" s="8" t="s">
        <v>228</v>
      </c>
      <c r="AJ526" t="s">
        <v>468</v>
      </c>
      <c r="AK526">
        <v>1</v>
      </c>
      <c r="AL526">
        <v>1</v>
      </c>
      <c r="AM526" t="s">
        <v>90</v>
      </c>
      <c r="AN526" t="s">
        <v>67</v>
      </c>
      <c r="AO526" t="s">
        <v>526</v>
      </c>
      <c r="AP526" t="s">
        <v>109</v>
      </c>
      <c r="AQ526">
        <v>12</v>
      </c>
      <c r="AR526" t="s">
        <v>521</v>
      </c>
      <c r="AS526" t="s">
        <v>228</v>
      </c>
      <c r="AT526" t="s">
        <v>170</v>
      </c>
      <c r="AU526">
        <v>1</v>
      </c>
      <c r="AV526">
        <v>1</v>
      </c>
      <c r="AW526" t="s">
        <v>537</v>
      </c>
      <c r="AX526" t="s">
        <v>283</v>
      </c>
      <c r="AY526" t="s">
        <v>280</v>
      </c>
      <c r="AZ526">
        <v>5</v>
      </c>
      <c r="BA526" t="s">
        <v>533</v>
      </c>
      <c r="BB526" t="s">
        <v>541</v>
      </c>
      <c r="BC526" t="s">
        <v>395</v>
      </c>
      <c r="BD526" t="s">
        <v>228</v>
      </c>
      <c r="BE526" t="s">
        <v>522</v>
      </c>
      <c r="BF526" t="s">
        <v>523</v>
      </c>
      <c r="BG526" t="s">
        <v>407</v>
      </c>
      <c r="BH526" t="s">
        <v>396</v>
      </c>
      <c r="BI526" t="s">
        <v>524</v>
      </c>
      <c r="BJ526" t="s">
        <v>228</v>
      </c>
      <c r="BK526" t="s">
        <v>228</v>
      </c>
      <c r="BL526" t="s">
        <v>228</v>
      </c>
      <c r="BM526" t="s">
        <v>228</v>
      </c>
      <c r="BN526" t="s">
        <v>228</v>
      </c>
      <c r="BO526" t="s">
        <v>228</v>
      </c>
      <c r="BP526" t="s">
        <v>228</v>
      </c>
      <c r="BQ526" t="s">
        <v>228</v>
      </c>
      <c r="BR526" t="s">
        <v>228</v>
      </c>
      <c r="BS526" t="s">
        <v>409</v>
      </c>
      <c r="BT526">
        <v>1</v>
      </c>
    </row>
    <row r="527" spans="1:72" x14ac:dyDescent="0.15">
      <c r="A527" s="43">
        <v>2023</v>
      </c>
      <c r="B527" s="8">
        <v>1</v>
      </c>
      <c r="C527" s="8">
        <v>1</v>
      </c>
      <c r="D527" s="8">
        <v>11</v>
      </c>
      <c r="E527" s="8" t="s">
        <v>67</v>
      </c>
      <c r="F527" s="8" t="s">
        <v>57</v>
      </c>
      <c r="G527" s="8">
        <v>2016</v>
      </c>
      <c r="H527" s="8">
        <v>12</v>
      </c>
      <c r="I527" s="8" t="s">
        <v>521</v>
      </c>
      <c r="J527" s="8" t="s">
        <v>228</v>
      </c>
      <c r="K527" s="8">
        <v>1953</v>
      </c>
      <c r="L527" s="17">
        <v>1</v>
      </c>
      <c r="M527" s="8">
        <v>1</v>
      </c>
      <c r="N527" s="8" t="s">
        <v>49</v>
      </c>
      <c r="O527" s="8" t="s">
        <v>283</v>
      </c>
      <c r="P527" s="8" t="s">
        <v>280</v>
      </c>
      <c r="Q527" s="8">
        <v>20000</v>
      </c>
      <c r="R527" s="8" t="s">
        <v>59</v>
      </c>
      <c r="S527" s="8" t="s">
        <v>54</v>
      </c>
      <c r="T527" s="8" t="s">
        <v>69</v>
      </c>
      <c r="U527" s="8" t="s">
        <v>228</v>
      </c>
      <c r="V527" s="8">
        <v>500</v>
      </c>
      <c r="W527" s="8" t="s">
        <v>328</v>
      </c>
      <c r="X527" s="8">
        <v>3000</v>
      </c>
      <c r="Y527" s="8" t="s">
        <v>394</v>
      </c>
      <c r="Z527" s="8">
        <v>85</v>
      </c>
      <c r="AA527" s="8" t="s">
        <v>278</v>
      </c>
      <c r="AB527" s="8" t="s">
        <v>228</v>
      </c>
      <c r="AC527" s="8" t="s">
        <v>228</v>
      </c>
      <c r="AD527" s="8" t="s">
        <v>228</v>
      </c>
      <c r="AE527" s="8" t="s">
        <v>228</v>
      </c>
      <c r="AF527" s="8" t="s">
        <v>228</v>
      </c>
      <c r="AG527" s="8" t="s">
        <v>228</v>
      </c>
      <c r="AH527" s="8" t="s">
        <v>228</v>
      </c>
      <c r="AI527" s="8" t="s">
        <v>228</v>
      </c>
      <c r="AJ527" t="s">
        <v>468</v>
      </c>
      <c r="AK527">
        <v>1</v>
      </c>
      <c r="AL527">
        <v>1</v>
      </c>
      <c r="AM527" t="s">
        <v>90</v>
      </c>
      <c r="AN527" t="s">
        <v>67</v>
      </c>
      <c r="AO527" t="s">
        <v>526</v>
      </c>
      <c r="AP527" t="s">
        <v>109</v>
      </c>
      <c r="AQ527">
        <v>12</v>
      </c>
      <c r="AR527" t="s">
        <v>521</v>
      </c>
      <c r="AS527" t="s">
        <v>228</v>
      </c>
      <c r="AT527" t="s">
        <v>170</v>
      </c>
      <c r="AU527">
        <v>1</v>
      </c>
      <c r="AV527">
        <v>1</v>
      </c>
      <c r="AW527" t="s">
        <v>537</v>
      </c>
      <c r="AX527" t="s">
        <v>283</v>
      </c>
      <c r="AY527" t="s">
        <v>280</v>
      </c>
      <c r="AZ527">
        <v>5</v>
      </c>
      <c r="BA527" t="s">
        <v>533</v>
      </c>
      <c r="BB527" t="s">
        <v>541</v>
      </c>
      <c r="BC527" t="s">
        <v>395</v>
      </c>
      <c r="BD527" t="s">
        <v>228</v>
      </c>
      <c r="BE527" t="s">
        <v>522</v>
      </c>
      <c r="BF527" t="s">
        <v>523</v>
      </c>
      <c r="BG527" t="s">
        <v>407</v>
      </c>
      <c r="BH527" t="s">
        <v>551</v>
      </c>
      <c r="BI527" t="s">
        <v>524</v>
      </c>
      <c r="BJ527" t="s">
        <v>228</v>
      </c>
      <c r="BK527" t="s">
        <v>228</v>
      </c>
      <c r="BL527" t="s">
        <v>228</v>
      </c>
      <c r="BM527" t="s">
        <v>228</v>
      </c>
      <c r="BN527" t="s">
        <v>228</v>
      </c>
      <c r="BO527" t="s">
        <v>228</v>
      </c>
      <c r="BP527" t="s">
        <v>228</v>
      </c>
      <c r="BQ527" t="s">
        <v>228</v>
      </c>
      <c r="BR527" t="s">
        <v>228</v>
      </c>
      <c r="BS527" t="s">
        <v>409</v>
      </c>
      <c r="BT527">
        <v>1</v>
      </c>
    </row>
    <row r="528" spans="1:72" x14ac:dyDescent="0.15">
      <c r="A528" s="43">
        <v>2023</v>
      </c>
      <c r="B528" s="8">
        <v>1</v>
      </c>
      <c r="C528" s="8">
        <v>1</v>
      </c>
      <c r="D528" s="8">
        <v>11</v>
      </c>
      <c r="E528" s="8" t="s">
        <v>67</v>
      </c>
      <c r="F528" s="8" t="s">
        <v>57</v>
      </c>
      <c r="G528" s="8">
        <v>2016</v>
      </c>
      <c r="H528" s="8">
        <v>12</v>
      </c>
      <c r="I528" s="8" t="s">
        <v>521</v>
      </c>
      <c r="J528" s="8" t="s">
        <v>228</v>
      </c>
      <c r="K528" s="8">
        <v>1953</v>
      </c>
      <c r="L528" s="17">
        <v>1</v>
      </c>
      <c r="M528" s="8">
        <v>1</v>
      </c>
      <c r="N528" s="8" t="s">
        <v>49</v>
      </c>
      <c r="O528" s="8" t="s">
        <v>283</v>
      </c>
      <c r="P528" s="8" t="s">
        <v>280</v>
      </c>
      <c r="Q528" s="8">
        <v>20000</v>
      </c>
      <c r="R528" s="8" t="s">
        <v>59</v>
      </c>
      <c r="S528" s="8" t="s">
        <v>54</v>
      </c>
      <c r="T528" s="8" t="s">
        <v>69</v>
      </c>
      <c r="U528" s="8" t="s">
        <v>228</v>
      </c>
      <c r="V528" s="8">
        <v>500</v>
      </c>
      <c r="W528" s="8" t="s">
        <v>328</v>
      </c>
      <c r="X528" s="8">
        <v>3000</v>
      </c>
      <c r="Y528" s="8" t="s">
        <v>271</v>
      </c>
      <c r="Z528" s="8">
        <v>85</v>
      </c>
      <c r="AA528" s="8" t="s">
        <v>278</v>
      </c>
      <c r="AB528" s="8" t="s">
        <v>228</v>
      </c>
      <c r="AC528" s="8" t="s">
        <v>228</v>
      </c>
      <c r="AD528" s="8" t="s">
        <v>228</v>
      </c>
      <c r="AE528" s="8" t="s">
        <v>228</v>
      </c>
      <c r="AF528" s="8" t="s">
        <v>228</v>
      </c>
      <c r="AG528" s="8" t="s">
        <v>228</v>
      </c>
      <c r="AH528" s="8" t="s">
        <v>228</v>
      </c>
      <c r="AI528" s="8" t="s">
        <v>228</v>
      </c>
      <c r="AJ528" t="s">
        <v>468</v>
      </c>
      <c r="AK528">
        <v>1</v>
      </c>
      <c r="AL528">
        <v>1</v>
      </c>
      <c r="AM528" t="s">
        <v>90</v>
      </c>
      <c r="AN528" t="s">
        <v>67</v>
      </c>
      <c r="AO528" t="s">
        <v>526</v>
      </c>
      <c r="AP528" t="s">
        <v>109</v>
      </c>
      <c r="AQ528">
        <v>12</v>
      </c>
      <c r="AR528" t="s">
        <v>521</v>
      </c>
      <c r="AS528" t="s">
        <v>228</v>
      </c>
      <c r="AT528" t="s">
        <v>170</v>
      </c>
      <c r="AU528">
        <v>1</v>
      </c>
      <c r="AV528">
        <v>1</v>
      </c>
      <c r="AW528" t="s">
        <v>537</v>
      </c>
      <c r="AX528" t="s">
        <v>283</v>
      </c>
      <c r="AY528" t="s">
        <v>280</v>
      </c>
      <c r="AZ528">
        <v>5</v>
      </c>
      <c r="BA528" t="s">
        <v>533</v>
      </c>
      <c r="BB528" t="s">
        <v>541</v>
      </c>
      <c r="BC528" t="s">
        <v>395</v>
      </c>
      <c r="BD528" t="s">
        <v>228</v>
      </c>
      <c r="BE528" t="s">
        <v>522</v>
      </c>
      <c r="BF528" t="s">
        <v>523</v>
      </c>
      <c r="BG528" t="s">
        <v>407</v>
      </c>
      <c r="BH528" t="s">
        <v>544</v>
      </c>
      <c r="BI528" t="s">
        <v>524</v>
      </c>
      <c r="BJ528" t="s">
        <v>228</v>
      </c>
      <c r="BK528" t="s">
        <v>228</v>
      </c>
      <c r="BL528" t="s">
        <v>228</v>
      </c>
      <c r="BM528" t="s">
        <v>228</v>
      </c>
      <c r="BN528" t="s">
        <v>228</v>
      </c>
      <c r="BO528" t="s">
        <v>228</v>
      </c>
      <c r="BP528" t="s">
        <v>228</v>
      </c>
      <c r="BQ528" t="s">
        <v>228</v>
      </c>
      <c r="BR528" t="s">
        <v>228</v>
      </c>
      <c r="BS528" t="s">
        <v>409</v>
      </c>
      <c r="BT528">
        <v>0</v>
      </c>
    </row>
    <row r="529" spans="1:72" x14ac:dyDescent="0.15">
      <c r="A529" s="43">
        <v>2023</v>
      </c>
      <c r="B529" s="8">
        <v>1</v>
      </c>
      <c r="C529" s="8">
        <v>1</v>
      </c>
      <c r="D529" s="8">
        <v>10</v>
      </c>
      <c r="E529" s="8" t="s">
        <v>67</v>
      </c>
      <c r="F529" s="8" t="s">
        <v>57</v>
      </c>
      <c r="G529" s="8">
        <v>2016</v>
      </c>
      <c r="H529" s="8">
        <v>12</v>
      </c>
      <c r="I529" s="8" t="s">
        <v>521</v>
      </c>
      <c r="J529" s="8" t="s">
        <v>228</v>
      </c>
      <c r="K529" s="8">
        <v>1953</v>
      </c>
      <c r="L529" s="17">
        <v>1</v>
      </c>
      <c r="M529" s="8">
        <v>1</v>
      </c>
      <c r="N529" s="8" t="s">
        <v>49</v>
      </c>
      <c r="O529" s="8" t="s">
        <v>283</v>
      </c>
      <c r="P529" s="8" t="s">
        <v>280</v>
      </c>
      <c r="Q529" s="8">
        <v>20000</v>
      </c>
      <c r="R529" s="8" t="s">
        <v>59</v>
      </c>
      <c r="S529" s="8" t="s">
        <v>54</v>
      </c>
      <c r="T529" s="8" t="s">
        <v>69</v>
      </c>
      <c r="U529" s="8" t="s">
        <v>228</v>
      </c>
      <c r="V529" s="8">
        <v>500</v>
      </c>
      <c r="W529" s="8" t="s">
        <v>328</v>
      </c>
      <c r="X529" s="8">
        <v>3000</v>
      </c>
      <c r="Y529" s="8" t="s">
        <v>268</v>
      </c>
      <c r="Z529" s="8">
        <v>85</v>
      </c>
      <c r="AA529" s="8" t="s">
        <v>278</v>
      </c>
      <c r="AB529" s="8" t="s">
        <v>228</v>
      </c>
      <c r="AC529" s="8" t="s">
        <v>228</v>
      </c>
      <c r="AD529" s="8" t="s">
        <v>228</v>
      </c>
      <c r="AE529" s="8" t="s">
        <v>228</v>
      </c>
      <c r="AF529" s="8" t="s">
        <v>228</v>
      </c>
      <c r="AG529" s="8" t="s">
        <v>228</v>
      </c>
      <c r="AH529" s="8" t="s">
        <v>228</v>
      </c>
      <c r="AI529" s="8" t="s">
        <v>228</v>
      </c>
      <c r="AJ529" t="s">
        <v>468</v>
      </c>
      <c r="AK529">
        <v>1</v>
      </c>
      <c r="AL529">
        <v>1</v>
      </c>
      <c r="AM529" t="s">
        <v>91</v>
      </c>
      <c r="AN529" t="s">
        <v>67</v>
      </c>
      <c r="AO529" t="s">
        <v>526</v>
      </c>
      <c r="AP529" t="s">
        <v>109</v>
      </c>
      <c r="AQ529">
        <v>12</v>
      </c>
      <c r="AR529" t="s">
        <v>521</v>
      </c>
      <c r="AS529" t="s">
        <v>228</v>
      </c>
      <c r="AT529" t="s">
        <v>170</v>
      </c>
      <c r="AU529">
        <v>1</v>
      </c>
      <c r="AV529">
        <v>1</v>
      </c>
      <c r="AW529" t="s">
        <v>537</v>
      </c>
      <c r="AX529" t="s">
        <v>283</v>
      </c>
      <c r="AY529" t="s">
        <v>280</v>
      </c>
      <c r="AZ529">
        <v>5</v>
      </c>
      <c r="BA529" t="s">
        <v>533</v>
      </c>
      <c r="BB529" t="s">
        <v>541</v>
      </c>
      <c r="BC529" t="s">
        <v>395</v>
      </c>
      <c r="BD529" t="s">
        <v>228</v>
      </c>
      <c r="BE529" t="s">
        <v>522</v>
      </c>
      <c r="BF529" t="s">
        <v>523</v>
      </c>
      <c r="BG529" t="s">
        <v>407</v>
      </c>
      <c r="BH529" t="s">
        <v>396</v>
      </c>
      <c r="BI529" t="s">
        <v>524</v>
      </c>
      <c r="BJ529" t="s">
        <v>228</v>
      </c>
      <c r="BK529" t="s">
        <v>228</v>
      </c>
      <c r="BL529" t="s">
        <v>228</v>
      </c>
      <c r="BM529" t="s">
        <v>228</v>
      </c>
      <c r="BN529" t="s">
        <v>228</v>
      </c>
      <c r="BO529" t="s">
        <v>228</v>
      </c>
      <c r="BP529" t="s">
        <v>228</v>
      </c>
      <c r="BQ529" t="s">
        <v>228</v>
      </c>
      <c r="BR529" t="s">
        <v>228</v>
      </c>
      <c r="BS529" t="s">
        <v>409</v>
      </c>
      <c r="BT529">
        <v>1</v>
      </c>
    </row>
    <row r="530" spans="1:72" x14ac:dyDescent="0.15">
      <c r="A530" s="43">
        <v>2023</v>
      </c>
      <c r="B530" s="8">
        <v>1</v>
      </c>
      <c r="C530" s="8">
        <v>1</v>
      </c>
      <c r="D530" s="8">
        <v>10</v>
      </c>
      <c r="E530" s="8" t="s">
        <v>67</v>
      </c>
      <c r="F530" s="8" t="s">
        <v>57</v>
      </c>
      <c r="G530" s="8">
        <v>2016</v>
      </c>
      <c r="H530" s="8">
        <v>12</v>
      </c>
      <c r="I530" s="8" t="s">
        <v>521</v>
      </c>
      <c r="J530" s="8" t="s">
        <v>228</v>
      </c>
      <c r="K530" s="8">
        <v>1953</v>
      </c>
      <c r="L530" s="17">
        <v>1</v>
      </c>
      <c r="M530" s="8">
        <v>1</v>
      </c>
      <c r="N530" s="8" t="s">
        <v>49</v>
      </c>
      <c r="O530" s="8" t="s">
        <v>283</v>
      </c>
      <c r="P530" s="8" t="s">
        <v>280</v>
      </c>
      <c r="Q530" s="8">
        <v>20000</v>
      </c>
      <c r="R530" s="8" t="s">
        <v>59</v>
      </c>
      <c r="S530" s="8" t="s">
        <v>54</v>
      </c>
      <c r="T530" s="8" t="s">
        <v>69</v>
      </c>
      <c r="U530" s="8" t="s">
        <v>228</v>
      </c>
      <c r="V530" s="8">
        <v>500</v>
      </c>
      <c r="W530" s="8" t="s">
        <v>328</v>
      </c>
      <c r="X530" s="8">
        <v>3000</v>
      </c>
      <c r="Y530" s="8" t="s">
        <v>394</v>
      </c>
      <c r="Z530" s="8">
        <v>85</v>
      </c>
      <c r="AA530" s="8" t="s">
        <v>278</v>
      </c>
      <c r="AB530" s="8" t="s">
        <v>228</v>
      </c>
      <c r="AC530" s="8" t="s">
        <v>228</v>
      </c>
      <c r="AD530" s="8" t="s">
        <v>228</v>
      </c>
      <c r="AE530" s="8" t="s">
        <v>228</v>
      </c>
      <c r="AF530" s="8" t="s">
        <v>228</v>
      </c>
      <c r="AG530" s="8" t="s">
        <v>228</v>
      </c>
      <c r="AH530" s="8" t="s">
        <v>228</v>
      </c>
      <c r="AI530" s="8" t="s">
        <v>228</v>
      </c>
      <c r="AJ530" t="s">
        <v>468</v>
      </c>
      <c r="AK530">
        <v>1</v>
      </c>
      <c r="AL530">
        <v>1</v>
      </c>
      <c r="AM530" t="s">
        <v>91</v>
      </c>
      <c r="AN530" t="s">
        <v>67</v>
      </c>
      <c r="AO530" t="s">
        <v>526</v>
      </c>
      <c r="AP530" t="s">
        <v>109</v>
      </c>
      <c r="AQ530">
        <v>12</v>
      </c>
      <c r="AR530" t="s">
        <v>521</v>
      </c>
      <c r="AS530" t="s">
        <v>228</v>
      </c>
      <c r="AT530" t="s">
        <v>170</v>
      </c>
      <c r="AU530">
        <v>1</v>
      </c>
      <c r="AV530">
        <v>1</v>
      </c>
      <c r="AW530" t="s">
        <v>537</v>
      </c>
      <c r="AX530" t="s">
        <v>283</v>
      </c>
      <c r="AY530" t="s">
        <v>280</v>
      </c>
      <c r="AZ530">
        <v>5</v>
      </c>
      <c r="BA530" t="s">
        <v>533</v>
      </c>
      <c r="BB530" t="s">
        <v>541</v>
      </c>
      <c r="BC530" t="s">
        <v>395</v>
      </c>
      <c r="BD530" t="s">
        <v>228</v>
      </c>
      <c r="BE530" t="s">
        <v>522</v>
      </c>
      <c r="BF530" t="s">
        <v>523</v>
      </c>
      <c r="BG530" t="s">
        <v>407</v>
      </c>
      <c r="BH530" t="s">
        <v>551</v>
      </c>
      <c r="BI530" t="s">
        <v>524</v>
      </c>
      <c r="BJ530" t="s">
        <v>228</v>
      </c>
      <c r="BK530" t="s">
        <v>228</v>
      </c>
      <c r="BL530" t="s">
        <v>228</v>
      </c>
      <c r="BM530" t="s">
        <v>228</v>
      </c>
      <c r="BN530" t="s">
        <v>228</v>
      </c>
      <c r="BO530" t="s">
        <v>228</v>
      </c>
      <c r="BP530" t="s">
        <v>228</v>
      </c>
      <c r="BQ530" t="s">
        <v>228</v>
      </c>
      <c r="BR530" t="s">
        <v>228</v>
      </c>
      <c r="BS530" t="s">
        <v>409</v>
      </c>
      <c r="BT530">
        <v>1</v>
      </c>
    </row>
    <row r="531" spans="1:72" x14ac:dyDescent="0.15">
      <c r="A531" s="43">
        <v>2023</v>
      </c>
      <c r="B531" s="8">
        <v>1</v>
      </c>
      <c r="C531" s="8">
        <v>1</v>
      </c>
      <c r="D531" s="8">
        <v>10</v>
      </c>
      <c r="E531" s="8" t="s">
        <v>67</v>
      </c>
      <c r="F531" s="8" t="s">
        <v>57</v>
      </c>
      <c r="G531" s="8">
        <v>2016</v>
      </c>
      <c r="H531" s="8">
        <v>12</v>
      </c>
      <c r="I531" s="8" t="s">
        <v>521</v>
      </c>
      <c r="J531" s="8" t="s">
        <v>228</v>
      </c>
      <c r="K531" s="8">
        <v>1953</v>
      </c>
      <c r="L531" s="17">
        <v>1</v>
      </c>
      <c r="M531" s="8">
        <v>1</v>
      </c>
      <c r="N531" s="8" t="s">
        <v>49</v>
      </c>
      <c r="O531" s="8" t="s">
        <v>283</v>
      </c>
      <c r="P531" s="8" t="s">
        <v>280</v>
      </c>
      <c r="Q531" s="8">
        <v>20000</v>
      </c>
      <c r="R531" s="8" t="s">
        <v>59</v>
      </c>
      <c r="S531" s="8" t="s">
        <v>54</v>
      </c>
      <c r="T531" s="8" t="s">
        <v>69</v>
      </c>
      <c r="U531" s="8" t="s">
        <v>228</v>
      </c>
      <c r="V531" s="8">
        <v>500</v>
      </c>
      <c r="W531" s="8" t="s">
        <v>328</v>
      </c>
      <c r="X531" s="8">
        <v>3000</v>
      </c>
      <c r="Y531" s="8" t="s">
        <v>271</v>
      </c>
      <c r="Z531" s="8">
        <v>85</v>
      </c>
      <c r="AA531" s="8" t="s">
        <v>278</v>
      </c>
      <c r="AB531" s="8" t="s">
        <v>228</v>
      </c>
      <c r="AC531" s="8" t="s">
        <v>228</v>
      </c>
      <c r="AD531" s="8" t="s">
        <v>228</v>
      </c>
      <c r="AE531" s="8" t="s">
        <v>228</v>
      </c>
      <c r="AF531" s="8" t="s">
        <v>228</v>
      </c>
      <c r="AG531" s="8" t="s">
        <v>228</v>
      </c>
      <c r="AH531" s="8" t="s">
        <v>228</v>
      </c>
      <c r="AI531" s="8" t="s">
        <v>228</v>
      </c>
      <c r="AJ531" t="s">
        <v>468</v>
      </c>
      <c r="AK531">
        <v>1</v>
      </c>
      <c r="AL531">
        <v>1</v>
      </c>
      <c r="AM531" t="s">
        <v>91</v>
      </c>
      <c r="AN531" t="s">
        <v>67</v>
      </c>
      <c r="AO531" t="s">
        <v>526</v>
      </c>
      <c r="AP531" t="s">
        <v>109</v>
      </c>
      <c r="AQ531">
        <v>12</v>
      </c>
      <c r="AR531" t="s">
        <v>521</v>
      </c>
      <c r="AS531" t="s">
        <v>228</v>
      </c>
      <c r="AT531" t="s">
        <v>170</v>
      </c>
      <c r="AU531">
        <v>1</v>
      </c>
      <c r="AV531">
        <v>1</v>
      </c>
      <c r="AW531" t="s">
        <v>537</v>
      </c>
      <c r="AX531" t="s">
        <v>283</v>
      </c>
      <c r="AY531" t="s">
        <v>280</v>
      </c>
      <c r="AZ531">
        <v>5</v>
      </c>
      <c r="BA531" t="s">
        <v>533</v>
      </c>
      <c r="BB531" t="s">
        <v>541</v>
      </c>
      <c r="BC531" t="s">
        <v>395</v>
      </c>
      <c r="BD531" t="s">
        <v>228</v>
      </c>
      <c r="BE531" t="s">
        <v>522</v>
      </c>
      <c r="BF531" t="s">
        <v>523</v>
      </c>
      <c r="BG531" t="s">
        <v>407</v>
      </c>
      <c r="BH531" t="s">
        <v>544</v>
      </c>
      <c r="BI531" t="s">
        <v>524</v>
      </c>
      <c r="BJ531" t="s">
        <v>228</v>
      </c>
      <c r="BK531" t="s">
        <v>228</v>
      </c>
      <c r="BL531" t="s">
        <v>228</v>
      </c>
      <c r="BM531" t="s">
        <v>228</v>
      </c>
      <c r="BN531" t="s">
        <v>228</v>
      </c>
      <c r="BO531" t="s">
        <v>228</v>
      </c>
      <c r="BP531" t="s">
        <v>228</v>
      </c>
      <c r="BQ531" t="s">
        <v>228</v>
      </c>
      <c r="BR531" t="s">
        <v>228</v>
      </c>
      <c r="BS531" t="s">
        <v>409</v>
      </c>
      <c r="BT531">
        <v>0</v>
      </c>
    </row>
    <row r="532" spans="1:72" x14ac:dyDescent="0.15">
      <c r="A532" s="43">
        <v>2023</v>
      </c>
      <c r="B532" s="8">
        <v>1</v>
      </c>
      <c r="C532" s="8">
        <v>1</v>
      </c>
      <c r="D532" s="8">
        <v>9</v>
      </c>
      <c r="E532" s="8" t="s">
        <v>67</v>
      </c>
      <c r="F532" s="8" t="s">
        <v>57</v>
      </c>
      <c r="G532" s="8">
        <v>2016</v>
      </c>
      <c r="H532" s="8">
        <v>12</v>
      </c>
      <c r="I532" s="8" t="s">
        <v>521</v>
      </c>
      <c r="J532" s="8" t="s">
        <v>228</v>
      </c>
      <c r="K532" s="8">
        <v>1953</v>
      </c>
      <c r="L532" s="17">
        <v>1</v>
      </c>
      <c r="M532" s="8">
        <v>1</v>
      </c>
      <c r="N532" s="8" t="s">
        <v>49</v>
      </c>
      <c r="O532" s="8" t="s">
        <v>283</v>
      </c>
      <c r="P532" s="8" t="s">
        <v>280</v>
      </c>
      <c r="Q532" s="8">
        <v>20000</v>
      </c>
      <c r="R532" s="8" t="s">
        <v>59</v>
      </c>
      <c r="S532" s="8" t="s">
        <v>54</v>
      </c>
      <c r="T532" s="8" t="s">
        <v>69</v>
      </c>
      <c r="U532" s="8" t="s">
        <v>228</v>
      </c>
      <c r="V532" s="8">
        <v>500</v>
      </c>
      <c r="W532" s="8" t="s">
        <v>328</v>
      </c>
      <c r="X532" s="8">
        <v>3000</v>
      </c>
      <c r="Y532" s="8" t="s">
        <v>268</v>
      </c>
      <c r="Z532" s="8">
        <v>85</v>
      </c>
      <c r="AA532" s="8" t="s">
        <v>278</v>
      </c>
      <c r="AB532" s="8" t="s">
        <v>228</v>
      </c>
      <c r="AC532" s="8" t="s">
        <v>228</v>
      </c>
      <c r="AD532" s="8" t="s">
        <v>228</v>
      </c>
      <c r="AE532" s="8" t="s">
        <v>228</v>
      </c>
      <c r="AF532" s="8" t="s">
        <v>228</v>
      </c>
      <c r="AG532" s="8" t="s">
        <v>228</v>
      </c>
      <c r="AH532" s="8" t="s">
        <v>228</v>
      </c>
      <c r="AI532" s="8" t="s">
        <v>228</v>
      </c>
      <c r="AJ532" t="s">
        <v>468</v>
      </c>
      <c r="AK532">
        <v>1</v>
      </c>
      <c r="AL532">
        <v>1</v>
      </c>
      <c r="AM532" t="s">
        <v>92</v>
      </c>
      <c r="AN532" t="s">
        <v>67</v>
      </c>
      <c r="AO532" t="s">
        <v>526</v>
      </c>
      <c r="AP532" t="s">
        <v>109</v>
      </c>
      <c r="AQ532">
        <v>12</v>
      </c>
      <c r="AR532" t="s">
        <v>521</v>
      </c>
      <c r="AS532" t="s">
        <v>228</v>
      </c>
      <c r="AT532" t="s">
        <v>170</v>
      </c>
      <c r="AU532">
        <v>1</v>
      </c>
      <c r="AV532">
        <v>1</v>
      </c>
      <c r="AW532" t="s">
        <v>537</v>
      </c>
      <c r="AX532" t="s">
        <v>283</v>
      </c>
      <c r="AY532" t="s">
        <v>280</v>
      </c>
      <c r="AZ532">
        <v>5</v>
      </c>
      <c r="BA532" t="s">
        <v>533</v>
      </c>
      <c r="BB532" t="s">
        <v>541</v>
      </c>
      <c r="BC532" t="s">
        <v>395</v>
      </c>
      <c r="BD532" t="s">
        <v>228</v>
      </c>
      <c r="BE532" t="s">
        <v>522</v>
      </c>
      <c r="BF532" t="s">
        <v>523</v>
      </c>
      <c r="BG532" t="s">
        <v>407</v>
      </c>
      <c r="BH532" t="s">
        <v>396</v>
      </c>
      <c r="BI532" t="s">
        <v>524</v>
      </c>
      <c r="BJ532" t="s">
        <v>228</v>
      </c>
      <c r="BK532" t="s">
        <v>228</v>
      </c>
      <c r="BL532" t="s">
        <v>228</v>
      </c>
      <c r="BM532" t="s">
        <v>228</v>
      </c>
      <c r="BN532" t="s">
        <v>228</v>
      </c>
      <c r="BO532" t="s">
        <v>228</v>
      </c>
      <c r="BP532" t="s">
        <v>228</v>
      </c>
      <c r="BQ532" t="s">
        <v>228</v>
      </c>
      <c r="BR532" t="s">
        <v>228</v>
      </c>
      <c r="BS532" t="s">
        <v>409</v>
      </c>
      <c r="BT532">
        <v>1</v>
      </c>
    </row>
    <row r="533" spans="1:72" x14ac:dyDescent="0.15">
      <c r="A533" s="43">
        <v>2023</v>
      </c>
      <c r="B533" s="8">
        <v>1</v>
      </c>
      <c r="C533" s="8">
        <v>1</v>
      </c>
      <c r="D533" s="8">
        <v>9</v>
      </c>
      <c r="E533" s="8" t="s">
        <v>67</v>
      </c>
      <c r="F533" s="8" t="s">
        <v>57</v>
      </c>
      <c r="G533" s="8">
        <v>2016</v>
      </c>
      <c r="H533" s="8">
        <v>12</v>
      </c>
      <c r="I533" s="8" t="s">
        <v>521</v>
      </c>
      <c r="J533" s="8" t="s">
        <v>228</v>
      </c>
      <c r="K533" s="8">
        <v>1953</v>
      </c>
      <c r="L533" s="17">
        <v>1</v>
      </c>
      <c r="M533" s="8">
        <v>1</v>
      </c>
      <c r="N533" s="8" t="s">
        <v>49</v>
      </c>
      <c r="O533" s="8" t="s">
        <v>283</v>
      </c>
      <c r="P533" s="8" t="s">
        <v>280</v>
      </c>
      <c r="Q533" s="8">
        <v>20000</v>
      </c>
      <c r="R533" s="8" t="s">
        <v>59</v>
      </c>
      <c r="S533" s="8" t="s">
        <v>54</v>
      </c>
      <c r="T533" s="8" t="s">
        <v>69</v>
      </c>
      <c r="U533" s="8" t="s">
        <v>228</v>
      </c>
      <c r="V533" s="8">
        <v>500</v>
      </c>
      <c r="W533" s="8" t="s">
        <v>328</v>
      </c>
      <c r="X533" s="8">
        <v>3000</v>
      </c>
      <c r="Y533" s="8" t="s">
        <v>394</v>
      </c>
      <c r="Z533" s="8">
        <v>85</v>
      </c>
      <c r="AA533" s="8" t="s">
        <v>278</v>
      </c>
      <c r="AB533" s="8" t="s">
        <v>228</v>
      </c>
      <c r="AC533" s="8" t="s">
        <v>228</v>
      </c>
      <c r="AD533" s="8" t="s">
        <v>228</v>
      </c>
      <c r="AE533" s="8" t="s">
        <v>228</v>
      </c>
      <c r="AF533" s="8" t="s">
        <v>228</v>
      </c>
      <c r="AG533" s="8" t="s">
        <v>228</v>
      </c>
      <c r="AH533" s="8" t="s">
        <v>228</v>
      </c>
      <c r="AI533" s="8" t="s">
        <v>228</v>
      </c>
      <c r="AJ533" t="s">
        <v>468</v>
      </c>
      <c r="AK533">
        <v>1</v>
      </c>
      <c r="AL533">
        <v>1</v>
      </c>
      <c r="AM533" t="s">
        <v>92</v>
      </c>
      <c r="AN533" t="s">
        <v>67</v>
      </c>
      <c r="AO533" t="s">
        <v>526</v>
      </c>
      <c r="AP533" t="s">
        <v>109</v>
      </c>
      <c r="AQ533">
        <v>12</v>
      </c>
      <c r="AR533" t="s">
        <v>521</v>
      </c>
      <c r="AS533" t="s">
        <v>228</v>
      </c>
      <c r="AT533" t="s">
        <v>170</v>
      </c>
      <c r="AU533">
        <v>1</v>
      </c>
      <c r="AV533">
        <v>1</v>
      </c>
      <c r="AW533" t="s">
        <v>537</v>
      </c>
      <c r="AX533" t="s">
        <v>283</v>
      </c>
      <c r="AY533" t="s">
        <v>280</v>
      </c>
      <c r="AZ533">
        <v>5</v>
      </c>
      <c r="BA533" t="s">
        <v>533</v>
      </c>
      <c r="BB533" t="s">
        <v>541</v>
      </c>
      <c r="BC533" t="s">
        <v>395</v>
      </c>
      <c r="BD533" t="s">
        <v>228</v>
      </c>
      <c r="BE533" t="s">
        <v>522</v>
      </c>
      <c r="BF533" t="s">
        <v>523</v>
      </c>
      <c r="BG533" t="s">
        <v>407</v>
      </c>
      <c r="BH533" t="s">
        <v>551</v>
      </c>
      <c r="BI533" t="s">
        <v>524</v>
      </c>
      <c r="BJ533" t="s">
        <v>228</v>
      </c>
      <c r="BK533" t="s">
        <v>228</v>
      </c>
      <c r="BL533" t="s">
        <v>228</v>
      </c>
      <c r="BM533" t="s">
        <v>228</v>
      </c>
      <c r="BN533" t="s">
        <v>228</v>
      </c>
      <c r="BO533" t="s">
        <v>228</v>
      </c>
      <c r="BP533" t="s">
        <v>228</v>
      </c>
      <c r="BQ533" t="s">
        <v>228</v>
      </c>
      <c r="BR533" t="s">
        <v>228</v>
      </c>
      <c r="BS533" t="s">
        <v>409</v>
      </c>
      <c r="BT533">
        <v>1</v>
      </c>
    </row>
    <row r="534" spans="1:72" x14ac:dyDescent="0.15">
      <c r="A534" s="43">
        <v>2023</v>
      </c>
      <c r="B534" s="8">
        <v>1</v>
      </c>
      <c r="C534" s="8">
        <v>1</v>
      </c>
      <c r="D534" s="8">
        <v>9</v>
      </c>
      <c r="E534" s="8" t="s">
        <v>67</v>
      </c>
      <c r="F534" s="8" t="s">
        <v>57</v>
      </c>
      <c r="G534" s="8">
        <v>2016</v>
      </c>
      <c r="H534" s="8">
        <v>12</v>
      </c>
      <c r="I534" s="8" t="s">
        <v>521</v>
      </c>
      <c r="J534" s="8" t="s">
        <v>228</v>
      </c>
      <c r="K534" s="8">
        <v>1953</v>
      </c>
      <c r="L534" s="17">
        <v>1</v>
      </c>
      <c r="M534" s="8">
        <v>1</v>
      </c>
      <c r="N534" s="8" t="s">
        <v>49</v>
      </c>
      <c r="O534" s="8" t="s">
        <v>283</v>
      </c>
      <c r="P534" s="8" t="s">
        <v>280</v>
      </c>
      <c r="Q534" s="8">
        <v>20000</v>
      </c>
      <c r="R534" s="8" t="s">
        <v>59</v>
      </c>
      <c r="S534" s="8" t="s">
        <v>54</v>
      </c>
      <c r="T534" s="8" t="s">
        <v>69</v>
      </c>
      <c r="U534" s="8" t="s">
        <v>228</v>
      </c>
      <c r="V534" s="8">
        <v>500</v>
      </c>
      <c r="W534" s="8" t="s">
        <v>328</v>
      </c>
      <c r="X534" s="8">
        <v>3000</v>
      </c>
      <c r="Y534" s="8" t="s">
        <v>271</v>
      </c>
      <c r="Z534" s="8">
        <v>85</v>
      </c>
      <c r="AA534" s="8" t="s">
        <v>278</v>
      </c>
      <c r="AB534" s="8" t="s">
        <v>228</v>
      </c>
      <c r="AC534" s="8" t="s">
        <v>228</v>
      </c>
      <c r="AD534" s="8" t="s">
        <v>228</v>
      </c>
      <c r="AE534" s="8" t="s">
        <v>228</v>
      </c>
      <c r="AF534" s="8" t="s">
        <v>228</v>
      </c>
      <c r="AG534" s="8" t="s">
        <v>228</v>
      </c>
      <c r="AH534" s="8" t="s">
        <v>228</v>
      </c>
      <c r="AI534" s="8" t="s">
        <v>228</v>
      </c>
      <c r="AJ534" t="s">
        <v>468</v>
      </c>
      <c r="AK534">
        <v>1</v>
      </c>
      <c r="AL534">
        <v>1</v>
      </c>
      <c r="AM534" t="s">
        <v>92</v>
      </c>
      <c r="AN534" t="s">
        <v>67</v>
      </c>
      <c r="AO534" t="s">
        <v>526</v>
      </c>
      <c r="AP534" t="s">
        <v>109</v>
      </c>
      <c r="AQ534">
        <v>12</v>
      </c>
      <c r="AR534" t="s">
        <v>521</v>
      </c>
      <c r="AS534" t="s">
        <v>228</v>
      </c>
      <c r="AT534" t="s">
        <v>170</v>
      </c>
      <c r="AU534">
        <v>1</v>
      </c>
      <c r="AV534">
        <v>1</v>
      </c>
      <c r="AW534" t="s">
        <v>537</v>
      </c>
      <c r="AX534" t="s">
        <v>283</v>
      </c>
      <c r="AY534" t="s">
        <v>280</v>
      </c>
      <c r="AZ534">
        <v>5</v>
      </c>
      <c r="BA534" t="s">
        <v>533</v>
      </c>
      <c r="BB534" t="s">
        <v>541</v>
      </c>
      <c r="BC534" t="s">
        <v>395</v>
      </c>
      <c r="BD534" t="s">
        <v>228</v>
      </c>
      <c r="BE534" t="s">
        <v>522</v>
      </c>
      <c r="BF534" t="s">
        <v>523</v>
      </c>
      <c r="BG534" t="s">
        <v>407</v>
      </c>
      <c r="BH534" t="s">
        <v>544</v>
      </c>
      <c r="BI534" t="s">
        <v>524</v>
      </c>
      <c r="BJ534" t="s">
        <v>228</v>
      </c>
      <c r="BK534" t="s">
        <v>228</v>
      </c>
      <c r="BL534" t="s">
        <v>228</v>
      </c>
      <c r="BM534" t="s">
        <v>228</v>
      </c>
      <c r="BN534" t="s">
        <v>228</v>
      </c>
      <c r="BO534" t="s">
        <v>228</v>
      </c>
      <c r="BP534" t="s">
        <v>228</v>
      </c>
      <c r="BQ534" t="s">
        <v>228</v>
      </c>
      <c r="BR534" t="s">
        <v>228</v>
      </c>
      <c r="BS534" t="s">
        <v>409</v>
      </c>
      <c r="BT534">
        <v>0</v>
      </c>
    </row>
    <row r="535" spans="1:72" x14ac:dyDescent="0.15">
      <c r="A535" s="43">
        <v>2023</v>
      </c>
      <c r="B535" s="8">
        <v>1</v>
      </c>
      <c r="C535" s="8">
        <v>1</v>
      </c>
      <c r="D535" s="8">
        <v>8</v>
      </c>
      <c r="E535" s="8" t="s">
        <v>67</v>
      </c>
      <c r="F535" s="8" t="s">
        <v>57</v>
      </c>
      <c r="G535" s="8">
        <v>2016</v>
      </c>
      <c r="H535" s="8">
        <v>12</v>
      </c>
      <c r="I535" s="8" t="s">
        <v>521</v>
      </c>
      <c r="J535" s="8" t="s">
        <v>228</v>
      </c>
      <c r="K535" s="8">
        <v>1953</v>
      </c>
      <c r="L535" s="17">
        <v>1</v>
      </c>
      <c r="M535" s="8">
        <v>1</v>
      </c>
      <c r="N535" s="8" t="s">
        <v>49</v>
      </c>
      <c r="O535" s="8" t="s">
        <v>283</v>
      </c>
      <c r="P535" s="8" t="s">
        <v>280</v>
      </c>
      <c r="Q535" s="8">
        <v>20000</v>
      </c>
      <c r="R535" s="8" t="s">
        <v>59</v>
      </c>
      <c r="S535" s="8" t="s">
        <v>54</v>
      </c>
      <c r="T535" s="8" t="s">
        <v>69</v>
      </c>
      <c r="U535" s="8" t="s">
        <v>228</v>
      </c>
      <c r="V535" s="8">
        <v>500</v>
      </c>
      <c r="W535" s="8" t="s">
        <v>328</v>
      </c>
      <c r="X535" s="8">
        <v>3000</v>
      </c>
      <c r="Y535" s="8" t="s">
        <v>268</v>
      </c>
      <c r="Z535" s="8">
        <v>85</v>
      </c>
      <c r="AA535" s="8" t="s">
        <v>278</v>
      </c>
      <c r="AB535" s="8" t="s">
        <v>228</v>
      </c>
      <c r="AC535" s="8" t="s">
        <v>228</v>
      </c>
      <c r="AD535" s="8" t="s">
        <v>228</v>
      </c>
      <c r="AE535" s="8" t="s">
        <v>228</v>
      </c>
      <c r="AF535" s="8" t="s">
        <v>228</v>
      </c>
      <c r="AG535" s="8" t="s">
        <v>228</v>
      </c>
      <c r="AH535" s="8" t="s">
        <v>228</v>
      </c>
      <c r="AI535" s="8" t="s">
        <v>228</v>
      </c>
      <c r="AJ535" t="s">
        <v>468</v>
      </c>
      <c r="AK535">
        <v>1</v>
      </c>
      <c r="AL535">
        <v>1</v>
      </c>
      <c r="AM535" t="s">
        <v>93</v>
      </c>
      <c r="AN535" t="s">
        <v>67</v>
      </c>
      <c r="AO535" t="s">
        <v>526</v>
      </c>
      <c r="AP535" t="s">
        <v>109</v>
      </c>
      <c r="AQ535">
        <v>12</v>
      </c>
      <c r="AR535" t="s">
        <v>521</v>
      </c>
      <c r="AS535" t="s">
        <v>228</v>
      </c>
      <c r="AT535" t="s">
        <v>170</v>
      </c>
      <c r="AU535">
        <v>1</v>
      </c>
      <c r="AV535">
        <v>1</v>
      </c>
      <c r="AW535" t="s">
        <v>537</v>
      </c>
      <c r="AX535" t="s">
        <v>283</v>
      </c>
      <c r="AY535" t="s">
        <v>280</v>
      </c>
      <c r="AZ535">
        <v>5</v>
      </c>
      <c r="BA535" t="s">
        <v>533</v>
      </c>
      <c r="BB535" t="s">
        <v>541</v>
      </c>
      <c r="BC535" t="s">
        <v>395</v>
      </c>
      <c r="BD535" t="s">
        <v>228</v>
      </c>
      <c r="BE535" t="s">
        <v>522</v>
      </c>
      <c r="BF535" t="s">
        <v>523</v>
      </c>
      <c r="BG535" t="s">
        <v>407</v>
      </c>
      <c r="BH535" t="s">
        <v>396</v>
      </c>
      <c r="BI535" t="s">
        <v>524</v>
      </c>
      <c r="BJ535" t="s">
        <v>228</v>
      </c>
      <c r="BK535" t="s">
        <v>228</v>
      </c>
      <c r="BL535" t="s">
        <v>228</v>
      </c>
      <c r="BM535" t="s">
        <v>228</v>
      </c>
      <c r="BN535" t="s">
        <v>228</v>
      </c>
      <c r="BO535" t="s">
        <v>228</v>
      </c>
      <c r="BP535" t="s">
        <v>228</v>
      </c>
      <c r="BQ535" t="s">
        <v>228</v>
      </c>
      <c r="BR535" t="s">
        <v>228</v>
      </c>
      <c r="BS535" t="s">
        <v>409</v>
      </c>
      <c r="BT535">
        <v>1</v>
      </c>
    </row>
    <row r="536" spans="1:72" x14ac:dyDescent="0.15">
      <c r="A536" s="43">
        <v>2023</v>
      </c>
      <c r="B536" s="8">
        <v>1</v>
      </c>
      <c r="C536" s="8">
        <v>1</v>
      </c>
      <c r="D536" s="8">
        <v>8</v>
      </c>
      <c r="E536" s="8" t="s">
        <v>67</v>
      </c>
      <c r="F536" s="8" t="s">
        <v>57</v>
      </c>
      <c r="G536" s="8">
        <v>2016</v>
      </c>
      <c r="H536" s="8">
        <v>12</v>
      </c>
      <c r="I536" s="8" t="s">
        <v>521</v>
      </c>
      <c r="J536" s="8" t="s">
        <v>228</v>
      </c>
      <c r="K536" s="8">
        <v>1953</v>
      </c>
      <c r="L536" s="17">
        <v>1</v>
      </c>
      <c r="M536" s="8">
        <v>1</v>
      </c>
      <c r="N536" s="8" t="s">
        <v>49</v>
      </c>
      <c r="O536" s="8" t="s">
        <v>283</v>
      </c>
      <c r="P536" s="8" t="s">
        <v>280</v>
      </c>
      <c r="Q536" s="8">
        <v>20000</v>
      </c>
      <c r="R536" s="8" t="s">
        <v>59</v>
      </c>
      <c r="S536" s="8" t="s">
        <v>54</v>
      </c>
      <c r="T536" s="8" t="s">
        <v>69</v>
      </c>
      <c r="U536" s="8" t="s">
        <v>228</v>
      </c>
      <c r="V536" s="8">
        <v>500</v>
      </c>
      <c r="W536" s="8" t="s">
        <v>328</v>
      </c>
      <c r="X536" s="8">
        <v>3000</v>
      </c>
      <c r="Y536" s="8" t="s">
        <v>394</v>
      </c>
      <c r="Z536" s="8">
        <v>85</v>
      </c>
      <c r="AA536" s="8" t="s">
        <v>278</v>
      </c>
      <c r="AB536" s="8" t="s">
        <v>228</v>
      </c>
      <c r="AC536" s="8" t="s">
        <v>228</v>
      </c>
      <c r="AD536" s="8" t="s">
        <v>228</v>
      </c>
      <c r="AE536" s="8" t="s">
        <v>228</v>
      </c>
      <c r="AF536" s="8" t="s">
        <v>228</v>
      </c>
      <c r="AG536" s="8" t="s">
        <v>228</v>
      </c>
      <c r="AH536" s="8" t="s">
        <v>228</v>
      </c>
      <c r="AI536" s="8" t="s">
        <v>228</v>
      </c>
      <c r="AJ536" t="s">
        <v>468</v>
      </c>
      <c r="AK536">
        <v>1</v>
      </c>
      <c r="AL536">
        <v>1</v>
      </c>
      <c r="AM536" t="s">
        <v>93</v>
      </c>
      <c r="AN536" t="s">
        <v>67</v>
      </c>
      <c r="AO536" t="s">
        <v>526</v>
      </c>
      <c r="AP536" t="s">
        <v>109</v>
      </c>
      <c r="AQ536">
        <v>12</v>
      </c>
      <c r="AR536" t="s">
        <v>521</v>
      </c>
      <c r="AS536" t="s">
        <v>228</v>
      </c>
      <c r="AT536" t="s">
        <v>170</v>
      </c>
      <c r="AU536">
        <v>1</v>
      </c>
      <c r="AV536">
        <v>1</v>
      </c>
      <c r="AW536" t="s">
        <v>537</v>
      </c>
      <c r="AX536" t="s">
        <v>283</v>
      </c>
      <c r="AY536" t="s">
        <v>280</v>
      </c>
      <c r="AZ536">
        <v>5</v>
      </c>
      <c r="BA536" t="s">
        <v>533</v>
      </c>
      <c r="BB536" t="s">
        <v>541</v>
      </c>
      <c r="BC536" t="s">
        <v>395</v>
      </c>
      <c r="BD536" t="s">
        <v>228</v>
      </c>
      <c r="BE536" t="s">
        <v>522</v>
      </c>
      <c r="BF536" t="s">
        <v>523</v>
      </c>
      <c r="BG536" t="s">
        <v>407</v>
      </c>
      <c r="BH536" t="s">
        <v>551</v>
      </c>
      <c r="BI536" t="s">
        <v>524</v>
      </c>
      <c r="BJ536" t="s">
        <v>228</v>
      </c>
      <c r="BK536" t="s">
        <v>228</v>
      </c>
      <c r="BL536" t="s">
        <v>228</v>
      </c>
      <c r="BM536" t="s">
        <v>228</v>
      </c>
      <c r="BN536" t="s">
        <v>228</v>
      </c>
      <c r="BO536" t="s">
        <v>228</v>
      </c>
      <c r="BP536" t="s">
        <v>228</v>
      </c>
      <c r="BQ536" t="s">
        <v>228</v>
      </c>
      <c r="BR536" t="s">
        <v>228</v>
      </c>
      <c r="BS536" t="s">
        <v>409</v>
      </c>
      <c r="BT536">
        <v>1</v>
      </c>
    </row>
    <row r="537" spans="1:72" x14ac:dyDescent="0.15">
      <c r="A537" s="43">
        <v>2023</v>
      </c>
      <c r="B537" s="8">
        <v>1</v>
      </c>
      <c r="C537" s="8">
        <v>1</v>
      </c>
      <c r="D537" s="8">
        <v>8</v>
      </c>
      <c r="E537" s="8" t="s">
        <v>67</v>
      </c>
      <c r="F537" s="8" t="s">
        <v>57</v>
      </c>
      <c r="G537" s="8">
        <v>2016</v>
      </c>
      <c r="H537" s="8">
        <v>12</v>
      </c>
      <c r="I537" s="8" t="s">
        <v>521</v>
      </c>
      <c r="J537" s="8" t="s">
        <v>228</v>
      </c>
      <c r="K537" s="8">
        <v>1953</v>
      </c>
      <c r="L537" s="17">
        <v>1</v>
      </c>
      <c r="M537" s="8">
        <v>1</v>
      </c>
      <c r="N537" s="8" t="s">
        <v>49</v>
      </c>
      <c r="O537" s="8" t="s">
        <v>283</v>
      </c>
      <c r="P537" s="8" t="s">
        <v>280</v>
      </c>
      <c r="Q537" s="8">
        <v>20000</v>
      </c>
      <c r="R537" s="8" t="s">
        <v>59</v>
      </c>
      <c r="S537" s="8" t="s">
        <v>54</v>
      </c>
      <c r="T537" s="8" t="s">
        <v>69</v>
      </c>
      <c r="U537" s="8" t="s">
        <v>228</v>
      </c>
      <c r="V537" s="8">
        <v>500</v>
      </c>
      <c r="W537" s="8" t="s">
        <v>328</v>
      </c>
      <c r="X537" s="8">
        <v>3000</v>
      </c>
      <c r="Y537" s="8" t="s">
        <v>271</v>
      </c>
      <c r="Z537" s="8">
        <v>85</v>
      </c>
      <c r="AA537" s="8" t="s">
        <v>278</v>
      </c>
      <c r="AB537" s="8" t="s">
        <v>228</v>
      </c>
      <c r="AC537" s="8" t="s">
        <v>228</v>
      </c>
      <c r="AD537" s="8" t="s">
        <v>228</v>
      </c>
      <c r="AE537" s="8" t="s">
        <v>228</v>
      </c>
      <c r="AF537" s="8" t="s">
        <v>228</v>
      </c>
      <c r="AG537" s="8" t="s">
        <v>228</v>
      </c>
      <c r="AH537" s="8" t="s">
        <v>228</v>
      </c>
      <c r="AI537" s="8" t="s">
        <v>228</v>
      </c>
      <c r="AJ537" t="s">
        <v>468</v>
      </c>
      <c r="AK537">
        <v>1</v>
      </c>
      <c r="AL537">
        <v>1</v>
      </c>
      <c r="AM537" t="s">
        <v>93</v>
      </c>
      <c r="AN537" t="s">
        <v>67</v>
      </c>
      <c r="AO537" t="s">
        <v>526</v>
      </c>
      <c r="AP537" t="s">
        <v>109</v>
      </c>
      <c r="AQ537">
        <v>12</v>
      </c>
      <c r="AR537" t="s">
        <v>521</v>
      </c>
      <c r="AS537" t="s">
        <v>228</v>
      </c>
      <c r="AT537" t="s">
        <v>170</v>
      </c>
      <c r="AU537">
        <v>1</v>
      </c>
      <c r="AV537">
        <v>1</v>
      </c>
      <c r="AW537" t="s">
        <v>537</v>
      </c>
      <c r="AX537" t="s">
        <v>283</v>
      </c>
      <c r="AY537" t="s">
        <v>280</v>
      </c>
      <c r="AZ537">
        <v>5</v>
      </c>
      <c r="BA537" t="s">
        <v>533</v>
      </c>
      <c r="BB537" t="s">
        <v>541</v>
      </c>
      <c r="BC537" t="s">
        <v>395</v>
      </c>
      <c r="BD537" t="s">
        <v>228</v>
      </c>
      <c r="BE537" t="s">
        <v>522</v>
      </c>
      <c r="BF537" t="s">
        <v>523</v>
      </c>
      <c r="BG537" t="s">
        <v>407</v>
      </c>
      <c r="BH537" t="s">
        <v>544</v>
      </c>
      <c r="BI537" t="s">
        <v>524</v>
      </c>
      <c r="BJ537" t="s">
        <v>228</v>
      </c>
      <c r="BK537" t="s">
        <v>228</v>
      </c>
      <c r="BL537" t="s">
        <v>228</v>
      </c>
      <c r="BM537" t="s">
        <v>228</v>
      </c>
      <c r="BN537" t="s">
        <v>228</v>
      </c>
      <c r="BO537" t="s">
        <v>228</v>
      </c>
      <c r="BP537" t="s">
        <v>228</v>
      </c>
      <c r="BQ537" t="s">
        <v>228</v>
      </c>
      <c r="BR537" t="s">
        <v>228</v>
      </c>
      <c r="BS537" t="s">
        <v>409</v>
      </c>
      <c r="BT537">
        <v>0</v>
      </c>
    </row>
    <row r="538" spans="1:72" x14ac:dyDescent="0.15">
      <c r="A538" s="43">
        <v>2023</v>
      </c>
      <c r="B538" s="8">
        <v>1</v>
      </c>
      <c r="C538" s="8">
        <v>1</v>
      </c>
      <c r="D538" s="8">
        <v>7</v>
      </c>
      <c r="E538" s="8" t="s">
        <v>67</v>
      </c>
      <c r="F538" s="8" t="s">
        <v>57</v>
      </c>
      <c r="G538" s="8">
        <v>2016</v>
      </c>
      <c r="H538" s="8">
        <v>12</v>
      </c>
      <c r="I538" s="8" t="s">
        <v>521</v>
      </c>
      <c r="J538" s="8" t="s">
        <v>228</v>
      </c>
      <c r="K538" s="8">
        <v>1953</v>
      </c>
      <c r="L538" s="17">
        <v>1</v>
      </c>
      <c r="M538" s="8">
        <v>1</v>
      </c>
      <c r="N538" s="8" t="s">
        <v>49</v>
      </c>
      <c r="O538" s="8" t="s">
        <v>283</v>
      </c>
      <c r="P538" s="8" t="s">
        <v>280</v>
      </c>
      <c r="Q538" s="8">
        <v>20000</v>
      </c>
      <c r="R538" s="8" t="s">
        <v>59</v>
      </c>
      <c r="S538" s="8" t="s">
        <v>54</v>
      </c>
      <c r="T538" s="8" t="s">
        <v>69</v>
      </c>
      <c r="U538" s="8" t="s">
        <v>228</v>
      </c>
      <c r="V538" s="8">
        <v>500</v>
      </c>
      <c r="W538" s="8" t="s">
        <v>328</v>
      </c>
      <c r="X538" s="8">
        <v>3000</v>
      </c>
      <c r="Y538" s="8" t="s">
        <v>268</v>
      </c>
      <c r="Z538" s="8">
        <v>85</v>
      </c>
      <c r="AA538" s="8" t="s">
        <v>278</v>
      </c>
      <c r="AB538" s="8" t="s">
        <v>228</v>
      </c>
      <c r="AC538" s="8" t="s">
        <v>228</v>
      </c>
      <c r="AD538" s="8" t="s">
        <v>228</v>
      </c>
      <c r="AE538" s="8" t="s">
        <v>228</v>
      </c>
      <c r="AF538" s="8" t="s">
        <v>228</v>
      </c>
      <c r="AG538" s="8" t="s">
        <v>228</v>
      </c>
      <c r="AH538" s="8" t="s">
        <v>228</v>
      </c>
      <c r="AI538" s="8" t="s">
        <v>228</v>
      </c>
      <c r="AJ538" t="s">
        <v>468</v>
      </c>
      <c r="AK538">
        <v>1</v>
      </c>
      <c r="AL538">
        <v>1</v>
      </c>
      <c r="AM538" t="s">
        <v>94</v>
      </c>
      <c r="AN538" t="s">
        <v>67</v>
      </c>
      <c r="AO538" t="s">
        <v>526</v>
      </c>
      <c r="AP538" t="s">
        <v>109</v>
      </c>
      <c r="AQ538">
        <v>12</v>
      </c>
      <c r="AR538" t="s">
        <v>521</v>
      </c>
      <c r="AS538" t="s">
        <v>228</v>
      </c>
      <c r="AT538" t="s">
        <v>170</v>
      </c>
      <c r="AU538">
        <v>1</v>
      </c>
      <c r="AV538">
        <v>1</v>
      </c>
      <c r="AW538" t="s">
        <v>537</v>
      </c>
      <c r="AX538" t="s">
        <v>283</v>
      </c>
      <c r="AY538" t="s">
        <v>280</v>
      </c>
      <c r="AZ538">
        <v>5</v>
      </c>
      <c r="BA538" t="s">
        <v>533</v>
      </c>
      <c r="BB538" t="s">
        <v>541</v>
      </c>
      <c r="BC538" t="s">
        <v>395</v>
      </c>
      <c r="BD538" t="s">
        <v>228</v>
      </c>
      <c r="BE538" t="s">
        <v>522</v>
      </c>
      <c r="BF538" t="s">
        <v>523</v>
      </c>
      <c r="BG538" t="s">
        <v>407</v>
      </c>
      <c r="BH538" t="s">
        <v>396</v>
      </c>
      <c r="BI538" t="s">
        <v>524</v>
      </c>
      <c r="BJ538" t="s">
        <v>228</v>
      </c>
      <c r="BK538" t="s">
        <v>228</v>
      </c>
      <c r="BL538" t="s">
        <v>228</v>
      </c>
      <c r="BM538" t="s">
        <v>228</v>
      </c>
      <c r="BN538" t="s">
        <v>228</v>
      </c>
      <c r="BO538" t="s">
        <v>228</v>
      </c>
      <c r="BP538" t="s">
        <v>228</v>
      </c>
      <c r="BQ538" t="s">
        <v>228</v>
      </c>
      <c r="BR538" t="s">
        <v>228</v>
      </c>
      <c r="BS538" t="s">
        <v>409</v>
      </c>
      <c r="BT538">
        <v>1</v>
      </c>
    </row>
    <row r="539" spans="1:72" x14ac:dyDescent="0.15">
      <c r="A539" s="43">
        <v>2023</v>
      </c>
      <c r="B539" s="8">
        <v>1</v>
      </c>
      <c r="C539" s="8">
        <v>1</v>
      </c>
      <c r="D539" s="8">
        <v>7</v>
      </c>
      <c r="E539" s="8" t="s">
        <v>67</v>
      </c>
      <c r="F539" s="8" t="s">
        <v>57</v>
      </c>
      <c r="G539" s="8">
        <v>2016</v>
      </c>
      <c r="H539" s="8">
        <v>12</v>
      </c>
      <c r="I539" s="8" t="s">
        <v>521</v>
      </c>
      <c r="J539" s="8" t="s">
        <v>228</v>
      </c>
      <c r="K539" s="8">
        <v>1953</v>
      </c>
      <c r="L539" s="17">
        <v>1</v>
      </c>
      <c r="M539" s="8">
        <v>1</v>
      </c>
      <c r="N539" s="8" t="s">
        <v>49</v>
      </c>
      <c r="O539" s="8" t="s">
        <v>283</v>
      </c>
      <c r="P539" s="8" t="s">
        <v>280</v>
      </c>
      <c r="Q539" s="8">
        <v>20000</v>
      </c>
      <c r="R539" s="8" t="s">
        <v>59</v>
      </c>
      <c r="S539" s="8" t="s">
        <v>54</v>
      </c>
      <c r="T539" s="8" t="s">
        <v>69</v>
      </c>
      <c r="U539" s="8" t="s">
        <v>228</v>
      </c>
      <c r="V539" s="8">
        <v>500</v>
      </c>
      <c r="W539" s="8" t="s">
        <v>328</v>
      </c>
      <c r="X539" s="8">
        <v>3000</v>
      </c>
      <c r="Y539" s="8" t="s">
        <v>394</v>
      </c>
      <c r="Z539" s="8">
        <v>85</v>
      </c>
      <c r="AA539" s="8" t="s">
        <v>278</v>
      </c>
      <c r="AB539" s="8" t="s">
        <v>228</v>
      </c>
      <c r="AC539" s="8" t="s">
        <v>228</v>
      </c>
      <c r="AD539" s="8" t="s">
        <v>228</v>
      </c>
      <c r="AE539" s="8" t="s">
        <v>228</v>
      </c>
      <c r="AF539" s="8" t="s">
        <v>228</v>
      </c>
      <c r="AG539" s="8" t="s">
        <v>228</v>
      </c>
      <c r="AH539" s="8" t="s">
        <v>228</v>
      </c>
      <c r="AI539" s="8" t="s">
        <v>228</v>
      </c>
      <c r="AJ539" t="s">
        <v>468</v>
      </c>
      <c r="AK539">
        <v>1</v>
      </c>
      <c r="AL539">
        <v>1</v>
      </c>
      <c r="AM539" t="s">
        <v>94</v>
      </c>
      <c r="AN539" t="s">
        <v>67</v>
      </c>
      <c r="AO539" t="s">
        <v>526</v>
      </c>
      <c r="AP539" t="s">
        <v>109</v>
      </c>
      <c r="AQ539">
        <v>12</v>
      </c>
      <c r="AR539" t="s">
        <v>521</v>
      </c>
      <c r="AS539" t="s">
        <v>228</v>
      </c>
      <c r="AT539" t="s">
        <v>170</v>
      </c>
      <c r="AU539">
        <v>1</v>
      </c>
      <c r="AV539">
        <v>1</v>
      </c>
      <c r="AW539" t="s">
        <v>537</v>
      </c>
      <c r="AX539" t="s">
        <v>283</v>
      </c>
      <c r="AY539" t="s">
        <v>280</v>
      </c>
      <c r="AZ539">
        <v>5</v>
      </c>
      <c r="BA539" t="s">
        <v>533</v>
      </c>
      <c r="BB539" t="s">
        <v>541</v>
      </c>
      <c r="BC539" t="s">
        <v>395</v>
      </c>
      <c r="BD539" t="s">
        <v>228</v>
      </c>
      <c r="BE539" t="s">
        <v>522</v>
      </c>
      <c r="BF539" t="s">
        <v>523</v>
      </c>
      <c r="BG539" t="s">
        <v>407</v>
      </c>
      <c r="BH539" t="s">
        <v>551</v>
      </c>
      <c r="BI539" t="s">
        <v>524</v>
      </c>
      <c r="BJ539" t="s">
        <v>228</v>
      </c>
      <c r="BK539" t="s">
        <v>228</v>
      </c>
      <c r="BL539" t="s">
        <v>228</v>
      </c>
      <c r="BM539" t="s">
        <v>228</v>
      </c>
      <c r="BN539" t="s">
        <v>228</v>
      </c>
      <c r="BO539" t="s">
        <v>228</v>
      </c>
      <c r="BP539" t="s">
        <v>228</v>
      </c>
      <c r="BQ539" t="s">
        <v>228</v>
      </c>
      <c r="BR539" t="s">
        <v>228</v>
      </c>
      <c r="BS539" t="s">
        <v>409</v>
      </c>
      <c r="BT539">
        <v>1</v>
      </c>
    </row>
    <row r="540" spans="1:72" x14ac:dyDescent="0.15">
      <c r="A540" s="43">
        <v>2023</v>
      </c>
      <c r="B540" s="8">
        <v>1</v>
      </c>
      <c r="C540" s="8">
        <v>1</v>
      </c>
      <c r="D540" s="8">
        <v>7</v>
      </c>
      <c r="E540" s="8" t="s">
        <v>67</v>
      </c>
      <c r="F540" s="8" t="s">
        <v>57</v>
      </c>
      <c r="G540" s="8">
        <v>2016</v>
      </c>
      <c r="H540" s="8">
        <v>12</v>
      </c>
      <c r="I540" s="8" t="s">
        <v>521</v>
      </c>
      <c r="J540" s="8" t="s">
        <v>228</v>
      </c>
      <c r="K540" s="8">
        <v>1953</v>
      </c>
      <c r="L540" s="17">
        <v>1</v>
      </c>
      <c r="M540" s="8">
        <v>1</v>
      </c>
      <c r="N540" s="8" t="s">
        <v>49</v>
      </c>
      <c r="O540" s="8" t="s">
        <v>283</v>
      </c>
      <c r="P540" s="8" t="s">
        <v>280</v>
      </c>
      <c r="Q540" s="8">
        <v>20000</v>
      </c>
      <c r="R540" s="8" t="s">
        <v>59</v>
      </c>
      <c r="S540" s="8" t="s">
        <v>54</v>
      </c>
      <c r="T540" s="8" t="s">
        <v>69</v>
      </c>
      <c r="U540" s="8" t="s">
        <v>228</v>
      </c>
      <c r="V540" s="8">
        <v>500</v>
      </c>
      <c r="W540" s="8" t="s">
        <v>328</v>
      </c>
      <c r="X540" s="8">
        <v>3000</v>
      </c>
      <c r="Y540" s="8" t="s">
        <v>271</v>
      </c>
      <c r="Z540" s="8">
        <v>85</v>
      </c>
      <c r="AA540" s="8" t="s">
        <v>278</v>
      </c>
      <c r="AB540" s="8" t="s">
        <v>228</v>
      </c>
      <c r="AC540" s="8" t="s">
        <v>228</v>
      </c>
      <c r="AD540" s="8" t="s">
        <v>228</v>
      </c>
      <c r="AE540" s="8" t="s">
        <v>228</v>
      </c>
      <c r="AF540" s="8" t="s">
        <v>228</v>
      </c>
      <c r="AG540" s="8" t="s">
        <v>228</v>
      </c>
      <c r="AH540" s="8" t="s">
        <v>228</v>
      </c>
      <c r="AI540" s="8" t="s">
        <v>228</v>
      </c>
      <c r="AJ540" t="s">
        <v>468</v>
      </c>
      <c r="AK540">
        <v>1</v>
      </c>
      <c r="AL540">
        <v>1</v>
      </c>
      <c r="AM540" t="s">
        <v>94</v>
      </c>
      <c r="AN540" t="s">
        <v>67</v>
      </c>
      <c r="AO540" t="s">
        <v>526</v>
      </c>
      <c r="AP540" t="s">
        <v>109</v>
      </c>
      <c r="AQ540">
        <v>12</v>
      </c>
      <c r="AR540" t="s">
        <v>521</v>
      </c>
      <c r="AS540" t="s">
        <v>228</v>
      </c>
      <c r="AT540" t="s">
        <v>170</v>
      </c>
      <c r="AU540">
        <v>1</v>
      </c>
      <c r="AV540">
        <v>1</v>
      </c>
      <c r="AW540" t="s">
        <v>537</v>
      </c>
      <c r="AX540" t="s">
        <v>283</v>
      </c>
      <c r="AY540" t="s">
        <v>280</v>
      </c>
      <c r="AZ540">
        <v>5</v>
      </c>
      <c r="BA540" t="s">
        <v>533</v>
      </c>
      <c r="BB540" t="s">
        <v>541</v>
      </c>
      <c r="BC540" t="s">
        <v>395</v>
      </c>
      <c r="BD540" t="s">
        <v>228</v>
      </c>
      <c r="BE540" t="s">
        <v>522</v>
      </c>
      <c r="BF540" t="s">
        <v>523</v>
      </c>
      <c r="BG540" t="s">
        <v>407</v>
      </c>
      <c r="BH540" t="s">
        <v>544</v>
      </c>
      <c r="BI540" t="s">
        <v>524</v>
      </c>
      <c r="BJ540" t="s">
        <v>228</v>
      </c>
      <c r="BK540" t="s">
        <v>228</v>
      </c>
      <c r="BL540" t="s">
        <v>228</v>
      </c>
      <c r="BM540" t="s">
        <v>228</v>
      </c>
      <c r="BN540" t="s">
        <v>228</v>
      </c>
      <c r="BO540" t="s">
        <v>228</v>
      </c>
      <c r="BP540" t="s">
        <v>228</v>
      </c>
      <c r="BQ540" t="s">
        <v>228</v>
      </c>
      <c r="BR540" t="s">
        <v>228</v>
      </c>
      <c r="BS540" t="s">
        <v>409</v>
      </c>
      <c r="BT540">
        <v>0</v>
      </c>
    </row>
    <row r="541" spans="1:72" x14ac:dyDescent="0.15">
      <c r="A541" s="43">
        <v>2023</v>
      </c>
      <c r="B541" s="8">
        <v>1</v>
      </c>
      <c r="C541" s="8">
        <v>1</v>
      </c>
      <c r="D541" s="8">
        <v>6</v>
      </c>
      <c r="E541" s="8" t="s">
        <v>67</v>
      </c>
      <c r="F541" s="8" t="s">
        <v>57</v>
      </c>
      <c r="G541" s="8">
        <v>2016</v>
      </c>
      <c r="H541" s="8">
        <v>12</v>
      </c>
      <c r="I541" s="8" t="s">
        <v>521</v>
      </c>
      <c r="J541" s="8" t="s">
        <v>228</v>
      </c>
      <c r="K541" s="8">
        <v>1953</v>
      </c>
      <c r="L541" s="17">
        <v>1</v>
      </c>
      <c r="M541" s="8">
        <v>1</v>
      </c>
      <c r="N541" s="8" t="s">
        <v>49</v>
      </c>
      <c r="O541" s="8" t="s">
        <v>283</v>
      </c>
      <c r="P541" s="8" t="s">
        <v>280</v>
      </c>
      <c r="Q541" s="8">
        <v>20000</v>
      </c>
      <c r="R541" s="8" t="s">
        <v>59</v>
      </c>
      <c r="S541" s="8" t="s">
        <v>54</v>
      </c>
      <c r="T541" s="8" t="s">
        <v>69</v>
      </c>
      <c r="U541" s="8" t="s">
        <v>228</v>
      </c>
      <c r="V541" s="8">
        <v>500</v>
      </c>
      <c r="W541" s="8" t="s">
        <v>328</v>
      </c>
      <c r="X541" s="8">
        <v>3000</v>
      </c>
      <c r="Y541" s="8" t="s">
        <v>268</v>
      </c>
      <c r="Z541" s="8">
        <v>85</v>
      </c>
      <c r="AA541" s="8" t="s">
        <v>278</v>
      </c>
      <c r="AB541" s="8" t="s">
        <v>228</v>
      </c>
      <c r="AC541" s="8" t="s">
        <v>228</v>
      </c>
      <c r="AD541" s="8" t="s">
        <v>228</v>
      </c>
      <c r="AE541" s="8" t="s">
        <v>228</v>
      </c>
      <c r="AF541" s="8" t="s">
        <v>228</v>
      </c>
      <c r="AG541" s="8" t="s">
        <v>228</v>
      </c>
      <c r="AH541" s="8" t="s">
        <v>228</v>
      </c>
      <c r="AI541" s="8" t="s">
        <v>228</v>
      </c>
      <c r="AJ541" t="s">
        <v>468</v>
      </c>
      <c r="AK541">
        <v>1</v>
      </c>
      <c r="AL541">
        <v>1</v>
      </c>
      <c r="AM541" t="s">
        <v>95</v>
      </c>
      <c r="AN541" t="s">
        <v>67</v>
      </c>
      <c r="AO541" t="s">
        <v>526</v>
      </c>
      <c r="AP541" t="s">
        <v>109</v>
      </c>
      <c r="AQ541">
        <v>12</v>
      </c>
      <c r="AR541" t="s">
        <v>521</v>
      </c>
      <c r="AS541" t="s">
        <v>228</v>
      </c>
      <c r="AT541" t="s">
        <v>170</v>
      </c>
      <c r="AU541">
        <v>1</v>
      </c>
      <c r="AV541">
        <v>1</v>
      </c>
      <c r="AW541" t="s">
        <v>537</v>
      </c>
      <c r="AX541" t="s">
        <v>283</v>
      </c>
      <c r="AY541" t="s">
        <v>280</v>
      </c>
      <c r="AZ541">
        <v>5</v>
      </c>
      <c r="BA541" t="s">
        <v>533</v>
      </c>
      <c r="BB541" t="s">
        <v>541</v>
      </c>
      <c r="BC541" t="s">
        <v>395</v>
      </c>
      <c r="BD541" t="s">
        <v>228</v>
      </c>
      <c r="BE541" t="s">
        <v>522</v>
      </c>
      <c r="BF541" t="s">
        <v>523</v>
      </c>
      <c r="BG541" t="s">
        <v>407</v>
      </c>
      <c r="BH541" t="s">
        <v>396</v>
      </c>
      <c r="BI541" t="s">
        <v>524</v>
      </c>
      <c r="BJ541" t="s">
        <v>228</v>
      </c>
      <c r="BK541" t="s">
        <v>228</v>
      </c>
      <c r="BL541" t="s">
        <v>228</v>
      </c>
      <c r="BM541" t="s">
        <v>228</v>
      </c>
      <c r="BN541" t="s">
        <v>228</v>
      </c>
      <c r="BO541" t="s">
        <v>228</v>
      </c>
      <c r="BP541" t="s">
        <v>228</v>
      </c>
      <c r="BQ541" t="s">
        <v>228</v>
      </c>
      <c r="BR541" t="s">
        <v>228</v>
      </c>
      <c r="BS541" t="s">
        <v>409</v>
      </c>
      <c r="BT541">
        <v>1</v>
      </c>
    </row>
    <row r="542" spans="1:72" x14ac:dyDescent="0.15">
      <c r="A542" s="43">
        <v>2023</v>
      </c>
      <c r="B542" s="8">
        <v>1</v>
      </c>
      <c r="C542" s="8">
        <v>1</v>
      </c>
      <c r="D542" s="8">
        <v>6</v>
      </c>
      <c r="E542" s="8" t="s">
        <v>67</v>
      </c>
      <c r="F542" s="8" t="s">
        <v>57</v>
      </c>
      <c r="G542" s="8">
        <v>2016</v>
      </c>
      <c r="H542" s="8">
        <v>12</v>
      </c>
      <c r="I542" s="8" t="s">
        <v>521</v>
      </c>
      <c r="J542" s="8" t="s">
        <v>228</v>
      </c>
      <c r="K542" s="8">
        <v>1953</v>
      </c>
      <c r="L542" s="17">
        <v>1</v>
      </c>
      <c r="M542" s="8">
        <v>1</v>
      </c>
      <c r="N542" s="8" t="s">
        <v>49</v>
      </c>
      <c r="O542" s="8" t="s">
        <v>283</v>
      </c>
      <c r="P542" s="8" t="s">
        <v>280</v>
      </c>
      <c r="Q542" s="8">
        <v>20000</v>
      </c>
      <c r="R542" s="8" t="s">
        <v>59</v>
      </c>
      <c r="S542" s="8" t="s">
        <v>54</v>
      </c>
      <c r="T542" s="8" t="s">
        <v>69</v>
      </c>
      <c r="U542" s="8" t="s">
        <v>228</v>
      </c>
      <c r="V542" s="8">
        <v>500</v>
      </c>
      <c r="W542" s="8" t="s">
        <v>328</v>
      </c>
      <c r="X542" s="8">
        <v>3000</v>
      </c>
      <c r="Y542" s="8" t="s">
        <v>394</v>
      </c>
      <c r="Z542" s="8">
        <v>85</v>
      </c>
      <c r="AA542" s="8" t="s">
        <v>278</v>
      </c>
      <c r="AB542" s="8" t="s">
        <v>228</v>
      </c>
      <c r="AC542" s="8" t="s">
        <v>228</v>
      </c>
      <c r="AD542" s="8" t="s">
        <v>228</v>
      </c>
      <c r="AE542" s="8" t="s">
        <v>228</v>
      </c>
      <c r="AF542" s="8" t="s">
        <v>228</v>
      </c>
      <c r="AG542" s="8" t="s">
        <v>228</v>
      </c>
      <c r="AH542" s="8" t="s">
        <v>228</v>
      </c>
      <c r="AI542" s="8" t="s">
        <v>228</v>
      </c>
      <c r="AJ542" t="s">
        <v>468</v>
      </c>
      <c r="AK542">
        <v>1</v>
      </c>
      <c r="AL542">
        <v>1</v>
      </c>
      <c r="AM542" t="s">
        <v>95</v>
      </c>
      <c r="AN542" t="s">
        <v>67</v>
      </c>
      <c r="AO542" t="s">
        <v>526</v>
      </c>
      <c r="AP542" t="s">
        <v>109</v>
      </c>
      <c r="AQ542">
        <v>12</v>
      </c>
      <c r="AR542" t="s">
        <v>521</v>
      </c>
      <c r="AS542" t="s">
        <v>228</v>
      </c>
      <c r="AT542" t="s">
        <v>170</v>
      </c>
      <c r="AU542">
        <v>1</v>
      </c>
      <c r="AV542">
        <v>1</v>
      </c>
      <c r="AW542" t="s">
        <v>537</v>
      </c>
      <c r="AX542" t="s">
        <v>283</v>
      </c>
      <c r="AY542" t="s">
        <v>280</v>
      </c>
      <c r="AZ542">
        <v>5</v>
      </c>
      <c r="BA542" t="s">
        <v>533</v>
      </c>
      <c r="BB542" t="s">
        <v>541</v>
      </c>
      <c r="BC542" t="s">
        <v>395</v>
      </c>
      <c r="BD542" t="s">
        <v>228</v>
      </c>
      <c r="BE542" t="s">
        <v>522</v>
      </c>
      <c r="BF542" t="s">
        <v>523</v>
      </c>
      <c r="BG542" t="s">
        <v>407</v>
      </c>
      <c r="BH542" t="s">
        <v>551</v>
      </c>
      <c r="BI542" t="s">
        <v>524</v>
      </c>
      <c r="BJ542" t="s">
        <v>228</v>
      </c>
      <c r="BK542" t="s">
        <v>228</v>
      </c>
      <c r="BL542" t="s">
        <v>228</v>
      </c>
      <c r="BM542" t="s">
        <v>228</v>
      </c>
      <c r="BN542" t="s">
        <v>228</v>
      </c>
      <c r="BO542" t="s">
        <v>228</v>
      </c>
      <c r="BP542" t="s">
        <v>228</v>
      </c>
      <c r="BQ542" t="s">
        <v>228</v>
      </c>
      <c r="BR542" t="s">
        <v>228</v>
      </c>
      <c r="BS542" t="s">
        <v>409</v>
      </c>
      <c r="BT542">
        <v>1</v>
      </c>
    </row>
    <row r="543" spans="1:72" x14ac:dyDescent="0.15">
      <c r="A543" s="43">
        <v>2023</v>
      </c>
      <c r="B543" s="8">
        <v>1</v>
      </c>
      <c r="C543" s="8">
        <v>1</v>
      </c>
      <c r="D543" s="8">
        <v>6</v>
      </c>
      <c r="E543" s="8" t="s">
        <v>67</v>
      </c>
      <c r="F543" s="8" t="s">
        <v>57</v>
      </c>
      <c r="G543" s="8">
        <v>2016</v>
      </c>
      <c r="H543" s="8">
        <v>12</v>
      </c>
      <c r="I543" s="8" t="s">
        <v>521</v>
      </c>
      <c r="J543" s="8" t="s">
        <v>228</v>
      </c>
      <c r="K543" s="8">
        <v>1953</v>
      </c>
      <c r="L543" s="17">
        <v>1</v>
      </c>
      <c r="M543" s="8">
        <v>1</v>
      </c>
      <c r="N543" s="8" t="s">
        <v>49</v>
      </c>
      <c r="O543" s="8" t="s">
        <v>283</v>
      </c>
      <c r="P543" s="8" t="s">
        <v>280</v>
      </c>
      <c r="Q543" s="8">
        <v>20000</v>
      </c>
      <c r="R543" s="8" t="s">
        <v>59</v>
      </c>
      <c r="S543" s="8" t="s">
        <v>54</v>
      </c>
      <c r="T543" s="8" t="s">
        <v>69</v>
      </c>
      <c r="U543" s="8" t="s">
        <v>228</v>
      </c>
      <c r="V543" s="8">
        <v>500</v>
      </c>
      <c r="W543" s="8" t="s">
        <v>328</v>
      </c>
      <c r="X543" s="8">
        <v>3000</v>
      </c>
      <c r="Y543" s="8" t="s">
        <v>271</v>
      </c>
      <c r="Z543" s="8">
        <v>85</v>
      </c>
      <c r="AA543" s="8" t="s">
        <v>278</v>
      </c>
      <c r="AB543" s="8" t="s">
        <v>228</v>
      </c>
      <c r="AC543" s="8" t="s">
        <v>228</v>
      </c>
      <c r="AD543" s="8" t="s">
        <v>228</v>
      </c>
      <c r="AE543" s="8" t="s">
        <v>228</v>
      </c>
      <c r="AF543" s="8" t="s">
        <v>228</v>
      </c>
      <c r="AG543" s="8" t="s">
        <v>228</v>
      </c>
      <c r="AH543" s="8" t="s">
        <v>228</v>
      </c>
      <c r="AI543" s="8" t="s">
        <v>228</v>
      </c>
      <c r="AJ543" t="s">
        <v>468</v>
      </c>
      <c r="AK543">
        <v>1</v>
      </c>
      <c r="AL543">
        <v>1</v>
      </c>
      <c r="AM543" t="s">
        <v>95</v>
      </c>
      <c r="AN543" t="s">
        <v>67</v>
      </c>
      <c r="AO543" t="s">
        <v>526</v>
      </c>
      <c r="AP543" t="s">
        <v>109</v>
      </c>
      <c r="AQ543">
        <v>12</v>
      </c>
      <c r="AR543" t="s">
        <v>521</v>
      </c>
      <c r="AS543" t="s">
        <v>228</v>
      </c>
      <c r="AT543" t="s">
        <v>170</v>
      </c>
      <c r="AU543">
        <v>1</v>
      </c>
      <c r="AV543">
        <v>1</v>
      </c>
      <c r="AW543" t="s">
        <v>537</v>
      </c>
      <c r="AX543" t="s">
        <v>283</v>
      </c>
      <c r="AY543" t="s">
        <v>280</v>
      </c>
      <c r="AZ543">
        <v>5</v>
      </c>
      <c r="BA543" t="s">
        <v>533</v>
      </c>
      <c r="BB543" t="s">
        <v>541</v>
      </c>
      <c r="BC543" t="s">
        <v>395</v>
      </c>
      <c r="BD543" t="s">
        <v>228</v>
      </c>
      <c r="BE543" t="s">
        <v>522</v>
      </c>
      <c r="BF543" t="s">
        <v>523</v>
      </c>
      <c r="BG543" t="s">
        <v>407</v>
      </c>
      <c r="BH543" t="s">
        <v>544</v>
      </c>
      <c r="BI543" t="s">
        <v>524</v>
      </c>
      <c r="BJ543" t="s">
        <v>228</v>
      </c>
      <c r="BK543" t="s">
        <v>228</v>
      </c>
      <c r="BL543" t="s">
        <v>228</v>
      </c>
      <c r="BM543" t="s">
        <v>228</v>
      </c>
      <c r="BN543" t="s">
        <v>228</v>
      </c>
      <c r="BO543" t="s">
        <v>228</v>
      </c>
      <c r="BP543" t="s">
        <v>228</v>
      </c>
      <c r="BQ543" t="s">
        <v>228</v>
      </c>
      <c r="BR543" t="s">
        <v>228</v>
      </c>
      <c r="BS543" t="s">
        <v>409</v>
      </c>
      <c r="BT543">
        <v>0</v>
      </c>
    </row>
    <row r="544" spans="1:72" x14ac:dyDescent="0.15">
      <c r="A544" s="43">
        <v>2023</v>
      </c>
      <c r="B544" s="8">
        <v>1</v>
      </c>
      <c r="C544" s="8">
        <v>1</v>
      </c>
      <c r="D544" s="8">
        <v>20</v>
      </c>
      <c r="E544" s="8" t="s">
        <v>228</v>
      </c>
      <c r="F544" s="8" t="s">
        <v>57</v>
      </c>
      <c r="G544" s="8">
        <v>2017</v>
      </c>
      <c r="H544" s="8">
        <v>12</v>
      </c>
      <c r="I544" s="8" t="s">
        <v>483</v>
      </c>
      <c r="J544" s="8" t="s">
        <v>228</v>
      </c>
      <c r="K544" s="8">
        <v>1953</v>
      </c>
      <c r="L544" s="17">
        <v>1</v>
      </c>
      <c r="M544" s="8">
        <v>1</v>
      </c>
      <c r="N544" s="8" t="s">
        <v>49</v>
      </c>
      <c r="O544" s="8" t="s">
        <v>283</v>
      </c>
      <c r="P544" s="8" t="s">
        <v>280</v>
      </c>
      <c r="Q544" s="8">
        <v>20000</v>
      </c>
      <c r="R544" s="8" t="s">
        <v>59</v>
      </c>
      <c r="S544" s="8" t="s">
        <v>54</v>
      </c>
      <c r="T544" s="8" t="s">
        <v>69</v>
      </c>
      <c r="U544" s="8" t="s">
        <v>228</v>
      </c>
      <c r="V544" s="8">
        <v>500</v>
      </c>
      <c r="W544" s="8" t="s">
        <v>328</v>
      </c>
      <c r="X544" s="8">
        <v>3000</v>
      </c>
      <c r="Y544" s="8" t="s">
        <v>268</v>
      </c>
      <c r="Z544" s="8">
        <v>100</v>
      </c>
      <c r="AA544" s="8" t="s">
        <v>278</v>
      </c>
      <c r="AB544" s="8" t="s">
        <v>228</v>
      </c>
      <c r="AC544" s="8" t="s">
        <v>228</v>
      </c>
      <c r="AD544" s="8" t="s">
        <v>228</v>
      </c>
      <c r="AE544" s="8" t="s">
        <v>228</v>
      </c>
      <c r="AF544" s="8" t="s">
        <v>228</v>
      </c>
      <c r="AG544" s="8" t="s">
        <v>228</v>
      </c>
      <c r="AH544" s="8" t="s">
        <v>228</v>
      </c>
      <c r="AI544" s="8" t="s">
        <v>228</v>
      </c>
      <c r="AJ544" t="s">
        <v>468</v>
      </c>
      <c r="AK544">
        <v>1</v>
      </c>
      <c r="AL544">
        <v>1</v>
      </c>
      <c r="AM544" t="s">
        <v>81</v>
      </c>
      <c r="AN544" t="s">
        <v>228</v>
      </c>
      <c r="AO544" t="s">
        <v>526</v>
      </c>
      <c r="AP544" t="s">
        <v>108</v>
      </c>
      <c r="AQ544">
        <v>12</v>
      </c>
      <c r="AR544" t="s">
        <v>483</v>
      </c>
      <c r="AS544" t="s">
        <v>228</v>
      </c>
      <c r="AT544" t="s">
        <v>170</v>
      </c>
      <c r="AU544">
        <v>1</v>
      </c>
      <c r="AV544">
        <v>1</v>
      </c>
      <c r="AW544" t="s">
        <v>537</v>
      </c>
      <c r="AX544" t="s">
        <v>283</v>
      </c>
      <c r="AY544" t="s">
        <v>280</v>
      </c>
      <c r="AZ544">
        <v>5</v>
      </c>
      <c r="BA544" t="s">
        <v>533</v>
      </c>
      <c r="BB544" t="s">
        <v>541</v>
      </c>
      <c r="BC544" t="s">
        <v>395</v>
      </c>
      <c r="BD544" t="s">
        <v>228</v>
      </c>
      <c r="BE544" t="s">
        <v>522</v>
      </c>
      <c r="BF544" t="s">
        <v>523</v>
      </c>
      <c r="BG544" t="s">
        <v>407</v>
      </c>
      <c r="BH544" t="s">
        <v>396</v>
      </c>
      <c r="BI544" t="s">
        <v>525</v>
      </c>
      <c r="BJ544" t="s">
        <v>228</v>
      </c>
      <c r="BK544" t="s">
        <v>228</v>
      </c>
      <c r="BL544" t="s">
        <v>228</v>
      </c>
      <c r="BM544" t="s">
        <v>228</v>
      </c>
      <c r="BN544" t="s">
        <v>228</v>
      </c>
      <c r="BO544" t="s">
        <v>228</v>
      </c>
      <c r="BP544" t="s">
        <v>228</v>
      </c>
      <c r="BQ544" t="s">
        <v>228</v>
      </c>
      <c r="BR544" t="s">
        <v>228</v>
      </c>
      <c r="BS544" t="s">
        <v>409</v>
      </c>
      <c r="BT544">
        <v>1</v>
      </c>
    </row>
    <row r="545" spans="1:72" x14ac:dyDescent="0.15">
      <c r="A545" s="43">
        <v>2023</v>
      </c>
      <c r="B545" s="8">
        <v>1</v>
      </c>
      <c r="C545" s="8">
        <v>1</v>
      </c>
      <c r="D545" s="8">
        <v>20</v>
      </c>
      <c r="E545" s="8" t="s">
        <v>228</v>
      </c>
      <c r="F545" s="8" t="s">
        <v>57</v>
      </c>
      <c r="G545" s="8">
        <v>2017</v>
      </c>
      <c r="H545" s="8">
        <v>12</v>
      </c>
      <c r="I545" s="8" t="s">
        <v>483</v>
      </c>
      <c r="J545" s="8" t="s">
        <v>228</v>
      </c>
      <c r="K545" s="8">
        <v>1953</v>
      </c>
      <c r="L545" s="17">
        <v>1</v>
      </c>
      <c r="M545" s="8">
        <v>1</v>
      </c>
      <c r="N545" s="8" t="s">
        <v>49</v>
      </c>
      <c r="O545" s="8" t="s">
        <v>283</v>
      </c>
      <c r="P545" s="8" t="s">
        <v>280</v>
      </c>
      <c r="Q545" s="8">
        <v>20000</v>
      </c>
      <c r="R545" s="8" t="s">
        <v>59</v>
      </c>
      <c r="S545" s="8" t="s">
        <v>54</v>
      </c>
      <c r="T545" s="8" t="s">
        <v>69</v>
      </c>
      <c r="U545" s="8" t="s">
        <v>228</v>
      </c>
      <c r="V545" s="8">
        <v>500</v>
      </c>
      <c r="W545" s="8" t="s">
        <v>328</v>
      </c>
      <c r="X545" s="8">
        <v>3000</v>
      </c>
      <c r="Y545" s="8" t="s">
        <v>394</v>
      </c>
      <c r="Z545" s="8">
        <v>100</v>
      </c>
      <c r="AA545" s="8" t="s">
        <v>278</v>
      </c>
      <c r="AB545" s="8" t="s">
        <v>228</v>
      </c>
      <c r="AC545" s="8" t="s">
        <v>228</v>
      </c>
      <c r="AD545" s="8" t="s">
        <v>228</v>
      </c>
      <c r="AE545" s="8" t="s">
        <v>228</v>
      </c>
      <c r="AF545" s="8" t="s">
        <v>228</v>
      </c>
      <c r="AG545" s="8" t="s">
        <v>228</v>
      </c>
      <c r="AH545" s="8" t="s">
        <v>228</v>
      </c>
      <c r="AI545" s="8" t="s">
        <v>228</v>
      </c>
      <c r="AJ545" t="s">
        <v>468</v>
      </c>
      <c r="AK545">
        <v>1</v>
      </c>
      <c r="AL545">
        <v>1</v>
      </c>
      <c r="AM545" t="s">
        <v>81</v>
      </c>
      <c r="AN545" t="s">
        <v>228</v>
      </c>
      <c r="AO545" t="s">
        <v>526</v>
      </c>
      <c r="AP545" t="s">
        <v>108</v>
      </c>
      <c r="AQ545">
        <v>12</v>
      </c>
      <c r="AR545" t="s">
        <v>483</v>
      </c>
      <c r="AS545" t="s">
        <v>228</v>
      </c>
      <c r="AT545" t="s">
        <v>170</v>
      </c>
      <c r="AU545">
        <v>1</v>
      </c>
      <c r="AV545">
        <v>1</v>
      </c>
      <c r="AW545" t="s">
        <v>537</v>
      </c>
      <c r="AX545" t="s">
        <v>283</v>
      </c>
      <c r="AY545" t="s">
        <v>280</v>
      </c>
      <c r="AZ545">
        <v>5</v>
      </c>
      <c r="BA545" t="s">
        <v>533</v>
      </c>
      <c r="BB545" t="s">
        <v>541</v>
      </c>
      <c r="BC545" t="s">
        <v>395</v>
      </c>
      <c r="BD545" t="s">
        <v>228</v>
      </c>
      <c r="BE545" t="s">
        <v>522</v>
      </c>
      <c r="BF545" t="s">
        <v>523</v>
      </c>
      <c r="BG545" t="s">
        <v>407</v>
      </c>
      <c r="BH545" t="s">
        <v>551</v>
      </c>
      <c r="BI545" t="s">
        <v>525</v>
      </c>
      <c r="BJ545" t="s">
        <v>228</v>
      </c>
      <c r="BK545" t="s">
        <v>228</v>
      </c>
      <c r="BL545" t="s">
        <v>228</v>
      </c>
      <c r="BM545" t="s">
        <v>228</v>
      </c>
      <c r="BN545" t="s">
        <v>228</v>
      </c>
      <c r="BO545" t="s">
        <v>228</v>
      </c>
      <c r="BP545" t="s">
        <v>228</v>
      </c>
      <c r="BQ545" t="s">
        <v>228</v>
      </c>
      <c r="BR545" t="s">
        <v>228</v>
      </c>
      <c r="BS545" t="s">
        <v>409</v>
      </c>
      <c r="BT545">
        <v>1</v>
      </c>
    </row>
    <row r="546" spans="1:72" x14ac:dyDescent="0.15">
      <c r="A546" s="43">
        <v>2023</v>
      </c>
      <c r="B546" s="8">
        <v>1</v>
      </c>
      <c r="C546" s="8">
        <v>1</v>
      </c>
      <c r="D546" s="8">
        <v>20</v>
      </c>
      <c r="E546" s="8" t="s">
        <v>228</v>
      </c>
      <c r="F546" s="8" t="s">
        <v>57</v>
      </c>
      <c r="G546" s="8">
        <v>2017</v>
      </c>
      <c r="H546" s="8">
        <v>12</v>
      </c>
      <c r="I546" s="8" t="s">
        <v>483</v>
      </c>
      <c r="J546" s="8" t="s">
        <v>228</v>
      </c>
      <c r="K546" s="8">
        <v>1953</v>
      </c>
      <c r="L546" s="17">
        <v>1</v>
      </c>
      <c r="M546" s="8">
        <v>1</v>
      </c>
      <c r="N546" s="8" t="s">
        <v>49</v>
      </c>
      <c r="O546" s="8" t="s">
        <v>283</v>
      </c>
      <c r="P546" s="8" t="s">
        <v>280</v>
      </c>
      <c r="Q546" s="8">
        <v>20000</v>
      </c>
      <c r="R546" s="8" t="s">
        <v>59</v>
      </c>
      <c r="S546" s="8" t="s">
        <v>54</v>
      </c>
      <c r="T546" s="8" t="s">
        <v>69</v>
      </c>
      <c r="U546" s="8" t="s">
        <v>228</v>
      </c>
      <c r="V546" s="8">
        <v>500</v>
      </c>
      <c r="W546" s="8" t="s">
        <v>328</v>
      </c>
      <c r="X546" s="8">
        <v>3000</v>
      </c>
      <c r="Y546" s="8" t="s">
        <v>271</v>
      </c>
      <c r="Z546" s="8">
        <v>100</v>
      </c>
      <c r="AA546" s="8" t="s">
        <v>278</v>
      </c>
      <c r="AB546" s="8" t="s">
        <v>228</v>
      </c>
      <c r="AC546" s="8" t="s">
        <v>228</v>
      </c>
      <c r="AD546" s="8" t="s">
        <v>228</v>
      </c>
      <c r="AE546" s="8" t="s">
        <v>228</v>
      </c>
      <c r="AF546" s="8" t="s">
        <v>228</v>
      </c>
      <c r="AG546" s="8" t="s">
        <v>228</v>
      </c>
      <c r="AH546" s="8" t="s">
        <v>228</v>
      </c>
      <c r="AI546" s="8" t="s">
        <v>228</v>
      </c>
      <c r="AJ546" t="s">
        <v>468</v>
      </c>
      <c r="AK546">
        <v>1</v>
      </c>
      <c r="AL546">
        <v>1</v>
      </c>
      <c r="AM546" t="s">
        <v>81</v>
      </c>
      <c r="AN546" t="s">
        <v>228</v>
      </c>
      <c r="AO546" t="s">
        <v>526</v>
      </c>
      <c r="AP546" t="s">
        <v>108</v>
      </c>
      <c r="AQ546">
        <v>12</v>
      </c>
      <c r="AR546" t="s">
        <v>483</v>
      </c>
      <c r="AS546" t="s">
        <v>228</v>
      </c>
      <c r="AT546" t="s">
        <v>170</v>
      </c>
      <c r="AU546">
        <v>1</v>
      </c>
      <c r="AV546">
        <v>1</v>
      </c>
      <c r="AW546" t="s">
        <v>537</v>
      </c>
      <c r="AX546" t="s">
        <v>283</v>
      </c>
      <c r="AY546" t="s">
        <v>280</v>
      </c>
      <c r="AZ546">
        <v>5</v>
      </c>
      <c r="BA546" t="s">
        <v>533</v>
      </c>
      <c r="BB546" t="s">
        <v>541</v>
      </c>
      <c r="BC546" t="s">
        <v>395</v>
      </c>
      <c r="BD546" t="s">
        <v>228</v>
      </c>
      <c r="BE546" t="s">
        <v>522</v>
      </c>
      <c r="BF546" t="s">
        <v>523</v>
      </c>
      <c r="BG546" t="s">
        <v>407</v>
      </c>
      <c r="BH546" t="s">
        <v>544</v>
      </c>
      <c r="BI546" t="s">
        <v>525</v>
      </c>
      <c r="BJ546" t="s">
        <v>228</v>
      </c>
      <c r="BK546" t="s">
        <v>228</v>
      </c>
      <c r="BL546" t="s">
        <v>228</v>
      </c>
      <c r="BM546" t="s">
        <v>228</v>
      </c>
      <c r="BN546" t="s">
        <v>228</v>
      </c>
      <c r="BO546" t="s">
        <v>228</v>
      </c>
      <c r="BP546" t="s">
        <v>228</v>
      </c>
      <c r="BQ546" t="s">
        <v>228</v>
      </c>
      <c r="BR546" t="s">
        <v>228</v>
      </c>
      <c r="BS546" t="s">
        <v>409</v>
      </c>
      <c r="BT546">
        <v>0</v>
      </c>
    </row>
    <row r="547" spans="1:72" x14ac:dyDescent="0.15">
      <c r="A547" s="43">
        <v>2023</v>
      </c>
      <c r="B547" s="8">
        <v>1</v>
      </c>
      <c r="C547" s="8">
        <v>1</v>
      </c>
      <c r="D547" s="8">
        <v>19</v>
      </c>
      <c r="E547" s="8" t="s">
        <v>228</v>
      </c>
      <c r="F547" s="8" t="s">
        <v>57</v>
      </c>
      <c r="G547" s="8">
        <v>2017</v>
      </c>
      <c r="H547" s="8">
        <v>12</v>
      </c>
      <c r="I547" s="8" t="s">
        <v>483</v>
      </c>
      <c r="J547" s="8" t="s">
        <v>228</v>
      </c>
      <c r="K547" s="8">
        <v>1953</v>
      </c>
      <c r="L547" s="17">
        <v>1</v>
      </c>
      <c r="M547" s="8">
        <v>1</v>
      </c>
      <c r="N547" s="8" t="s">
        <v>49</v>
      </c>
      <c r="O547" s="8" t="s">
        <v>283</v>
      </c>
      <c r="P547" s="8" t="s">
        <v>280</v>
      </c>
      <c r="Q547" s="8">
        <v>20000</v>
      </c>
      <c r="R547" s="8" t="s">
        <v>59</v>
      </c>
      <c r="S547" s="8" t="s">
        <v>54</v>
      </c>
      <c r="T547" s="8" t="s">
        <v>69</v>
      </c>
      <c r="U547" s="8" t="s">
        <v>228</v>
      </c>
      <c r="V547" s="8">
        <v>500</v>
      </c>
      <c r="W547" s="8" t="s">
        <v>328</v>
      </c>
      <c r="X547" s="8">
        <v>3000</v>
      </c>
      <c r="Y547" s="8" t="s">
        <v>268</v>
      </c>
      <c r="Z547" s="8">
        <v>100</v>
      </c>
      <c r="AA547" s="8" t="s">
        <v>278</v>
      </c>
      <c r="AB547" s="8" t="s">
        <v>228</v>
      </c>
      <c r="AC547" s="8" t="s">
        <v>228</v>
      </c>
      <c r="AD547" s="8" t="s">
        <v>228</v>
      </c>
      <c r="AE547" s="8" t="s">
        <v>228</v>
      </c>
      <c r="AF547" s="8" t="s">
        <v>228</v>
      </c>
      <c r="AG547" s="8" t="s">
        <v>228</v>
      </c>
      <c r="AH547" s="8" t="s">
        <v>228</v>
      </c>
      <c r="AI547" s="8" t="s">
        <v>228</v>
      </c>
      <c r="AJ547" t="s">
        <v>468</v>
      </c>
      <c r="AK547">
        <v>1</v>
      </c>
      <c r="AL547">
        <v>1</v>
      </c>
      <c r="AM547" t="s">
        <v>82</v>
      </c>
      <c r="AN547" t="s">
        <v>228</v>
      </c>
      <c r="AO547" t="s">
        <v>526</v>
      </c>
      <c r="AP547" t="s">
        <v>108</v>
      </c>
      <c r="AQ547">
        <v>12</v>
      </c>
      <c r="AR547" t="s">
        <v>483</v>
      </c>
      <c r="AS547" t="s">
        <v>228</v>
      </c>
      <c r="AT547" t="s">
        <v>170</v>
      </c>
      <c r="AU547">
        <v>1</v>
      </c>
      <c r="AV547">
        <v>1</v>
      </c>
      <c r="AW547" t="s">
        <v>537</v>
      </c>
      <c r="AX547" t="s">
        <v>283</v>
      </c>
      <c r="AY547" t="s">
        <v>280</v>
      </c>
      <c r="AZ547">
        <v>5</v>
      </c>
      <c r="BA547" t="s">
        <v>533</v>
      </c>
      <c r="BB547" t="s">
        <v>541</v>
      </c>
      <c r="BC547" t="s">
        <v>395</v>
      </c>
      <c r="BD547" t="s">
        <v>228</v>
      </c>
      <c r="BE547" t="s">
        <v>522</v>
      </c>
      <c r="BF547" t="s">
        <v>523</v>
      </c>
      <c r="BG547" t="s">
        <v>407</v>
      </c>
      <c r="BH547" t="s">
        <v>396</v>
      </c>
      <c r="BI547" t="s">
        <v>525</v>
      </c>
      <c r="BJ547" t="s">
        <v>228</v>
      </c>
      <c r="BK547" t="s">
        <v>228</v>
      </c>
      <c r="BL547" t="s">
        <v>228</v>
      </c>
      <c r="BM547" t="s">
        <v>228</v>
      </c>
      <c r="BN547" t="s">
        <v>228</v>
      </c>
      <c r="BO547" t="s">
        <v>228</v>
      </c>
      <c r="BP547" t="s">
        <v>228</v>
      </c>
      <c r="BQ547" t="s">
        <v>228</v>
      </c>
      <c r="BR547" t="s">
        <v>228</v>
      </c>
      <c r="BS547" t="s">
        <v>409</v>
      </c>
      <c r="BT547">
        <v>1</v>
      </c>
    </row>
    <row r="548" spans="1:72" x14ac:dyDescent="0.15">
      <c r="A548" s="43">
        <v>2023</v>
      </c>
      <c r="B548" s="8">
        <v>1</v>
      </c>
      <c r="C548" s="8">
        <v>1</v>
      </c>
      <c r="D548" s="8">
        <v>19</v>
      </c>
      <c r="E548" s="8" t="s">
        <v>228</v>
      </c>
      <c r="F548" s="8" t="s">
        <v>57</v>
      </c>
      <c r="G548" s="8">
        <v>2017</v>
      </c>
      <c r="H548" s="8">
        <v>12</v>
      </c>
      <c r="I548" s="8" t="s">
        <v>483</v>
      </c>
      <c r="J548" s="8" t="s">
        <v>228</v>
      </c>
      <c r="K548" s="8">
        <v>1953</v>
      </c>
      <c r="L548" s="17">
        <v>1</v>
      </c>
      <c r="M548" s="8">
        <v>1</v>
      </c>
      <c r="N548" s="8" t="s">
        <v>49</v>
      </c>
      <c r="O548" s="8" t="s">
        <v>283</v>
      </c>
      <c r="P548" s="8" t="s">
        <v>280</v>
      </c>
      <c r="Q548" s="8">
        <v>20000</v>
      </c>
      <c r="R548" s="8" t="s">
        <v>59</v>
      </c>
      <c r="S548" s="8" t="s">
        <v>54</v>
      </c>
      <c r="T548" s="8" t="s">
        <v>69</v>
      </c>
      <c r="U548" s="8" t="s">
        <v>228</v>
      </c>
      <c r="V548" s="8">
        <v>500</v>
      </c>
      <c r="W548" s="8" t="s">
        <v>328</v>
      </c>
      <c r="X548" s="8">
        <v>3000</v>
      </c>
      <c r="Y548" s="8" t="s">
        <v>394</v>
      </c>
      <c r="Z548" s="8">
        <v>100</v>
      </c>
      <c r="AA548" s="8" t="s">
        <v>278</v>
      </c>
      <c r="AB548" s="8" t="s">
        <v>228</v>
      </c>
      <c r="AC548" s="8" t="s">
        <v>228</v>
      </c>
      <c r="AD548" s="8" t="s">
        <v>228</v>
      </c>
      <c r="AE548" s="8" t="s">
        <v>228</v>
      </c>
      <c r="AF548" s="8" t="s">
        <v>228</v>
      </c>
      <c r="AG548" s="8" t="s">
        <v>228</v>
      </c>
      <c r="AH548" s="8" t="s">
        <v>228</v>
      </c>
      <c r="AI548" s="8" t="s">
        <v>228</v>
      </c>
      <c r="AJ548" t="s">
        <v>468</v>
      </c>
      <c r="AK548">
        <v>1</v>
      </c>
      <c r="AL548">
        <v>1</v>
      </c>
      <c r="AM548" t="s">
        <v>82</v>
      </c>
      <c r="AN548" t="s">
        <v>228</v>
      </c>
      <c r="AO548" t="s">
        <v>526</v>
      </c>
      <c r="AP548" t="s">
        <v>108</v>
      </c>
      <c r="AQ548">
        <v>12</v>
      </c>
      <c r="AR548" t="s">
        <v>483</v>
      </c>
      <c r="AS548" t="s">
        <v>228</v>
      </c>
      <c r="AT548" t="s">
        <v>170</v>
      </c>
      <c r="AU548">
        <v>1</v>
      </c>
      <c r="AV548">
        <v>1</v>
      </c>
      <c r="AW548" t="s">
        <v>537</v>
      </c>
      <c r="AX548" t="s">
        <v>283</v>
      </c>
      <c r="AY548" t="s">
        <v>280</v>
      </c>
      <c r="AZ548">
        <v>5</v>
      </c>
      <c r="BA548" t="s">
        <v>533</v>
      </c>
      <c r="BB548" t="s">
        <v>541</v>
      </c>
      <c r="BC548" t="s">
        <v>395</v>
      </c>
      <c r="BD548" t="s">
        <v>228</v>
      </c>
      <c r="BE548" t="s">
        <v>522</v>
      </c>
      <c r="BF548" t="s">
        <v>523</v>
      </c>
      <c r="BG548" t="s">
        <v>407</v>
      </c>
      <c r="BH548" t="s">
        <v>551</v>
      </c>
      <c r="BI548" t="s">
        <v>525</v>
      </c>
      <c r="BJ548" t="s">
        <v>228</v>
      </c>
      <c r="BK548" t="s">
        <v>228</v>
      </c>
      <c r="BL548" t="s">
        <v>228</v>
      </c>
      <c r="BM548" t="s">
        <v>228</v>
      </c>
      <c r="BN548" t="s">
        <v>228</v>
      </c>
      <c r="BO548" t="s">
        <v>228</v>
      </c>
      <c r="BP548" t="s">
        <v>228</v>
      </c>
      <c r="BQ548" t="s">
        <v>228</v>
      </c>
      <c r="BR548" t="s">
        <v>228</v>
      </c>
      <c r="BS548" t="s">
        <v>409</v>
      </c>
      <c r="BT548">
        <v>1</v>
      </c>
    </row>
    <row r="549" spans="1:72" x14ac:dyDescent="0.15">
      <c r="A549" s="43">
        <v>2023</v>
      </c>
      <c r="B549" s="8">
        <v>1</v>
      </c>
      <c r="C549" s="8">
        <v>1</v>
      </c>
      <c r="D549" s="8">
        <v>19</v>
      </c>
      <c r="E549" s="8" t="s">
        <v>228</v>
      </c>
      <c r="F549" s="8" t="s">
        <v>57</v>
      </c>
      <c r="G549" s="8">
        <v>2017</v>
      </c>
      <c r="H549" s="8">
        <v>12</v>
      </c>
      <c r="I549" s="8" t="s">
        <v>483</v>
      </c>
      <c r="J549" s="8" t="s">
        <v>228</v>
      </c>
      <c r="K549" s="8">
        <v>1953</v>
      </c>
      <c r="L549" s="17">
        <v>1</v>
      </c>
      <c r="M549" s="8">
        <v>1</v>
      </c>
      <c r="N549" s="8" t="s">
        <v>49</v>
      </c>
      <c r="O549" s="8" t="s">
        <v>283</v>
      </c>
      <c r="P549" s="8" t="s">
        <v>280</v>
      </c>
      <c r="Q549" s="8">
        <v>20000</v>
      </c>
      <c r="R549" s="8" t="s">
        <v>59</v>
      </c>
      <c r="S549" s="8" t="s">
        <v>54</v>
      </c>
      <c r="T549" s="8" t="s">
        <v>69</v>
      </c>
      <c r="U549" s="8" t="s">
        <v>228</v>
      </c>
      <c r="V549" s="8">
        <v>500</v>
      </c>
      <c r="W549" s="8" t="s">
        <v>328</v>
      </c>
      <c r="X549" s="8">
        <v>3000</v>
      </c>
      <c r="Y549" s="8" t="s">
        <v>271</v>
      </c>
      <c r="Z549" s="8">
        <v>100</v>
      </c>
      <c r="AA549" s="8" t="s">
        <v>278</v>
      </c>
      <c r="AB549" s="8" t="s">
        <v>228</v>
      </c>
      <c r="AC549" s="8" t="s">
        <v>228</v>
      </c>
      <c r="AD549" s="8" t="s">
        <v>228</v>
      </c>
      <c r="AE549" s="8" t="s">
        <v>228</v>
      </c>
      <c r="AF549" s="8" t="s">
        <v>228</v>
      </c>
      <c r="AG549" s="8" t="s">
        <v>228</v>
      </c>
      <c r="AH549" s="8" t="s">
        <v>228</v>
      </c>
      <c r="AI549" s="8" t="s">
        <v>228</v>
      </c>
      <c r="AJ549" t="s">
        <v>468</v>
      </c>
      <c r="AK549">
        <v>1</v>
      </c>
      <c r="AL549">
        <v>1</v>
      </c>
      <c r="AM549" t="s">
        <v>82</v>
      </c>
      <c r="AN549" t="s">
        <v>228</v>
      </c>
      <c r="AO549" t="s">
        <v>526</v>
      </c>
      <c r="AP549" t="s">
        <v>108</v>
      </c>
      <c r="AQ549">
        <v>12</v>
      </c>
      <c r="AR549" t="s">
        <v>483</v>
      </c>
      <c r="AS549" t="s">
        <v>228</v>
      </c>
      <c r="AT549" t="s">
        <v>170</v>
      </c>
      <c r="AU549">
        <v>1</v>
      </c>
      <c r="AV549">
        <v>1</v>
      </c>
      <c r="AW549" t="s">
        <v>537</v>
      </c>
      <c r="AX549" t="s">
        <v>283</v>
      </c>
      <c r="AY549" t="s">
        <v>280</v>
      </c>
      <c r="AZ549">
        <v>5</v>
      </c>
      <c r="BA549" t="s">
        <v>533</v>
      </c>
      <c r="BB549" t="s">
        <v>541</v>
      </c>
      <c r="BC549" t="s">
        <v>395</v>
      </c>
      <c r="BD549" t="s">
        <v>228</v>
      </c>
      <c r="BE549" t="s">
        <v>522</v>
      </c>
      <c r="BF549" t="s">
        <v>523</v>
      </c>
      <c r="BG549" t="s">
        <v>407</v>
      </c>
      <c r="BH549" t="s">
        <v>544</v>
      </c>
      <c r="BI549" t="s">
        <v>525</v>
      </c>
      <c r="BJ549" t="s">
        <v>228</v>
      </c>
      <c r="BK549" t="s">
        <v>228</v>
      </c>
      <c r="BL549" t="s">
        <v>228</v>
      </c>
      <c r="BM549" t="s">
        <v>228</v>
      </c>
      <c r="BN549" t="s">
        <v>228</v>
      </c>
      <c r="BO549" t="s">
        <v>228</v>
      </c>
      <c r="BP549" t="s">
        <v>228</v>
      </c>
      <c r="BQ549" t="s">
        <v>228</v>
      </c>
      <c r="BR549" t="s">
        <v>228</v>
      </c>
      <c r="BS549" t="s">
        <v>409</v>
      </c>
      <c r="BT549">
        <v>0</v>
      </c>
    </row>
    <row r="550" spans="1:72" x14ac:dyDescent="0.15">
      <c r="A550" s="43">
        <v>2023</v>
      </c>
      <c r="B550" s="8">
        <v>1</v>
      </c>
      <c r="C550" s="8">
        <v>1</v>
      </c>
      <c r="D550" s="8">
        <v>18</v>
      </c>
      <c r="E550" s="8" t="s">
        <v>228</v>
      </c>
      <c r="F550" s="8" t="s">
        <v>57</v>
      </c>
      <c r="G550" s="8">
        <v>2017</v>
      </c>
      <c r="H550" s="8">
        <v>12</v>
      </c>
      <c r="I550" s="8" t="s">
        <v>483</v>
      </c>
      <c r="J550" s="8" t="s">
        <v>228</v>
      </c>
      <c r="K550" s="8">
        <v>1953</v>
      </c>
      <c r="L550" s="17">
        <v>1</v>
      </c>
      <c r="M550" s="8">
        <v>1</v>
      </c>
      <c r="N550" s="8" t="s">
        <v>49</v>
      </c>
      <c r="O550" s="8" t="s">
        <v>283</v>
      </c>
      <c r="P550" s="8" t="s">
        <v>280</v>
      </c>
      <c r="Q550" s="8">
        <v>20000</v>
      </c>
      <c r="R550" s="8" t="s">
        <v>59</v>
      </c>
      <c r="S550" s="8" t="s">
        <v>54</v>
      </c>
      <c r="T550" s="8" t="s">
        <v>69</v>
      </c>
      <c r="U550" s="8" t="s">
        <v>228</v>
      </c>
      <c r="V550" s="8">
        <v>500</v>
      </c>
      <c r="W550" s="8" t="s">
        <v>328</v>
      </c>
      <c r="X550" s="8">
        <v>3000</v>
      </c>
      <c r="Y550" s="8" t="s">
        <v>268</v>
      </c>
      <c r="Z550" s="8">
        <v>100</v>
      </c>
      <c r="AA550" s="8" t="s">
        <v>278</v>
      </c>
      <c r="AB550" s="8" t="s">
        <v>228</v>
      </c>
      <c r="AC550" s="8" t="s">
        <v>228</v>
      </c>
      <c r="AD550" s="8" t="s">
        <v>228</v>
      </c>
      <c r="AE550" s="8" t="s">
        <v>228</v>
      </c>
      <c r="AF550" s="8" t="s">
        <v>228</v>
      </c>
      <c r="AG550" s="8" t="s">
        <v>228</v>
      </c>
      <c r="AH550" s="8" t="s">
        <v>228</v>
      </c>
      <c r="AI550" s="8" t="s">
        <v>228</v>
      </c>
      <c r="AJ550" t="s">
        <v>468</v>
      </c>
      <c r="AK550">
        <v>1</v>
      </c>
      <c r="AL550">
        <v>1</v>
      </c>
      <c r="AM550" t="s">
        <v>83</v>
      </c>
      <c r="AN550" t="s">
        <v>228</v>
      </c>
      <c r="AO550" t="s">
        <v>526</v>
      </c>
      <c r="AP550" t="s">
        <v>108</v>
      </c>
      <c r="AQ550">
        <v>12</v>
      </c>
      <c r="AR550" t="s">
        <v>483</v>
      </c>
      <c r="AS550" t="s">
        <v>228</v>
      </c>
      <c r="AT550" t="s">
        <v>170</v>
      </c>
      <c r="AU550">
        <v>1</v>
      </c>
      <c r="AV550">
        <v>1</v>
      </c>
      <c r="AW550" t="s">
        <v>537</v>
      </c>
      <c r="AX550" t="s">
        <v>283</v>
      </c>
      <c r="AY550" t="s">
        <v>280</v>
      </c>
      <c r="AZ550">
        <v>5</v>
      </c>
      <c r="BA550" t="s">
        <v>533</v>
      </c>
      <c r="BB550" t="s">
        <v>541</v>
      </c>
      <c r="BC550" t="s">
        <v>395</v>
      </c>
      <c r="BD550" t="s">
        <v>228</v>
      </c>
      <c r="BE550" t="s">
        <v>522</v>
      </c>
      <c r="BF550" t="s">
        <v>523</v>
      </c>
      <c r="BG550" t="s">
        <v>407</v>
      </c>
      <c r="BH550" t="s">
        <v>396</v>
      </c>
      <c r="BI550" t="s">
        <v>525</v>
      </c>
      <c r="BJ550" t="s">
        <v>228</v>
      </c>
      <c r="BK550" t="s">
        <v>228</v>
      </c>
      <c r="BL550" t="s">
        <v>228</v>
      </c>
      <c r="BM550" t="s">
        <v>228</v>
      </c>
      <c r="BN550" t="s">
        <v>228</v>
      </c>
      <c r="BO550" t="s">
        <v>228</v>
      </c>
      <c r="BP550" t="s">
        <v>228</v>
      </c>
      <c r="BQ550" t="s">
        <v>228</v>
      </c>
      <c r="BR550" t="s">
        <v>228</v>
      </c>
      <c r="BS550" t="s">
        <v>409</v>
      </c>
      <c r="BT550">
        <v>1</v>
      </c>
    </row>
    <row r="551" spans="1:72" x14ac:dyDescent="0.15">
      <c r="A551" s="43">
        <v>2023</v>
      </c>
      <c r="B551" s="8">
        <v>1</v>
      </c>
      <c r="C551" s="8">
        <v>1</v>
      </c>
      <c r="D551" s="8">
        <v>18</v>
      </c>
      <c r="E551" s="8" t="s">
        <v>228</v>
      </c>
      <c r="F551" s="8" t="s">
        <v>57</v>
      </c>
      <c r="G551" s="8">
        <v>2017</v>
      </c>
      <c r="H551" s="8">
        <v>12</v>
      </c>
      <c r="I551" s="8" t="s">
        <v>483</v>
      </c>
      <c r="J551" s="8" t="s">
        <v>228</v>
      </c>
      <c r="K551" s="8">
        <v>1953</v>
      </c>
      <c r="L551" s="17">
        <v>1</v>
      </c>
      <c r="M551" s="8">
        <v>1</v>
      </c>
      <c r="N551" s="8" t="s">
        <v>49</v>
      </c>
      <c r="O551" s="8" t="s">
        <v>283</v>
      </c>
      <c r="P551" s="8" t="s">
        <v>280</v>
      </c>
      <c r="Q551" s="8">
        <v>20000</v>
      </c>
      <c r="R551" s="8" t="s">
        <v>59</v>
      </c>
      <c r="S551" s="8" t="s">
        <v>54</v>
      </c>
      <c r="T551" s="8" t="s">
        <v>69</v>
      </c>
      <c r="U551" s="8" t="s">
        <v>228</v>
      </c>
      <c r="V551" s="8">
        <v>500</v>
      </c>
      <c r="W551" s="8" t="s">
        <v>328</v>
      </c>
      <c r="X551" s="8">
        <v>3000</v>
      </c>
      <c r="Y551" s="8" t="s">
        <v>394</v>
      </c>
      <c r="Z551" s="8">
        <v>100</v>
      </c>
      <c r="AA551" s="8" t="s">
        <v>278</v>
      </c>
      <c r="AB551" s="8" t="s">
        <v>228</v>
      </c>
      <c r="AC551" s="8" t="s">
        <v>228</v>
      </c>
      <c r="AD551" s="8" t="s">
        <v>228</v>
      </c>
      <c r="AE551" s="8" t="s">
        <v>228</v>
      </c>
      <c r="AF551" s="8" t="s">
        <v>228</v>
      </c>
      <c r="AG551" s="8" t="s">
        <v>228</v>
      </c>
      <c r="AH551" s="8" t="s">
        <v>228</v>
      </c>
      <c r="AI551" s="8" t="s">
        <v>228</v>
      </c>
      <c r="AJ551" t="s">
        <v>468</v>
      </c>
      <c r="AK551">
        <v>1</v>
      </c>
      <c r="AL551">
        <v>1</v>
      </c>
      <c r="AM551" t="s">
        <v>83</v>
      </c>
      <c r="AN551" t="s">
        <v>228</v>
      </c>
      <c r="AO551" t="s">
        <v>526</v>
      </c>
      <c r="AP551" t="s">
        <v>108</v>
      </c>
      <c r="AQ551">
        <v>12</v>
      </c>
      <c r="AR551" t="s">
        <v>483</v>
      </c>
      <c r="AS551" t="s">
        <v>228</v>
      </c>
      <c r="AT551" t="s">
        <v>170</v>
      </c>
      <c r="AU551">
        <v>1</v>
      </c>
      <c r="AV551">
        <v>1</v>
      </c>
      <c r="AW551" t="s">
        <v>537</v>
      </c>
      <c r="AX551" t="s">
        <v>283</v>
      </c>
      <c r="AY551" t="s">
        <v>280</v>
      </c>
      <c r="AZ551">
        <v>5</v>
      </c>
      <c r="BA551" t="s">
        <v>533</v>
      </c>
      <c r="BB551" t="s">
        <v>541</v>
      </c>
      <c r="BC551" t="s">
        <v>395</v>
      </c>
      <c r="BD551" t="s">
        <v>228</v>
      </c>
      <c r="BE551" t="s">
        <v>522</v>
      </c>
      <c r="BF551" t="s">
        <v>523</v>
      </c>
      <c r="BG551" t="s">
        <v>407</v>
      </c>
      <c r="BH551" t="s">
        <v>551</v>
      </c>
      <c r="BI551" t="s">
        <v>525</v>
      </c>
      <c r="BJ551" t="s">
        <v>228</v>
      </c>
      <c r="BK551" t="s">
        <v>228</v>
      </c>
      <c r="BL551" t="s">
        <v>228</v>
      </c>
      <c r="BM551" t="s">
        <v>228</v>
      </c>
      <c r="BN551" t="s">
        <v>228</v>
      </c>
      <c r="BO551" t="s">
        <v>228</v>
      </c>
      <c r="BP551" t="s">
        <v>228</v>
      </c>
      <c r="BQ551" t="s">
        <v>228</v>
      </c>
      <c r="BR551" t="s">
        <v>228</v>
      </c>
      <c r="BS551" t="s">
        <v>409</v>
      </c>
      <c r="BT551">
        <v>1</v>
      </c>
    </row>
    <row r="552" spans="1:72" x14ac:dyDescent="0.15">
      <c r="A552" s="43">
        <v>2023</v>
      </c>
      <c r="B552" s="8">
        <v>1</v>
      </c>
      <c r="C552" s="8">
        <v>1</v>
      </c>
      <c r="D552" s="8">
        <v>18</v>
      </c>
      <c r="E552" s="8" t="s">
        <v>228</v>
      </c>
      <c r="F552" s="8" t="s">
        <v>57</v>
      </c>
      <c r="G552" s="8">
        <v>2017</v>
      </c>
      <c r="H552" s="8">
        <v>12</v>
      </c>
      <c r="I552" s="8" t="s">
        <v>483</v>
      </c>
      <c r="J552" s="8" t="s">
        <v>228</v>
      </c>
      <c r="K552" s="8">
        <v>1953</v>
      </c>
      <c r="L552" s="17">
        <v>1</v>
      </c>
      <c r="M552" s="8">
        <v>1</v>
      </c>
      <c r="N552" s="8" t="s">
        <v>49</v>
      </c>
      <c r="O552" s="8" t="s">
        <v>283</v>
      </c>
      <c r="P552" s="8" t="s">
        <v>280</v>
      </c>
      <c r="Q552" s="8">
        <v>20000</v>
      </c>
      <c r="R552" s="8" t="s">
        <v>59</v>
      </c>
      <c r="S552" s="8" t="s">
        <v>54</v>
      </c>
      <c r="T552" s="8" t="s">
        <v>69</v>
      </c>
      <c r="U552" s="8" t="s">
        <v>228</v>
      </c>
      <c r="V552" s="8">
        <v>500</v>
      </c>
      <c r="W552" s="8" t="s">
        <v>328</v>
      </c>
      <c r="X552" s="8">
        <v>3000</v>
      </c>
      <c r="Y552" s="8" t="s">
        <v>271</v>
      </c>
      <c r="Z552" s="8">
        <v>100</v>
      </c>
      <c r="AA552" s="8" t="s">
        <v>278</v>
      </c>
      <c r="AB552" s="8" t="s">
        <v>228</v>
      </c>
      <c r="AC552" s="8" t="s">
        <v>228</v>
      </c>
      <c r="AD552" s="8" t="s">
        <v>228</v>
      </c>
      <c r="AE552" s="8" t="s">
        <v>228</v>
      </c>
      <c r="AF552" s="8" t="s">
        <v>228</v>
      </c>
      <c r="AG552" s="8" t="s">
        <v>228</v>
      </c>
      <c r="AH552" s="8" t="s">
        <v>228</v>
      </c>
      <c r="AI552" s="8" t="s">
        <v>228</v>
      </c>
      <c r="AJ552" t="s">
        <v>468</v>
      </c>
      <c r="AK552">
        <v>1</v>
      </c>
      <c r="AL552">
        <v>1</v>
      </c>
      <c r="AM552" t="s">
        <v>83</v>
      </c>
      <c r="AN552" t="s">
        <v>228</v>
      </c>
      <c r="AO552" t="s">
        <v>526</v>
      </c>
      <c r="AP552" t="s">
        <v>108</v>
      </c>
      <c r="AQ552">
        <v>12</v>
      </c>
      <c r="AR552" t="s">
        <v>483</v>
      </c>
      <c r="AS552" t="s">
        <v>228</v>
      </c>
      <c r="AT552" t="s">
        <v>170</v>
      </c>
      <c r="AU552">
        <v>1</v>
      </c>
      <c r="AV552">
        <v>1</v>
      </c>
      <c r="AW552" t="s">
        <v>537</v>
      </c>
      <c r="AX552" t="s">
        <v>283</v>
      </c>
      <c r="AY552" t="s">
        <v>280</v>
      </c>
      <c r="AZ552">
        <v>5</v>
      </c>
      <c r="BA552" t="s">
        <v>533</v>
      </c>
      <c r="BB552" t="s">
        <v>541</v>
      </c>
      <c r="BC552" t="s">
        <v>395</v>
      </c>
      <c r="BD552" t="s">
        <v>228</v>
      </c>
      <c r="BE552" t="s">
        <v>522</v>
      </c>
      <c r="BF552" t="s">
        <v>523</v>
      </c>
      <c r="BG552" t="s">
        <v>407</v>
      </c>
      <c r="BH552" t="s">
        <v>544</v>
      </c>
      <c r="BI552" t="s">
        <v>525</v>
      </c>
      <c r="BJ552" t="s">
        <v>228</v>
      </c>
      <c r="BK552" t="s">
        <v>228</v>
      </c>
      <c r="BL552" t="s">
        <v>228</v>
      </c>
      <c r="BM552" t="s">
        <v>228</v>
      </c>
      <c r="BN552" t="s">
        <v>228</v>
      </c>
      <c r="BO552" t="s">
        <v>228</v>
      </c>
      <c r="BP552" t="s">
        <v>228</v>
      </c>
      <c r="BQ552" t="s">
        <v>228</v>
      </c>
      <c r="BR552" t="s">
        <v>228</v>
      </c>
      <c r="BS552" t="s">
        <v>409</v>
      </c>
      <c r="BT552">
        <v>0</v>
      </c>
    </row>
    <row r="553" spans="1:72" x14ac:dyDescent="0.15">
      <c r="A553" s="43">
        <v>2023</v>
      </c>
      <c r="B553" s="8">
        <v>1</v>
      </c>
      <c r="C553" s="8">
        <v>1</v>
      </c>
      <c r="D553" s="8">
        <v>17</v>
      </c>
      <c r="E553" s="8" t="s">
        <v>228</v>
      </c>
      <c r="F553" s="8" t="s">
        <v>57</v>
      </c>
      <c r="G553" s="8">
        <v>2017</v>
      </c>
      <c r="H553" s="8">
        <v>12</v>
      </c>
      <c r="I553" s="8" t="s">
        <v>483</v>
      </c>
      <c r="J553" s="8" t="s">
        <v>228</v>
      </c>
      <c r="K553" s="8">
        <v>1953</v>
      </c>
      <c r="L553" s="17">
        <v>1</v>
      </c>
      <c r="M553" s="8">
        <v>1</v>
      </c>
      <c r="N553" s="8" t="s">
        <v>49</v>
      </c>
      <c r="O553" s="8" t="s">
        <v>283</v>
      </c>
      <c r="P553" s="8" t="s">
        <v>280</v>
      </c>
      <c r="Q553" s="8">
        <v>20000</v>
      </c>
      <c r="R553" s="8" t="s">
        <v>59</v>
      </c>
      <c r="S553" s="8" t="s">
        <v>54</v>
      </c>
      <c r="T553" s="8" t="s">
        <v>69</v>
      </c>
      <c r="U553" s="8" t="s">
        <v>228</v>
      </c>
      <c r="V553" s="8">
        <v>500</v>
      </c>
      <c r="W553" s="8" t="s">
        <v>328</v>
      </c>
      <c r="X553" s="8">
        <v>3000</v>
      </c>
      <c r="Y553" s="8" t="s">
        <v>268</v>
      </c>
      <c r="Z553" s="8">
        <v>100</v>
      </c>
      <c r="AA553" s="8" t="s">
        <v>278</v>
      </c>
      <c r="AB553" s="8" t="s">
        <v>228</v>
      </c>
      <c r="AC553" s="8" t="s">
        <v>228</v>
      </c>
      <c r="AD553" s="8" t="s">
        <v>228</v>
      </c>
      <c r="AE553" s="8" t="s">
        <v>228</v>
      </c>
      <c r="AF553" s="8" t="s">
        <v>228</v>
      </c>
      <c r="AG553" s="8" t="s">
        <v>228</v>
      </c>
      <c r="AH553" s="8" t="s">
        <v>228</v>
      </c>
      <c r="AI553" s="8" t="s">
        <v>228</v>
      </c>
      <c r="AJ553" t="s">
        <v>468</v>
      </c>
      <c r="AK553">
        <v>1</v>
      </c>
      <c r="AL553">
        <v>1</v>
      </c>
      <c r="AM553" t="s">
        <v>84</v>
      </c>
      <c r="AN553" t="s">
        <v>228</v>
      </c>
      <c r="AO553" t="s">
        <v>526</v>
      </c>
      <c r="AP553" t="s">
        <v>108</v>
      </c>
      <c r="AQ553">
        <v>12</v>
      </c>
      <c r="AR553" t="s">
        <v>483</v>
      </c>
      <c r="AS553" t="s">
        <v>228</v>
      </c>
      <c r="AT553" t="s">
        <v>170</v>
      </c>
      <c r="AU553">
        <v>1</v>
      </c>
      <c r="AV553">
        <v>1</v>
      </c>
      <c r="AW553" t="s">
        <v>537</v>
      </c>
      <c r="AX553" t="s">
        <v>283</v>
      </c>
      <c r="AY553" t="s">
        <v>280</v>
      </c>
      <c r="AZ553">
        <v>5</v>
      </c>
      <c r="BA553" t="s">
        <v>533</v>
      </c>
      <c r="BB553" t="s">
        <v>541</v>
      </c>
      <c r="BC553" t="s">
        <v>395</v>
      </c>
      <c r="BD553" t="s">
        <v>228</v>
      </c>
      <c r="BE553" t="s">
        <v>522</v>
      </c>
      <c r="BF553" t="s">
        <v>523</v>
      </c>
      <c r="BG553" t="s">
        <v>407</v>
      </c>
      <c r="BH553" t="s">
        <v>396</v>
      </c>
      <c r="BI553" t="s">
        <v>525</v>
      </c>
      <c r="BJ553" t="s">
        <v>228</v>
      </c>
      <c r="BK553" t="s">
        <v>228</v>
      </c>
      <c r="BL553" t="s">
        <v>228</v>
      </c>
      <c r="BM553" t="s">
        <v>228</v>
      </c>
      <c r="BN553" t="s">
        <v>228</v>
      </c>
      <c r="BO553" t="s">
        <v>228</v>
      </c>
      <c r="BP553" t="s">
        <v>228</v>
      </c>
      <c r="BQ553" t="s">
        <v>228</v>
      </c>
      <c r="BR553" t="s">
        <v>228</v>
      </c>
      <c r="BS553" t="s">
        <v>409</v>
      </c>
      <c r="BT553">
        <v>1</v>
      </c>
    </row>
    <row r="554" spans="1:72" x14ac:dyDescent="0.15">
      <c r="A554" s="43">
        <v>2023</v>
      </c>
      <c r="B554" s="8">
        <v>1</v>
      </c>
      <c r="C554" s="8">
        <v>1</v>
      </c>
      <c r="D554" s="8">
        <v>17</v>
      </c>
      <c r="E554" s="8" t="s">
        <v>228</v>
      </c>
      <c r="F554" s="8" t="s">
        <v>57</v>
      </c>
      <c r="G554" s="8">
        <v>2017</v>
      </c>
      <c r="H554" s="8">
        <v>12</v>
      </c>
      <c r="I554" s="8" t="s">
        <v>483</v>
      </c>
      <c r="J554" s="8" t="s">
        <v>228</v>
      </c>
      <c r="K554" s="8">
        <v>1953</v>
      </c>
      <c r="L554" s="17">
        <v>1</v>
      </c>
      <c r="M554" s="8">
        <v>1</v>
      </c>
      <c r="N554" s="8" t="s">
        <v>49</v>
      </c>
      <c r="O554" s="8" t="s">
        <v>283</v>
      </c>
      <c r="P554" s="8" t="s">
        <v>280</v>
      </c>
      <c r="Q554" s="8">
        <v>20000</v>
      </c>
      <c r="R554" s="8" t="s">
        <v>59</v>
      </c>
      <c r="S554" s="8" t="s">
        <v>54</v>
      </c>
      <c r="T554" s="8" t="s">
        <v>69</v>
      </c>
      <c r="U554" s="8" t="s">
        <v>228</v>
      </c>
      <c r="V554" s="8">
        <v>500</v>
      </c>
      <c r="W554" s="8" t="s">
        <v>328</v>
      </c>
      <c r="X554" s="8">
        <v>3000</v>
      </c>
      <c r="Y554" s="8" t="s">
        <v>394</v>
      </c>
      <c r="Z554" s="8">
        <v>100</v>
      </c>
      <c r="AA554" s="8" t="s">
        <v>278</v>
      </c>
      <c r="AB554" s="8" t="s">
        <v>228</v>
      </c>
      <c r="AC554" s="8" t="s">
        <v>228</v>
      </c>
      <c r="AD554" s="8" t="s">
        <v>228</v>
      </c>
      <c r="AE554" s="8" t="s">
        <v>228</v>
      </c>
      <c r="AF554" s="8" t="s">
        <v>228</v>
      </c>
      <c r="AG554" s="8" t="s">
        <v>228</v>
      </c>
      <c r="AH554" s="8" t="s">
        <v>228</v>
      </c>
      <c r="AI554" s="8" t="s">
        <v>228</v>
      </c>
      <c r="AJ554" t="s">
        <v>468</v>
      </c>
      <c r="AK554">
        <v>1</v>
      </c>
      <c r="AL554">
        <v>1</v>
      </c>
      <c r="AM554" t="s">
        <v>84</v>
      </c>
      <c r="AN554" t="s">
        <v>228</v>
      </c>
      <c r="AO554" t="s">
        <v>526</v>
      </c>
      <c r="AP554" t="s">
        <v>108</v>
      </c>
      <c r="AQ554">
        <v>12</v>
      </c>
      <c r="AR554" t="s">
        <v>483</v>
      </c>
      <c r="AS554" t="s">
        <v>228</v>
      </c>
      <c r="AT554" t="s">
        <v>170</v>
      </c>
      <c r="AU554">
        <v>1</v>
      </c>
      <c r="AV554">
        <v>1</v>
      </c>
      <c r="AW554" t="s">
        <v>537</v>
      </c>
      <c r="AX554" t="s">
        <v>283</v>
      </c>
      <c r="AY554" t="s">
        <v>280</v>
      </c>
      <c r="AZ554">
        <v>5</v>
      </c>
      <c r="BA554" t="s">
        <v>533</v>
      </c>
      <c r="BB554" t="s">
        <v>541</v>
      </c>
      <c r="BC554" t="s">
        <v>395</v>
      </c>
      <c r="BD554" t="s">
        <v>228</v>
      </c>
      <c r="BE554" t="s">
        <v>522</v>
      </c>
      <c r="BF554" t="s">
        <v>523</v>
      </c>
      <c r="BG554" t="s">
        <v>407</v>
      </c>
      <c r="BH554" t="s">
        <v>551</v>
      </c>
      <c r="BI554" t="s">
        <v>525</v>
      </c>
      <c r="BJ554" t="s">
        <v>228</v>
      </c>
      <c r="BK554" t="s">
        <v>228</v>
      </c>
      <c r="BL554" t="s">
        <v>228</v>
      </c>
      <c r="BM554" t="s">
        <v>228</v>
      </c>
      <c r="BN554" t="s">
        <v>228</v>
      </c>
      <c r="BO554" t="s">
        <v>228</v>
      </c>
      <c r="BP554" t="s">
        <v>228</v>
      </c>
      <c r="BQ554" t="s">
        <v>228</v>
      </c>
      <c r="BR554" t="s">
        <v>228</v>
      </c>
      <c r="BS554" t="s">
        <v>409</v>
      </c>
      <c r="BT554">
        <v>1</v>
      </c>
    </row>
    <row r="555" spans="1:72" x14ac:dyDescent="0.15">
      <c r="A555" s="43">
        <v>2023</v>
      </c>
      <c r="B555" s="8">
        <v>1</v>
      </c>
      <c r="C555" s="8">
        <v>1</v>
      </c>
      <c r="D555" s="8">
        <v>17</v>
      </c>
      <c r="E555" s="8" t="s">
        <v>228</v>
      </c>
      <c r="F555" s="8" t="s">
        <v>57</v>
      </c>
      <c r="G555" s="8">
        <v>2017</v>
      </c>
      <c r="H555" s="8">
        <v>12</v>
      </c>
      <c r="I555" s="8" t="s">
        <v>483</v>
      </c>
      <c r="J555" s="8" t="s">
        <v>228</v>
      </c>
      <c r="K555" s="8">
        <v>1953</v>
      </c>
      <c r="L555" s="17">
        <v>1</v>
      </c>
      <c r="M555" s="8">
        <v>1</v>
      </c>
      <c r="N555" s="8" t="s">
        <v>49</v>
      </c>
      <c r="O555" s="8" t="s">
        <v>283</v>
      </c>
      <c r="P555" s="8" t="s">
        <v>280</v>
      </c>
      <c r="Q555" s="8">
        <v>20000</v>
      </c>
      <c r="R555" s="8" t="s">
        <v>59</v>
      </c>
      <c r="S555" s="8" t="s">
        <v>54</v>
      </c>
      <c r="T555" s="8" t="s">
        <v>69</v>
      </c>
      <c r="U555" s="8" t="s">
        <v>228</v>
      </c>
      <c r="V555" s="8">
        <v>500</v>
      </c>
      <c r="W555" s="8" t="s">
        <v>328</v>
      </c>
      <c r="X555" s="8">
        <v>3000</v>
      </c>
      <c r="Y555" s="8" t="s">
        <v>271</v>
      </c>
      <c r="Z555" s="8">
        <v>100</v>
      </c>
      <c r="AA555" s="8" t="s">
        <v>278</v>
      </c>
      <c r="AB555" s="8" t="s">
        <v>228</v>
      </c>
      <c r="AC555" s="8" t="s">
        <v>228</v>
      </c>
      <c r="AD555" s="8" t="s">
        <v>228</v>
      </c>
      <c r="AE555" s="8" t="s">
        <v>228</v>
      </c>
      <c r="AF555" s="8" t="s">
        <v>228</v>
      </c>
      <c r="AG555" s="8" t="s">
        <v>228</v>
      </c>
      <c r="AH555" s="8" t="s">
        <v>228</v>
      </c>
      <c r="AI555" s="8" t="s">
        <v>228</v>
      </c>
      <c r="AJ555" t="s">
        <v>468</v>
      </c>
      <c r="AK555">
        <v>1</v>
      </c>
      <c r="AL555">
        <v>1</v>
      </c>
      <c r="AM555" t="s">
        <v>84</v>
      </c>
      <c r="AN555" t="s">
        <v>228</v>
      </c>
      <c r="AO555" t="s">
        <v>526</v>
      </c>
      <c r="AP555" t="s">
        <v>108</v>
      </c>
      <c r="AQ555">
        <v>12</v>
      </c>
      <c r="AR555" t="s">
        <v>483</v>
      </c>
      <c r="AS555" t="s">
        <v>228</v>
      </c>
      <c r="AT555" t="s">
        <v>170</v>
      </c>
      <c r="AU555">
        <v>1</v>
      </c>
      <c r="AV555">
        <v>1</v>
      </c>
      <c r="AW555" t="s">
        <v>537</v>
      </c>
      <c r="AX555" t="s">
        <v>283</v>
      </c>
      <c r="AY555" t="s">
        <v>280</v>
      </c>
      <c r="AZ555">
        <v>5</v>
      </c>
      <c r="BA555" t="s">
        <v>533</v>
      </c>
      <c r="BB555" t="s">
        <v>541</v>
      </c>
      <c r="BC555" t="s">
        <v>395</v>
      </c>
      <c r="BD555" t="s">
        <v>228</v>
      </c>
      <c r="BE555" t="s">
        <v>522</v>
      </c>
      <c r="BF555" t="s">
        <v>523</v>
      </c>
      <c r="BG555" t="s">
        <v>407</v>
      </c>
      <c r="BH555" t="s">
        <v>544</v>
      </c>
      <c r="BI555" t="s">
        <v>525</v>
      </c>
      <c r="BJ555" t="s">
        <v>228</v>
      </c>
      <c r="BK555" t="s">
        <v>228</v>
      </c>
      <c r="BL555" t="s">
        <v>228</v>
      </c>
      <c r="BM555" t="s">
        <v>228</v>
      </c>
      <c r="BN555" t="s">
        <v>228</v>
      </c>
      <c r="BO555" t="s">
        <v>228</v>
      </c>
      <c r="BP555" t="s">
        <v>228</v>
      </c>
      <c r="BQ555" t="s">
        <v>228</v>
      </c>
      <c r="BR555" t="s">
        <v>228</v>
      </c>
      <c r="BS555" t="s">
        <v>409</v>
      </c>
      <c r="BT555">
        <v>0</v>
      </c>
    </row>
    <row r="556" spans="1:72" x14ac:dyDescent="0.15">
      <c r="A556" s="43">
        <v>2023</v>
      </c>
      <c r="B556" s="8">
        <v>1</v>
      </c>
      <c r="C556" s="8">
        <v>1</v>
      </c>
      <c r="D556" s="8">
        <v>16</v>
      </c>
      <c r="E556" s="8" t="s">
        <v>228</v>
      </c>
      <c r="F556" s="8" t="s">
        <v>57</v>
      </c>
      <c r="G556" s="8">
        <v>2017</v>
      </c>
      <c r="H556" s="8">
        <v>12</v>
      </c>
      <c r="I556" s="8" t="s">
        <v>483</v>
      </c>
      <c r="J556" s="8" t="s">
        <v>228</v>
      </c>
      <c r="K556" s="8">
        <v>1953</v>
      </c>
      <c r="L556" s="17">
        <v>1</v>
      </c>
      <c r="M556" s="8">
        <v>1</v>
      </c>
      <c r="N556" s="8" t="s">
        <v>49</v>
      </c>
      <c r="O556" s="8" t="s">
        <v>283</v>
      </c>
      <c r="P556" s="8" t="s">
        <v>280</v>
      </c>
      <c r="Q556" s="8">
        <v>20000</v>
      </c>
      <c r="R556" s="8" t="s">
        <v>59</v>
      </c>
      <c r="S556" s="8" t="s">
        <v>54</v>
      </c>
      <c r="T556" s="8" t="s">
        <v>69</v>
      </c>
      <c r="U556" s="8" t="s">
        <v>228</v>
      </c>
      <c r="V556" s="8">
        <v>500</v>
      </c>
      <c r="W556" s="8" t="s">
        <v>328</v>
      </c>
      <c r="X556" s="8">
        <v>3000</v>
      </c>
      <c r="Y556" s="8" t="s">
        <v>268</v>
      </c>
      <c r="Z556" s="8">
        <v>100</v>
      </c>
      <c r="AA556" s="8" t="s">
        <v>278</v>
      </c>
      <c r="AB556" s="8" t="s">
        <v>228</v>
      </c>
      <c r="AC556" s="8" t="s">
        <v>228</v>
      </c>
      <c r="AD556" s="8" t="s">
        <v>228</v>
      </c>
      <c r="AE556" s="8" t="s">
        <v>228</v>
      </c>
      <c r="AF556" s="8" t="s">
        <v>228</v>
      </c>
      <c r="AG556" s="8" t="s">
        <v>228</v>
      </c>
      <c r="AH556" s="8" t="s">
        <v>228</v>
      </c>
      <c r="AI556" s="8" t="s">
        <v>228</v>
      </c>
      <c r="AJ556" t="s">
        <v>468</v>
      </c>
      <c r="AK556">
        <v>1</v>
      </c>
      <c r="AL556">
        <v>1</v>
      </c>
      <c r="AM556" t="s">
        <v>85</v>
      </c>
      <c r="AN556" t="s">
        <v>228</v>
      </c>
      <c r="AO556" t="s">
        <v>526</v>
      </c>
      <c r="AP556" t="s">
        <v>108</v>
      </c>
      <c r="AQ556">
        <v>12</v>
      </c>
      <c r="AR556" t="s">
        <v>483</v>
      </c>
      <c r="AS556" t="s">
        <v>228</v>
      </c>
      <c r="AT556" t="s">
        <v>170</v>
      </c>
      <c r="AU556">
        <v>1</v>
      </c>
      <c r="AV556">
        <v>1</v>
      </c>
      <c r="AW556" t="s">
        <v>537</v>
      </c>
      <c r="AX556" t="s">
        <v>283</v>
      </c>
      <c r="AY556" t="s">
        <v>280</v>
      </c>
      <c r="AZ556">
        <v>5</v>
      </c>
      <c r="BA556" t="s">
        <v>533</v>
      </c>
      <c r="BB556" t="s">
        <v>541</v>
      </c>
      <c r="BC556" t="s">
        <v>395</v>
      </c>
      <c r="BD556" t="s">
        <v>228</v>
      </c>
      <c r="BE556" t="s">
        <v>522</v>
      </c>
      <c r="BF556" t="s">
        <v>523</v>
      </c>
      <c r="BG556" t="s">
        <v>407</v>
      </c>
      <c r="BH556" t="s">
        <v>396</v>
      </c>
      <c r="BI556" t="s">
        <v>525</v>
      </c>
      <c r="BJ556" t="s">
        <v>228</v>
      </c>
      <c r="BK556" t="s">
        <v>228</v>
      </c>
      <c r="BL556" t="s">
        <v>228</v>
      </c>
      <c r="BM556" t="s">
        <v>228</v>
      </c>
      <c r="BN556" t="s">
        <v>228</v>
      </c>
      <c r="BO556" t="s">
        <v>228</v>
      </c>
      <c r="BP556" t="s">
        <v>228</v>
      </c>
      <c r="BQ556" t="s">
        <v>228</v>
      </c>
      <c r="BR556" t="s">
        <v>228</v>
      </c>
      <c r="BS556" t="s">
        <v>409</v>
      </c>
      <c r="BT556">
        <v>1</v>
      </c>
    </row>
    <row r="557" spans="1:72" x14ac:dyDescent="0.15">
      <c r="A557" s="43">
        <v>2023</v>
      </c>
      <c r="B557" s="8">
        <v>1</v>
      </c>
      <c r="C557" s="8">
        <v>1</v>
      </c>
      <c r="D557" s="8">
        <v>16</v>
      </c>
      <c r="E557" s="8" t="s">
        <v>228</v>
      </c>
      <c r="F557" s="8" t="s">
        <v>57</v>
      </c>
      <c r="G557" s="8">
        <v>2017</v>
      </c>
      <c r="H557" s="8">
        <v>12</v>
      </c>
      <c r="I557" s="8" t="s">
        <v>483</v>
      </c>
      <c r="J557" s="8" t="s">
        <v>228</v>
      </c>
      <c r="K557" s="8">
        <v>1953</v>
      </c>
      <c r="L557" s="17">
        <v>1</v>
      </c>
      <c r="M557" s="8">
        <v>1</v>
      </c>
      <c r="N557" s="8" t="s">
        <v>49</v>
      </c>
      <c r="O557" s="8" t="s">
        <v>283</v>
      </c>
      <c r="P557" s="8" t="s">
        <v>280</v>
      </c>
      <c r="Q557" s="8">
        <v>20000</v>
      </c>
      <c r="R557" s="8" t="s">
        <v>59</v>
      </c>
      <c r="S557" s="8" t="s">
        <v>54</v>
      </c>
      <c r="T557" s="8" t="s">
        <v>69</v>
      </c>
      <c r="U557" s="8" t="s">
        <v>228</v>
      </c>
      <c r="V557" s="8">
        <v>500</v>
      </c>
      <c r="W557" s="8" t="s">
        <v>328</v>
      </c>
      <c r="X557" s="8">
        <v>3000</v>
      </c>
      <c r="Y557" s="8" t="s">
        <v>394</v>
      </c>
      <c r="Z557" s="8">
        <v>100</v>
      </c>
      <c r="AA557" s="8" t="s">
        <v>278</v>
      </c>
      <c r="AB557" s="8" t="s">
        <v>228</v>
      </c>
      <c r="AC557" s="8" t="s">
        <v>228</v>
      </c>
      <c r="AD557" s="8" t="s">
        <v>228</v>
      </c>
      <c r="AE557" s="8" t="s">
        <v>228</v>
      </c>
      <c r="AF557" s="8" t="s">
        <v>228</v>
      </c>
      <c r="AG557" s="8" t="s">
        <v>228</v>
      </c>
      <c r="AH557" s="8" t="s">
        <v>228</v>
      </c>
      <c r="AI557" s="8" t="s">
        <v>228</v>
      </c>
      <c r="AJ557" t="s">
        <v>468</v>
      </c>
      <c r="AK557">
        <v>1</v>
      </c>
      <c r="AL557">
        <v>1</v>
      </c>
      <c r="AM557" t="s">
        <v>85</v>
      </c>
      <c r="AN557" t="s">
        <v>228</v>
      </c>
      <c r="AO557" t="s">
        <v>526</v>
      </c>
      <c r="AP557" t="s">
        <v>108</v>
      </c>
      <c r="AQ557">
        <v>12</v>
      </c>
      <c r="AR557" t="s">
        <v>483</v>
      </c>
      <c r="AS557" t="s">
        <v>228</v>
      </c>
      <c r="AT557" t="s">
        <v>170</v>
      </c>
      <c r="AU557">
        <v>1</v>
      </c>
      <c r="AV557">
        <v>1</v>
      </c>
      <c r="AW557" t="s">
        <v>537</v>
      </c>
      <c r="AX557" t="s">
        <v>283</v>
      </c>
      <c r="AY557" t="s">
        <v>280</v>
      </c>
      <c r="AZ557">
        <v>5</v>
      </c>
      <c r="BA557" t="s">
        <v>533</v>
      </c>
      <c r="BB557" t="s">
        <v>541</v>
      </c>
      <c r="BC557" t="s">
        <v>395</v>
      </c>
      <c r="BD557" t="s">
        <v>228</v>
      </c>
      <c r="BE557" t="s">
        <v>522</v>
      </c>
      <c r="BF557" t="s">
        <v>523</v>
      </c>
      <c r="BG557" t="s">
        <v>407</v>
      </c>
      <c r="BH557" t="s">
        <v>551</v>
      </c>
      <c r="BI557" t="s">
        <v>525</v>
      </c>
      <c r="BJ557" t="s">
        <v>228</v>
      </c>
      <c r="BK557" t="s">
        <v>228</v>
      </c>
      <c r="BL557" t="s">
        <v>228</v>
      </c>
      <c r="BM557" t="s">
        <v>228</v>
      </c>
      <c r="BN557" t="s">
        <v>228</v>
      </c>
      <c r="BO557" t="s">
        <v>228</v>
      </c>
      <c r="BP557" t="s">
        <v>228</v>
      </c>
      <c r="BQ557" t="s">
        <v>228</v>
      </c>
      <c r="BR557" t="s">
        <v>228</v>
      </c>
      <c r="BS557" t="s">
        <v>409</v>
      </c>
      <c r="BT557">
        <v>1</v>
      </c>
    </row>
    <row r="558" spans="1:72" x14ac:dyDescent="0.15">
      <c r="A558" s="43">
        <v>2023</v>
      </c>
      <c r="B558" s="8">
        <v>1</v>
      </c>
      <c r="C558" s="8">
        <v>1</v>
      </c>
      <c r="D558" s="8">
        <v>16</v>
      </c>
      <c r="E558" s="8" t="s">
        <v>228</v>
      </c>
      <c r="F558" s="8" t="s">
        <v>57</v>
      </c>
      <c r="G558" s="8">
        <v>2017</v>
      </c>
      <c r="H558" s="8">
        <v>12</v>
      </c>
      <c r="I558" s="8" t="s">
        <v>483</v>
      </c>
      <c r="J558" s="8" t="s">
        <v>228</v>
      </c>
      <c r="K558" s="8">
        <v>1953</v>
      </c>
      <c r="L558" s="17">
        <v>1</v>
      </c>
      <c r="M558" s="8">
        <v>1</v>
      </c>
      <c r="N558" s="8" t="s">
        <v>49</v>
      </c>
      <c r="O558" s="8" t="s">
        <v>283</v>
      </c>
      <c r="P558" s="8" t="s">
        <v>280</v>
      </c>
      <c r="Q558" s="8">
        <v>20000</v>
      </c>
      <c r="R558" s="8" t="s">
        <v>59</v>
      </c>
      <c r="S558" s="8" t="s">
        <v>54</v>
      </c>
      <c r="T558" s="8" t="s">
        <v>69</v>
      </c>
      <c r="U558" s="8" t="s">
        <v>228</v>
      </c>
      <c r="V558" s="8">
        <v>500</v>
      </c>
      <c r="W558" s="8" t="s">
        <v>328</v>
      </c>
      <c r="X558" s="8">
        <v>3000</v>
      </c>
      <c r="Y558" s="8" t="s">
        <v>271</v>
      </c>
      <c r="Z558" s="8">
        <v>100</v>
      </c>
      <c r="AA558" s="8" t="s">
        <v>278</v>
      </c>
      <c r="AB558" s="8" t="s">
        <v>228</v>
      </c>
      <c r="AC558" s="8" t="s">
        <v>228</v>
      </c>
      <c r="AD558" s="8" t="s">
        <v>228</v>
      </c>
      <c r="AE558" s="8" t="s">
        <v>228</v>
      </c>
      <c r="AF558" s="8" t="s">
        <v>228</v>
      </c>
      <c r="AG558" s="8" t="s">
        <v>228</v>
      </c>
      <c r="AH558" s="8" t="s">
        <v>228</v>
      </c>
      <c r="AI558" s="8" t="s">
        <v>228</v>
      </c>
      <c r="AJ558" t="s">
        <v>468</v>
      </c>
      <c r="AK558">
        <v>1</v>
      </c>
      <c r="AL558">
        <v>1</v>
      </c>
      <c r="AM558" t="s">
        <v>85</v>
      </c>
      <c r="AN558" t="s">
        <v>228</v>
      </c>
      <c r="AO558" t="s">
        <v>526</v>
      </c>
      <c r="AP558" t="s">
        <v>108</v>
      </c>
      <c r="AQ558">
        <v>12</v>
      </c>
      <c r="AR558" t="s">
        <v>483</v>
      </c>
      <c r="AS558" t="s">
        <v>228</v>
      </c>
      <c r="AT558" t="s">
        <v>170</v>
      </c>
      <c r="AU558">
        <v>1</v>
      </c>
      <c r="AV558">
        <v>1</v>
      </c>
      <c r="AW558" t="s">
        <v>537</v>
      </c>
      <c r="AX558" t="s">
        <v>283</v>
      </c>
      <c r="AY558" t="s">
        <v>280</v>
      </c>
      <c r="AZ558">
        <v>5</v>
      </c>
      <c r="BA558" t="s">
        <v>533</v>
      </c>
      <c r="BB558" t="s">
        <v>541</v>
      </c>
      <c r="BC558" t="s">
        <v>395</v>
      </c>
      <c r="BD558" t="s">
        <v>228</v>
      </c>
      <c r="BE558" t="s">
        <v>522</v>
      </c>
      <c r="BF558" t="s">
        <v>523</v>
      </c>
      <c r="BG558" t="s">
        <v>407</v>
      </c>
      <c r="BH558" t="s">
        <v>544</v>
      </c>
      <c r="BI558" t="s">
        <v>525</v>
      </c>
      <c r="BJ558" t="s">
        <v>228</v>
      </c>
      <c r="BK558" t="s">
        <v>228</v>
      </c>
      <c r="BL558" t="s">
        <v>228</v>
      </c>
      <c r="BM558" t="s">
        <v>228</v>
      </c>
      <c r="BN558" t="s">
        <v>228</v>
      </c>
      <c r="BO558" t="s">
        <v>228</v>
      </c>
      <c r="BP558" t="s">
        <v>228</v>
      </c>
      <c r="BQ558" t="s">
        <v>228</v>
      </c>
      <c r="BR558" t="s">
        <v>228</v>
      </c>
      <c r="BS558" t="s">
        <v>409</v>
      </c>
      <c r="BT558">
        <v>0</v>
      </c>
    </row>
    <row r="559" spans="1:72" x14ac:dyDescent="0.15">
      <c r="A559" s="43">
        <v>2023</v>
      </c>
      <c r="B559" s="8">
        <v>1</v>
      </c>
      <c r="C559" s="8">
        <v>1</v>
      </c>
      <c r="D559" s="8">
        <v>15</v>
      </c>
      <c r="E559" s="8" t="s">
        <v>228</v>
      </c>
      <c r="F559" s="8" t="s">
        <v>57</v>
      </c>
      <c r="G559" s="8">
        <v>2017</v>
      </c>
      <c r="H559" s="8">
        <v>12</v>
      </c>
      <c r="I559" s="8" t="s">
        <v>483</v>
      </c>
      <c r="J559" s="8" t="s">
        <v>228</v>
      </c>
      <c r="K559" s="8">
        <v>1953</v>
      </c>
      <c r="L559" s="17">
        <v>1</v>
      </c>
      <c r="M559" s="8">
        <v>1</v>
      </c>
      <c r="N559" s="8" t="s">
        <v>49</v>
      </c>
      <c r="O559" s="8" t="s">
        <v>283</v>
      </c>
      <c r="P559" s="8" t="s">
        <v>280</v>
      </c>
      <c r="Q559" s="8">
        <v>20000</v>
      </c>
      <c r="R559" s="8" t="s">
        <v>59</v>
      </c>
      <c r="S559" s="8" t="s">
        <v>54</v>
      </c>
      <c r="T559" s="8" t="s">
        <v>69</v>
      </c>
      <c r="U559" s="8" t="s">
        <v>228</v>
      </c>
      <c r="V559" s="8">
        <v>500</v>
      </c>
      <c r="W559" s="8" t="s">
        <v>328</v>
      </c>
      <c r="X559" s="8">
        <v>3000</v>
      </c>
      <c r="Y559" s="8" t="s">
        <v>268</v>
      </c>
      <c r="Z559" s="8">
        <v>100</v>
      </c>
      <c r="AA559" s="8" t="s">
        <v>278</v>
      </c>
      <c r="AB559" s="8" t="s">
        <v>228</v>
      </c>
      <c r="AC559" s="8" t="s">
        <v>228</v>
      </c>
      <c r="AD559" s="8" t="s">
        <v>228</v>
      </c>
      <c r="AE559" s="8" t="s">
        <v>228</v>
      </c>
      <c r="AF559" s="8" t="s">
        <v>228</v>
      </c>
      <c r="AG559" s="8" t="s">
        <v>228</v>
      </c>
      <c r="AH559" s="8" t="s">
        <v>228</v>
      </c>
      <c r="AI559" s="8" t="s">
        <v>228</v>
      </c>
      <c r="AJ559" t="s">
        <v>468</v>
      </c>
      <c r="AK559">
        <v>1</v>
      </c>
      <c r="AL559">
        <v>1</v>
      </c>
      <c r="AM559" t="s">
        <v>86</v>
      </c>
      <c r="AN559" t="s">
        <v>228</v>
      </c>
      <c r="AO559" t="s">
        <v>526</v>
      </c>
      <c r="AP559" t="s">
        <v>108</v>
      </c>
      <c r="AQ559">
        <v>12</v>
      </c>
      <c r="AR559" t="s">
        <v>483</v>
      </c>
      <c r="AS559" t="s">
        <v>228</v>
      </c>
      <c r="AT559" t="s">
        <v>170</v>
      </c>
      <c r="AU559">
        <v>1</v>
      </c>
      <c r="AV559">
        <v>1</v>
      </c>
      <c r="AW559" t="s">
        <v>537</v>
      </c>
      <c r="AX559" t="s">
        <v>283</v>
      </c>
      <c r="AY559" t="s">
        <v>280</v>
      </c>
      <c r="AZ559">
        <v>5</v>
      </c>
      <c r="BA559" t="s">
        <v>533</v>
      </c>
      <c r="BB559" t="s">
        <v>541</v>
      </c>
      <c r="BC559" t="s">
        <v>395</v>
      </c>
      <c r="BD559" t="s">
        <v>228</v>
      </c>
      <c r="BE559" t="s">
        <v>522</v>
      </c>
      <c r="BF559" t="s">
        <v>523</v>
      </c>
      <c r="BG559" t="s">
        <v>407</v>
      </c>
      <c r="BH559" t="s">
        <v>396</v>
      </c>
      <c r="BI559" t="s">
        <v>525</v>
      </c>
      <c r="BJ559" t="s">
        <v>228</v>
      </c>
      <c r="BK559" t="s">
        <v>228</v>
      </c>
      <c r="BL559" t="s">
        <v>228</v>
      </c>
      <c r="BM559" t="s">
        <v>228</v>
      </c>
      <c r="BN559" t="s">
        <v>228</v>
      </c>
      <c r="BO559" t="s">
        <v>228</v>
      </c>
      <c r="BP559" t="s">
        <v>228</v>
      </c>
      <c r="BQ559" t="s">
        <v>228</v>
      </c>
      <c r="BR559" t="s">
        <v>228</v>
      </c>
      <c r="BS559" t="s">
        <v>409</v>
      </c>
      <c r="BT559">
        <v>1</v>
      </c>
    </row>
    <row r="560" spans="1:72" x14ac:dyDescent="0.15">
      <c r="A560" s="43">
        <v>2023</v>
      </c>
      <c r="B560" s="8">
        <v>1</v>
      </c>
      <c r="C560" s="8">
        <v>1</v>
      </c>
      <c r="D560" s="8">
        <v>15</v>
      </c>
      <c r="E560" s="8" t="s">
        <v>228</v>
      </c>
      <c r="F560" s="8" t="s">
        <v>57</v>
      </c>
      <c r="G560" s="8">
        <v>2017</v>
      </c>
      <c r="H560" s="8">
        <v>12</v>
      </c>
      <c r="I560" s="8" t="s">
        <v>483</v>
      </c>
      <c r="J560" s="8" t="s">
        <v>228</v>
      </c>
      <c r="K560" s="8">
        <v>1953</v>
      </c>
      <c r="L560" s="17">
        <v>1</v>
      </c>
      <c r="M560" s="8">
        <v>1</v>
      </c>
      <c r="N560" s="8" t="s">
        <v>49</v>
      </c>
      <c r="O560" s="8" t="s">
        <v>283</v>
      </c>
      <c r="P560" s="8" t="s">
        <v>280</v>
      </c>
      <c r="Q560" s="8">
        <v>20000</v>
      </c>
      <c r="R560" s="8" t="s">
        <v>59</v>
      </c>
      <c r="S560" s="8" t="s">
        <v>54</v>
      </c>
      <c r="T560" s="8" t="s">
        <v>69</v>
      </c>
      <c r="U560" s="8" t="s">
        <v>228</v>
      </c>
      <c r="V560" s="8">
        <v>500</v>
      </c>
      <c r="W560" s="8" t="s">
        <v>328</v>
      </c>
      <c r="X560" s="8">
        <v>3000</v>
      </c>
      <c r="Y560" s="8" t="s">
        <v>394</v>
      </c>
      <c r="Z560" s="8">
        <v>100</v>
      </c>
      <c r="AA560" s="8" t="s">
        <v>278</v>
      </c>
      <c r="AB560" s="8" t="s">
        <v>228</v>
      </c>
      <c r="AC560" s="8" t="s">
        <v>228</v>
      </c>
      <c r="AD560" s="8" t="s">
        <v>228</v>
      </c>
      <c r="AE560" s="8" t="s">
        <v>228</v>
      </c>
      <c r="AF560" s="8" t="s">
        <v>228</v>
      </c>
      <c r="AG560" s="8" t="s">
        <v>228</v>
      </c>
      <c r="AH560" s="8" t="s">
        <v>228</v>
      </c>
      <c r="AI560" s="8" t="s">
        <v>228</v>
      </c>
      <c r="AJ560" t="s">
        <v>468</v>
      </c>
      <c r="AK560">
        <v>1</v>
      </c>
      <c r="AL560">
        <v>1</v>
      </c>
      <c r="AM560" t="s">
        <v>86</v>
      </c>
      <c r="AN560" t="s">
        <v>228</v>
      </c>
      <c r="AO560" t="s">
        <v>526</v>
      </c>
      <c r="AP560" t="s">
        <v>108</v>
      </c>
      <c r="AQ560">
        <v>12</v>
      </c>
      <c r="AR560" t="s">
        <v>483</v>
      </c>
      <c r="AS560" t="s">
        <v>228</v>
      </c>
      <c r="AT560" t="s">
        <v>170</v>
      </c>
      <c r="AU560">
        <v>1</v>
      </c>
      <c r="AV560">
        <v>1</v>
      </c>
      <c r="AW560" t="s">
        <v>537</v>
      </c>
      <c r="AX560" t="s">
        <v>283</v>
      </c>
      <c r="AY560" t="s">
        <v>280</v>
      </c>
      <c r="AZ560">
        <v>5</v>
      </c>
      <c r="BA560" t="s">
        <v>533</v>
      </c>
      <c r="BB560" t="s">
        <v>541</v>
      </c>
      <c r="BC560" t="s">
        <v>395</v>
      </c>
      <c r="BD560" t="s">
        <v>228</v>
      </c>
      <c r="BE560" t="s">
        <v>522</v>
      </c>
      <c r="BF560" t="s">
        <v>523</v>
      </c>
      <c r="BG560" t="s">
        <v>407</v>
      </c>
      <c r="BH560" t="s">
        <v>551</v>
      </c>
      <c r="BI560" t="s">
        <v>525</v>
      </c>
      <c r="BJ560" t="s">
        <v>228</v>
      </c>
      <c r="BK560" t="s">
        <v>228</v>
      </c>
      <c r="BL560" t="s">
        <v>228</v>
      </c>
      <c r="BM560" t="s">
        <v>228</v>
      </c>
      <c r="BN560" t="s">
        <v>228</v>
      </c>
      <c r="BO560" t="s">
        <v>228</v>
      </c>
      <c r="BP560" t="s">
        <v>228</v>
      </c>
      <c r="BQ560" t="s">
        <v>228</v>
      </c>
      <c r="BR560" t="s">
        <v>228</v>
      </c>
      <c r="BS560" t="s">
        <v>409</v>
      </c>
      <c r="BT560">
        <v>1</v>
      </c>
    </row>
    <row r="561" spans="1:72" x14ac:dyDescent="0.15">
      <c r="A561" s="43">
        <v>2023</v>
      </c>
      <c r="B561" s="8">
        <v>1</v>
      </c>
      <c r="C561" s="8">
        <v>1</v>
      </c>
      <c r="D561" s="8">
        <v>15</v>
      </c>
      <c r="E561" s="8" t="s">
        <v>228</v>
      </c>
      <c r="F561" s="8" t="s">
        <v>57</v>
      </c>
      <c r="G561" s="8">
        <v>2017</v>
      </c>
      <c r="H561" s="8">
        <v>12</v>
      </c>
      <c r="I561" s="8" t="s">
        <v>483</v>
      </c>
      <c r="J561" s="8" t="s">
        <v>228</v>
      </c>
      <c r="K561" s="8">
        <v>1953</v>
      </c>
      <c r="L561" s="17">
        <v>1</v>
      </c>
      <c r="M561" s="8">
        <v>1</v>
      </c>
      <c r="N561" s="8" t="s">
        <v>49</v>
      </c>
      <c r="O561" s="8" t="s">
        <v>283</v>
      </c>
      <c r="P561" s="8" t="s">
        <v>280</v>
      </c>
      <c r="Q561" s="8">
        <v>20000</v>
      </c>
      <c r="R561" s="8" t="s">
        <v>59</v>
      </c>
      <c r="S561" s="8" t="s">
        <v>54</v>
      </c>
      <c r="T561" s="8" t="s">
        <v>69</v>
      </c>
      <c r="U561" s="8" t="s">
        <v>228</v>
      </c>
      <c r="V561" s="8">
        <v>500</v>
      </c>
      <c r="W561" s="8" t="s">
        <v>328</v>
      </c>
      <c r="X561" s="8">
        <v>3000</v>
      </c>
      <c r="Y561" s="8" t="s">
        <v>271</v>
      </c>
      <c r="Z561" s="8">
        <v>100</v>
      </c>
      <c r="AA561" s="8" t="s">
        <v>278</v>
      </c>
      <c r="AB561" s="8" t="s">
        <v>228</v>
      </c>
      <c r="AC561" s="8" t="s">
        <v>228</v>
      </c>
      <c r="AD561" s="8" t="s">
        <v>228</v>
      </c>
      <c r="AE561" s="8" t="s">
        <v>228</v>
      </c>
      <c r="AF561" s="8" t="s">
        <v>228</v>
      </c>
      <c r="AG561" s="8" t="s">
        <v>228</v>
      </c>
      <c r="AH561" s="8" t="s">
        <v>228</v>
      </c>
      <c r="AI561" s="8" t="s">
        <v>228</v>
      </c>
      <c r="AJ561" t="s">
        <v>468</v>
      </c>
      <c r="AK561">
        <v>1</v>
      </c>
      <c r="AL561">
        <v>1</v>
      </c>
      <c r="AM561" t="s">
        <v>86</v>
      </c>
      <c r="AN561" t="s">
        <v>228</v>
      </c>
      <c r="AO561" t="s">
        <v>526</v>
      </c>
      <c r="AP561" t="s">
        <v>108</v>
      </c>
      <c r="AQ561">
        <v>12</v>
      </c>
      <c r="AR561" t="s">
        <v>483</v>
      </c>
      <c r="AS561" t="s">
        <v>228</v>
      </c>
      <c r="AT561" t="s">
        <v>170</v>
      </c>
      <c r="AU561">
        <v>1</v>
      </c>
      <c r="AV561">
        <v>1</v>
      </c>
      <c r="AW561" t="s">
        <v>537</v>
      </c>
      <c r="AX561" t="s">
        <v>283</v>
      </c>
      <c r="AY561" t="s">
        <v>280</v>
      </c>
      <c r="AZ561">
        <v>5</v>
      </c>
      <c r="BA561" t="s">
        <v>533</v>
      </c>
      <c r="BB561" t="s">
        <v>541</v>
      </c>
      <c r="BC561" t="s">
        <v>395</v>
      </c>
      <c r="BD561" t="s">
        <v>228</v>
      </c>
      <c r="BE561" t="s">
        <v>522</v>
      </c>
      <c r="BF561" t="s">
        <v>523</v>
      </c>
      <c r="BG561" t="s">
        <v>407</v>
      </c>
      <c r="BH561" t="s">
        <v>544</v>
      </c>
      <c r="BI561" t="s">
        <v>525</v>
      </c>
      <c r="BJ561" t="s">
        <v>228</v>
      </c>
      <c r="BK561" t="s">
        <v>228</v>
      </c>
      <c r="BL561" t="s">
        <v>228</v>
      </c>
      <c r="BM561" t="s">
        <v>228</v>
      </c>
      <c r="BN561" t="s">
        <v>228</v>
      </c>
      <c r="BO561" t="s">
        <v>228</v>
      </c>
      <c r="BP561" t="s">
        <v>228</v>
      </c>
      <c r="BQ561" t="s">
        <v>228</v>
      </c>
      <c r="BR561" t="s">
        <v>228</v>
      </c>
      <c r="BS561" t="s">
        <v>409</v>
      </c>
      <c r="BT561">
        <v>0</v>
      </c>
    </row>
    <row r="562" spans="1:72" x14ac:dyDescent="0.15">
      <c r="A562" s="43">
        <v>2023</v>
      </c>
      <c r="B562" s="8">
        <v>1</v>
      </c>
      <c r="C562" s="8">
        <v>1</v>
      </c>
      <c r="D562" s="8">
        <v>14</v>
      </c>
      <c r="E562" s="8" t="s">
        <v>228</v>
      </c>
      <c r="F562" s="8" t="s">
        <v>57</v>
      </c>
      <c r="G562" s="8">
        <v>2017</v>
      </c>
      <c r="H562" s="8">
        <v>12</v>
      </c>
      <c r="I562" s="8" t="s">
        <v>483</v>
      </c>
      <c r="J562" s="8" t="s">
        <v>228</v>
      </c>
      <c r="K562" s="8">
        <v>1953</v>
      </c>
      <c r="L562" s="17">
        <v>1</v>
      </c>
      <c r="M562" s="8">
        <v>1</v>
      </c>
      <c r="N562" s="8" t="s">
        <v>49</v>
      </c>
      <c r="O562" s="8" t="s">
        <v>283</v>
      </c>
      <c r="P562" s="8" t="s">
        <v>280</v>
      </c>
      <c r="Q562" s="8">
        <v>20000</v>
      </c>
      <c r="R562" s="8" t="s">
        <v>59</v>
      </c>
      <c r="S562" s="8" t="s">
        <v>54</v>
      </c>
      <c r="T562" s="8" t="s">
        <v>69</v>
      </c>
      <c r="U562" s="8" t="s">
        <v>228</v>
      </c>
      <c r="V562" s="8">
        <v>500</v>
      </c>
      <c r="W562" s="8" t="s">
        <v>328</v>
      </c>
      <c r="X562" s="8">
        <v>3000</v>
      </c>
      <c r="Y562" s="8" t="s">
        <v>268</v>
      </c>
      <c r="Z562" s="8">
        <v>100</v>
      </c>
      <c r="AA562" s="8" t="s">
        <v>278</v>
      </c>
      <c r="AB562" s="8" t="s">
        <v>228</v>
      </c>
      <c r="AC562" s="8" t="s">
        <v>228</v>
      </c>
      <c r="AD562" s="8" t="s">
        <v>228</v>
      </c>
      <c r="AE562" s="8" t="s">
        <v>228</v>
      </c>
      <c r="AF562" s="8" t="s">
        <v>228</v>
      </c>
      <c r="AG562" s="8" t="s">
        <v>228</v>
      </c>
      <c r="AH562" s="8" t="s">
        <v>228</v>
      </c>
      <c r="AI562" s="8" t="s">
        <v>228</v>
      </c>
      <c r="AJ562" t="s">
        <v>468</v>
      </c>
      <c r="AK562">
        <v>1</v>
      </c>
      <c r="AL562">
        <v>1</v>
      </c>
      <c r="AM562" t="s">
        <v>87</v>
      </c>
      <c r="AN562" t="s">
        <v>228</v>
      </c>
      <c r="AO562" t="s">
        <v>526</v>
      </c>
      <c r="AP562" t="s">
        <v>108</v>
      </c>
      <c r="AQ562">
        <v>12</v>
      </c>
      <c r="AR562" t="s">
        <v>483</v>
      </c>
      <c r="AS562" t="s">
        <v>228</v>
      </c>
      <c r="AT562" t="s">
        <v>170</v>
      </c>
      <c r="AU562">
        <v>1</v>
      </c>
      <c r="AV562">
        <v>1</v>
      </c>
      <c r="AW562" t="s">
        <v>537</v>
      </c>
      <c r="AX562" t="s">
        <v>283</v>
      </c>
      <c r="AY562" t="s">
        <v>280</v>
      </c>
      <c r="AZ562">
        <v>5</v>
      </c>
      <c r="BA562" t="s">
        <v>533</v>
      </c>
      <c r="BB562" t="s">
        <v>541</v>
      </c>
      <c r="BC562" t="s">
        <v>395</v>
      </c>
      <c r="BD562" t="s">
        <v>228</v>
      </c>
      <c r="BE562" t="s">
        <v>522</v>
      </c>
      <c r="BF562" t="s">
        <v>523</v>
      </c>
      <c r="BG562" t="s">
        <v>407</v>
      </c>
      <c r="BH562" t="s">
        <v>396</v>
      </c>
      <c r="BI562" t="s">
        <v>525</v>
      </c>
      <c r="BJ562" t="s">
        <v>228</v>
      </c>
      <c r="BK562" t="s">
        <v>228</v>
      </c>
      <c r="BL562" t="s">
        <v>228</v>
      </c>
      <c r="BM562" t="s">
        <v>228</v>
      </c>
      <c r="BN562" t="s">
        <v>228</v>
      </c>
      <c r="BO562" t="s">
        <v>228</v>
      </c>
      <c r="BP562" t="s">
        <v>228</v>
      </c>
      <c r="BQ562" t="s">
        <v>228</v>
      </c>
      <c r="BR562" t="s">
        <v>228</v>
      </c>
      <c r="BS562" t="s">
        <v>409</v>
      </c>
      <c r="BT562">
        <v>1</v>
      </c>
    </row>
    <row r="563" spans="1:72" x14ac:dyDescent="0.15">
      <c r="A563" s="43">
        <v>2023</v>
      </c>
      <c r="B563" s="8">
        <v>1</v>
      </c>
      <c r="C563" s="8">
        <v>1</v>
      </c>
      <c r="D563" s="8">
        <v>14</v>
      </c>
      <c r="E563" s="8" t="s">
        <v>228</v>
      </c>
      <c r="F563" s="8" t="s">
        <v>57</v>
      </c>
      <c r="G563" s="8">
        <v>2017</v>
      </c>
      <c r="H563" s="8">
        <v>12</v>
      </c>
      <c r="I563" s="8" t="s">
        <v>483</v>
      </c>
      <c r="J563" s="8" t="s">
        <v>228</v>
      </c>
      <c r="K563" s="8">
        <v>1953</v>
      </c>
      <c r="L563" s="17">
        <v>1</v>
      </c>
      <c r="M563" s="8">
        <v>1</v>
      </c>
      <c r="N563" s="8" t="s">
        <v>49</v>
      </c>
      <c r="O563" s="8" t="s">
        <v>283</v>
      </c>
      <c r="P563" s="8" t="s">
        <v>280</v>
      </c>
      <c r="Q563" s="8">
        <v>20000</v>
      </c>
      <c r="R563" s="8" t="s">
        <v>59</v>
      </c>
      <c r="S563" s="8" t="s">
        <v>54</v>
      </c>
      <c r="T563" s="8" t="s">
        <v>69</v>
      </c>
      <c r="U563" s="8" t="s">
        <v>228</v>
      </c>
      <c r="V563" s="8">
        <v>500</v>
      </c>
      <c r="W563" s="8" t="s">
        <v>328</v>
      </c>
      <c r="X563" s="8">
        <v>3000</v>
      </c>
      <c r="Y563" s="8" t="s">
        <v>394</v>
      </c>
      <c r="Z563" s="8">
        <v>100</v>
      </c>
      <c r="AA563" s="8" t="s">
        <v>278</v>
      </c>
      <c r="AB563" s="8" t="s">
        <v>228</v>
      </c>
      <c r="AC563" s="8" t="s">
        <v>228</v>
      </c>
      <c r="AD563" s="8" t="s">
        <v>228</v>
      </c>
      <c r="AE563" s="8" t="s">
        <v>228</v>
      </c>
      <c r="AF563" s="8" t="s">
        <v>228</v>
      </c>
      <c r="AG563" s="8" t="s">
        <v>228</v>
      </c>
      <c r="AH563" s="8" t="s">
        <v>228</v>
      </c>
      <c r="AI563" s="8" t="s">
        <v>228</v>
      </c>
      <c r="AJ563" t="s">
        <v>468</v>
      </c>
      <c r="AK563">
        <v>1</v>
      </c>
      <c r="AL563">
        <v>1</v>
      </c>
      <c r="AM563" t="s">
        <v>87</v>
      </c>
      <c r="AN563" t="s">
        <v>228</v>
      </c>
      <c r="AO563" t="s">
        <v>526</v>
      </c>
      <c r="AP563" t="s">
        <v>108</v>
      </c>
      <c r="AQ563">
        <v>12</v>
      </c>
      <c r="AR563" t="s">
        <v>483</v>
      </c>
      <c r="AS563" t="s">
        <v>228</v>
      </c>
      <c r="AT563" t="s">
        <v>170</v>
      </c>
      <c r="AU563">
        <v>1</v>
      </c>
      <c r="AV563">
        <v>1</v>
      </c>
      <c r="AW563" t="s">
        <v>537</v>
      </c>
      <c r="AX563" t="s">
        <v>283</v>
      </c>
      <c r="AY563" t="s">
        <v>280</v>
      </c>
      <c r="AZ563">
        <v>5</v>
      </c>
      <c r="BA563" t="s">
        <v>533</v>
      </c>
      <c r="BB563" t="s">
        <v>541</v>
      </c>
      <c r="BC563" t="s">
        <v>395</v>
      </c>
      <c r="BD563" t="s">
        <v>228</v>
      </c>
      <c r="BE563" t="s">
        <v>522</v>
      </c>
      <c r="BF563" t="s">
        <v>523</v>
      </c>
      <c r="BG563" t="s">
        <v>407</v>
      </c>
      <c r="BH563" t="s">
        <v>551</v>
      </c>
      <c r="BI563" t="s">
        <v>525</v>
      </c>
      <c r="BJ563" t="s">
        <v>228</v>
      </c>
      <c r="BK563" t="s">
        <v>228</v>
      </c>
      <c r="BL563" t="s">
        <v>228</v>
      </c>
      <c r="BM563" t="s">
        <v>228</v>
      </c>
      <c r="BN563" t="s">
        <v>228</v>
      </c>
      <c r="BO563" t="s">
        <v>228</v>
      </c>
      <c r="BP563" t="s">
        <v>228</v>
      </c>
      <c r="BQ563" t="s">
        <v>228</v>
      </c>
      <c r="BR563" t="s">
        <v>228</v>
      </c>
      <c r="BS563" t="s">
        <v>409</v>
      </c>
      <c r="BT563">
        <v>1</v>
      </c>
    </row>
    <row r="564" spans="1:72" x14ac:dyDescent="0.15">
      <c r="A564" s="43">
        <v>2023</v>
      </c>
      <c r="B564" s="8">
        <v>1</v>
      </c>
      <c r="C564" s="8">
        <v>1</v>
      </c>
      <c r="D564" s="8">
        <v>14</v>
      </c>
      <c r="E564" s="8" t="s">
        <v>228</v>
      </c>
      <c r="F564" s="8" t="s">
        <v>57</v>
      </c>
      <c r="G564" s="8">
        <v>2017</v>
      </c>
      <c r="H564" s="8">
        <v>12</v>
      </c>
      <c r="I564" s="8" t="s">
        <v>483</v>
      </c>
      <c r="J564" s="8" t="s">
        <v>228</v>
      </c>
      <c r="K564" s="8">
        <v>1953</v>
      </c>
      <c r="L564" s="17">
        <v>1</v>
      </c>
      <c r="M564" s="8">
        <v>1</v>
      </c>
      <c r="N564" s="8" t="s">
        <v>49</v>
      </c>
      <c r="O564" s="8" t="s">
        <v>283</v>
      </c>
      <c r="P564" s="8" t="s">
        <v>280</v>
      </c>
      <c r="Q564" s="8">
        <v>20000</v>
      </c>
      <c r="R564" s="8" t="s">
        <v>59</v>
      </c>
      <c r="S564" s="8" t="s">
        <v>54</v>
      </c>
      <c r="T564" s="8" t="s">
        <v>69</v>
      </c>
      <c r="U564" s="8" t="s">
        <v>228</v>
      </c>
      <c r="V564" s="8">
        <v>500</v>
      </c>
      <c r="W564" s="8" t="s">
        <v>328</v>
      </c>
      <c r="X564" s="8">
        <v>3000</v>
      </c>
      <c r="Y564" s="8" t="s">
        <v>271</v>
      </c>
      <c r="Z564" s="8">
        <v>100</v>
      </c>
      <c r="AA564" s="8" t="s">
        <v>278</v>
      </c>
      <c r="AB564" s="8" t="s">
        <v>228</v>
      </c>
      <c r="AC564" s="8" t="s">
        <v>228</v>
      </c>
      <c r="AD564" s="8" t="s">
        <v>228</v>
      </c>
      <c r="AE564" s="8" t="s">
        <v>228</v>
      </c>
      <c r="AF564" s="8" t="s">
        <v>228</v>
      </c>
      <c r="AG564" s="8" t="s">
        <v>228</v>
      </c>
      <c r="AH564" s="8" t="s">
        <v>228</v>
      </c>
      <c r="AI564" s="8" t="s">
        <v>228</v>
      </c>
      <c r="AJ564" t="s">
        <v>468</v>
      </c>
      <c r="AK564">
        <v>1</v>
      </c>
      <c r="AL564">
        <v>1</v>
      </c>
      <c r="AM564" t="s">
        <v>87</v>
      </c>
      <c r="AN564" t="s">
        <v>228</v>
      </c>
      <c r="AO564" t="s">
        <v>526</v>
      </c>
      <c r="AP564" t="s">
        <v>108</v>
      </c>
      <c r="AQ564">
        <v>12</v>
      </c>
      <c r="AR564" t="s">
        <v>483</v>
      </c>
      <c r="AS564" t="s">
        <v>228</v>
      </c>
      <c r="AT564" t="s">
        <v>170</v>
      </c>
      <c r="AU564">
        <v>1</v>
      </c>
      <c r="AV564">
        <v>1</v>
      </c>
      <c r="AW564" t="s">
        <v>537</v>
      </c>
      <c r="AX564" t="s">
        <v>283</v>
      </c>
      <c r="AY564" t="s">
        <v>280</v>
      </c>
      <c r="AZ564">
        <v>5</v>
      </c>
      <c r="BA564" t="s">
        <v>533</v>
      </c>
      <c r="BB564" t="s">
        <v>541</v>
      </c>
      <c r="BC564" t="s">
        <v>395</v>
      </c>
      <c r="BD564" t="s">
        <v>228</v>
      </c>
      <c r="BE564" t="s">
        <v>522</v>
      </c>
      <c r="BF564" t="s">
        <v>523</v>
      </c>
      <c r="BG564" t="s">
        <v>407</v>
      </c>
      <c r="BH564" t="s">
        <v>544</v>
      </c>
      <c r="BI564" t="s">
        <v>525</v>
      </c>
      <c r="BJ564" t="s">
        <v>228</v>
      </c>
      <c r="BK564" t="s">
        <v>228</v>
      </c>
      <c r="BL564" t="s">
        <v>228</v>
      </c>
      <c r="BM564" t="s">
        <v>228</v>
      </c>
      <c r="BN564" t="s">
        <v>228</v>
      </c>
      <c r="BO564" t="s">
        <v>228</v>
      </c>
      <c r="BP564" t="s">
        <v>228</v>
      </c>
      <c r="BQ564" t="s">
        <v>228</v>
      </c>
      <c r="BR564" t="s">
        <v>228</v>
      </c>
      <c r="BS564" t="s">
        <v>409</v>
      </c>
      <c r="BT564">
        <v>0</v>
      </c>
    </row>
    <row r="565" spans="1:72" x14ac:dyDescent="0.15">
      <c r="A565" s="43">
        <v>2023</v>
      </c>
      <c r="B565" s="8">
        <v>1</v>
      </c>
      <c r="C565" s="8">
        <v>1</v>
      </c>
      <c r="D565" s="8">
        <v>13</v>
      </c>
      <c r="E565" s="8" t="s">
        <v>228</v>
      </c>
      <c r="F565" s="8" t="s">
        <v>57</v>
      </c>
      <c r="G565" s="8">
        <v>2017</v>
      </c>
      <c r="H565" s="8">
        <v>12</v>
      </c>
      <c r="I565" s="8" t="s">
        <v>483</v>
      </c>
      <c r="J565" s="8" t="s">
        <v>228</v>
      </c>
      <c r="K565" s="8">
        <v>1953</v>
      </c>
      <c r="L565" s="17">
        <v>1</v>
      </c>
      <c r="M565" s="8">
        <v>1</v>
      </c>
      <c r="N565" s="8" t="s">
        <v>49</v>
      </c>
      <c r="O565" s="8" t="s">
        <v>283</v>
      </c>
      <c r="P565" s="8" t="s">
        <v>280</v>
      </c>
      <c r="Q565" s="8">
        <v>20000</v>
      </c>
      <c r="R565" s="8" t="s">
        <v>59</v>
      </c>
      <c r="S565" s="8" t="s">
        <v>54</v>
      </c>
      <c r="T565" s="8" t="s">
        <v>69</v>
      </c>
      <c r="U565" s="8" t="s">
        <v>228</v>
      </c>
      <c r="V565" s="8">
        <v>500</v>
      </c>
      <c r="W565" s="8" t="s">
        <v>328</v>
      </c>
      <c r="X565" s="8">
        <v>3000</v>
      </c>
      <c r="Y565" s="8" t="s">
        <v>268</v>
      </c>
      <c r="Z565" s="8">
        <v>100</v>
      </c>
      <c r="AA565" s="8" t="s">
        <v>278</v>
      </c>
      <c r="AB565" s="8" t="s">
        <v>228</v>
      </c>
      <c r="AC565" s="8" t="s">
        <v>228</v>
      </c>
      <c r="AD565" s="8" t="s">
        <v>228</v>
      </c>
      <c r="AE565" s="8" t="s">
        <v>228</v>
      </c>
      <c r="AF565" s="8" t="s">
        <v>228</v>
      </c>
      <c r="AG565" s="8" t="s">
        <v>228</v>
      </c>
      <c r="AH565" s="8" t="s">
        <v>228</v>
      </c>
      <c r="AI565" s="8" t="s">
        <v>228</v>
      </c>
      <c r="AJ565" t="s">
        <v>468</v>
      </c>
      <c r="AK565">
        <v>1</v>
      </c>
      <c r="AL565">
        <v>1</v>
      </c>
      <c r="AM565" t="s">
        <v>88</v>
      </c>
      <c r="AN565" t="s">
        <v>228</v>
      </c>
      <c r="AO565" t="s">
        <v>526</v>
      </c>
      <c r="AP565" t="s">
        <v>108</v>
      </c>
      <c r="AQ565">
        <v>12</v>
      </c>
      <c r="AR565" t="s">
        <v>483</v>
      </c>
      <c r="AS565" t="s">
        <v>228</v>
      </c>
      <c r="AT565" t="s">
        <v>170</v>
      </c>
      <c r="AU565">
        <v>1</v>
      </c>
      <c r="AV565">
        <v>1</v>
      </c>
      <c r="AW565" t="s">
        <v>537</v>
      </c>
      <c r="AX565" t="s">
        <v>283</v>
      </c>
      <c r="AY565" t="s">
        <v>280</v>
      </c>
      <c r="AZ565">
        <v>5</v>
      </c>
      <c r="BA565" t="s">
        <v>533</v>
      </c>
      <c r="BB565" t="s">
        <v>541</v>
      </c>
      <c r="BC565" t="s">
        <v>395</v>
      </c>
      <c r="BD565" t="s">
        <v>228</v>
      </c>
      <c r="BE565" t="s">
        <v>522</v>
      </c>
      <c r="BF565" t="s">
        <v>523</v>
      </c>
      <c r="BG565" t="s">
        <v>407</v>
      </c>
      <c r="BH565" t="s">
        <v>396</v>
      </c>
      <c r="BI565" t="s">
        <v>525</v>
      </c>
      <c r="BJ565" t="s">
        <v>228</v>
      </c>
      <c r="BK565" t="s">
        <v>228</v>
      </c>
      <c r="BL565" t="s">
        <v>228</v>
      </c>
      <c r="BM565" t="s">
        <v>228</v>
      </c>
      <c r="BN565" t="s">
        <v>228</v>
      </c>
      <c r="BO565" t="s">
        <v>228</v>
      </c>
      <c r="BP565" t="s">
        <v>228</v>
      </c>
      <c r="BQ565" t="s">
        <v>228</v>
      </c>
      <c r="BR565" t="s">
        <v>228</v>
      </c>
      <c r="BS565" t="s">
        <v>409</v>
      </c>
      <c r="BT565">
        <v>1</v>
      </c>
    </row>
    <row r="566" spans="1:72" x14ac:dyDescent="0.15">
      <c r="A566" s="43">
        <v>2023</v>
      </c>
      <c r="B566" s="8">
        <v>1</v>
      </c>
      <c r="C566" s="8">
        <v>1</v>
      </c>
      <c r="D566" s="8">
        <v>13</v>
      </c>
      <c r="E566" s="8" t="s">
        <v>228</v>
      </c>
      <c r="F566" s="8" t="s">
        <v>57</v>
      </c>
      <c r="G566" s="8">
        <v>2017</v>
      </c>
      <c r="H566" s="8">
        <v>12</v>
      </c>
      <c r="I566" s="8" t="s">
        <v>483</v>
      </c>
      <c r="J566" s="8" t="s">
        <v>228</v>
      </c>
      <c r="K566" s="8">
        <v>1953</v>
      </c>
      <c r="L566" s="17">
        <v>1</v>
      </c>
      <c r="M566" s="8">
        <v>1</v>
      </c>
      <c r="N566" s="8" t="s">
        <v>49</v>
      </c>
      <c r="O566" s="8" t="s">
        <v>283</v>
      </c>
      <c r="P566" s="8" t="s">
        <v>280</v>
      </c>
      <c r="Q566" s="8">
        <v>20000</v>
      </c>
      <c r="R566" s="8" t="s">
        <v>59</v>
      </c>
      <c r="S566" s="8" t="s">
        <v>54</v>
      </c>
      <c r="T566" s="8" t="s">
        <v>69</v>
      </c>
      <c r="U566" s="8" t="s">
        <v>228</v>
      </c>
      <c r="V566" s="8">
        <v>500</v>
      </c>
      <c r="W566" s="8" t="s">
        <v>328</v>
      </c>
      <c r="X566" s="8">
        <v>3000</v>
      </c>
      <c r="Y566" s="8" t="s">
        <v>394</v>
      </c>
      <c r="Z566" s="8">
        <v>100</v>
      </c>
      <c r="AA566" s="8" t="s">
        <v>278</v>
      </c>
      <c r="AB566" s="8" t="s">
        <v>228</v>
      </c>
      <c r="AC566" s="8" t="s">
        <v>228</v>
      </c>
      <c r="AD566" s="8" t="s">
        <v>228</v>
      </c>
      <c r="AE566" s="8" t="s">
        <v>228</v>
      </c>
      <c r="AF566" s="8" t="s">
        <v>228</v>
      </c>
      <c r="AG566" s="8" t="s">
        <v>228</v>
      </c>
      <c r="AH566" s="8" t="s">
        <v>228</v>
      </c>
      <c r="AI566" s="8" t="s">
        <v>228</v>
      </c>
      <c r="AJ566" t="s">
        <v>468</v>
      </c>
      <c r="AK566">
        <v>1</v>
      </c>
      <c r="AL566">
        <v>1</v>
      </c>
      <c r="AM566" t="s">
        <v>88</v>
      </c>
      <c r="AN566" t="s">
        <v>228</v>
      </c>
      <c r="AO566" t="s">
        <v>526</v>
      </c>
      <c r="AP566" t="s">
        <v>108</v>
      </c>
      <c r="AQ566">
        <v>12</v>
      </c>
      <c r="AR566" t="s">
        <v>483</v>
      </c>
      <c r="AS566" t="s">
        <v>228</v>
      </c>
      <c r="AT566" t="s">
        <v>170</v>
      </c>
      <c r="AU566">
        <v>1</v>
      </c>
      <c r="AV566">
        <v>1</v>
      </c>
      <c r="AW566" t="s">
        <v>537</v>
      </c>
      <c r="AX566" t="s">
        <v>283</v>
      </c>
      <c r="AY566" t="s">
        <v>280</v>
      </c>
      <c r="AZ566">
        <v>5</v>
      </c>
      <c r="BA566" t="s">
        <v>533</v>
      </c>
      <c r="BB566" t="s">
        <v>541</v>
      </c>
      <c r="BC566" t="s">
        <v>395</v>
      </c>
      <c r="BD566" t="s">
        <v>228</v>
      </c>
      <c r="BE566" t="s">
        <v>522</v>
      </c>
      <c r="BF566" t="s">
        <v>523</v>
      </c>
      <c r="BG566" t="s">
        <v>407</v>
      </c>
      <c r="BH566" t="s">
        <v>551</v>
      </c>
      <c r="BI566" t="s">
        <v>525</v>
      </c>
      <c r="BJ566" t="s">
        <v>228</v>
      </c>
      <c r="BK566" t="s">
        <v>228</v>
      </c>
      <c r="BL566" t="s">
        <v>228</v>
      </c>
      <c r="BM566" t="s">
        <v>228</v>
      </c>
      <c r="BN566" t="s">
        <v>228</v>
      </c>
      <c r="BO566" t="s">
        <v>228</v>
      </c>
      <c r="BP566" t="s">
        <v>228</v>
      </c>
      <c r="BQ566" t="s">
        <v>228</v>
      </c>
      <c r="BR566" t="s">
        <v>228</v>
      </c>
      <c r="BS566" t="s">
        <v>409</v>
      </c>
      <c r="BT566">
        <v>1</v>
      </c>
    </row>
    <row r="567" spans="1:72" x14ac:dyDescent="0.15">
      <c r="A567" s="43">
        <v>2023</v>
      </c>
      <c r="B567" s="8">
        <v>1</v>
      </c>
      <c r="C567" s="8">
        <v>1</v>
      </c>
      <c r="D567" s="8">
        <v>13</v>
      </c>
      <c r="E567" s="8" t="s">
        <v>228</v>
      </c>
      <c r="F567" s="8" t="s">
        <v>57</v>
      </c>
      <c r="G567" s="8">
        <v>2017</v>
      </c>
      <c r="H567" s="8">
        <v>12</v>
      </c>
      <c r="I567" s="8" t="s">
        <v>483</v>
      </c>
      <c r="J567" s="8" t="s">
        <v>228</v>
      </c>
      <c r="K567" s="8">
        <v>1953</v>
      </c>
      <c r="L567" s="17">
        <v>1</v>
      </c>
      <c r="M567" s="8">
        <v>1</v>
      </c>
      <c r="N567" s="8" t="s">
        <v>49</v>
      </c>
      <c r="O567" s="8" t="s">
        <v>283</v>
      </c>
      <c r="P567" s="8" t="s">
        <v>280</v>
      </c>
      <c r="Q567" s="8">
        <v>20000</v>
      </c>
      <c r="R567" s="8" t="s">
        <v>59</v>
      </c>
      <c r="S567" s="8" t="s">
        <v>54</v>
      </c>
      <c r="T567" s="8" t="s">
        <v>69</v>
      </c>
      <c r="U567" s="8" t="s">
        <v>228</v>
      </c>
      <c r="V567" s="8">
        <v>500</v>
      </c>
      <c r="W567" s="8" t="s">
        <v>328</v>
      </c>
      <c r="X567" s="8">
        <v>3000</v>
      </c>
      <c r="Y567" s="8" t="s">
        <v>271</v>
      </c>
      <c r="Z567" s="8">
        <v>100</v>
      </c>
      <c r="AA567" s="8" t="s">
        <v>278</v>
      </c>
      <c r="AB567" s="8" t="s">
        <v>228</v>
      </c>
      <c r="AC567" s="8" t="s">
        <v>228</v>
      </c>
      <c r="AD567" s="8" t="s">
        <v>228</v>
      </c>
      <c r="AE567" s="8" t="s">
        <v>228</v>
      </c>
      <c r="AF567" s="8" t="s">
        <v>228</v>
      </c>
      <c r="AG567" s="8" t="s">
        <v>228</v>
      </c>
      <c r="AH567" s="8" t="s">
        <v>228</v>
      </c>
      <c r="AI567" s="8" t="s">
        <v>228</v>
      </c>
      <c r="AJ567" t="s">
        <v>468</v>
      </c>
      <c r="AK567">
        <v>1</v>
      </c>
      <c r="AL567">
        <v>1</v>
      </c>
      <c r="AM567" t="s">
        <v>88</v>
      </c>
      <c r="AN567" t="s">
        <v>228</v>
      </c>
      <c r="AO567" t="s">
        <v>526</v>
      </c>
      <c r="AP567" t="s">
        <v>108</v>
      </c>
      <c r="AQ567">
        <v>12</v>
      </c>
      <c r="AR567" t="s">
        <v>483</v>
      </c>
      <c r="AS567" t="s">
        <v>228</v>
      </c>
      <c r="AT567" t="s">
        <v>170</v>
      </c>
      <c r="AU567">
        <v>1</v>
      </c>
      <c r="AV567">
        <v>1</v>
      </c>
      <c r="AW567" t="s">
        <v>537</v>
      </c>
      <c r="AX567" t="s">
        <v>283</v>
      </c>
      <c r="AY567" t="s">
        <v>280</v>
      </c>
      <c r="AZ567">
        <v>5</v>
      </c>
      <c r="BA567" t="s">
        <v>533</v>
      </c>
      <c r="BB567" t="s">
        <v>541</v>
      </c>
      <c r="BC567" t="s">
        <v>395</v>
      </c>
      <c r="BD567" t="s">
        <v>228</v>
      </c>
      <c r="BE567" t="s">
        <v>522</v>
      </c>
      <c r="BF567" t="s">
        <v>523</v>
      </c>
      <c r="BG567" t="s">
        <v>407</v>
      </c>
      <c r="BH567" t="s">
        <v>544</v>
      </c>
      <c r="BI567" t="s">
        <v>525</v>
      </c>
      <c r="BJ567" t="s">
        <v>228</v>
      </c>
      <c r="BK567" t="s">
        <v>228</v>
      </c>
      <c r="BL567" t="s">
        <v>228</v>
      </c>
      <c r="BM567" t="s">
        <v>228</v>
      </c>
      <c r="BN567" t="s">
        <v>228</v>
      </c>
      <c r="BO567" t="s">
        <v>228</v>
      </c>
      <c r="BP567" t="s">
        <v>228</v>
      </c>
      <c r="BQ567" t="s">
        <v>228</v>
      </c>
      <c r="BR567" t="s">
        <v>228</v>
      </c>
      <c r="BS567" t="s">
        <v>409</v>
      </c>
      <c r="BT567">
        <v>0</v>
      </c>
    </row>
    <row r="568" spans="1:72" x14ac:dyDescent="0.15">
      <c r="A568" s="43">
        <v>2023</v>
      </c>
      <c r="B568" s="8">
        <v>1</v>
      </c>
      <c r="C568" s="8">
        <v>1</v>
      </c>
      <c r="D568" s="8">
        <v>12</v>
      </c>
      <c r="E568" s="8" t="s">
        <v>228</v>
      </c>
      <c r="F568" s="8" t="s">
        <v>57</v>
      </c>
      <c r="G568" s="8">
        <v>2017</v>
      </c>
      <c r="H568" s="8">
        <v>12</v>
      </c>
      <c r="I568" s="8" t="s">
        <v>483</v>
      </c>
      <c r="J568" s="8" t="s">
        <v>228</v>
      </c>
      <c r="K568" s="8">
        <v>1953</v>
      </c>
      <c r="L568" s="17">
        <v>1</v>
      </c>
      <c r="M568" s="8">
        <v>1</v>
      </c>
      <c r="N568" s="8" t="s">
        <v>49</v>
      </c>
      <c r="O568" s="8" t="s">
        <v>283</v>
      </c>
      <c r="P568" s="8" t="s">
        <v>280</v>
      </c>
      <c r="Q568" s="8">
        <v>20000</v>
      </c>
      <c r="R568" s="8" t="s">
        <v>59</v>
      </c>
      <c r="S568" s="8" t="s">
        <v>54</v>
      </c>
      <c r="T568" s="8" t="s">
        <v>69</v>
      </c>
      <c r="U568" s="8" t="s">
        <v>228</v>
      </c>
      <c r="V568" s="8">
        <v>500</v>
      </c>
      <c r="W568" s="8" t="s">
        <v>328</v>
      </c>
      <c r="X568" s="8">
        <v>3000</v>
      </c>
      <c r="Y568" s="8" t="s">
        <v>268</v>
      </c>
      <c r="Z568" s="8">
        <v>100</v>
      </c>
      <c r="AA568" s="8" t="s">
        <v>278</v>
      </c>
      <c r="AB568" s="8" t="s">
        <v>228</v>
      </c>
      <c r="AC568" s="8" t="s">
        <v>228</v>
      </c>
      <c r="AD568" s="8" t="s">
        <v>228</v>
      </c>
      <c r="AE568" s="8" t="s">
        <v>228</v>
      </c>
      <c r="AF568" s="8" t="s">
        <v>228</v>
      </c>
      <c r="AG568" s="8" t="s">
        <v>228</v>
      </c>
      <c r="AH568" s="8" t="s">
        <v>228</v>
      </c>
      <c r="AI568" s="8" t="s">
        <v>228</v>
      </c>
      <c r="AJ568" t="s">
        <v>468</v>
      </c>
      <c r="AK568">
        <v>1</v>
      </c>
      <c r="AL568">
        <v>1</v>
      </c>
      <c r="AM568" t="s">
        <v>89</v>
      </c>
      <c r="AN568" t="s">
        <v>228</v>
      </c>
      <c r="AO568" t="s">
        <v>526</v>
      </c>
      <c r="AP568" t="s">
        <v>108</v>
      </c>
      <c r="AQ568">
        <v>12</v>
      </c>
      <c r="AR568" t="s">
        <v>483</v>
      </c>
      <c r="AS568" t="s">
        <v>228</v>
      </c>
      <c r="AT568" t="s">
        <v>170</v>
      </c>
      <c r="AU568">
        <v>1</v>
      </c>
      <c r="AV568">
        <v>1</v>
      </c>
      <c r="AW568" t="s">
        <v>537</v>
      </c>
      <c r="AX568" t="s">
        <v>283</v>
      </c>
      <c r="AY568" t="s">
        <v>280</v>
      </c>
      <c r="AZ568">
        <v>5</v>
      </c>
      <c r="BA568" t="s">
        <v>533</v>
      </c>
      <c r="BB568" t="s">
        <v>541</v>
      </c>
      <c r="BC568" t="s">
        <v>395</v>
      </c>
      <c r="BD568" t="s">
        <v>228</v>
      </c>
      <c r="BE568" t="s">
        <v>522</v>
      </c>
      <c r="BF568" t="s">
        <v>523</v>
      </c>
      <c r="BG568" t="s">
        <v>407</v>
      </c>
      <c r="BH568" t="s">
        <v>396</v>
      </c>
      <c r="BI568" t="s">
        <v>525</v>
      </c>
      <c r="BJ568" t="s">
        <v>228</v>
      </c>
      <c r="BK568" t="s">
        <v>228</v>
      </c>
      <c r="BL568" t="s">
        <v>228</v>
      </c>
      <c r="BM568" t="s">
        <v>228</v>
      </c>
      <c r="BN568" t="s">
        <v>228</v>
      </c>
      <c r="BO568" t="s">
        <v>228</v>
      </c>
      <c r="BP568" t="s">
        <v>228</v>
      </c>
      <c r="BQ568" t="s">
        <v>228</v>
      </c>
      <c r="BR568" t="s">
        <v>228</v>
      </c>
      <c r="BS568" t="s">
        <v>409</v>
      </c>
      <c r="BT568">
        <v>1</v>
      </c>
    </row>
    <row r="569" spans="1:72" x14ac:dyDescent="0.15">
      <c r="A569" s="43">
        <v>2023</v>
      </c>
      <c r="B569" s="8">
        <v>1</v>
      </c>
      <c r="C569" s="8">
        <v>1</v>
      </c>
      <c r="D569" s="8">
        <v>12</v>
      </c>
      <c r="E569" s="8" t="s">
        <v>228</v>
      </c>
      <c r="F569" s="8" t="s">
        <v>57</v>
      </c>
      <c r="G569" s="8">
        <v>2017</v>
      </c>
      <c r="H569" s="8">
        <v>12</v>
      </c>
      <c r="I569" s="8" t="s">
        <v>483</v>
      </c>
      <c r="J569" s="8" t="s">
        <v>228</v>
      </c>
      <c r="K569" s="8">
        <v>1953</v>
      </c>
      <c r="L569" s="17">
        <v>1</v>
      </c>
      <c r="M569" s="8">
        <v>1</v>
      </c>
      <c r="N569" s="8" t="s">
        <v>49</v>
      </c>
      <c r="O569" s="8" t="s">
        <v>283</v>
      </c>
      <c r="P569" s="8" t="s">
        <v>280</v>
      </c>
      <c r="Q569" s="8">
        <v>20000</v>
      </c>
      <c r="R569" s="8" t="s">
        <v>59</v>
      </c>
      <c r="S569" s="8" t="s">
        <v>54</v>
      </c>
      <c r="T569" s="8" t="s">
        <v>69</v>
      </c>
      <c r="U569" s="8" t="s">
        <v>228</v>
      </c>
      <c r="V569" s="8">
        <v>500</v>
      </c>
      <c r="W569" s="8" t="s">
        <v>328</v>
      </c>
      <c r="X569" s="8">
        <v>3000</v>
      </c>
      <c r="Y569" s="8" t="s">
        <v>394</v>
      </c>
      <c r="Z569" s="8">
        <v>100</v>
      </c>
      <c r="AA569" s="8" t="s">
        <v>278</v>
      </c>
      <c r="AB569" s="8" t="s">
        <v>228</v>
      </c>
      <c r="AC569" s="8" t="s">
        <v>228</v>
      </c>
      <c r="AD569" s="8" t="s">
        <v>228</v>
      </c>
      <c r="AE569" s="8" t="s">
        <v>228</v>
      </c>
      <c r="AF569" s="8" t="s">
        <v>228</v>
      </c>
      <c r="AG569" s="8" t="s">
        <v>228</v>
      </c>
      <c r="AH569" s="8" t="s">
        <v>228</v>
      </c>
      <c r="AI569" s="8" t="s">
        <v>228</v>
      </c>
      <c r="AJ569" t="s">
        <v>468</v>
      </c>
      <c r="AK569">
        <v>1</v>
      </c>
      <c r="AL569">
        <v>1</v>
      </c>
      <c r="AM569" t="s">
        <v>89</v>
      </c>
      <c r="AN569" t="s">
        <v>228</v>
      </c>
      <c r="AO569" t="s">
        <v>526</v>
      </c>
      <c r="AP569" t="s">
        <v>108</v>
      </c>
      <c r="AQ569">
        <v>12</v>
      </c>
      <c r="AR569" t="s">
        <v>483</v>
      </c>
      <c r="AS569" t="s">
        <v>228</v>
      </c>
      <c r="AT569" t="s">
        <v>170</v>
      </c>
      <c r="AU569">
        <v>1</v>
      </c>
      <c r="AV569">
        <v>1</v>
      </c>
      <c r="AW569" t="s">
        <v>537</v>
      </c>
      <c r="AX569" t="s">
        <v>283</v>
      </c>
      <c r="AY569" t="s">
        <v>280</v>
      </c>
      <c r="AZ569">
        <v>5</v>
      </c>
      <c r="BA569" t="s">
        <v>533</v>
      </c>
      <c r="BB569" t="s">
        <v>541</v>
      </c>
      <c r="BC569" t="s">
        <v>395</v>
      </c>
      <c r="BD569" t="s">
        <v>228</v>
      </c>
      <c r="BE569" t="s">
        <v>522</v>
      </c>
      <c r="BF569" t="s">
        <v>523</v>
      </c>
      <c r="BG569" t="s">
        <v>407</v>
      </c>
      <c r="BH569" t="s">
        <v>551</v>
      </c>
      <c r="BI569" t="s">
        <v>525</v>
      </c>
      <c r="BJ569" t="s">
        <v>228</v>
      </c>
      <c r="BK569" t="s">
        <v>228</v>
      </c>
      <c r="BL569" t="s">
        <v>228</v>
      </c>
      <c r="BM569" t="s">
        <v>228</v>
      </c>
      <c r="BN569" t="s">
        <v>228</v>
      </c>
      <c r="BO569" t="s">
        <v>228</v>
      </c>
      <c r="BP569" t="s">
        <v>228</v>
      </c>
      <c r="BQ569" t="s">
        <v>228</v>
      </c>
      <c r="BR569" t="s">
        <v>228</v>
      </c>
      <c r="BS569" t="s">
        <v>409</v>
      </c>
      <c r="BT569">
        <v>1</v>
      </c>
    </row>
    <row r="570" spans="1:72" x14ac:dyDescent="0.15">
      <c r="A570" s="43">
        <v>2023</v>
      </c>
      <c r="B570" s="8">
        <v>1</v>
      </c>
      <c r="C570" s="8">
        <v>1</v>
      </c>
      <c r="D570" s="8">
        <v>12</v>
      </c>
      <c r="E570" s="8" t="s">
        <v>228</v>
      </c>
      <c r="F570" s="8" t="s">
        <v>57</v>
      </c>
      <c r="G570" s="8">
        <v>2017</v>
      </c>
      <c r="H570" s="8">
        <v>12</v>
      </c>
      <c r="I570" s="8" t="s">
        <v>483</v>
      </c>
      <c r="J570" s="8" t="s">
        <v>228</v>
      </c>
      <c r="K570" s="8">
        <v>1953</v>
      </c>
      <c r="L570" s="17">
        <v>1</v>
      </c>
      <c r="M570" s="8">
        <v>1</v>
      </c>
      <c r="N570" s="8" t="s">
        <v>49</v>
      </c>
      <c r="O570" s="8" t="s">
        <v>283</v>
      </c>
      <c r="P570" s="8" t="s">
        <v>280</v>
      </c>
      <c r="Q570" s="8">
        <v>20000</v>
      </c>
      <c r="R570" s="8" t="s">
        <v>59</v>
      </c>
      <c r="S570" s="8" t="s">
        <v>54</v>
      </c>
      <c r="T570" s="8" t="s">
        <v>69</v>
      </c>
      <c r="U570" s="8" t="s">
        <v>228</v>
      </c>
      <c r="V570" s="8">
        <v>500</v>
      </c>
      <c r="W570" s="8" t="s">
        <v>328</v>
      </c>
      <c r="X570" s="8">
        <v>3000</v>
      </c>
      <c r="Y570" s="8" t="s">
        <v>271</v>
      </c>
      <c r="Z570" s="8">
        <v>100</v>
      </c>
      <c r="AA570" s="8" t="s">
        <v>278</v>
      </c>
      <c r="AB570" s="8" t="s">
        <v>228</v>
      </c>
      <c r="AC570" s="8" t="s">
        <v>228</v>
      </c>
      <c r="AD570" s="8" t="s">
        <v>228</v>
      </c>
      <c r="AE570" s="8" t="s">
        <v>228</v>
      </c>
      <c r="AF570" s="8" t="s">
        <v>228</v>
      </c>
      <c r="AG570" s="8" t="s">
        <v>228</v>
      </c>
      <c r="AH570" s="8" t="s">
        <v>228</v>
      </c>
      <c r="AI570" s="8" t="s">
        <v>228</v>
      </c>
      <c r="AJ570" t="s">
        <v>468</v>
      </c>
      <c r="AK570">
        <v>1</v>
      </c>
      <c r="AL570">
        <v>1</v>
      </c>
      <c r="AM570" t="s">
        <v>89</v>
      </c>
      <c r="AN570" t="s">
        <v>228</v>
      </c>
      <c r="AO570" t="s">
        <v>526</v>
      </c>
      <c r="AP570" t="s">
        <v>108</v>
      </c>
      <c r="AQ570">
        <v>12</v>
      </c>
      <c r="AR570" t="s">
        <v>483</v>
      </c>
      <c r="AS570" t="s">
        <v>228</v>
      </c>
      <c r="AT570" t="s">
        <v>170</v>
      </c>
      <c r="AU570">
        <v>1</v>
      </c>
      <c r="AV570">
        <v>1</v>
      </c>
      <c r="AW570" t="s">
        <v>537</v>
      </c>
      <c r="AX570" t="s">
        <v>283</v>
      </c>
      <c r="AY570" t="s">
        <v>280</v>
      </c>
      <c r="AZ570">
        <v>5</v>
      </c>
      <c r="BA570" t="s">
        <v>533</v>
      </c>
      <c r="BB570" t="s">
        <v>541</v>
      </c>
      <c r="BC570" t="s">
        <v>395</v>
      </c>
      <c r="BD570" t="s">
        <v>228</v>
      </c>
      <c r="BE570" t="s">
        <v>522</v>
      </c>
      <c r="BF570" t="s">
        <v>523</v>
      </c>
      <c r="BG570" t="s">
        <v>407</v>
      </c>
      <c r="BH570" t="s">
        <v>544</v>
      </c>
      <c r="BI570" t="s">
        <v>525</v>
      </c>
      <c r="BJ570" t="s">
        <v>228</v>
      </c>
      <c r="BK570" t="s">
        <v>228</v>
      </c>
      <c r="BL570" t="s">
        <v>228</v>
      </c>
      <c r="BM570" t="s">
        <v>228</v>
      </c>
      <c r="BN570" t="s">
        <v>228</v>
      </c>
      <c r="BO570" t="s">
        <v>228</v>
      </c>
      <c r="BP570" t="s">
        <v>228</v>
      </c>
      <c r="BQ570" t="s">
        <v>228</v>
      </c>
      <c r="BR570" t="s">
        <v>228</v>
      </c>
      <c r="BS570" t="s">
        <v>409</v>
      </c>
      <c r="BT570">
        <v>0</v>
      </c>
    </row>
    <row r="571" spans="1:72" x14ac:dyDescent="0.15">
      <c r="A571" s="43">
        <v>2023</v>
      </c>
      <c r="B571" s="8">
        <v>1</v>
      </c>
      <c r="C571" s="8">
        <v>1</v>
      </c>
      <c r="D571" s="8">
        <v>11</v>
      </c>
      <c r="E571" s="8" t="s">
        <v>228</v>
      </c>
      <c r="F571" s="8" t="s">
        <v>57</v>
      </c>
      <c r="G571" s="8">
        <v>2017</v>
      </c>
      <c r="H571" s="8">
        <v>12</v>
      </c>
      <c r="I571" s="8" t="s">
        <v>483</v>
      </c>
      <c r="J571" s="8" t="s">
        <v>228</v>
      </c>
      <c r="K571" s="8">
        <v>1953</v>
      </c>
      <c r="L571" s="17">
        <v>1</v>
      </c>
      <c r="M571" s="8">
        <v>1</v>
      </c>
      <c r="N571" s="8" t="s">
        <v>49</v>
      </c>
      <c r="O571" s="8" t="s">
        <v>283</v>
      </c>
      <c r="P571" s="8" t="s">
        <v>280</v>
      </c>
      <c r="Q571" s="8">
        <v>20000</v>
      </c>
      <c r="R571" s="8" t="s">
        <v>59</v>
      </c>
      <c r="S571" s="8" t="s">
        <v>54</v>
      </c>
      <c r="T571" s="8" t="s">
        <v>69</v>
      </c>
      <c r="U571" s="8" t="s">
        <v>228</v>
      </c>
      <c r="V571" s="8">
        <v>500</v>
      </c>
      <c r="W571" s="8" t="s">
        <v>328</v>
      </c>
      <c r="X571" s="8">
        <v>3000</v>
      </c>
      <c r="Y571" s="8" t="s">
        <v>268</v>
      </c>
      <c r="Z571" s="8">
        <v>100</v>
      </c>
      <c r="AA571" s="8" t="s">
        <v>278</v>
      </c>
      <c r="AB571" s="8" t="s">
        <v>228</v>
      </c>
      <c r="AC571" s="8" t="s">
        <v>228</v>
      </c>
      <c r="AD571" s="8" t="s">
        <v>228</v>
      </c>
      <c r="AE571" s="8" t="s">
        <v>228</v>
      </c>
      <c r="AF571" s="8" t="s">
        <v>228</v>
      </c>
      <c r="AG571" s="8" t="s">
        <v>228</v>
      </c>
      <c r="AH571" s="8" t="s">
        <v>228</v>
      </c>
      <c r="AI571" s="8" t="s">
        <v>228</v>
      </c>
      <c r="AJ571" t="s">
        <v>468</v>
      </c>
      <c r="AK571">
        <v>1</v>
      </c>
      <c r="AL571">
        <v>1</v>
      </c>
      <c r="AM571" t="s">
        <v>90</v>
      </c>
      <c r="AN571" t="s">
        <v>228</v>
      </c>
      <c r="AO571" t="s">
        <v>526</v>
      </c>
      <c r="AP571" t="s">
        <v>108</v>
      </c>
      <c r="AQ571">
        <v>12</v>
      </c>
      <c r="AR571" t="s">
        <v>483</v>
      </c>
      <c r="AS571" t="s">
        <v>228</v>
      </c>
      <c r="AT571" t="s">
        <v>170</v>
      </c>
      <c r="AU571">
        <v>1</v>
      </c>
      <c r="AV571">
        <v>1</v>
      </c>
      <c r="AW571" t="s">
        <v>537</v>
      </c>
      <c r="AX571" t="s">
        <v>283</v>
      </c>
      <c r="AY571" t="s">
        <v>280</v>
      </c>
      <c r="AZ571">
        <v>5</v>
      </c>
      <c r="BA571" t="s">
        <v>533</v>
      </c>
      <c r="BB571" t="s">
        <v>541</v>
      </c>
      <c r="BC571" t="s">
        <v>395</v>
      </c>
      <c r="BD571" t="s">
        <v>228</v>
      </c>
      <c r="BE571" t="s">
        <v>522</v>
      </c>
      <c r="BF571" t="s">
        <v>523</v>
      </c>
      <c r="BG571" t="s">
        <v>407</v>
      </c>
      <c r="BH571" t="s">
        <v>396</v>
      </c>
      <c r="BI571" t="s">
        <v>525</v>
      </c>
      <c r="BJ571" t="s">
        <v>228</v>
      </c>
      <c r="BK571" t="s">
        <v>228</v>
      </c>
      <c r="BL571" t="s">
        <v>228</v>
      </c>
      <c r="BM571" t="s">
        <v>228</v>
      </c>
      <c r="BN571" t="s">
        <v>228</v>
      </c>
      <c r="BO571" t="s">
        <v>228</v>
      </c>
      <c r="BP571" t="s">
        <v>228</v>
      </c>
      <c r="BQ571" t="s">
        <v>228</v>
      </c>
      <c r="BR571" t="s">
        <v>228</v>
      </c>
      <c r="BS571" t="s">
        <v>409</v>
      </c>
      <c r="BT571">
        <v>1</v>
      </c>
    </row>
    <row r="572" spans="1:72" x14ac:dyDescent="0.15">
      <c r="A572" s="43">
        <v>2023</v>
      </c>
      <c r="B572" s="8">
        <v>1</v>
      </c>
      <c r="C572" s="8">
        <v>1</v>
      </c>
      <c r="D572" s="8">
        <v>11</v>
      </c>
      <c r="E572" s="8" t="s">
        <v>228</v>
      </c>
      <c r="F572" s="8" t="s">
        <v>57</v>
      </c>
      <c r="G572" s="8">
        <v>2017</v>
      </c>
      <c r="H572" s="8">
        <v>12</v>
      </c>
      <c r="I572" s="8" t="s">
        <v>483</v>
      </c>
      <c r="J572" s="8" t="s">
        <v>228</v>
      </c>
      <c r="K572" s="8">
        <v>1953</v>
      </c>
      <c r="L572" s="17">
        <v>1</v>
      </c>
      <c r="M572" s="8">
        <v>1</v>
      </c>
      <c r="N572" s="8" t="s">
        <v>49</v>
      </c>
      <c r="O572" s="8" t="s">
        <v>283</v>
      </c>
      <c r="P572" s="8" t="s">
        <v>280</v>
      </c>
      <c r="Q572" s="8">
        <v>20000</v>
      </c>
      <c r="R572" s="8" t="s">
        <v>59</v>
      </c>
      <c r="S572" s="8" t="s">
        <v>54</v>
      </c>
      <c r="T572" s="8" t="s">
        <v>69</v>
      </c>
      <c r="U572" s="8" t="s">
        <v>228</v>
      </c>
      <c r="V572" s="8">
        <v>500</v>
      </c>
      <c r="W572" s="8" t="s">
        <v>328</v>
      </c>
      <c r="X572" s="8">
        <v>3000</v>
      </c>
      <c r="Y572" s="8" t="s">
        <v>394</v>
      </c>
      <c r="Z572" s="8">
        <v>100</v>
      </c>
      <c r="AA572" s="8" t="s">
        <v>278</v>
      </c>
      <c r="AB572" s="8" t="s">
        <v>228</v>
      </c>
      <c r="AC572" s="8" t="s">
        <v>228</v>
      </c>
      <c r="AD572" s="8" t="s">
        <v>228</v>
      </c>
      <c r="AE572" s="8" t="s">
        <v>228</v>
      </c>
      <c r="AF572" s="8" t="s">
        <v>228</v>
      </c>
      <c r="AG572" s="8" t="s">
        <v>228</v>
      </c>
      <c r="AH572" s="8" t="s">
        <v>228</v>
      </c>
      <c r="AI572" s="8" t="s">
        <v>228</v>
      </c>
      <c r="AJ572" t="s">
        <v>468</v>
      </c>
      <c r="AK572">
        <v>1</v>
      </c>
      <c r="AL572">
        <v>1</v>
      </c>
      <c r="AM572" t="s">
        <v>90</v>
      </c>
      <c r="AN572" t="s">
        <v>228</v>
      </c>
      <c r="AO572" t="s">
        <v>526</v>
      </c>
      <c r="AP572" t="s">
        <v>108</v>
      </c>
      <c r="AQ572">
        <v>12</v>
      </c>
      <c r="AR572" t="s">
        <v>483</v>
      </c>
      <c r="AS572" t="s">
        <v>228</v>
      </c>
      <c r="AT572" t="s">
        <v>170</v>
      </c>
      <c r="AU572">
        <v>1</v>
      </c>
      <c r="AV572">
        <v>1</v>
      </c>
      <c r="AW572" t="s">
        <v>537</v>
      </c>
      <c r="AX572" t="s">
        <v>283</v>
      </c>
      <c r="AY572" t="s">
        <v>280</v>
      </c>
      <c r="AZ572">
        <v>5</v>
      </c>
      <c r="BA572" t="s">
        <v>533</v>
      </c>
      <c r="BB572" t="s">
        <v>541</v>
      </c>
      <c r="BC572" t="s">
        <v>395</v>
      </c>
      <c r="BD572" t="s">
        <v>228</v>
      </c>
      <c r="BE572" t="s">
        <v>522</v>
      </c>
      <c r="BF572" t="s">
        <v>523</v>
      </c>
      <c r="BG572" t="s">
        <v>407</v>
      </c>
      <c r="BH572" t="s">
        <v>551</v>
      </c>
      <c r="BI572" t="s">
        <v>525</v>
      </c>
      <c r="BJ572" t="s">
        <v>228</v>
      </c>
      <c r="BK572" t="s">
        <v>228</v>
      </c>
      <c r="BL572" t="s">
        <v>228</v>
      </c>
      <c r="BM572" t="s">
        <v>228</v>
      </c>
      <c r="BN572" t="s">
        <v>228</v>
      </c>
      <c r="BO572" t="s">
        <v>228</v>
      </c>
      <c r="BP572" t="s">
        <v>228</v>
      </c>
      <c r="BQ572" t="s">
        <v>228</v>
      </c>
      <c r="BR572" t="s">
        <v>228</v>
      </c>
      <c r="BS572" t="s">
        <v>409</v>
      </c>
      <c r="BT572">
        <v>1</v>
      </c>
    </row>
    <row r="573" spans="1:72" x14ac:dyDescent="0.15">
      <c r="A573" s="43">
        <v>2023</v>
      </c>
      <c r="B573" s="8">
        <v>1</v>
      </c>
      <c r="C573" s="8">
        <v>1</v>
      </c>
      <c r="D573" s="8">
        <v>11</v>
      </c>
      <c r="E573" s="8" t="s">
        <v>228</v>
      </c>
      <c r="F573" s="8" t="s">
        <v>57</v>
      </c>
      <c r="G573" s="8">
        <v>2017</v>
      </c>
      <c r="H573" s="8">
        <v>12</v>
      </c>
      <c r="I573" s="8" t="s">
        <v>483</v>
      </c>
      <c r="J573" s="8" t="s">
        <v>228</v>
      </c>
      <c r="K573" s="8">
        <v>1953</v>
      </c>
      <c r="L573" s="17">
        <v>1</v>
      </c>
      <c r="M573" s="8">
        <v>1</v>
      </c>
      <c r="N573" s="8" t="s">
        <v>49</v>
      </c>
      <c r="O573" s="8" t="s">
        <v>283</v>
      </c>
      <c r="P573" s="8" t="s">
        <v>280</v>
      </c>
      <c r="Q573" s="8">
        <v>20000</v>
      </c>
      <c r="R573" s="8" t="s">
        <v>59</v>
      </c>
      <c r="S573" s="8" t="s">
        <v>54</v>
      </c>
      <c r="T573" s="8" t="s">
        <v>69</v>
      </c>
      <c r="U573" s="8" t="s">
        <v>228</v>
      </c>
      <c r="V573" s="8">
        <v>500</v>
      </c>
      <c r="W573" s="8" t="s">
        <v>328</v>
      </c>
      <c r="X573" s="8">
        <v>3000</v>
      </c>
      <c r="Y573" s="8" t="s">
        <v>271</v>
      </c>
      <c r="Z573" s="8">
        <v>100</v>
      </c>
      <c r="AA573" s="8" t="s">
        <v>278</v>
      </c>
      <c r="AB573" s="8" t="s">
        <v>228</v>
      </c>
      <c r="AC573" s="8" t="s">
        <v>228</v>
      </c>
      <c r="AD573" s="8" t="s">
        <v>228</v>
      </c>
      <c r="AE573" s="8" t="s">
        <v>228</v>
      </c>
      <c r="AF573" s="8" t="s">
        <v>228</v>
      </c>
      <c r="AG573" s="8" t="s">
        <v>228</v>
      </c>
      <c r="AH573" s="8" t="s">
        <v>228</v>
      </c>
      <c r="AI573" s="8" t="s">
        <v>228</v>
      </c>
      <c r="AJ573" t="s">
        <v>468</v>
      </c>
      <c r="AK573">
        <v>1</v>
      </c>
      <c r="AL573">
        <v>1</v>
      </c>
      <c r="AM573" t="s">
        <v>90</v>
      </c>
      <c r="AN573" t="s">
        <v>228</v>
      </c>
      <c r="AO573" t="s">
        <v>526</v>
      </c>
      <c r="AP573" t="s">
        <v>108</v>
      </c>
      <c r="AQ573">
        <v>12</v>
      </c>
      <c r="AR573" t="s">
        <v>483</v>
      </c>
      <c r="AS573" t="s">
        <v>228</v>
      </c>
      <c r="AT573" t="s">
        <v>170</v>
      </c>
      <c r="AU573">
        <v>1</v>
      </c>
      <c r="AV573">
        <v>1</v>
      </c>
      <c r="AW573" t="s">
        <v>537</v>
      </c>
      <c r="AX573" t="s">
        <v>283</v>
      </c>
      <c r="AY573" t="s">
        <v>280</v>
      </c>
      <c r="AZ573">
        <v>5</v>
      </c>
      <c r="BA573" t="s">
        <v>533</v>
      </c>
      <c r="BB573" t="s">
        <v>541</v>
      </c>
      <c r="BC573" t="s">
        <v>395</v>
      </c>
      <c r="BD573" t="s">
        <v>228</v>
      </c>
      <c r="BE573" t="s">
        <v>522</v>
      </c>
      <c r="BF573" t="s">
        <v>523</v>
      </c>
      <c r="BG573" t="s">
        <v>407</v>
      </c>
      <c r="BH573" t="s">
        <v>544</v>
      </c>
      <c r="BI573" t="s">
        <v>525</v>
      </c>
      <c r="BJ573" t="s">
        <v>228</v>
      </c>
      <c r="BK573" t="s">
        <v>228</v>
      </c>
      <c r="BL573" t="s">
        <v>228</v>
      </c>
      <c r="BM573" t="s">
        <v>228</v>
      </c>
      <c r="BN573" t="s">
        <v>228</v>
      </c>
      <c r="BO573" t="s">
        <v>228</v>
      </c>
      <c r="BP573" t="s">
        <v>228</v>
      </c>
      <c r="BQ573" t="s">
        <v>228</v>
      </c>
      <c r="BR573" t="s">
        <v>228</v>
      </c>
      <c r="BS573" t="s">
        <v>409</v>
      </c>
      <c r="BT573">
        <v>0</v>
      </c>
    </row>
    <row r="574" spans="1:72" x14ac:dyDescent="0.15">
      <c r="A574" s="43">
        <v>2023</v>
      </c>
      <c r="B574" s="8">
        <v>1</v>
      </c>
      <c r="C574" s="8">
        <v>1</v>
      </c>
      <c r="D574" s="8">
        <v>10</v>
      </c>
      <c r="E574" s="8" t="s">
        <v>228</v>
      </c>
      <c r="F574" s="8" t="s">
        <v>57</v>
      </c>
      <c r="G574" s="8">
        <v>2017</v>
      </c>
      <c r="H574" s="8">
        <v>12</v>
      </c>
      <c r="I574" s="8" t="s">
        <v>483</v>
      </c>
      <c r="J574" s="8" t="s">
        <v>228</v>
      </c>
      <c r="K574" s="8">
        <v>1953</v>
      </c>
      <c r="L574" s="17">
        <v>1</v>
      </c>
      <c r="M574" s="8">
        <v>1</v>
      </c>
      <c r="N574" s="8" t="s">
        <v>49</v>
      </c>
      <c r="O574" s="8" t="s">
        <v>283</v>
      </c>
      <c r="P574" s="8" t="s">
        <v>280</v>
      </c>
      <c r="Q574" s="8">
        <v>20000</v>
      </c>
      <c r="R574" s="8" t="s">
        <v>59</v>
      </c>
      <c r="S574" s="8" t="s">
        <v>54</v>
      </c>
      <c r="T574" s="8" t="s">
        <v>69</v>
      </c>
      <c r="U574" s="8" t="s">
        <v>228</v>
      </c>
      <c r="V574" s="8">
        <v>500</v>
      </c>
      <c r="W574" s="8" t="s">
        <v>328</v>
      </c>
      <c r="X574" s="8">
        <v>3000</v>
      </c>
      <c r="Y574" s="8" t="s">
        <v>268</v>
      </c>
      <c r="Z574" s="8">
        <v>100</v>
      </c>
      <c r="AA574" s="8" t="s">
        <v>278</v>
      </c>
      <c r="AB574" s="8" t="s">
        <v>228</v>
      </c>
      <c r="AC574" s="8" t="s">
        <v>228</v>
      </c>
      <c r="AD574" s="8" t="s">
        <v>228</v>
      </c>
      <c r="AE574" s="8" t="s">
        <v>228</v>
      </c>
      <c r="AF574" s="8" t="s">
        <v>228</v>
      </c>
      <c r="AG574" s="8" t="s">
        <v>228</v>
      </c>
      <c r="AH574" s="8" t="s">
        <v>228</v>
      </c>
      <c r="AI574" s="8" t="s">
        <v>228</v>
      </c>
      <c r="AJ574" t="s">
        <v>468</v>
      </c>
      <c r="AK574">
        <v>1</v>
      </c>
      <c r="AL574">
        <v>1</v>
      </c>
      <c r="AM574" t="s">
        <v>91</v>
      </c>
      <c r="AN574" t="s">
        <v>228</v>
      </c>
      <c r="AO574" t="s">
        <v>526</v>
      </c>
      <c r="AP574" t="s">
        <v>108</v>
      </c>
      <c r="AQ574">
        <v>12</v>
      </c>
      <c r="AR574" t="s">
        <v>483</v>
      </c>
      <c r="AS574" t="s">
        <v>228</v>
      </c>
      <c r="AT574" t="s">
        <v>170</v>
      </c>
      <c r="AU574">
        <v>1</v>
      </c>
      <c r="AV574">
        <v>1</v>
      </c>
      <c r="AW574" t="s">
        <v>537</v>
      </c>
      <c r="AX574" t="s">
        <v>283</v>
      </c>
      <c r="AY574" t="s">
        <v>280</v>
      </c>
      <c r="AZ574">
        <v>5</v>
      </c>
      <c r="BA574" t="s">
        <v>533</v>
      </c>
      <c r="BB574" t="s">
        <v>541</v>
      </c>
      <c r="BC574" t="s">
        <v>395</v>
      </c>
      <c r="BD574" t="s">
        <v>228</v>
      </c>
      <c r="BE574" t="s">
        <v>522</v>
      </c>
      <c r="BF574" t="s">
        <v>523</v>
      </c>
      <c r="BG574" t="s">
        <v>407</v>
      </c>
      <c r="BH574" t="s">
        <v>396</v>
      </c>
      <c r="BI574" t="s">
        <v>525</v>
      </c>
      <c r="BJ574" t="s">
        <v>228</v>
      </c>
      <c r="BK574" t="s">
        <v>228</v>
      </c>
      <c r="BL574" t="s">
        <v>228</v>
      </c>
      <c r="BM574" t="s">
        <v>228</v>
      </c>
      <c r="BN574" t="s">
        <v>228</v>
      </c>
      <c r="BO574" t="s">
        <v>228</v>
      </c>
      <c r="BP574" t="s">
        <v>228</v>
      </c>
      <c r="BQ574" t="s">
        <v>228</v>
      </c>
      <c r="BR574" t="s">
        <v>228</v>
      </c>
      <c r="BS574" t="s">
        <v>409</v>
      </c>
      <c r="BT574">
        <v>1</v>
      </c>
    </row>
    <row r="575" spans="1:72" x14ac:dyDescent="0.15">
      <c r="A575" s="43">
        <v>2023</v>
      </c>
      <c r="B575" s="8">
        <v>1</v>
      </c>
      <c r="C575" s="8">
        <v>1</v>
      </c>
      <c r="D575" s="8">
        <v>10</v>
      </c>
      <c r="E575" s="8" t="s">
        <v>228</v>
      </c>
      <c r="F575" s="8" t="s">
        <v>57</v>
      </c>
      <c r="G575" s="8">
        <v>2017</v>
      </c>
      <c r="H575" s="8">
        <v>12</v>
      </c>
      <c r="I575" s="8" t="s">
        <v>483</v>
      </c>
      <c r="J575" s="8" t="s">
        <v>228</v>
      </c>
      <c r="K575" s="8">
        <v>1953</v>
      </c>
      <c r="L575" s="17">
        <v>1</v>
      </c>
      <c r="M575" s="8">
        <v>1</v>
      </c>
      <c r="N575" s="8" t="s">
        <v>49</v>
      </c>
      <c r="O575" s="8" t="s">
        <v>283</v>
      </c>
      <c r="P575" s="8" t="s">
        <v>280</v>
      </c>
      <c r="Q575" s="8">
        <v>20000</v>
      </c>
      <c r="R575" s="8" t="s">
        <v>59</v>
      </c>
      <c r="S575" s="8" t="s">
        <v>54</v>
      </c>
      <c r="T575" s="8" t="s">
        <v>69</v>
      </c>
      <c r="U575" s="8" t="s">
        <v>228</v>
      </c>
      <c r="V575" s="8">
        <v>500</v>
      </c>
      <c r="W575" s="8" t="s">
        <v>328</v>
      </c>
      <c r="X575" s="8">
        <v>3000</v>
      </c>
      <c r="Y575" s="8" t="s">
        <v>394</v>
      </c>
      <c r="Z575" s="8">
        <v>100</v>
      </c>
      <c r="AA575" s="8" t="s">
        <v>278</v>
      </c>
      <c r="AB575" s="8" t="s">
        <v>228</v>
      </c>
      <c r="AC575" s="8" t="s">
        <v>228</v>
      </c>
      <c r="AD575" s="8" t="s">
        <v>228</v>
      </c>
      <c r="AE575" s="8" t="s">
        <v>228</v>
      </c>
      <c r="AF575" s="8" t="s">
        <v>228</v>
      </c>
      <c r="AG575" s="8" t="s">
        <v>228</v>
      </c>
      <c r="AH575" s="8" t="s">
        <v>228</v>
      </c>
      <c r="AI575" s="8" t="s">
        <v>228</v>
      </c>
      <c r="AJ575" t="s">
        <v>468</v>
      </c>
      <c r="AK575">
        <v>1</v>
      </c>
      <c r="AL575">
        <v>1</v>
      </c>
      <c r="AM575" t="s">
        <v>91</v>
      </c>
      <c r="AN575" t="s">
        <v>228</v>
      </c>
      <c r="AO575" t="s">
        <v>526</v>
      </c>
      <c r="AP575" t="s">
        <v>108</v>
      </c>
      <c r="AQ575">
        <v>12</v>
      </c>
      <c r="AR575" t="s">
        <v>483</v>
      </c>
      <c r="AS575" t="s">
        <v>228</v>
      </c>
      <c r="AT575" t="s">
        <v>170</v>
      </c>
      <c r="AU575">
        <v>1</v>
      </c>
      <c r="AV575">
        <v>1</v>
      </c>
      <c r="AW575" t="s">
        <v>537</v>
      </c>
      <c r="AX575" t="s">
        <v>283</v>
      </c>
      <c r="AY575" t="s">
        <v>280</v>
      </c>
      <c r="AZ575">
        <v>5</v>
      </c>
      <c r="BA575" t="s">
        <v>533</v>
      </c>
      <c r="BB575" t="s">
        <v>541</v>
      </c>
      <c r="BC575" t="s">
        <v>395</v>
      </c>
      <c r="BD575" t="s">
        <v>228</v>
      </c>
      <c r="BE575" t="s">
        <v>522</v>
      </c>
      <c r="BF575" t="s">
        <v>523</v>
      </c>
      <c r="BG575" t="s">
        <v>407</v>
      </c>
      <c r="BH575" t="s">
        <v>551</v>
      </c>
      <c r="BI575" t="s">
        <v>525</v>
      </c>
      <c r="BJ575" t="s">
        <v>228</v>
      </c>
      <c r="BK575" t="s">
        <v>228</v>
      </c>
      <c r="BL575" t="s">
        <v>228</v>
      </c>
      <c r="BM575" t="s">
        <v>228</v>
      </c>
      <c r="BN575" t="s">
        <v>228</v>
      </c>
      <c r="BO575" t="s">
        <v>228</v>
      </c>
      <c r="BP575" t="s">
        <v>228</v>
      </c>
      <c r="BQ575" t="s">
        <v>228</v>
      </c>
      <c r="BR575" t="s">
        <v>228</v>
      </c>
      <c r="BS575" t="s">
        <v>409</v>
      </c>
      <c r="BT575">
        <v>1</v>
      </c>
    </row>
    <row r="576" spans="1:72" x14ac:dyDescent="0.15">
      <c r="A576" s="43">
        <v>2023</v>
      </c>
      <c r="B576" s="8">
        <v>1</v>
      </c>
      <c r="C576" s="8">
        <v>1</v>
      </c>
      <c r="D576" s="8">
        <v>10</v>
      </c>
      <c r="E576" s="8" t="s">
        <v>228</v>
      </c>
      <c r="F576" s="8" t="s">
        <v>57</v>
      </c>
      <c r="G576" s="8">
        <v>2017</v>
      </c>
      <c r="H576" s="8">
        <v>12</v>
      </c>
      <c r="I576" s="8" t="s">
        <v>483</v>
      </c>
      <c r="J576" s="8" t="s">
        <v>228</v>
      </c>
      <c r="K576" s="8">
        <v>1953</v>
      </c>
      <c r="L576" s="17">
        <v>1</v>
      </c>
      <c r="M576" s="8">
        <v>1</v>
      </c>
      <c r="N576" s="8" t="s">
        <v>49</v>
      </c>
      <c r="O576" s="8" t="s">
        <v>283</v>
      </c>
      <c r="P576" s="8" t="s">
        <v>280</v>
      </c>
      <c r="Q576" s="8">
        <v>20000</v>
      </c>
      <c r="R576" s="8" t="s">
        <v>59</v>
      </c>
      <c r="S576" s="8" t="s">
        <v>54</v>
      </c>
      <c r="T576" s="8" t="s">
        <v>69</v>
      </c>
      <c r="U576" s="8" t="s">
        <v>228</v>
      </c>
      <c r="V576" s="8">
        <v>500</v>
      </c>
      <c r="W576" s="8" t="s">
        <v>328</v>
      </c>
      <c r="X576" s="8">
        <v>3000</v>
      </c>
      <c r="Y576" s="8" t="s">
        <v>271</v>
      </c>
      <c r="Z576" s="8">
        <v>100</v>
      </c>
      <c r="AA576" s="8" t="s">
        <v>278</v>
      </c>
      <c r="AB576" s="8" t="s">
        <v>228</v>
      </c>
      <c r="AC576" s="8" t="s">
        <v>228</v>
      </c>
      <c r="AD576" s="8" t="s">
        <v>228</v>
      </c>
      <c r="AE576" s="8" t="s">
        <v>228</v>
      </c>
      <c r="AF576" s="8" t="s">
        <v>228</v>
      </c>
      <c r="AG576" s="8" t="s">
        <v>228</v>
      </c>
      <c r="AH576" s="8" t="s">
        <v>228</v>
      </c>
      <c r="AI576" s="8" t="s">
        <v>228</v>
      </c>
      <c r="AJ576" t="s">
        <v>468</v>
      </c>
      <c r="AK576">
        <v>1</v>
      </c>
      <c r="AL576">
        <v>1</v>
      </c>
      <c r="AM576" t="s">
        <v>91</v>
      </c>
      <c r="AN576" t="s">
        <v>228</v>
      </c>
      <c r="AO576" t="s">
        <v>526</v>
      </c>
      <c r="AP576" t="s">
        <v>108</v>
      </c>
      <c r="AQ576">
        <v>12</v>
      </c>
      <c r="AR576" t="s">
        <v>483</v>
      </c>
      <c r="AS576" t="s">
        <v>228</v>
      </c>
      <c r="AT576" t="s">
        <v>170</v>
      </c>
      <c r="AU576">
        <v>1</v>
      </c>
      <c r="AV576">
        <v>1</v>
      </c>
      <c r="AW576" t="s">
        <v>537</v>
      </c>
      <c r="AX576" t="s">
        <v>283</v>
      </c>
      <c r="AY576" t="s">
        <v>280</v>
      </c>
      <c r="AZ576">
        <v>5</v>
      </c>
      <c r="BA576" t="s">
        <v>533</v>
      </c>
      <c r="BB576" t="s">
        <v>541</v>
      </c>
      <c r="BC576" t="s">
        <v>395</v>
      </c>
      <c r="BD576" t="s">
        <v>228</v>
      </c>
      <c r="BE576" t="s">
        <v>522</v>
      </c>
      <c r="BF576" t="s">
        <v>523</v>
      </c>
      <c r="BG576" t="s">
        <v>407</v>
      </c>
      <c r="BH576" t="s">
        <v>544</v>
      </c>
      <c r="BI576" t="s">
        <v>525</v>
      </c>
      <c r="BJ576" t="s">
        <v>228</v>
      </c>
      <c r="BK576" t="s">
        <v>228</v>
      </c>
      <c r="BL576" t="s">
        <v>228</v>
      </c>
      <c r="BM576" t="s">
        <v>228</v>
      </c>
      <c r="BN576" t="s">
        <v>228</v>
      </c>
      <c r="BO576" t="s">
        <v>228</v>
      </c>
      <c r="BP576" t="s">
        <v>228</v>
      </c>
      <c r="BQ576" t="s">
        <v>228</v>
      </c>
      <c r="BR576" t="s">
        <v>228</v>
      </c>
      <c r="BS576" t="s">
        <v>409</v>
      </c>
      <c r="BT576">
        <v>0</v>
      </c>
    </row>
    <row r="577" spans="1:72" x14ac:dyDescent="0.15">
      <c r="A577" s="43">
        <v>2023</v>
      </c>
      <c r="B577" s="8">
        <v>1</v>
      </c>
      <c r="C577" s="8">
        <v>1</v>
      </c>
      <c r="D577" s="8">
        <v>9</v>
      </c>
      <c r="E577" s="8" t="s">
        <v>228</v>
      </c>
      <c r="F577" s="8" t="s">
        <v>57</v>
      </c>
      <c r="G577" s="8">
        <v>2017</v>
      </c>
      <c r="H577" s="8">
        <v>12</v>
      </c>
      <c r="I577" s="8" t="s">
        <v>483</v>
      </c>
      <c r="J577" s="8" t="s">
        <v>228</v>
      </c>
      <c r="K577" s="8">
        <v>1953</v>
      </c>
      <c r="L577" s="17">
        <v>1</v>
      </c>
      <c r="M577" s="8">
        <v>1</v>
      </c>
      <c r="N577" s="8" t="s">
        <v>49</v>
      </c>
      <c r="O577" s="8" t="s">
        <v>283</v>
      </c>
      <c r="P577" s="8" t="s">
        <v>280</v>
      </c>
      <c r="Q577" s="8">
        <v>20000</v>
      </c>
      <c r="R577" s="8" t="s">
        <v>59</v>
      </c>
      <c r="S577" s="8" t="s">
        <v>54</v>
      </c>
      <c r="T577" s="8" t="s">
        <v>69</v>
      </c>
      <c r="U577" s="8" t="s">
        <v>228</v>
      </c>
      <c r="V577" s="8">
        <v>500</v>
      </c>
      <c r="W577" s="8" t="s">
        <v>328</v>
      </c>
      <c r="X577" s="8">
        <v>3000</v>
      </c>
      <c r="Y577" s="8" t="s">
        <v>268</v>
      </c>
      <c r="Z577" s="8">
        <v>100</v>
      </c>
      <c r="AA577" s="8" t="s">
        <v>278</v>
      </c>
      <c r="AB577" s="8" t="s">
        <v>228</v>
      </c>
      <c r="AC577" s="8" t="s">
        <v>228</v>
      </c>
      <c r="AD577" s="8" t="s">
        <v>228</v>
      </c>
      <c r="AE577" s="8" t="s">
        <v>228</v>
      </c>
      <c r="AF577" s="8" t="s">
        <v>228</v>
      </c>
      <c r="AG577" s="8" t="s">
        <v>228</v>
      </c>
      <c r="AH577" s="8" t="s">
        <v>228</v>
      </c>
      <c r="AI577" s="8" t="s">
        <v>228</v>
      </c>
      <c r="AJ577" t="s">
        <v>468</v>
      </c>
      <c r="AK577">
        <v>1</v>
      </c>
      <c r="AL577">
        <v>1</v>
      </c>
      <c r="AM577" t="s">
        <v>92</v>
      </c>
      <c r="AN577" t="s">
        <v>228</v>
      </c>
      <c r="AO577" t="s">
        <v>526</v>
      </c>
      <c r="AP577" t="s">
        <v>108</v>
      </c>
      <c r="AQ577">
        <v>12</v>
      </c>
      <c r="AR577" t="s">
        <v>483</v>
      </c>
      <c r="AS577" t="s">
        <v>228</v>
      </c>
      <c r="AT577" t="s">
        <v>170</v>
      </c>
      <c r="AU577">
        <v>1</v>
      </c>
      <c r="AV577">
        <v>1</v>
      </c>
      <c r="AW577" t="s">
        <v>537</v>
      </c>
      <c r="AX577" t="s">
        <v>283</v>
      </c>
      <c r="AY577" t="s">
        <v>280</v>
      </c>
      <c r="AZ577">
        <v>5</v>
      </c>
      <c r="BA577" t="s">
        <v>533</v>
      </c>
      <c r="BB577" t="s">
        <v>541</v>
      </c>
      <c r="BC577" t="s">
        <v>395</v>
      </c>
      <c r="BD577" t="s">
        <v>228</v>
      </c>
      <c r="BE577" t="s">
        <v>522</v>
      </c>
      <c r="BF577" t="s">
        <v>523</v>
      </c>
      <c r="BG577" t="s">
        <v>407</v>
      </c>
      <c r="BH577" t="s">
        <v>396</v>
      </c>
      <c r="BI577" t="s">
        <v>525</v>
      </c>
      <c r="BJ577" t="s">
        <v>228</v>
      </c>
      <c r="BK577" t="s">
        <v>228</v>
      </c>
      <c r="BL577" t="s">
        <v>228</v>
      </c>
      <c r="BM577" t="s">
        <v>228</v>
      </c>
      <c r="BN577" t="s">
        <v>228</v>
      </c>
      <c r="BO577" t="s">
        <v>228</v>
      </c>
      <c r="BP577" t="s">
        <v>228</v>
      </c>
      <c r="BQ577" t="s">
        <v>228</v>
      </c>
      <c r="BR577" t="s">
        <v>228</v>
      </c>
      <c r="BS577" t="s">
        <v>409</v>
      </c>
      <c r="BT577">
        <v>1</v>
      </c>
    </row>
    <row r="578" spans="1:72" x14ac:dyDescent="0.15">
      <c r="A578" s="43">
        <v>2023</v>
      </c>
      <c r="B578" s="8">
        <v>1</v>
      </c>
      <c r="C578" s="8">
        <v>1</v>
      </c>
      <c r="D578" s="8">
        <v>9</v>
      </c>
      <c r="E578" s="8" t="s">
        <v>228</v>
      </c>
      <c r="F578" s="8" t="s">
        <v>57</v>
      </c>
      <c r="G578" s="8">
        <v>2017</v>
      </c>
      <c r="H578" s="8">
        <v>12</v>
      </c>
      <c r="I578" s="8" t="s">
        <v>483</v>
      </c>
      <c r="J578" s="8" t="s">
        <v>228</v>
      </c>
      <c r="K578" s="8">
        <v>1953</v>
      </c>
      <c r="L578" s="17">
        <v>1</v>
      </c>
      <c r="M578" s="8">
        <v>1</v>
      </c>
      <c r="N578" s="8" t="s">
        <v>49</v>
      </c>
      <c r="O578" s="8" t="s">
        <v>283</v>
      </c>
      <c r="P578" s="8" t="s">
        <v>280</v>
      </c>
      <c r="Q578" s="8">
        <v>20000</v>
      </c>
      <c r="R578" s="8" t="s">
        <v>59</v>
      </c>
      <c r="S578" s="8" t="s">
        <v>54</v>
      </c>
      <c r="T578" s="8" t="s">
        <v>69</v>
      </c>
      <c r="U578" s="8" t="s">
        <v>228</v>
      </c>
      <c r="V578" s="8">
        <v>500</v>
      </c>
      <c r="W578" s="8" t="s">
        <v>328</v>
      </c>
      <c r="X578" s="8">
        <v>3000</v>
      </c>
      <c r="Y578" s="8" t="s">
        <v>394</v>
      </c>
      <c r="Z578" s="8">
        <v>100</v>
      </c>
      <c r="AA578" s="8" t="s">
        <v>278</v>
      </c>
      <c r="AB578" s="8" t="s">
        <v>228</v>
      </c>
      <c r="AC578" s="8" t="s">
        <v>228</v>
      </c>
      <c r="AD578" s="8" t="s">
        <v>228</v>
      </c>
      <c r="AE578" s="8" t="s">
        <v>228</v>
      </c>
      <c r="AF578" s="8" t="s">
        <v>228</v>
      </c>
      <c r="AG578" s="8" t="s">
        <v>228</v>
      </c>
      <c r="AH578" s="8" t="s">
        <v>228</v>
      </c>
      <c r="AI578" s="8" t="s">
        <v>228</v>
      </c>
      <c r="AJ578" t="s">
        <v>468</v>
      </c>
      <c r="AK578">
        <v>1</v>
      </c>
      <c r="AL578">
        <v>1</v>
      </c>
      <c r="AM578" t="s">
        <v>92</v>
      </c>
      <c r="AN578" t="s">
        <v>228</v>
      </c>
      <c r="AO578" t="s">
        <v>526</v>
      </c>
      <c r="AP578" t="s">
        <v>108</v>
      </c>
      <c r="AQ578">
        <v>12</v>
      </c>
      <c r="AR578" t="s">
        <v>483</v>
      </c>
      <c r="AS578" t="s">
        <v>228</v>
      </c>
      <c r="AT578" t="s">
        <v>170</v>
      </c>
      <c r="AU578">
        <v>1</v>
      </c>
      <c r="AV578">
        <v>1</v>
      </c>
      <c r="AW578" t="s">
        <v>537</v>
      </c>
      <c r="AX578" t="s">
        <v>283</v>
      </c>
      <c r="AY578" t="s">
        <v>280</v>
      </c>
      <c r="AZ578">
        <v>5</v>
      </c>
      <c r="BA578" t="s">
        <v>533</v>
      </c>
      <c r="BB578" t="s">
        <v>541</v>
      </c>
      <c r="BC578" t="s">
        <v>395</v>
      </c>
      <c r="BD578" t="s">
        <v>228</v>
      </c>
      <c r="BE578" t="s">
        <v>522</v>
      </c>
      <c r="BF578" t="s">
        <v>523</v>
      </c>
      <c r="BG578" t="s">
        <v>407</v>
      </c>
      <c r="BH578" t="s">
        <v>551</v>
      </c>
      <c r="BI578" t="s">
        <v>525</v>
      </c>
      <c r="BJ578" t="s">
        <v>228</v>
      </c>
      <c r="BK578" t="s">
        <v>228</v>
      </c>
      <c r="BL578" t="s">
        <v>228</v>
      </c>
      <c r="BM578" t="s">
        <v>228</v>
      </c>
      <c r="BN578" t="s">
        <v>228</v>
      </c>
      <c r="BO578" t="s">
        <v>228</v>
      </c>
      <c r="BP578" t="s">
        <v>228</v>
      </c>
      <c r="BQ578" t="s">
        <v>228</v>
      </c>
      <c r="BR578" t="s">
        <v>228</v>
      </c>
      <c r="BS578" t="s">
        <v>409</v>
      </c>
      <c r="BT578">
        <v>1</v>
      </c>
    </row>
    <row r="579" spans="1:72" x14ac:dyDescent="0.15">
      <c r="A579" s="43">
        <v>2023</v>
      </c>
      <c r="B579" s="8">
        <v>1</v>
      </c>
      <c r="C579" s="8">
        <v>1</v>
      </c>
      <c r="D579" s="8">
        <v>9</v>
      </c>
      <c r="E579" s="8" t="s">
        <v>228</v>
      </c>
      <c r="F579" s="8" t="s">
        <v>57</v>
      </c>
      <c r="G579" s="8">
        <v>2017</v>
      </c>
      <c r="H579" s="8">
        <v>12</v>
      </c>
      <c r="I579" s="8" t="s">
        <v>483</v>
      </c>
      <c r="J579" s="8" t="s">
        <v>228</v>
      </c>
      <c r="K579" s="8">
        <v>1953</v>
      </c>
      <c r="L579" s="17">
        <v>1</v>
      </c>
      <c r="M579" s="8">
        <v>1</v>
      </c>
      <c r="N579" s="8" t="s">
        <v>49</v>
      </c>
      <c r="O579" s="8" t="s">
        <v>283</v>
      </c>
      <c r="P579" s="8" t="s">
        <v>280</v>
      </c>
      <c r="Q579" s="8">
        <v>20000</v>
      </c>
      <c r="R579" s="8" t="s">
        <v>59</v>
      </c>
      <c r="S579" s="8" t="s">
        <v>54</v>
      </c>
      <c r="T579" s="8" t="s">
        <v>69</v>
      </c>
      <c r="U579" s="8" t="s">
        <v>228</v>
      </c>
      <c r="V579" s="8">
        <v>500</v>
      </c>
      <c r="W579" s="8" t="s">
        <v>328</v>
      </c>
      <c r="X579" s="8">
        <v>3000</v>
      </c>
      <c r="Y579" s="8" t="s">
        <v>271</v>
      </c>
      <c r="Z579" s="8">
        <v>100</v>
      </c>
      <c r="AA579" s="8" t="s">
        <v>278</v>
      </c>
      <c r="AB579" s="8" t="s">
        <v>228</v>
      </c>
      <c r="AC579" s="8" t="s">
        <v>228</v>
      </c>
      <c r="AD579" s="8" t="s">
        <v>228</v>
      </c>
      <c r="AE579" s="8" t="s">
        <v>228</v>
      </c>
      <c r="AF579" s="8" t="s">
        <v>228</v>
      </c>
      <c r="AG579" s="8" t="s">
        <v>228</v>
      </c>
      <c r="AH579" s="8" t="s">
        <v>228</v>
      </c>
      <c r="AI579" s="8" t="s">
        <v>228</v>
      </c>
      <c r="AJ579" t="s">
        <v>468</v>
      </c>
      <c r="AK579">
        <v>1</v>
      </c>
      <c r="AL579">
        <v>1</v>
      </c>
      <c r="AM579" t="s">
        <v>92</v>
      </c>
      <c r="AN579" t="s">
        <v>228</v>
      </c>
      <c r="AO579" t="s">
        <v>526</v>
      </c>
      <c r="AP579" t="s">
        <v>108</v>
      </c>
      <c r="AQ579">
        <v>12</v>
      </c>
      <c r="AR579" t="s">
        <v>483</v>
      </c>
      <c r="AS579" t="s">
        <v>228</v>
      </c>
      <c r="AT579" t="s">
        <v>170</v>
      </c>
      <c r="AU579">
        <v>1</v>
      </c>
      <c r="AV579">
        <v>1</v>
      </c>
      <c r="AW579" t="s">
        <v>537</v>
      </c>
      <c r="AX579" t="s">
        <v>283</v>
      </c>
      <c r="AY579" t="s">
        <v>280</v>
      </c>
      <c r="AZ579">
        <v>5</v>
      </c>
      <c r="BA579" t="s">
        <v>533</v>
      </c>
      <c r="BB579" t="s">
        <v>541</v>
      </c>
      <c r="BC579" t="s">
        <v>395</v>
      </c>
      <c r="BD579" t="s">
        <v>228</v>
      </c>
      <c r="BE579" t="s">
        <v>522</v>
      </c>
      <c r="BF579" t="s">
        <v>523</v>
      </c>
      <c r="BG579" t="s">
        <v>407</v>
      </c>
      <c r="BH579" t="s">
        <v>544</v>
      </c>
      <c r="BI579" t="s">
        <v>525</v>
      </c>
      <c r="BJ579" t="s">
        <v>228</v>
      </c>
      <c r="BK579" t="s">
        <v>228</v>
      </c>
      <c r="BL579" t="s">
        <v>228</v>
      </c>
      <c r="BM579" t="s">
        <v>228</v>
      </c>
      <c r="BN579" t="s">
        <v>228</v>
      </c>
      <c r="BO579" t="s">
        <v>228</v>
      </c>
      <c r="BP579" t="s">
        <v>228</v>
      </c>
      <c r="BQ579" t="s">
        <v>228</v>
      </c>
      <c r="BR579" t="s">
        <v>228</v>
      </c>
      <c r="BS579" t="s">
        <v>409</v>
      </c>
      <c r="BT579">
        <v>0</v>
      </c>
    </row>
    <row r="580" spans="1:72" x14ac:dyDescent="0.15">
      <c r="A580" s="43">
        <v>2023</v>
      </c>
      <c r="B580" s="8">
        <v>1</v>
      </c>
      <c r="C580" s="8">
        <v>1</v>
      </c>
      <c r="D580" s="8">
        <v>8</v>
      </c>
      <c r="E580" s="8" t="s">
        <v>228</v>
      </c>
      <c r="F580" s="8" t="s">
        <v>57</v>
      </c>
      <c r="G580" s="8">
        <v>2017</v>
      </c>
      <c r="H580" s="8">
        <v>12</v>
      </c>
      <c r="I580" s="8" t="s">
        <v>483</v>
      </c>
      <c r="J580" s="8" t="s">
        <v>228</v>
      </c>
      <c r="K580" s="8">
        <v>1953</v>
      </c>
      <c r="L580" s="17">
        <v>1</v>
      </c>
      <c r="M580" s="8">
        <v>1</v>
      </c>
      <c r="N580" s="8" t="s">
        <v>49</v>
      </c>
      <c r="O580" s="8" t="s">
        <v>283</v>
      </c>
      <c r="P580" s="8" t="s">
        <v>280</v>
      </c>
      <c r="Q580" s="8">
        <v>20000</v>
      </c>
      <c r="R580" s="8" t="s">
        <v>59</v>
      </c>
      <c r="S580" s="8" t="s">
        <v>54</v>
      </c>
      <c r="T580" s="8" t="s">
        <v>69</v>
      </c>
      <c r="U580" s="8" t="s">
        <v>228</v>
      </c>
      <c r="V580" s="8">
        <v>500</v>
      </c>
      <c r="W580" s="8" t="s">
        <v>328</v>
      </c>
      <c r="X580" s="8">
        <v>3000</v>
      </c>
      <c r="Y580" s="8" t="s">
        <v>268</v>
      </c>
      <c r="Z580" s="8">
        <v>100</v>
      </c>
      <c r="AA580" s="8" t="s">
        <v>278</v>
      </c>
      <c r="AB580" s="8" t="s">
        <v>228</v>
      </c>
      <c r="AC580" s="8" t="s">
        <v>228</v>
      </c>
      <c r="AD580" s="8" t="s">
        <v>228</v>
      </c>
      <c r="AE580" s="8" t="s">
        <v>228</v>
      </c>
      <c r="AF580" s="8" t="s">
        <v>228</v>
      </c>
      <c r="AG580" s="8" t="s">
        <v>228</v>
      </c>
      <c r="AH580" s="8" t="s">
        <v>228</v>
      </c>
      <c r="AI580" s="8" t="s">
        <v>228</v>
      </c>
      <c r="AJ580" t="s">
        <v>468</v>
      </c>
      <c r="AK580">
        <v>1</v>
      </c>
      <c r="AL580">
        <v>1</v>
      </c>
      <c r="AM580" t="s">
        <v>93</v>
      </c>
      <c r="AN580" t="s">
        <v>228</v>
      </c>
      <c r="AO580" t="s">
        <v>526</v>
      </c>
      <c r="AP580" t="s">
        <v>108</v>
      </c>
      <c r="AQ580">
        <v>12</v>
      </c>
      <c r="AR580" t="s">
        <v>483</v>
      </c>
      <c r="AS580" t="s">
        <v>228</v>
      </c>
      <c r="AT580" t="s">
        <v>170</v>
      </c>
      <c r="AU580">
        <v>1</v>
      </c>
      <c r="AV580">
        <v>1</v>
      </c>
      <c r="AW580" t="s">
        <v>537</v>
      </c>
      <c r="AX580" t="s">
        <v>283</v>
      </c>
      <c r="AY580" t="s">
        <v>280</v>
      </c>
      <c r="AZ580">
        <v>5</v>
      </c>
      <c r="BA580" t="s">
        <v>533</v>
      </c>
      <c r="BB580" t="s">
        <v>541</v>
      </c>
      <c r="BC580" t="s">
        <v>395</v>
      </c>
      <c r="BD580" t="s">
        <v>228</v>
      </c>
      <c r="BE580" t="s">
        <v>522</v>
      </c>
      <c r="BF580" t="s">
        <v>523</v>
      </c>
      <c r="BG580" t="s">
        <v>407</v>
      </c>
      <c r="BH580" t="s">
        <v>396</v>
      </c>
      <c r="BI580" t="s">
        <v>525</v>
      </c>
      <c r="BJ580" t="s">
        <v>228</v>
      </c>
      <c r="BK580" t="s">
        <v>228</v>
      </c>
      <c r="BL580" t="s">
        <v>228</v>
      </c>
      <c r="BM580" t="s">
        <v>228</v>
      </c>
      <c r="BN580" t="s">
        <v>228</v>
      </c>
      <c r="BO580" t="s">
        <v>228</v>
      </c>
      <c r="BP580" t="s">
        <v>228</v>
      </c>
      <c r="BQ580" t="s">
        <v>228</v>
      </c>
      <c r="BR580" t="s">
        <v>228</v>
      </c>
      <c r="BS580" t="s">
        <v>409</v>
      </c>
      <c r="BT580">
        <v>1</v>
      </c>
    </row>
    <row r="581" spans="1:72" x14ac:dyDescent="0.15">
      <c r="A581" s="43">
        <v>2023</v>
      </c>
      <c r="B581" s="8">
        <v>1</v>
      </c>
      <c r="C581" s="8">
        <v>1</v>
      </c>
      <c r="D581" s="8">
        <v>8</v>
      </c>
      <c r="E581" s="8" t="s">
        <v>228</v>
      </c>
      <c r="F581" s="8" t="s">
        <v>57</v>
      </c>
      <c r="G581" s="8">
        <v>2017</v>
      </c>
      <c r="H581" s="8">
        <v>12</v>
      </c>
      <c r="I581" s="8" t="s">
        <v>483</v>
      </c>
      <c r="J581" s="8" t="s">
        <v>228</v>
      </c>
      <c r="K581" s="8">
        <v>1953</v>
      </c>
      <c r="L581" s="17">
        <v>1</v>
      </c>
      <c r="M581" s="8">
        <v>1</v>
      </c>
      <c r="N581" s="8" t="s">
        <v>49</v>
      </c>
      <c r="O581" s="8" t="s">
        <v>283</v>
      </c>
      <c r="P581" s="8" t="s">
        <v>280</v>
      </c>
      <c r="Q581" s="8">
        <v>20000</v>
      </c>
      <c r="R581" s="8" t="s">
        <v>59</v>
      </c>
      <c r="S581" s="8" t="s">
        <v>54</v>
      </c>
      <c r="T581" s="8" t="s">
        <v>69</v>
      </c>
      <c r="U581" s="8" t="s">
        <v>228</v>
      </c>
      <c r="V581" s="8">
        <v>500</v>
      </c>
      <c r="W581" s="8" t="s">
        <v>328</v>
      </c>
      <c r="X581" s="8">
        <v>3000</v>
      </c>
      <c r="Y581" s="8" t="s">
        <v>394</v>
      </c>
      <c r="Z581" s="8">
        <v>100</v>
      </c>
      <c r="AA581" s="8" t="s">
        <v>278</v>
      </c>
      <c r="AB581" s="8" t="s">
        <v>228</v>
      </c>
      <c r="AC581" s="8" t="s">
        <v>228</v>
      </c>
      <c r="AD581" s="8" t="s">
        <v>228</v>
      </c>
      <c r="AE581" s="8" t="s">
        <v>228</v>
      </c>
      <c r="AF581" s="8" t="s">
        <v>228</v>
      </c>
      <c r="AG581" s="8" t="s">
        <v>228</v>
      </c>
      <c r="AH581" s="8" t="s">
        <v>228</v>
      </c>
      <c r="AI581" s="8" t="s">
        <v>228</v>
      </c>
      <c r="AJ581" t="s">
        <v>468</v>
      </c>
      <c r="AK581">
        <v>1</v>
      </c>
      <c r="AL581">
        <v>1</v>
      </c>
      <c r="AM581" t="s">
        <v>93</v>
      </c>
      <c r="AN581" t="s">
        <v>228</v>
      </c>
      <c r="AO581" t="s">
        <v>526</v>
      </c>
      <c r="AP581" t="s">
        <v>108</v>
      </c>
      <c r="AQ581">
        <v>12</v>
      </c>
      <c r="AR581" t="s">
        <v>483</v>
      </c>
      <c r="AS581" t="s">
        <v>228</v>
      </c>
      <c r="AT581" t="s">
        <v>170</v>
      </c>
      <c r="AU581">
        <v>1</v>
      </c>
      <c r="AV581">
        <v>1</v>
      </c>
      <c r="AW581" t="s">
        <v>537</v>
      </c>
      <c r="AX581" t="s">
        <v>283</v>
      </c>
      <c r="AY581" t="s">
        <v>280</v>
      </c>
      <c r="AZ581">
        <v>5</v>
      </c>
      <c r="BA581" t="s">
        <v>533</v>
      </c>
      <c r="BB581" t="s">
        <v>541</v>
      </c>
      <c r="BC581" t="s">
        <v>395</v>
      </c>
      <c r="BD581" t="s">
        <v>228</v>
      </c>
      <c r="BE581" t="s">
        <v>522</v>
      </c>
      <c r="BF581" t="s">
        <v>523</v>
      </c>
      <c r="BG581" t="s">
        <v>407</v>
      </c>
      <c r="BH581" t="s">
        <v>551</v>
      </c>
      <c r="BI581" t="s">
        <v>525</v>
      </c>
      <c r="BJ581" t="s">
        <v>228</v>
      </c>
      <c r="BK581" t="s">
        <v>228</v>
      </c>
      <c r="BL581" t="s">
        <v>228</v>
      </c>
      <c r="BM581" t="s">
        <v>228</v>
      </c>
      <c r="BN581" t="s">
        <v>228</v>
      </c>
      <c r="BO581" t="s">
        <v>228</v>
      </c>
      <c r="BP581" t="s">
        <v>228</v>
      </c>
      <c r="BQ581" t="s">
        <v>228</v>
      </c>
      <c r="BR581" t="s">
        <v>228</v>
      </c>
      <c r="BS581" t="s">
        <v>409</v>
      </c>
      <c r="BT581">
        <v>1</v>
      </c>
    </row>
    <row r="582" spans="1:72" x14ac:dyDescent="0.15">
      <c r="A582" s="43">
        <v>2023</v>
      </c>
      <c r="B582" s="8">
        <v>1</v>
      </c>
      <c r="C582" s="8">
        <v>1</v>
      </c>
      <c r="D582" s="8">
        <v>8</v>
      </c>
      <c r="E582" s="8" t="s">
        <v>228</v>
      </c>
      <c r="F582" s="8" t="s">
        <v>57</v>
      </c>
      <c r="G582" s="8">
        <v>2017</v>
      </c>
      <c r="H582" s="8">
        <v>12</v>
      </c>
      <c r="I582" s="8" t="s">
        <v>483</v>
      </c>
      <c r="J582" s="8" t="s">
        <v>228</v>
      </c>
      <c r="K582" s="8">
        <v>1953</v>
      </c>
      <c r="L582" s="17">
        <v>1</v>
      </c>
      <c r="M582" s="8">
        <v>1</v>
      </c>
      <c r="N582" s="8" t="s">
        <v>49</v>
      </c>
      <c r="O582" s="8" t="s">
        <v>283</v>
      </c>
      <c r="P582" s="8" t="s">
        <v>280</v>
      </c>
      <c r="Q582" s="8">
        <v>20000</v>
      </c>
      <c r="R582" s="8" t="s">
        <v>59</v>
      </c>
      <c r="S582" s="8" t="s">
        <v>54</v>
      </c>
      <c r="T582" s="8" t="s">
        <v>69</v>
      </c>
      <c r="U582" s="8" t="s">
        <v>228</v>
      </c>
      <c r="V582" s="8">
        <v>500</v>
      </c>
      <c r="W582" s="8" t="s">
        <v>328</v>
      </c>
      <c r="X582" s="8">
        <v>3000</v>
      </c>
      <c r="Y582" s="8" t="s">
        <v>271</v>
      </c>
      <c r="Z582" s="8">
        <v>100</v>
      </c>
      <c r="AA582" s="8" t="s">
        <v>278</v>
      </c>
      <c r="AB582" s="8" t="s">
        <v>228</v>
      </c>
      <c r="AC582" s="8" t="s">
        <v>228</v>
      </c>
      <c r="AD582" s="8" t="s">
        <v>228</v>
      </c>
      <c r="AE582" s="8" t="s">
        <v>228</v>
      </c>
      <c r="AF582" s="8" t="s">
        <v>228</v>
      </c>
      <c r="AG582" s="8" t="s">
        <v>228</v>
      </c>
      <c r="AH582" s="8" t="s">
        <v>228</v>
      </c>
      <c r="AI582" s="8" t="s">
        <v>228</v>
      </c>
      <c r="AJ582" t="s">
        <v>468</v>
      </c>
      <c r="AK582">
        <v>1</v>
      </c>
      <c r="AL582">
        <v>1</v>
      </c>
      <c r="AM582" t="s">
        <v>93</v>
      </c>
      <c r="AN582" t="s">
        <v>228</v>
      </c>
      <c r="AO582" t="s">
        <v>526</v>
      </c>
      <c r="AP582" t="s">
        <v>108</v>
      </c>
      <c r="AQ582">
        <v>12</v>
      </c>
      <c r="AR582" t="s">
        <v>483</v>
      </c>
      <c r="AS582" t="s">
        <v>228</v>
      </c>
      <c r="AT582" t="s">
        <v>170</v>
      </c>
      <c r="AU582">
        <v>1</v>
      </c>
      <c r="AV582">
        <v>1</v>
      </c>
      <c r="AW582" t="s">
        <v>537</v>
      </c>
      <c r="AX582" t="s">
        <v>283</v>
      </c>
      <c r="AY582" t="s">
        <v>280</v>
      </c>
      <c r="AZ582">
        <v>5</v>
      </c>
      <c r="BA582" t="s">
        <v>533</v>
      </c>
      <c r="BB582" t="s">
        <v>541</v>
      </c>
      <c r="BC582" t="s">
        <v>395</v>
      </c>
      <c r="BD582" t="s">
        <v>228</v>
      </c>
      <c r="BE582" t="s">
        <v>522</v>
      </c>
      <c r="BF582" t="s">
        <v>523</v>
      </c>
      <c r="BG582" t="s">
        <v>407</v>
      </c>
      <c r="BH582" t="s">
        <v>544</v>
      </c>
      <c r="BI582" t="s">
        <v>525</v>
      </c>
      <c r="BJ582" t="s">
        <v>228</v>
      </c>
      <c r="BK582" t="s">
        <v>228</v>
      </c>
      <c r="BL582" t="s">
        <v>228</v>
      </c>
      <c r="BM582" t="s">
        <v>228</v>
      </c>
      <c r="BN582" t="s">
        <v>228</v>
      </c>
      <c r="BO582" t="s">
        <v>228</v>
      </c>
      <c r="BP582" t="s">
        <v>228</v>
      </c>
      <c r="BQ582" t="s">
        <v>228</v>
      </c>
      <c r="BR582" t="s">
        <v>228</v>
      </c>
      <c r="BS582" t="s">
        <v>409</v>
      </c>
      <c r="BT582">
        <v>0</v>
      </c>
    </row>
    <row r="583" spans="1:72" x14ac:dyDescent="0.15">
      <c r="A583" s="43">
        <v>2023</v>
      </c>
      <c r="B583" s="8">
        <v>1</v>
      </c>
      <c r="C583" s="8">
        <v>1</v>
      </c>
      <c r="D583" s="8">
        <v>7</v>
      </c>
      <c r="E583" s="8" t="s">
        <v>228</v>
      </c>
      <c r="F583" s="8" t="s">
        <v>57</v>
      </c>
      <c r="G583" s="8">
        <v>2017</v>
      </c>
      <c r="H583" s="8">
        <v>12</v>
      </c>
      <c r="I583" s="8" t="s">
        <v>483</v>
      </c>
      <c r="J583" s="8" t="s">
        <v>228</v>
      </c>
      <c r="K583" s="8">
        <v>1953</v>
      </c>
      <c r="L583" s="17">
        <v>1</v>
      </c>
      <c r="M583" s="8">
        <v>1</v>
      </c>
      <c r="N583" s="8" t="s">
        <v>49</v>
      </c>
      <c r="O583" s="8" t="s">
        <v>283</v>
      </c>
      <c r="P583" s="8" t="s">
        <v>280</v>
      </c>
      <c r="Q583" s="8">
        <v>20000</v>
      </c>
      <c r="R583" s="8" t="s">
        <v>59</v>
      </c>
      <c r="S583" s="8" t="s">
        <v>54</v>
      </c>
      <c r="T583" s="8" t="s">
        <v>69</v>
      </c>
      <c r="U583" s="8" t="s">
        <v>228</v>
      </c>
      <c r="V583" s="8">
        <v>500</v>
      </c>
      <c r="W583" s="8" t="s">
        <v>328</v>
      </c>
      <c r="X583" s="8">
        <v>3000</v>
      </c>
      <c r="Y583" s="8" t="s">
        <v>268</v>
      </c>
      <c r="Z583" s="8">
        <v>100</v>
      </c>
      <c r="AA583" s="8" t="s">
        <v>278</v>
      </c>
      <c r="AB583" s="8" t="s">
        <v>228</v>
      </c>
      <c r="AC583" s="8" t="s">
        <v>228</v>
      </c>
      <c r="AD583" s="8" t="s">
        <v>228</v>
      </c>
      <c r="AE583" s="8" t="s">
        <v>228</v>
      </c>
      <c r="AF583" s="8" t="s">
        <v>228</v>
      </c>
      <c r="AG583" s="8" t="s">
        <v>228</v>
      </c>
      <c r="AH583" s="8" t="s">
        <v>228</v>
      </c>
      <c r="AI583" s="8" t="s">
        <v>228</v>
      </c>
      <c r="AJ583" t="s">
        <v>468</v>
      </c>
      <c r="AK583">
        <v>1</v>
      </c>
      <c r="AL583">
        <v>1</v>
      </c>
      <c r="AM583" t="s">
        <v>94</v>
      </c>
      <c r="AN583" t="s">
        <v>228</v>
      </c>
      <c r="AO583" t="s">
        <v>526</v>
      </c>
      <c r="AP583" t="s">
        <v>108</v>
      </c>
      <c r="AQ583">
        <v>12</v>
      </c>
      <c r="AR583" t="s">
        <v>483</v>
      </c>
      <c r="AS583" t="s">
        <v>228</v>
      </c>
      <c r="AT583" t="s">
        <v>170</v>
      </c>
      <c r="AU583">
        <v>1</v>
      </c>
      <c r="AV583">
        <v>1</v>
      </c>
      <c r="AW583" t="s">
        <v>537</v>
      </c>
      <c r="AX583" t="s">
        <v>283</v>
      </c>
      <c r="AY583" t="s">
        <v>280</v>
      </c>
      <c r="AZ583">
        <v>5</v>
      </c>
      <c r="BA583" t="s">
        <v>533</v>
      </c>
      <c r="BB583" t="s">
        <v>541</v>
      </c>
      <c r="BC583" t="s">
        <v>395</v>
      </c>
      <c r="BD583" t="s">
        <v>228</v>
      </c>
      <c r="BE583" t="s">
        <v>522</v>
      </c>
      <c r="BF583" t="s">
        <v>523</v>
      </c>
      <c r="BG583" t="s">
        <v>407</v>
      </c>
      <c r="BH583" t="s">
        <v>396</v>
      </c>
      <c r="BI583" t="s">
        <v>525</v>
      </c>
      <c r="BJ583" t="s">
        <v>228</v>
      </c>
      <c r="BK583" t="s">
        <v>228</v>
      </c>
      <c r="BL583" t="s">
        <v>228</v>
      </c>
      <c r="BM583" t="s">
        <v>228</v>
      </c>
      <c r="BN583" t="s">
        <v>228</v>
      </c>
      <c r="BO583" t="s">
        <v>228</v>
      </c>
      <c r="BP583" t="s">
        <v>228</v>
      </c>
      <c r="BQ583" t="s">
        <v>228</v>
      </c>
      <c r="BR583" t="s">
        <v>228</v>
      </c>
      <c r="BS583" t="s">
        <v>409</v>
      </c>
      <c r="BT583">
        <v>1</v>
      </c>
    </row>
    <row r="584" spans="1:72" x14ac:dyDescent="0.15">
      <c r="A584" s="43">
        <v>2023</v>
      </c>
      <c r="B584" s="8">
        <v>1</v>
      </c>
      <c r="C584" s="8">
        <v>1</v>
      </c>
      <c r="D584" s="8">
        <v>7</v>
      </c>
      <c r="E584" s="8" t="s">
        <v>228</v>
      </c>
      <c r="F584" s="8" t="s">
        <v>57</v>
      </c>
      <c r="G584" s="8">
        <v>2017</v>
      </c>
      <c r="H584" s="8">
        <v>12</v>
      </c>
      <c r="I584" s="8" t="s">
        <v>483</v>
      </c>
      <c r="J584" s="8" t="s">
        <v>228</v>
      </c>
      <c r="K584" s="8">
        <v>1953</v>
      </c>
      <c r="L584" s="17">
        <v>1</v>
      </c>
      <c r="M584" s="8">
        <v>1</v>
      </c>
      <c r="N584" s="8" t="s">
        <v>49</v>
      </c>
      <c r="O584" s="8" t="s">
        <v>283</v>
      </c>
      <c r="P584" s="8" t="s">
        <v>280</v>
      </c>
      <c r="Q584" s="8">
        <v>20000</v>
      </c>
      <c r="R584" s="8" t="s">
        <v>59</v>
      </c>
      <c r="S584" s="8" t="s">
        <v>54</v>
      </c>
      <c r="T584" s="8" t="s">
        <v>69</v>
      </c>
      <c r="U584" s="8" t="s">
        <v>228</v>
      </c>
      <c r="V584" s="8">
        <v>500</v>
      </c>
      <c r="W584" s="8" t="s">
        <v>328</v>
      </c>
      <c r="X584" s="8">
        <v>3000</v>
      </c>
      <c r="Y584" s="8" t="s">
        <v>394</v>
      </c>
      <c r="Z584" s="8">
        <v>100</v>
      </c>
      <c r="AA584" s="8" t="s">
        <v>278</v>
      </c>
      <c r="AB584" s="8" t="s">
        <v>228</v>
      </c>
      <c r="AC584" s="8" t="s">
        <v>228</v>
      </c>
      <c r="AD584" s="8" t="s">
        <v>228</v>
      </c>
      <c r="AE584" s="8" t="s">
        <v>228</v>
      </c>
      <c r="AF584" s="8" t="s">
        <v>228</v>
      </c>
      <c r="AG584" s="8" t="s">
        <v>228</v>
      </c>
      <c r="AH584" s="8" t="s">
        <v>228</v>
      </c>
      <c r="AI584" s="8" t="s">
        <v>228</v>
      </c>
      <c r="AJ584" t="s">
        <v>468</v>
      </c>
      <c r="AK584">
        <v>1</v>
      </c>
      <c r="AL584">
        <v>1</v>
      </c>
      <c r="AM584" t="s">
        <v>94</v>
      </c>
      <c r="AN584" t="s">
        <v>228</v>
      </c>
      <c r="AO584" t="s">
        <v>526</v>
      </c>
      <c r="AP584" t="s">
        <v>108</v>
      </c>
      <c r="AQ584">
        <v>12</v>
      </c>
      <c r="AR584" t="s">
        <v>483</v>
      </c>
      <c r="AS584" t="s">
        <v>228</v>
      </c>
      <c r="AT584" t="s">
        <v>170</v>
      </c>
      <c r="AU584">
        <v>1</v>
      </c>
      <c r="AV584">
        <v>1</v>
      </c>
      <c r="AW584" t="s">
        <v>537</v>
      </c>
      <c r="AX584" t="s">
        <v>283</v>
      </c>
      <c r="AY584" t="s">
        <v>280</v>
      </c>
      <c r="AZ584">
        <v>5</v>
      </c>
      <c r="BA584" t="s">
        <v>533</v>
      </c>
      <c r="BB584" t="s">
        <v>541</v>
      </c>
      <c r="BC584" t="s">
        <v>395</v>
      </c>
      <c r="BD584" t="s">
        <v>228</v>
      </c>
      <c r="BE584" t="s">
        <v>522</v>
      </c>
      <c r="BF584" t="s">
        <v>523</v>
      </c>
      <c r="BG584" t="s">
        <v>407</v>
      </c>
      <c r="BH584" t="s">
        <v>551</v>
      </c>
      <c r="BI584" t="s">
        <v>525</v>
      </c>
      <c r="BJ584" t="s">
        <v>228</v>
      </c>
      <c r="BK584" t="s">
        <v>228</v>
      </c>
      <c r="BL584" t="s">
        <v>228</v>
      </c>
      <c r="BM584" t="s">
        <v>228</v>
      </c>
      <c r="BN584" t="s">
        <v>228</v>
      </c>
      <c r="BO584" t="s">
        <v>228</v>
      </c>
      <c r="BP584" t="s">
        <v>228</v>
      </c>
      <c r="BQ584" t="s">
        <v>228</v>
      </c>
      <c r="BR584" t="s">
        <v>228</v>
      </c>
      <c r="BS584" t="s">
        <v>409</v>
      </c>
      <c r="BT584">
        <v>1</v>
      </c>
    </row>
    <row r="585" spans="1:72" x14ac:dyDescent="0.15">
      <c r="A585" s="43">
        <v>2023</v>
      </c>
      <c r="B585" s="8">
        <v>1</v>
      </c>
      <c r="C585" s="8">
        <v>1</v>
      </c>
      <c r="D585" s="8">
        <v>7</v>
      </c>
      <c r="E585" s="8" t="s">
        <v>228</v>
      </c>
      <c r="F585" s="8" t="s">
        <v>57</v>
      </c>
      <c r="G585" s="8">
        <v>2017</v>
      </c>
      <c r="H585" s="8">
        <v>12</v>
      </c>
      <c r="I585" s="8" t="s">
        <v>483</v>
      </c>
      <c r="J585" s="8" t="s">
        <v>228</v>
      </c>
      <c r="K585" s="8">
        <v>1953</v>
      </c>
      <c r="L585" s="17">
        <v>1</v>
      </c>
      <c r="M585" s="8">
        <v>1</v>
      </c>
      <c r="N585" s="8" t="s">
        <v>49</v>
      </c>
      <c r="O585" s="8" t="s">
        <v>283</v>
      </c>
      <c r="P585" s="8" t="s">
        <v>280</v>
      </c>
      <c r="Q585" s="8">
        <v>20000</v>
      </c>
      <c r="R585" s="8" t="s">
        <v>59</v>
      </c>
      <c r="S585" s="8" t="s">
        <v>54</v>
      </c>
      <c r="T585" s="8" t="s">
        <v>69</v>
      </c>
      <c r="U585" s="8" t="s">
        <v>228</v>
      </c>
      <c r="V585" s="8">
        <v>500</v>
      </c>
      <c r="W585" s="8" t="s">
        <v>328</v>
      </c>
      <c r="X585" s="8">
        <v>3000</v>
      </c>
      <c r="Y585" s="8" t="s">
        <v>271</v>
      </c>
      <c r="Z585" s="8">
        <v>100</v>
      </c>
      <c r="AA585" s="8" t="s">
        <v>278</v>
      </c>
      <c r="AB585" s="8" t="s">
        <v>228</v>
      </c>
      <c r="AC585" s="8" t="s">
        <v>228</v>
      </c>
      <c r="AD585" s="8" t="s">
        <v>228</v>
      </c>
      <c r="AE585" s="8" t="s">
        <v>228</v>
      </c>
      <c r="AF585" s="8" t="s">
        <v>228</v>
      </c>
      <c r="AG585" s="8" t="s">
        <v>228</v>
      </c>
      <c r="AH585" s="8" t="s">
        <v>228</v>
      </c>
      <c r="AI585" s="8" t="s">
        <v>228</v>
      </c>
      <c r="AJ585" t="s">
        <v>468</v>
      </c>
      <c r="AK585">
        <v>1</v>
      </c>
      <c r="AL585">
        <v>1</v>
      </c>
      <c r="AM585" t="s">
        <v>94</v>
      </c>
      <c r="AN585" t="s">
        <v>228</v>
      </c>
      <c r="AO585" t="s">
        <v>526</v>
      </c>
      <c r="AP585" t="s">
        <v>108</v>
      </c>
      <c r="AQ585">
        <v>12</v>
      </c>
      <c r="AR585" t="s">
        <v>483</v>
      </c>
      <c r="AS585" t="s">
        <v>228</v>
      </c>
      <c r="AT585" t="s">
        <v>170</v>
      </c>
      <c r="AU585">
        <v>1</v>
      </c>
      <c r="AV585">
        <v>1</v>
      </c>
      <c r="AW585" t="s">
        <v>537</v>
      </c>
      <c r="AX585" t="s">
        <v>283</v>
      </c>
      <c r="AY585" t="s">
        <v>280</v>
      </c>
      <c r="AZ585">
        <v>5</v>
      </c>
      <c r="BA585" t="s">
        <v>533</v>
      </c>
      <c r="BB585" t="s">
        <v>541</v>
      </c>
      <c r="BC585" t="s">
        <v>395</v>
      </c>
      <c r="BD585" t="s">
        <v>228</v>
      </c>
      <c r="BE585" t="s">
        <v>522</v>
      </c>
      <c r="BF585" t="s">
        <v>523</v>
      </c>
      <c r="BG585" t="s">
        <v>407</v>
      </c>
      <c r="BH585" t="s">
        <v>544</v>
      </c>
      <c r="BI585" t="s">
        <v>525</v>
      </c>
      <c r="BJ585" t="s">
        <v>228</v>
      </c>
      <c r="BK585" t="s">
        <v>228</v>
      </c>
      <c r="BL585" t="s">
        <v>228</v>
      </c>
      <c r="BM585" t="s">
        <v>228</v>
      </c>
      <c r="BN585" t="s">
        <v>228</v>
      </c>
      <c r="BO585" t="s">
        <v>228</v>
      </c>
      <c r="BP585" t="s">
        <v>228</v>
      </c>
      <c r="BQ585" t="s">
        <v>228</v>
      </c>
      <c r="BR585" t="s">
        <v>228</v>
      </c>
      <c r="BS585" t="s">
        <v>409</v>
      </c>
      <c r="BT585">
        <v>0</v>
      </c>
    </row>
    <row r="586" spans="1:72" x14ac:dyDescent="0.15">
      <c r="A586" s="43">
        <v>2023</v>
      </c>
      <c r="B586" s="8">
        <v>1</v>
      </c>
      <c r="C586" s="8">
        <v>1</v>
      </c>
      <c r="D586" s="8">
        <v>20</v>
      </c>
      <c r="E586" s="8" t="s">
        <v>67</v>
      </c>
      <c r="F586" s="8" t="s">
        <v>57</v>
      </c>
      <c r="G586" s="8">
        <v>2017</v>
      </c>
      <c r="H586" s="8">
        <v>12</v>
      </c>
      <c r="I586" s="8" t="s">
        <v>483</v>
      </c>
      <c r="J586" s="8" t="s">
        <v>228</v>
      </c>
      <c r="K586" s="8">
        <v>1953</v>
      </c>
      <c r="L586" s="17">
        <v>1</v>
      </c>
      <c r="M586" s="8">
        <v>1</v>
      </c>
      <c r="N586" s="8" t="s">
        <v>49</v>
      </c>
      <c r="O586" s="8" t="s">
        <v>283</v>
      </c>
      <c r="P586" s="8" t="s">
        <v>280</v>
      </c>
      <c r="Q586" s="8">
        <v>20000</v>
      </c>
      <c r="R586" s="8" t="s">
        <v>59</v>
      </c>
      <c r="S586" s="8" t="s">
        <v>54</v>
      </c>
      <c r="T586" s="8" t="s">
        <v>69</v>
      </c>
      <c r="U586" s="8" t="s">
        <v>228</v>
      </c>
      <c r="V586" s="8">
        <v>500</v>
      </c>
      <c r="W586" s="8" t="s">
        <v>328</v>
      </c>
      <c r="X586" s="8">
        <v>3000</v>
      </c>
      <c r="Y586" s="8" t="s">
        <v>268</v>
      </c>
      <c r="Z586" s="8">
        <v>100</v>
      </c>
      <c r="AA586" s="8" t="s">
        <v>278</v>
      </c>
      <c r="AB586" s="8" t="s">
        <v>228</v>
      </c>
      <c r="AC586" s="8" t="s">
        <v>228</v>
      </c>
      <c r="AD586" s="8" t="s">
        <v>228</v>
      </c>
      <c r="AE586" s="8" t="s">
        <v>228</v>
      </c>
      <c r="AF586" s="8" t="s">
        <v>228</v>
      </c>
      <c r="AG586" s="8" t="s">
        <v>228</v>
      </c>
      <c r="AH586" s="8" t="s">
        <v>228</v>
      </c>
      <c r="AI586" s="8" t="s">
        <v>228</v>
      </c>
      <c r="AJ586" t="s">
        <v>468</v>
      </c>
      <c r="AK586">
        <v>1</v>
      </c>
      <c r="AL586">
        <v>1</v>
      </c>
      <c r="AM586" t="s">
        <v>81</v>
      </c>
      <c r="AN586" t="s">
        <v>67</v>
      </c>
      <c r="AO586" t="s">
        <v>526</v>
      </c>
      <c r="AP586" t="s">
        <v>108</v>
      </c>
      <c r="AQ586">
        <v>12</v>
      </c>
      <c r="AR586" t="s">
        <v>483</v>
      </c>
      <c r="AS586" t="s">
        <v>228</v>
      </c>
      <c r="AT586" t="s">
        <v>170</v>
      </c>
      <c r="AU586">
        <v>1</v>
      </c>
      <c r="AV586">
        <v>1</v>
      </c>
      <c r="AW586" t="s">
        <v>537</v>
      </c>
      <c r="AX586" t="s">
        <v>283</v>
      </c>
      <c r="AY586" t="s">
        <v>280</v>
      </c>
      <c r="AZ586">
        <v>5</v>
      </c>
      <c r="BA586" t="s">
        <v>533</v>
      </c>
      <c r="BB586" t="s">
        <v>541</v>
      </c>
      <c r="BC586" t="s">
        <v>395</v>
      </c>
      <c r="BD586" t="s">
        <v>228</v>
      </c>
      <c r="BE586" t="s">
        <v>522</v>
      </c>
      <c r="BF586" t="s">
        <v>523</v>
      </c>
      <c r="BG586" t="s">
        <v>407</v>
      </c>
      <c r="BH586" t="s">
        <v>396</v>
      </c>
      <c r="BI586" t="s">
        <v>525</v>
      </c>
      <c r="BJ586" t="s">
        <v>228</v>
      </c>
      <c r="BK586" t="s">
        <v>228</v>
      </c>
      <c r="BL586" t="s">
        <v>228</v>
      </c>
      <c r="BM586" t="s">
        <v>228</v>
      </c>
      <c r="BN586" t="s">
        <v>228</v>
      </c>
      <c r="BO586" t="s">
        <v>228</v>
      </c>
      <c r="BP586" t="s">
        <v>228</v>
      </c>
      <c r="BQ586" t="s">
        <v>228</v>
      </c>
      <c r="BR586" t="s">
        <v>228</v>
      </c>
      <c r="BS586" t="s">
        <v>409</v>
      </c>
      <c r="BT586">
        <v>1</v>
      </c>
    </row>
    <row r="587" spans="1:72" x14ac:dyDescent="0.15">
      <c r="A587" s="43">
        <v>2023</v>
      </c>
      <c r="B587" s="8">
        <v>1</v>
      </c>
      <c r="C587" s="8">
        <v>1</v>
      </c>
      <c r="D587" s="8">
        <v>20</v>
      </c>
      <c r="E587" s="8" t="s">
        <v>67</v>
      </c>
      <c r="F587" s="8" t="s">
        <v>57</v>
      </c>
      <c r="G587" s="8">
        <v>2017</v>
      </c>
      <c r="H587" s="8">
        <v>12</v>
      </c>
      <c r="I587" s="8" t="s">
        <v>483</v>
      </c>
      <c r="J587" s="8" t="s">
        <v>228</v>
      </c>
      <c r="K587" s="8">
        <v>1953</v>
      </c>
      <c r="L587" s="17">
        <v>1</v>
      </c>
      <c r="M587" s="8">
        <v>1</v>
      </c>
      <c r="N587" s="8" t="s">
        <v>49</v>
      </c>
      <c r="O587" s="8" t="s">
        <v>283</v>
      </c>
      <c r="P587" s="8" t="s">
        <v>280</v>
      </c>
      <c r="Q587" s="8">
        <v>20000</v>
      </c>
      <c r="R587" s="8" t="s">
        <v>59</v>
      </c>
      <c r="S587" s="8" t="s">
        <v>54</v>
      </c>
      <c r="T587" s="8" t="s">
        <v>69</v>
      </c>
      <c r="U587" s="8" t="s">
        <v>228</v>
      </c>
      <c r="V587" s="8">
        <v>500</v>
      </c>
      <c r="W587" s="8" t="s">
        <v>328</v>
      </c>
      <c r="X587" s="8">
        <v>3000</v>
      </c>
      <c r="Y587" s="8" t="s">
        <v>394</v>
      </c>
      <c r="Z587" s="8">
        <v>100</v>
      </c>
      <c r="AA587" s="8" t="s">
        <v>278</v>
      </c>
      <c r="AB587" s="8" t="s">
        <v>228</v>
      </c>
      <c r="AC587" s="8" t="s">
        <v>228</v>
      </c>
      <c r="AD587" s="8" t="s">
        <v>228</v>
      </c>
      <c r="AE587" s="8" t="s">
        <v>228</v>
      </c>
      <c r="AF587" s="8" t="s">
        <v>228</v>
      </c>
      <c r="AG587" s="8" t="s">
        <v>228</v>
      </c>
      <c r="AH587" s="8" t="s">
        <v>228</v>
      </c>
      <c r="AI587" s="8" t="s">
        <v>228</v>
      </c>
      <c r="AJ587" t="s">
        <v>468</v>
      </c>
      <c r="AK587">
        <v>1</v>
      </c>
      <c r="AL587">
        <v>1</v>
      </c>
      <c r="AM587" t="s">
        <v>81</v>
      </c>
      <c r="AN587" t="s">
        <v>67</v>
      </c>
      <c r="AO587" t="s">
        <v>526</v>
      </c>
      <c r="AP587" t="s">
        <v>108</v>
      </c>
      <c r="AQ587">
        <v>12</v>
      </c>
      <c r="AR587" t="s">
        <v>483</v>
      </c>
      <c r="AS587" t="s">
        <v>228</v>
      </c>
      <c r="AT587" t="s">
        <v>170</v>
      </c>
      <c r="AU587">
        <v>1</v>
      </c>
      <c r="AV587">
        <v>1</v>
      </c>
      <c r="AW587" t="s">
        <v>537</v>
      </c>
      <c r="AX587" t="s">
        <v>283</v>
      </c>
      <c r="AY587" t="s">
        <v>280</v>
      </c>
      <c r="AZ587">
        <v>5</v>
      </c>
      <c r="BA587" t="s">
        <v>533</v>
      </c>
      <c r="BB587" t="s">
        <v>541</v>
      </c>
      <c r="BC587" t="s">
        <v>395</v>
      </c>
      <c r="BD587" t="s">
        <v>228</v>
      </c>
      <c r="BE587" t="s">
        <v>522</v>
      </c>
      <c r="BF587" t="s">
        <v>523</v>
      </c>
      <c r="BG587" t="s">
        <v>407</v>
      </c>
      <c r="BH587" t="s">
        <v>551</v>
      </c>
      <c r="BI587" t="s">
        <v>525</v>
      </c>
      <c r="BJ587" t="s">
        <v>228</v>
      </c>
      <c r="BK587" t="s">
        <v>228</v>
      </c>
      <c r="BL587" t="s">
        <v>228</v>
      </c>
      <c r="BM587" t="s">
        <v>228</v>
      </c>
      <c r="BN587" t="s">
        <v>228</v>
      </c>
      <c r="BO587" t="s">
        <v>228</v>
      </c>
      <c r="BP587" t="s">
        <v>228</v>
      </c>
      <c r="BQ587" t="s">
        <v>228</v>
      </c>
      <c r="BR587" t="s">
        <v>228</v>
      </c>
      <c r="BS587" t="s">
        <v>409</v>
      </c>
      <c r="BT587">
        <v>1</v>
      </c>
    </row>
    <row r="588" spans="1:72" x14ac:dyDescent="0.15">
      <c r="A588" s="43">
        <v>2023</v>
      </c>
      <c r="B588" s="8">
        <v>1</v>
      </c>
      <c r="C588" s="8">
        <v>1</v>
      </c>
      <c r="D588" s="8">
        <v>20</v>
      </c>
      <c r="E588" s="8" t="s">
        <v>67</v>
      </c>
      <c r="F588" s="8" t="s">
        <v>57</v>
      </c>
      <c r="G588" s="8">
        <v>2017</v>
      </c>
      <c r="H588" s="8">
        <v>12</v>
      </c>
      <c r="I588" s="8" t="s">
        <v>483</v>
      </c>
      <c r="J588" s="8" t="s">
        <v>228</v>
      </c>
      <c r="K588" s="8">
        <v>1953</v>
      </c>
      <c r="L588" s="17">
        <v>1</v>
      </c>
      <c r="M588" s="8">
        <v>1</v>
      </c>
      <c r="N588" s="8" t="s">
        <v>49</v>
      </c>
      <c r="O588" s="8" t="s">
        <v>283</v>
      </c>
      <c r="P588" s="8" t="s">
        <v>280</v>
      </c>
      <c r="Q588" s="8">
        <v>20000</v>
      </c>
      <c r="R588" s="8" t="s">
        <v>59</v>
      </c>
      <c r="S588" s="8" t="s">
        <v>54</v>
      </c>
      <c r="T588" s="8" t="s">
        <v>69</v>
      </c>
      <c r="U588" s="8" t="s">
        <v>228</v>
      </c>
      <c r="V588" s="8">
        <v>500</v>
      </c>
      <c r="W588" s="8" t="s">
        <v>328</v>
      </c>
      <c r="X588" s="8">
        <v>3000</v>
      </c>
      <c r="Y588" s="8" t="s">
        <v>271</v>
      </c>
      <c r="Z588" s="8">
        <v>100</v>
      </c>
      <c r="AA588" s="8" t="s">
        <v>278</v>
      </c>
      <c r="AB588" s="8" t="s">
        <v>228</v>
      </c>
      <c r="AC588" s="8" t="s">
        <v>228</v>
      </c>
      <c r="AD588" s="8" t="s">
        <v>228</v>
      </c>
      <c r="AE588" s="8" t="s">
        <v>228</v>
      </c>
      <c r="AF588" s="8" t="s">
        <v>228</v>
      </c>
      <c r="AG588" s="8" t="s">
        <v>228</v>
      </c>
      <c r="AH588" s="8" t="s">
        <v>228</v>
      </c>
      <c r="AI588" s="8" t="s">
        <v>228</v>
      </c>
      <c r="AJ588" t="s">
        <v>468</v>
      </c>
      <c r="AK588">
        <v>1</v>
      </c>
      <c r="AL588">
        <v>1</v>
      </c>
      <c r="AM588" t="s">
        <v>81</v>
      </c>
      <c r="AN588" t="s">
        <v>67</v>
      </c>
      <c r="AO588" t="s">
        <v>526</v>
      </c>
      <c r="AP588" t="s">
        <v>108</v>
      </c>
      <c r="AQ588">
        <v>12</v>
      </c>
      <c r="AR588" t="s">
        <v>483</v>
      </c>
      <c r="AS588" t="s">
        <v>228</v>
      </c>
      <c r="AT588" t="s">
        <v>170</v>
      </c>
      <c r="AU588">
        <v>1</v>
      </c>
      <c r="AV588">
        <v>1</v>
      </c>
      <c r="AW588" t="s">
        <v>537</v>
      </c>
      <c r="AX588" t="s">
        <v>283</v>
      </c>
      <c r="AY588" t="s">
        <v>280</v>
      </c>
      <c r="AZ588">
        <v>5</v>
      </c>
      <c r="BA588" t="s">
        <v>533</v>
      </c>
      <c r="BB588" t="s">
        <v>541</v>
      </c>
      <c r="BC588" t="s">
        <v>395</v>
      </c>
      <c r="BD588" t="s">
        <v>228</v>
      </c>
      <c r="BE588" t="s">
        <v>522</v>
      </c>
      <c r="BF588" t="s">
        <v>523</v>
      </c>
      <c r="BG588" t="s">
        <v>407</v>
      </c>
      <c r="BH588" t="s">
        <v>544</v>
      </c>
      <c r="BI588" t="s">
        <v>525</v>
      </c>
      <c r="BJ588" t="s">
        <v>228</v>
      </c>
      <c r="BK588" t="s">
        <v>228</v>
      </c>
      <c r="BL588" t="s">
        <v>228</v>
      </c>
      <c r="BM588" t="s">
        <v>228</v>
      </c>
      <c r="BN588" t="s">
        <v>228</v>
      </c>
      <c r="BO588" t="s">
        <v>228</v>
      </c>
      <c r="BP588" t="s">
        <v>228</v>
      </c>
      <c r="BQ588" t="s">
        <v>228</v>
      </c>
      <c r="BR588" t="s">
        <v>228</v>
      </c>
      <c r="BS588" t="s">
        <v>409</v>
      </c>
      <c r="BT588">
        <v>0</v>
      </c>
    </row>
    <row r="589" spans="1:72" x14ac:dyDescent="0.15">
      <c r="A589" s="43">
        <v>2023</v>
      </c>
      <c r="B589" s="8">
        <v>1</v>
      </c>
      <c r="C589" s="8">
        <v>1</v>
      </c>
      <c r="D589" s="8">
        <v>19</v>
      </c>
      <c r="E589" s="8" t="s">
        <v>67</v>
      </c>
      <c r="F589" s="8" t="s">
        <v>57</v>
      </c>
      <c r="G589" s="8">
        <v>2017</v>
      </c>
      <c r="H589" s="8">
        <v>12</v>
      </c>
      <c r="I589" s="8" t="s">
        <v>483</v>
      </c>
      <c r="J589" s="8" t="s">
        <v>228</v>
      </c>
      <c r="K589" s="8">
        <v>1953</v>
      </c>
      <c r="L589" s="17">
        <v>1</v>
      </c>
      <c r="M589" s="8">
        <v>1</v>
      </c>
      <c r="N589" s="8" t="s">
        <v>49</v>
      </c>
      <c r="O589" s="8" t="s">
        <v>283</v>
      </c>
      <c r="P589" s="8" t="s">
        <v>280</v>
      </c>
      <c r="Q589" s="8">
        <v>20000</v>
      </c>
      <c r="R589" s="8" t="s">
        <v>59</v>
      </c>
      <c r="S589" s="8" t="s">
        <v>54</v>
      </c>
      <c r="T589" s="8" t="s">
        <v>69</v>
      </c>
      <c r="U589" s="8" t="s">
        <v>228</v>
      </c>
      <c r="V589" s="8">
        <v>500</v>
      </c>
      <c r="W589" s="8" t="s">
        <v>328</v>
      </c>
      <c r="X589" s="8">
        <v>3000</v>
      </c>
      <c r="Y589" s="8" t="s">
        <v>268</v>
      </c>
      <c r="Z589" s="8">
        <v>100</v>
      </c>
      <c r="AA589" s="8" t="s">
        <v>278</v>
      </c>
      <c r="AB589" s="8" t="s">
        <v>228</v>
      </c>
      <c r="AC589" s="8" t="s">
        <v>228</v>
      </c>
      <c r="AD589" s="8" t="s">
        <v>228</v>
      </c>
      <c r="AE589" s="8" t="s">
        <v>228</v>
      </c>
      <c r="AF589" s="8" t="s">
        <v>228</v>
      </c>
      <c r="AG589" s="8" t="s">
        <v>228</v>
      </c>
      <c r="AH589" s="8" t="s">
        <v>228</v>
      </c>
      <c r="AI589" s="8" t="s">
        <v>228</v>
      </c>
      <c r="AJ589" t="s">
        <v>468</v>
      </c>
      <c r="AK589">
        <v>1</v>
      </c>
      <c r="AL589">
        <v>1</v>
      </c>
      <c r="AM589" t="s">
        <v>82</v>
      </c>
      <c r="AN589" t="s">
        <v>67</v>
      </c>
      <c r="AO589" t="s">
        <v>526</v>
      </c>
      <c r="AP589" t="s">
        <v>108</v>
      </c>
      <c r="AQ589">
        <v>12</v>
      </c>
      <c r="AR589" t="s">
        <v>483</v>
      </c>
      <c r="AS589" t="s">
        <v>228</v>
      </c>
      <c r="AT589" t="s">
        <v>170</v>
      </c>
      <c r="AU589">
        <v>1</v>
      </c>
      <c r="AV589">
        <v>1</v>
      </c>
      <c r="AW589" t="s">
        <v>537</v>
      </c>
      <c r="AX589" t="s">
        <v>283</v>
      </c>
      <c r="AY589" t="s">
        <v>280</v>
      </c>
      <c r="AZ589">
        <v>5</v>
      </c>
      <c r="BA589" t="s">
        <v>533</v>
      </c>
      <c r="BB589" t="s">
        <v>541</v>
      </c>
      <c r="BC589" t="s">
        <v>395</v>
      </c>
      <c r="BD589" t="s">
        <v>228</v>
      </c>
      <c r="BE589" t="s">
        <v>522</v>
      </c>
      <c r="BF589" t="s">
        <v>523</v>
      </c>
      <c r="BG589" t="s">
        <v>407</v>
      </c>
      <c r="BH589" t="s">
        <v>396</v>
      </c>
      <c r="BI589" t="s">
        <v>525</v>
      </c>
      <c r="BJ589" t="s">
        <v>228</v>
      </c>
      <c r="BK589" t="s">
        <v>228</v>
      </c>
      <c r="BL589" t="s">
        <v>228</v>
      </c>
      <c r="BM589" t="s">
        <v>228</v>
      </c>
      <c r="BN589" t="s">
        <v>228</v>
      </c>
      <c r="BO589" t="s">
        <v>228</v>
      </c>
      <c r="BP589" t="s">
        <v>228</v>
      </c>
      <c r="BQ589" t="s">
        <v>228</v>
      </c>
      <c r="BR589" t="s">
        <v>228</v>
      </c>
      <c r="BS589" t="s">
        <v>409</v>
      </c>
      <c r="BT589">
        <v>1</v>
      </c>
    </row>
    <row r="590" spans="1:72" x14ac:dyDescent="0.15">
      <c r="A590" s="43">
        <v>2023</v>
      </c>
      <c r="B590" s="8">
        <v>1</v>
      </c>
      <c r="C590" s="8">
        <v>1</v>
      </c>
      <c r="D590" s="8">
        <v>19</v>
      </c>
      <c r="E590" s="8" t="s">
        <v>67</v>
      </c>
      <c r="F590" s="8" t="s">
        <v>57</v>
      </c>
      <c r="G590" s="8">
        <v>2017</v>
      </c>
      <c r="H590" s="8">
        <v>12</v>
      </c>
      <c r="I590" s="8" t="s">
        <v>483</v>
      </c>
      <c r="J590" s="8" t="s">
        <v>228</v>
      </c>
      <c r="K590" s="8">
        <v>1953</v>
      </c>
      <c r="L590" s="17">
        <v>1</v>
      </c>
      <c r="M590" s="8">
        <v>1</v>
      </c>
      <c r="N590" s="8" t="s">
        <v>49</v>
      </c>
      <c r="O590" s="8" t="s">
        <v>283</v>
      </c>
      <c r="P590" s="8" t="s">
        <v>280</v>
      </c>
      <c r="Q590" s="8">
        <v>20000</v>
      </c>
      <c r="R590" s="8" t="s">
        <v>59</v>
      </c>
      <c r="S590" s="8" t="s">
        <v>54</v>
      </c>
      <c r="T590" s="8" t="s">
        <v>69</v>
      </c>
      <c r="U590" s="8" t="s">
        <v>228</v>
      </c>
      <c r="V590" s="8">
        <v>500</v>
      </c>
      <c r="W590" s="8" t="s">
        <v>328</v>
      </c>
      <c r="X590" s="8">
        <v>3000</v>
      </c>
      <c r="Y590" s="8" t="s">
        <v>394</v>
      </c>
      <c r="Z590" s="8">
        <v>100</v>
      </c>
      <c r="AA590" s="8" t="s">
        <v>278</v>
      </c>
      <c r="AB590" s="8" t="s">
        <v>228</v>
      </c>
      <c r="AC590" s="8" t="s">
        <v>228</v>
      </c>
      <c r="AD590" s="8" t="s">
        <v>228</v>
      </c>
      <c r="AE590" s="8" t="s">
        <v>228</v>
      </c>
      <c r="AF590" s="8" t="s">
        <v>228</v>
      </c>
      <c r="AG590" s="8" t="s">
        <v>228</v>
      </c>
      <c r="AH590" s="8" t="s">
        <v>228</v>
      </c>
      <c r="AI590" s="8" t="s">
        <v>228</v>
      </c>
      <c r="AJ590" t="s">
        <v>468</v>
      </c>
      <c r="AK590">
        <v>1</v>
      </c>
      <c r="AL590">
        <v>1</v>
      </c>
      <c r="AM590" t="s">
        <v>82</v>
      </c>
      <c r="AN590" t="s">
        <v>67</v>
      </c>
      <c r="AO590" t="s">
        <v>526</v>
      </c>
      <c r="AP590" t="s">
        <v>108</v>
      </c>
      <c r="AQ590">
        <v>12</v>
      </c>
      <c r="AR590" t="s">
        <v>483</v>
      </c>
      <c r="AS590" t="s">
        <v>228</v>
      </c>
      <c r="AT590" t="s">
        <v>170</v>
      </c>
      <c r="AU590">
        <v>1</v>
      </c>
      <c r="AV590">
        <v>1</v>
      </c>
      <c r="AW590" t="s">
        <v>537</v>
      </c>
      <c r="AX590" t="s">
        <v>283</v>
      </c>
      <c r="AY590" t="s">
        <v>280</v>
      </c>
      <c r="AZ590">
        <v>5</v>
      </c>
      <c r="BA590" t="s">
        <v>533</v>
      </c>
      <c r="BB590" t="s">
        <v>541</v>
      </c>
      <c r="BC590" t="s">
        <v>395</v>
      </c>
      <c r="BD590" t="s">
        <v>228</v>
      </c>
      <c r="BE590" t="s">
        <v>522</v>
      </c>
      <c r="BF590" t="s">
        <v>523</v>
      </c>
      <c r="BG590" t="s">
        <v>407</v>
      </c>
      <c r="BH590" t="s">
        <v>551</v>
      </c>
      <c r="BI590" t="s">
        <v>525</v>
      </c>
      <c r="BJ590" t="s">
        <v>228</v>
      </c>
      <c r="BK590" t="s">
        <v>228</v>
      </c>
      <c r="BL590" t="s">
        <v>228</v>
      </c>
      <c r="BM590" t="s">
        <v>228</v>
      </c>
      <c r="BN590" t="s">
        <v>228</v>
      </c>
      <c r="BO590" t="s">
        <v>228</v>
      </c>
      <c r="BP590" t="s">
        <v>228</v>
      </c>
      <c r="BQ590" t="s">
        <v>228</v>
      </c>
      <c r="BR590" t="s">
        <v>228</v>
      </c>
      <c r="BS590" t="s">
        <v>409</v>
      </c>
      <c r="BT590">
        <v>1</v>
      </c>
    </row>
    <row r="591" spans="1:72" x14ac:dyDescent="0.15">
      <c r="A591" s="43">
        <v>2023</v>
      </c>
      <c r="B591" s="8">
        <v>1</v>
      </c>
      <c r="C591" s="8">
        <v>1</v>
      </c>
      <c r="D591" s="8">
        <v>19</v>
      </c>
      <c r="E591" s="8" t="s">
        <v>67</v>
      </c>
      <c r="F591" s="8" t="s">
        <v>57</v>
      </c>
      <c r="G591" s="8">
        <v>2017</v>
      </c>
      <c r="H591" s="8">
        <v>12</v>
      </c>
      <c r="I591" s="8" t="s">
        <v>483</v>
      </c>
      <c r="J591" s="8" t="s">
        <v>228</v>
      </c>
      <c r="K591" s="8">
        <v>1953</v>
      </c>
      <c r="L591" s="17">
        <v>1</v>
      </c>
      <c r="M591" s="8">
        <v>1</v>
      </c>
      <c r="N591" s="8" t="s">
        <v>49</v>
      </c>
      <c r="O591" s="8" t="s">
        <v>283</v>
      </c>
      <c r="P591" s="8" t="s">
        <v>280</v>
      </c>
      <c r="Q591" s="8">
        <v>20000</v>
      </c>
      <c r="R591" s="8" t="s">
        <v>59</v>
      </c>
      <c r="S591" s="8" t="s">
        <v>54</v>
      </c>
      <c r="T591" s="8" t="s">
        <v>69</v>
      </c>
      <c r="U591" s="8" t="s">
        <v>228</v>
      </c>
      <c r="V591" s="8">
        <v>500</v>
      </c>
      <c r="W591" s="8" t="s">
        <v>328</v>
      </c>
      <c r="X591" s="8">
        <v>3000</v>
      </c>
      <c r="Y591" s="8" t="s">
        <v>271</v>
      </c>
      <c r="Z591" s="8">
        <v>100</v>
      </c>
      <c r="AA591" s="8" t="s">
        <v>278</v>
      </c>
      <c r="AB591" s="8" t="s">
        <v>228</v>
      </c>
      <c r="AC591" s="8" t="s">
        <v>228</v>
      </c>
      <c r="AD591" s="8" t="s">
        <v>228</v>
      </c>
      <c r="AE591" s="8" t="s">
        <v>228</v>
      </c>
      <c r="AF591" s="8" t="s">
        <v>228</v>
      </c>
      <c r="AG591" s="8" t="s">
        <v>228</v>
      </c>
      <c r="AH591" s="8" t="s">
        <v>228</v>
      </c>
      <c r="AI591" s="8" t="s">
        <v>228</v>
      </c>
      <c r="AJ591" t="s">
        <v>468</v>
      </c>
      <c r="AK591">
        <v>1</v>
      </c>
      <c r="AL591">
        <v>1</v>
      </c>
      <c r="AM591" t="s">
        <v>82</v>
      </c>
      <c r="AN591" t="s">
        <v>67</v>
      </c>
      <c r="AO591" t="s">
        <v>526</v>
      </c>
      <c r="AP591" t="s">
        <v>108</v>
      </c>
      <c r="AQ591">
        <v>12</v>
      </c>
      <c r="AR591" t="s">
        <v>483</v>
      </c>
      <c r="AS591" t="s">
        <v>228</v>
      </c>
      <c r="AT591" t="s">
        <v>170</v>
      </c>
      <c r="AU591">
        <v>1</v>
      </c>
      <c r="AV591">
        <v>1</v>
      </c>
      <c r="AW591" t="s">
        <v>537</v>
      </c>
      <c r="AX591" t="s">
        <v>283</v>
      </c>
      <c r="AY591" t="s">
        <v>280</v>
      </c>
      <c r="AZ591">
        <v>5</v>
      </c>
      <c r="BA591" t="s">
        <v>533</v>
      </c>
      <c r="BB591" t="s">
        <v>541</v>
      </c>
      <c r="BC591" t="s">
        <v>395</v>
      </c>
      <c r="BD591" t="s">
        <v>228</v>
      </c>
      <c r="BE591" t="s">
        <v>522</v>
      </c>
      <c r="BF591" t="s">
        <v>523</v>
      </c>
      <c r="BG591" t="s">
        <v>407</v>
      </c>
      <c r="BH591" t="s">
        <v>544</v>
      </c>
      <c r="BI591" t="s">
        <v>525</v>
      </c>
      <c r="BJ591" t="s">
        <v>228</v>
      </c>
      <c r="BK591" t="s">
        <v>228</v>
      </c>
      <c r="BL591" t="s">
        <v>228</v>
      </c>
      <c r="BM591" t="s">
        <v>228</v>
      </c>
      <c r="BN591" t="s">
        <v>228</v>
      </c>
      <c r="BO591" t="s">
        <v>228</v>
      </c>
      <c r="BP591" t="s">
        <v>228</v>
      </c>
      <c r="BQ591" t="s">
        <v>228</v>
      </c>
      <c r="BR591" t="s">
        <v>228</v>
      </c>
      <c r="BS591" t="s">
        <v>409</v>
      </c>
      <c r="BT591">
        <v>0</v>
      </c>
    </row>
    <row r="592" spans="1:72" x14ac:dyDescent="0.15">
      <c r="A592" s="43">
        <v>2023</v>
      </c>
      <c r="B592" s="8">
        <v>1</v>
      </c>
      <c r="C592" s="8">
        <v>1</v>
      </c>
      <c r="D592" s="8">
        <v>18</v>
      </c>
      <c r="E592" s="8" t="s">
        <v>67</v>
      </c>
      <c r="F592" s="8" t="s">
        <v>57</v>
      </c>
      <c r="G592" s="8">
        <v>2017</v>
      </c>
      <c r="H592" s="8">
        <v>12</v>
      </c>
      <c r="I592" s="8" t="s">
        <v>483</v>
      </c>
      <c r="J592" s="8" t="s">
        <v>228</v>
      </c>
      <c r="K592" s="8">
        <v>1953</v>
      </c>
      <c r="L592" s="17">
        <v>1</v>
      </c>
      <c r="M592" s="8">
        <v>1</v>
      </c>
      <c r="N592" s="8" t="s">
        <v>49</v>
      </c>
      <c r="O592" s="8" t="s">
        <v>283</v>
      </c>
      <c r="P592" s="8" t="s">
        <v>280</v>
      </c>
      <c r="Q592" s="8">
        <v>20000</v>
      </c>
      <c r="R592" s="8" t="s">
        <v>59</v>
      </c>
      <c r="S592" s="8" t="s">
        <v>54</v>
      </c>
      <c r="T592" s="8" t="s">
        <v>69</v>
      </c>
      <c r="U592" s="8" t="s">
        <v>228</v>
      </c>
      <c r="V592" s="8">
        <v>500</v>
      </c>
      <c r="W592" s="8" t="s">
        <v>328</v>
      </c>
      <c r="X592" s="8">
        <v>3000</v>
      </c>
      <c r="Y592" s="8" t="s">
        <v>268</v>
      </c>
      <c r="Z592" s="8">
        <v>100</v>
      </c>
      <c r="AA592" s="8" t="s">
        <v>278</v>
      </c>
      <c r="AB592" s="8" t="s">
        <v>228</v>
      </c>
      <c r="AC592" s="8" t="s">
        <v>228</v>
      </c>
      <c r="AD592" s="8" t="s">
        <v>228</v>
      </c>
      <c r="AE592" s="8" t="s">
        <v>228</v>
      </c>
      <c r="AF592" s="8" t="s">
        <v>228</v>
      </c>
      <c r="AG592" s="8" t="s">
        <v>228</v>
      </c>
      <c r="AH592" s="8" t="s">
        <v>228</v>
      </c>
      <c r="AI592" s="8" t="s">
        <v>228</v>
      </c>
      <c r="AJ592" t="s">
        <v>468</v>
      </c>
      <c r="AK592">
        <v>1</v>
      </c>
      <c r="AL592">
        <v>1</v>
      </c>
      <c r="AM592" t="s">
        <v>83</v>
      </c>
      <c r="AN592" t="s">
        <v>67</v>
      </c>
      <c r="AO592" t="s">
        <v>526</v>
      </c>
      <c r="AP592" t="s">
        <v>108</v>
      </c>
      <c r="AQ592">
        <v>12</v>
      </c>
      <c r="AR592" t="s">
        <v>483</v>
      </c>
      <c r="AS592" t="s">
        <v>228</v>
      </c>
      <c r="AT592" t="s">
        <v>170</v>
      </c>
      <c r="AU592">
        <v>1</v>
      </c>
      <c r="AV592">
        <v>1</v>
      </c>
      <c r="AW592" t="s">
        <v>537</v>
      </c>
      <c r="AX592" t="s">
        <v>283</v>
      </c>
      <c r="AY592" t="s">
        <v>280</v>
      </c>
      <c r="AZ592">
        <v>5</v>
      </c>
      <c r="BA592" t="s">
        <v>533</v>
      </c>
      <c r="BB592" t="s">
        <v>541</v>
      </c>
      <c r="BC592" t="s">
        <v>395</v>
      </c>
      <c r="BD592" t="s">
        <v>228</v>
      </c>
      <c r="BE592" t="s">
        <v>522</v>
      </c>
      <c r="BF592" t="s">
        <v>523</v>
      </c>
      <c r="BG592" t="s">
        <v>407</v>
      </c>
      <c r="BH592" t="s">
        <v>396</v>
      </c>
      <c r="BI592" t="s">
        <v>525</v>
      </c>
      <c r="BJ592" t="s">
        <v>228</v>
      </c>
      <c r="BK592" t="s">
        <v>228</v>
      </c>
      <c r="BL592" t="s">
        <v>228</v>
      </c>
      <c r="BM592" t="s">
        <v>228</v>
      </c>
      <c r="BN592" t="s">
        <v>228</v>
      </c>
      <c r="BO592" t="s">
        <v>228</v>
      </c>
      <c r="BP592" t="s">
        <v>228</v>
      </c>
      <c r="BQ592" t="s">
        <v>228</v>
      </c>
      <c r="BR592" t="s">
        <v>228</v>
      </c>
      <c r="BS592" t="s">
        <v>409</v>
      </c>
      <c r="BT592">
        <v>1</v>
      </c>
    </row>
    <row r="593" spans="1:72" x14ac:dyDescent="0.15">
      <c r="A593" s="43">
        <v>2023</v>
      </c>
      <c r="B593" s="8">
        <v>1</v>
      </c>
      <c r="C593" s="8">
        <v>1</v>
      </c>
      <c r="D593" s="8">
        <v>18</v>
      </c>
      <c r="E593" s="8" t="s">
        <v>67</v>
      </c>
      <c r="F593" s="8" t="s">
        <v>57</v>
      </c>
      <c r="G593" s="8">
        <v>2017</v>
      </c>
      <c r="H593" s="8">
        <v>12</v>
      </c>
      <c r="I593" s="8" t="s">
        <v>483</v>
      </c>
      <c r="J593" s="8" t="s">
        <v>228</v>
      </c>
      <c r="K593" s="8">
        <v>1953</v>
      </c>
      <c r="L593" s="17">
        <v>1</v>
      </c>
      <c r="M593" s="8">
        <v>1</v>
      </c>
      <c r="N593" s="8" t="s">
        <v>49</v>
      </c>
      <c r="O593" s="8" t="s">
        <v>283</v>
      </c>
      <c r="P593" s="8" t="s">
        <v>280</v>
      </c>
      <c r="Q593" s="8">
        <v>20000</v>
      </c>
      <c r="R593" s="8" t="s">
        <v>59</v>
      </c>
      <c r="S593" s="8" t="s">
        <v>54</v>
      </c>
      <c r="T593" s="8" t="s">
        <v>69</v>
      </c>
      <c r="U593" s="8" t="s">
        <v>228</v>
      </c>
      <c r="V593" s="8">
        <v>500</v>
      </c>
      <c r="W593" s="8" t="s">
        <v>328</v>
      </c>
      <c r="X593" s="8">
        <v>3000</v>
      </c>
      <c r="Y593" s="8" t="s">
        <v>394</v>
      </c>
      <c r="Z593" s="8">
        <v>100</v>
      </c>
      <c r="AA593" s="8" t="s">
        <v>278</v>
      </c>
      <c r="AB593" s="8" t="s">
        <v>228</v>
      </c>
      <c r="AC593" s="8" t="s">
        <v>228</v>
      </c>
      <c r="AD593" s="8" t="s">
        <v>228</v>
      </c>
      <c r="AE593" s="8" t="s">
        <v>228</v>
      </c>
      <c r="AF593" s="8" t="s">
        <v>228</v>
      </c>
      <c r="AG593" s="8" t="s">
        <v>228</v>
      </c>
      <c r="AH593" s="8" t="s">
        <v>228</v>
      </c>
      <c r="AI593" s="8" t="s">
        <v>228</v>
      </c>
      <c r="AJ593" t="s">
        <v>468</v>
      </c>
      <c r="AK593">
        <v>1</v>
      </c>
      <c r="AL593">
        <v>1</v>
      </c>
      <c r="AM593" t="s">
        <v>83</v>
      </c>
      <c r="AN593" t="s">
        <v>67</v>
      </c>
      <c r="AO593" t="s">
        <v>526</v>
      </c>
      <c r="AP593" t="s">
        <v>108</v>
      </c>
      <c r="AQ593">
        <v>12</v>
      </c>
      <c r="AR593" t="s">
        <v>483</v>
      </c>
      <c r="AS593" t="s">
        <v>228</v>
      </c>
      <c r="AT593" t="s">
        <v>170</v>
      </c>
      <c r="AU593">
        <v>1</v>
      </c>
      <c r="AV593">
        <v>1</v>
      </c>
      <c r="AW593" t="s">
        <v>537</v>
      </c>
      <c r="AX593" t="s">
        <v>283</v>
      </c>
      <c r="AY593" t="s">
        <v>280</v>
      </c>
      <c r="AZ593">
        <v>5</v>
      </c>
      <c r="BA593" t="s">
        <v>533</v>
      </c>
      <c r="BB593" t="s">
        <v>541</v>
      </c>
      <c r="BC593" t="s">
        <v>395</v>
      </c>
      <c r="BD593" t="s">
        <v>228</v>
      </c>
      <c r="BE593" t="s">
        <v>522</v>
      </c>
      <c r="BF593" t="s">
        <v>523</v>
      </c>
      <c r="BG593" t="s">
        <v>407</v>
      </c>
      <c r="BH593" t="s">
        <v>551</v>
      </c>
      <c r="BI593" t="s">
        <v>525</v>
      </c>
      <c r="BJ593" t="s">
        <v>228</v>
      </c>
      <c r="BK593" t="s">
        <v>228</v>
      </c>
      <c r="BL593" t="s">
        <v>228</v>
      </c>
      <c r="BM593" t="s">
        <v>228</v>
      </c>
      <c r="BN593" t="s">
        <v>228</v>
      </c>
      <c r="BO593" t="s">
        <v>228</v>
      </c>
      <c r="BP593" t="s">
        <v>228</v>
      </c>
      <c r="BQ593" t="s">
        <v>228</v>
      </c>
      <c r="BR593" t="s">
        <v>228</v>
      </c>
      <c r="BS593" t="s">
        <v>409</v>
      </c>
      <c r="BT593">
        <v>1</v>
      </c>
    </row>
    <row r="594" spans="1:72" x14ac:dyDescent="0.15">
      <c r="A594" s="43">
        <v>2023</v>
      </c>
      <c r="B594" s="8">
        <v>1</v>
      </c>
      <c r="C594" s="8">
        <v>1</v>
      </c>
      <c r="D594" s="8">
        <v>18</v>
      </c>
      <c r="E594" s="8" t="s">
        <v>67</v>
      </c>
      <c r="F594" s="8" t="s">
        <v>57</v>
      </c>
      <c r="G594" s="8">
        <v>2017</v>
      </c>
      <c r="H594" s="8">
        <v>12</v>
      </c>
      <c r="I594" s="8" t="s">
        <v>483</v>
      </c>
      <c r="J594" s="8" t="s">
        <v>228</v>
      </c>
      <c r="K594" s="8">
        <v>1953</v>
      </c>
      <c r="L594" s="17">
        <v>1</v>
      </c>
      <c r="M594" s="8">
        <v>1</v>
      </c>
      <c r="N594" s="8" t="s">
        <v>49</v>
      </c>
      <c r="O594" s="8" t="s">
        <v>283</v>
      </c>
      <c r="P594" s="8" t="s">
        <v>280</v>
      </c>
      <c r="Q594" s="8">
        <v>20000</v>
      </c>
      <c r="R594" s="8" t="s">
        <v>59</v>
      </c>
      <c r="S594" s="8" t="s">
        <v>54</v>
      </c>
      <c r="T594" s="8" t="s">
        <v>69</v>
      </c>
      <c r="U594" s="8" t="s">
        <v>228</v>
      </c>
      <c r="V594" s="8">
        <v>500</v>
      </c>
      <c r="W594" s="8" t="s">
        <v>328</v>
      </c>
      <c r="X594" s="8">
        <v>3000</v>
      </c>
      <c r="Y594" s="8" t="s">
        <v>271</v>
      </c>
      <c r="Z594" s="8">
        <v>100</v>
      </c>
      <c r="AA594" s="8" t="s">
        <v>278</v>
      </c>
      <c r="AB594" s="8" t="s">
        <v>228</v>
      </c>
      <c r="AC594" s="8" t="s">
        <v>228</v>
      </c>
      <c r="AD594" s="8" t="s">
        <v>228</v>
      </c>
      <c r="AE594" s="8" t="s">
        <v>228</v>
      </c>
      <c r="AF594" s="8" t="s">
        <v>228</v>
      </c>
      <c r="AG594" s="8" t="s">
        <v>228</v>
      </c>
      <c r="AH594" s="8" t="s">
        <v>228</v>
      </c>
      <c r="AI594" s="8" t="s">
        <v>228</v>
      </c>
      <c r="AJ594" t="s">
        <v>468</v>
      </c>
      <c r="AK594">
        <v>1</v>
      </c>
      <c r="AL594">
        <v>1</v>
      </c>
      <c r="AM594" t="s">
        <v>83</v>
      </c>
      <c r="AN594" t="s">
        <v>67</v>
      </c>
      <c r="AO594" t="s">
        <v>526</v>
      </c>
      <c r="AP594" t="s">
        <v>108</v>
      </c>
      <c r="AQ594">
        <v>12</v>
      </c>
      <c r="AR594" t="s">
        <v>483</v>
      </c>
      <c r="AS594" t="s">
        <v>228</v>
      </c>
      <c r="AT594" t="s">
        <v>170</v>
      </c>
      <c r="AU594">
        <v>1</v>
      </c>
      <c r="AV594">
        <v>1</v>
      </c>
      <c r="AW594" t="s">
        <v>537</v>
      </c>
      <c r="AX594" t="s">
        <v>283</v>
      </c>
      <c r="AY594" t="s">
        <v>280</v>
      </c>
      <c r="AZ594">
        <v>5</v>
      </c>
      <c r="BA594" t="s">
        <v>533</v>
      </c>
      <c r="BB594" t="s">
        <v>541</v>
      </c>
      <c r="BC594" t="s">
        <v>395</v>
      </c>
      <c r="BD594" t="s">
        <v>228</v>
      </c>
      <c r="BE594" t="s">
        <v>522</v>
      </c>
      <c r="BF594" t="s">
        <v>523</v>
      </c>
      <c r="BG594" t="s">
        <v>407</v>
      </c>
      <c r="BH594" t="s">
        <v>544</v>
      </c>
      <c r="BI594" t="s">
        <v>525</v>
      </c>
      <c r="BJ594" t="s">
        <v>228</v>
      </c>
      <c r="BK594" t="s">
        <v>228</v>
      </c>
      <c r="BL594" t="s">
        <v>228</v>
      </c>
      <c r="BM594" t="s">
        <v>228</v>
      </c>
      <c r="BN594" t="s">
        <v>228</v>
      </c>
      <c r="BO594" t="s">
        <v>228</v>
      </c>
      <c r="BP594" t="s">
        <v>228</v>
      </c>
      <c r="BQ594" t="s">
        <v>228</v>
      </c>
      <c r="BR594" t="s">
        <v>228</v>
      </c>
      <c r="BS594" t="s">
        <v>409</v>
      </c>
      <c r="BT594">
        <v>0</v>
      </c>
    </row>
    <row r="595" spans="1:72" x14ac:dyDescent="0.15">
      <c r="A595" s="43">
        <v>2023</v>
      </c>
      <c r="B595" s="8">
        <v>1</v>
      </c>
      <c r="C595" s="8">
        <v>1</v>
      </c>
      <c r="D595" s="8">
        <v>17</v>
      </c>
      <c r="E595" s="8" t="s">
        <v>67</v>
      </c>
      <c r="F595" s="8" t="s">
        <v>57</v>
      </c>
      <c r="G595" s="8">
        <v>2017</v>
      </c>
      <c r="H595" s="8">
        <v>12</v>
      </c>
      <c r="I595" s="8" t="s">
        <v>483</v>
      </c>
      <c r="J595" s="8" t="s">
        <v>228</v>
      </c>
      <c r="K595" s="8">
        <v>1953</v>
      </c>
      <c r="L595" s="17">
        <v>1</v>
      </c>
      <c r="M595" s="8">
        <v>1</v>
      </c>
      <c r="N595" s="8" t="s">
        <v>49</v>
      </c>
      <c r="O595" s="8" t="s">
        <v>283</v>
      </c>
      <c r="P595" s="8" t="s">
        <v>280</v>
      </c>
      <c r="Q595" s="8">
        <v>20000</v>
      </c>
      <c r="R595" s="8" t="s">
        <v>59</v>
      </c>
      <c r="S595" s="8" t="s">
        <v>54</v>
      </c>
      <c r="T595" s="8" t="s">
        <v>69</v>
      </c>
      <c r="U595" s="8" t="s">
        <v>228</v>
      </c>
      <c r="V595" s="8">
        <v>500</v>
      </c>
      <c r="W595" s="8" t="s">
        <v>328</v>
      </c>
      <c r="X595" s="8">
        <v>3000</v>
      </c>
      <c r="Y595" s="8" t="s">
        <v>268</v>
      </c>
      <c r="Z595" s="8">
        <v>100</v>
      </c>
      <c r="AA595" s="8" t="s">
        <v>278</v>
      </c>
      <c r="AB595" s="8" t="s">
        <v>228</v>
      </c>
      <c r="AC595" s="8" t="s">
        <v>228</v>
      </c>
      <c r="AD595" s="8" t="s">
        <v>228</v>
      </c>
      <c r="AE595" s="8" t="s">
        <v>228</v>
      </c>
      <c r="AF595" s="8" t="s">
        <v>228</v>
      </c>
      <c r="AG595" s="8" t="s">
        <v>228</v>
      </c>
      <c r="AH595" s="8" t="s">
        <v>228</v>
      </c>
      <c r="AI595" s="8" t="s">
        <v>228</v>
      </c>
      <c r="AJ595" t="s">
        <v>468</v>
      </c>
      <c r="AK595">
        <v>1</v>
      </c>
      <c r="AL595">
        <v>1</v>
      </c>
      <c r="AM595" t="s">
        <v>84</v>
      </c>
      <c r="AN595" t="s">
        <v>67</v>
      </c>
      <c r="AO595" t="s">
        <v>526</v>
      </c>
      <c r="AP595" t="s">
        <v>108</v>
      </c>
      <c r="AQ595">
        <v>12</v>
      </c>
      <c r="AR595" t="s">
        <v>483</v>
      </c>
      <c r="AS595" t="s">
        <v>228</v>
      </c>
      <c r="AT595" t="s">
        <v>170</v>
      </c>
      <c r="AU595">
        <v>1</v>
      </c>
      <c r="AV595">
        <v>1</v>
      </c>
      <c r="AW595" t="s">
        <v>537</v>
      </c>
      <c r="AX595" t="s">
        <v>283</v>
      </c>
      <c r="AY595" t="s">
        <v>280</v>
      </c>
      <c r="AZ595">
        <v>5</v>
      </c>
      <c r="BA595" t="s">
        <v>533</v>
      </c>
      <c r="BB595" t="s">
        <v>541</v>
      </c>
      <c r="BC595" t="s">
        <v>395</v>
      </c>
      <c r="BD595" t="s">
        <v>228</v>
      </c>
      <c r="BE595" t="s">
        <v>522</v>
      </c>
      <c r="BF595" t="s">
        <v>523</v>
      </c>
      <c r="BG595" t="s">
        <v>407</v>
      </c>
      <c r="BH595" t="s">
        <v>396</v>
      </c>
      <c r="BI595" t="s">
        <v>525</v>
      </c>
      <c r="BJ595" t="s">
        <v>228</v>
      </c>
      <c r="BK595" t="s">
        <v>228</v>
      </c>
      <c r="BL595" t="s">
        <v>228</v>
      </c>
      <c r="BM595" t="s">
        <v>228</v>
      </c>
      <c r="BN595" t="s">
        <v>228</v>
      </c>
      <c r="BO595" t="s">
        <v>228</v>
      </c>
      <c r="BP595" t="s">
        <v>228</v>
      </c>
      <c r="BQ595" t="s">
        <v>228</v>
      </c>
      <c r="BR595" t="s">
        <v>228</v>
      </c>
      <c r="BS595" t="s">
        <v>409</v>
      </c>
      <c r="BT595">
        <v>1</v>
      </c>
    </row>
    <row r="596" spans="1:72" x14ac:dyDescent="0.15">
      <c r="A596" s="43">
        <v>2023</v>
      </c>
      <c r="B596" s="8">
        <v>1</v>
      </c>
      <c r="C596" s="8">
        <v>1</v>
      </c>
      <c r="D596" s="8">
        <v>17</v>
      </c>
      <c r="E596" s="8" t="s">
        <v>67</v>
      </c>
      <c r="F596" s="8" t="s">
        <v>57</v>
      </c>
      <c r="G596" s="8">
        <v>2017</v>
      </c>
      <c r="H596" s="8">
        <v>12</v>
      </c>
      <c r="I596" s="8" t="s">
        <v>483</v>
      </c>
      <c r="J596" s="8" t="s">
        <v>228</v>
      </c>
      <c r="K596" s="8">
        <v>1953</v>
      </c>
      <c r="L596" s="17">
        <v>1</v>
      </c>
      <c r="M596" s="8">
        <v>1</v>
      </c>
      <c r="N596" s="8" t="s">
        <v>49</v>
      </c>
      <c r="O596" s="8" t="s">
        <v>283</v>
      </c>
      <c r="P596" s="8" t="s">
        <v>280</v>
      </c>
      <c r="Q596" s="8">
        <v>20000</v>
      </c>
      <c r="R596" s="8" t="s">
        <v>59</v>
      </c>
      <c r="S596" s="8" t="s">
        <v>54</v>
      </c>
      <c r="T596" s="8" t="s">
        <v>69</v>
      </c>
      <c r="U596" s="8" t="s">
        <v>228</v>
      </c>
      <c r="V596" s="8">
        <v>500</v>
      </c>
      <c r="W596" s="8" t="s">
        <v>328</v>
      </c>
      <c r="X596" s="8">
        <v>3000</v>
      </c>
      <c r="Y596" s="8" t="s">
        <v>394</v>
      </c>
      <c r="Z596" s="8">
        <v>100</v>
      </c>
      <c r="AA596" s="8" t="s">
        <v>278</v>
      </c>
      <c r="AB596" s="8" t="s">
        <v>228</v>
      </c>
      <c r="AC596" s="8" t="s">
        <v>228</v>
      </c>
      <c r="AD596" s="8" t="s">
        <v>228</v>
      </c>
      <c r="AE596" s="8" t="s">
        <v>228</v>
      </c>
      <c r="AF596" s="8" t="s">
        <v>228</v>
      </c>
      <c r="AG596" s="8" t="s">
        <v>228</v>
      </c>
      <c r="AH596" s="8" t="s">
        <v>228</v>
      </c>
      <c r="AI596" s="8" t="s">
        <v>228</v>
      </c>
      <c r="AJ596" t="s">
        <v>468</v>
      </c>
      <c r="AK596">
        <v>1</v>
      </c>
      <c r="AL596">
        <v>1</v>
      </c>
      <c r="AM596" t="s">
        <v>84</v>
      </c>
      <c r="AN596" t="s">
        <v>67</v>
      </c>
      <c r="AO596" t="s">
        <v>526</v>
      </c>
      <c r="AP596" t="s">
        <v>108</v>
      </c>
      <c r="AQ596">
        <v>12</v>
      </c>
      <c r="AR596" t="s">
        <v>483</v>
      </c>
      <c r="AS596" t="s">
        <v>228</v>
      </c>
      <c r="AT596" t="s">
        <v>170</v>
      </c>
      <c r="AU596">
        <v>1</v>
      </c>
      <c r="AV596">
        <v>1</v>
      </c>
      <c r="AW596" t="s">
        <v>537</v>
      </c>
      <c r="AX596" t="s">
        <v>283</v>
      </c>
      <c r="AY596" t="s">
        <v>280</v>
      </c>
      <c r="AZ596">
        <v>5</v>
      </c>
      <c r="BA596" t="s">
        <v>533</v>
      </c>
      <c r="BB596" t="s">
        <v>541</v>
      </c>
      <c r="BC596" t="s">
        <v>395</v>
      </c>
      <c r="BD596" t="s">
        <v>228</v>
      </c>
      <c r="BE596" t="s">
        <v>522</v>
      </c>
      <c r="BF596" t="s">
        <v>523</v>
      </c>
      <c r="BG596" t="s">
        <v>407</v>
      </c>
      <c r="BH596" t="s">
        <v>551</v>
      </c>
      <c r="BI596" t="s">
        <v>525</v>
      </c>
      <c r="BJ596" t="s">
        <v>228</v>
      </c>
      <c r="BK596" t="s">
        <v>228</v>
      </c>
      <c r="BL596" t="s">
        <v>228</v>
      </c>
      <c r="BM596" t="s">
        <v>228</v>
      </c>
      <c r="BN596" t="s">
        <v>228</v>
      </c>
      <c r="BO596" t="s">
        <v>228</v>
      </c>
      <c r="BP596" t="s">
        <v>228</v>
      </c>
      <c r="BQ596" t="s">
        <v>228</v>
      </c>
      <c r="BR596" t="s">
        <v>228</v>
      </c>
      <c r="BS596" t="s">
        <v>409</v>
      </c>
      <c r="BT596">
        <v>1</v>
      </c>
    </row>
    <row r="597" spans="1:72" x14ac:dyDescent="0.15">
      <c r="A597" s="43">
        <v>2023</v>
      </c>
      <c r="B597" s="8">
        <v>1</v>
      </c>
      <c r="C597" s="8">
        <v>1</v>
      </c>
      <c r="D597" s="8">
        <v>17</v>
      </c>
      <c r="E597" s="8" t="s">
        <v>67</v>
      </c>
      <c r="F597" s="8" t="s">
        <v>57</v>
      </c>
      <c r="G597" s="8">
        <v>2017</v>
      </c>
      <c r="H597" s="8">
        <v>12</v>
      </c>
      <c r="I597" s="8" t="s">
        <v>483</v>
      </c>
      <c r="J597" s="8" t="s">
        <v>228</v>
      </c>
      <c r="K597" s="8">
        <v>1953</v>
      </c>
      <c r="L597" s="17">
        <v>1</v>
      </c>
      <c r="M597" s="8">
        <v>1</v>
      </c>
      <c r="N597" s="8" t="s">
        <v>49</v>
      </c>
      <c r="O597" s="8" t="s">
        <v>283</v>
      </c>
      <c r="P597" s="8" t="s">
        <v>280</v>
      </c>
      <c r="Q597" s="8">
        <v>20000</v>
      </c>
      <c r="R597" s="8" t="s">
        <v>59</v>
      </c>
      <c r="S597" s="8" t="s">
        <v>54</v>
      </c>
      <c r="T597" s="8" t="s">
        <v>69</v>
      </c>
      <c r="U597" s="8" t="s">
        <v>228</v>
      </c>
      <c r="V597" s="8">
        <v>500</v>
      </c>
      <c r="W597" s="8" t="s">
        <v>328</v>
      </c>
      <c r="X597" s="8">
        <v>3000</v>
      </c>
      <c r="Y597" s="8" t="s">
        <v>271</v>
      </c>
      <c r="Z597" s="8">
        <v>100</v>
      </c>
      <c r="AA597" s="8" t="s">
        <v>278</v>
      </c>
      <c r="AB597" s="8" t="s">
        <v>228</v>
      </c>
      <c r="AC597" s="8" t="s">
        <v>228</v>
      </c>
      <c r="AD597" s="8" t="s">
        <v>228</v>
      </c>
      <c r="AE597" s="8" t="s">
        <v>228</v>
      </c>
      <c r="AF597" s="8" t="s">
        <v>228</v>
      </c>
      <c r="AG597" s="8" t="s">
        <v>228</v>
      </c>
      <c r="AH597" s="8" t="s">
        <v>228</v>
      </c>
      <c r="AI597" s="8" t="s">
        <v>228</v>
      </c>
      <c r="AJ597" t="s">
        <v>468</v>
      </c>
      <c r="AK597">
        <v>1</v>
      </c>
      <c r="AL597">
        <v>1</v>
      </c>
      <c r="AM597" t="s">
        <v>84</v>
      </c>
      <c r="AN597" t="s">
        <v>67</v>
      </c>
      <c r="AO597" t="s">
        <v>526</v>
      </c>
      <c r="AP597" t="s">
        <v>108</v>
      </c>
      <c r="AQ597">
        <v>12</v>
      </c>
      <c r="AR597" t="s">
        <v>483</v>
      </c>
      <c r="AS597" t="s">
        <v>228</v>
      </c>
      <c r="AT597" t="s">
        <v>170</v>
      </c>
      <c r="AU597">
        <v>1</v>
      </c>
      <c r="AV597">
        <v>1</v>
      </c>
      <c r="AW597" t="s">
        <v>537</v>
      </c>
      <c r="AX597" t="s">
        <v>283</v>
      </c>
      <c r="AY597" t="s">
        <v>280</v>
      </c>
      <c r="AZ597">
        <v>5</v>
      </c>
      <c r="BA597" t="s">
        <v>533</v>
      </c>
      <c r="BB597" t="s">
        <v>541</v>
      </c>
      <c r="BC597" t="s">
        <v>395</v>
      </c>
      <c r="BD597" t="s">
        <v>228</v>
      </c>
      <c r="BE597" t="s">
        <v>522</v>
      </c>
      <c r="BF597" t="s">
        <v>523</v>
      </c>
      <c r="BG597" t="s">
        <v>407</v>
      </c>
      <c r="BH597" t="s">
        <v>544</v>
      </c>
      <c r="BI597" t="s">
        <v>525</v>
      </c>
      <c r="BJ597" t="s">
        <v>228</v>
      </c>
      <c r="BK597" t="s">
        <v>228</v>
      </c>
      <c r="BL597" t="s">
        <v>228</v>
      </c>
      <c r="BM597" t="s">
        <v>228</v>
      </c>
      <c r="BN597" t="s">
        <v>228</v>
      </c>
      <c r="BO597" t="s">
        <v>228</v>
      </c>
      <c r="BP597" t="s">
        <v>228</v>
      </c>
      <c r="BQ597" t="s">
        <v>228</v>
      </c>
      <c r="BR597" t="s">
        <v>228</v>
      </c>
      <c r="BS597" t="s">
        <v>409</v>
      </c>
      <c r="BT597">
        <v>0</v>
      </c>
    </row>
    <row r="598" spans="1:72" x14ac:dyDescent="0.15">
      <c r="A598" s="43">
        <v>2023</v>
      </c>
      <c r="B598" s="8">
        <v>1</v>
      </c>
      <c r="C598" s="8">
        <v>1</v>
      </c>
      <c r="D598" s="8">
        <v>16</v>
      </c>
      <c r="E598" s="8" t="s">
        <v>67</v>
      </c>
      <c r="F598" s="8" t="s">
        <v>57</v>
      </c>
      <c r="G598" s="8">
        <v>2017</v>
      </c>
      <c r="H598" s="8">
        <v>12</v>
      </c>
      <c r="I598" s="8" t="s">
        <v>483</v>
      </c>
      <c r="J598" s="8" t="s">
        <v>228</v>
      </c>
      <c r="K598" s="8">
        <v>1953</v>
      </c>
      <c r="L598" s="17">
        <v>1</v>
      </c>
      <c r="M598" s="8">
        <v>1</v>
      </c>
      <c r="N598" s="8" t="s">
        <v>49</v>
      </c>
      <c r="O598" s="8" t="s">
        <v>283</v>
      </c>
      <c r="P598" s="8" t="s">
        <v>280</v>
      </c>
      <c r="Q598" s="8">
        <v>20000</v>
      </c>
      <c r="R598" s="8" t="s">
        <v>59</v>
      </c>
      <c r="S598" s="8" t="s">
        <v>54</v>
      </c>
      <c r="T598" s="8" t="s">
        <v>69</v>
      </c>
      <c r="U598" s="8" t="s">
        <v>228</v>
      </c>
      <c r="V598" s="8">
        <v>500</v>
      </c>
      <c r="W598" s="8" t="s">
        <v>328</v>
      </c>
      <c r="X598" s="8">
        <v>3000</v>
      </c>
      <c r="Y598" s="8" t="s">
        <v>268</v>
      </c>
      <c r="Z598" s="8">
        <v>100</v>
      </c>
      <c r="AA598" s="8" t="s">
        <v>278</v>
      </c>
      <c r="AB598" s="8" t="s">
        <v>228</v>
      </c>
      <c r="AC598" s="8" t="s">
        <v>228</v>
      </c>
      <c r="AD598" s="8" t="s">
        <v>228</v>
      </c>
      <c r="AE598" s="8" t="s">
        <v>228</v>
      </c>
      <c r="AF598" s="8" t="s">
        <v>228</v>
      </c>
      <c r="AG598" s="8" t="s">
        <v>228</v>
      </c>
      <c r="AH598" s="8" t="s">
        <v>228</v>
      </c>
      <c r="AI598" s="8" t="s">
        <v>228</v>
      </c>
      <c r="AJ598" t="s">
        <v>468</v>
      </c>
      <c r="AK598">
        <v>1</v>
      </c>
      <c r="AL598">
        <v>1</v>
      </c>
      <c r="AM598" t="s">
        <v>85</v>
      </c>
      <c r="AN598" t="s">
        <v>67</v>
      </c>
      <c r="AO598" t="s">
        <v>526</v>
      </c>
      <c r="AP598" t="s">
        <v>108</v>
      </c>
      <c r="AQ598">
        <v>12</v>
      </c>
      <c r="AR598" t="s">
        <v>483</v>
      </c>
      <c r="AS598" t="s">
        <v>228</v>
      </c>
      <c r="AT598" t="s">
        <v>170</v>
      </c>
      <c r="AU598">
        <v>1</v>
      </c>
      <c r="AV598">
        <v>1</v>
      </c>
      <c r="AW598" t="s">
        <v>537</v>
      </c>
      <c r="AX598" t="s">
        <v>283</v>
      </c>
      <c r="AY598" t="s">
        <v>280</v>
      </c>
      <c r="AZ598">
        <v>5</v>
      </c>
      <c r="BA598" t="s">
        <v>533</v>
      </c>
      <c r="BB598" t="s">
        <v>541</v>
      </c>
      <c r="BC598" t="s">
        <v>395</v>
      </c>
      <c r="BD598" t="s">
        <v>228</v>
      </c>
      <c r="BE598" t="s">
        <v>522</v>
      </c>
      <c r="BF598" t="s">
        <v>523</v>
      </c>
      <c r="BG598" t="s">
        <v>407</v>
      </c>
      <c r="BH598" t="s">
        <v>396</v>
      </c>
      <c r="BI598" t="s">
        <v>525</v>
      </c>
      <c r="BJ598" t="s">
        <v>228</v>
      </c>
      <c r="BK598" t="s">
        <v>228</v>
      </c>
      <c r="BL598" t="s">
        <v>228</v>
      </c>
      <c r="BM598" t="s">
        <v>228</v>
      </c>
      <c r="BN598" t="s">
        <v>228</v>
      </c>
      <c r="BO598" t="s">
        <v>228</v>
      </c>
      <c r="BP598" t="s">
        <v>228</v>
      </c>
      <c r="BQ598" t="s">
        <v>228</v>
      </c>
      <c r="BR598" t="s">
        <v>228</v>
      </c>
      <c r="BS598" t="s">
        <v>409</v>
      </c>
      <c r="BT598">
        <v>1</v>
      </c>
    </row>
    <row r="599" spans="1:72" x14ac:dyDescent="0.15">
      <c r="A599" s="43">
        <v>2023</v>
      </c>
      <c r="B599" s="8">
        <v>1</v>
      </c>
      <c r="C599" s="8">
        <v>1</v>
      </c>
      <c r="D599" s="8">
        <v>16</v>
      </c>
      <c r="E599" s="8" t="s">
        <v>67</v>
      </c>
      <c r="F599" s="8" t="s">
        <v>57</v>
      </c>
      <c r="G599" s="8">
        <v>2017</v>
      </c>
      <c r="H599" s="8">
        <v>12</v>
      </c>
      <c r="I599" s="8" t="s">
        <v>483</v>
      </c>
      <c r="J599" s="8" t="s">
        <v>228</v>
      </c>
      <c r="K599" s="8">
        <v>1953</v>
      </c>
      <c r="L599" s="17">
        <v>1</v>
      </c>
      <c r="M599" s="8">
        <v>1</v>
      </c>
      <c r="N599" s="8" t="s">
        <v>49</v>
      </c>
      <c r="O599" s="8" t="s">
        <v>283</v>
      </c>
      <c r="P599" s="8" t="s">
        <v>280</v>
      </c>
      <c r="Q599" s="8">
        <v>20000</v>
      </c>
      <c r="R599" s="8" t="s">
        <v>59</v>
      </c>
      <c r="S599" s="8" t="s">
        <v>54</v>
      </c>
      <c r="T599" s="8" t="s">
        <v>69</v>
      </c>
      <c r="U599" s="8" t="s">
        <v>228</v>
      </c>
      <c r="V599" s="8">
        <v>500</v>
      </c>
      <c r="W599" s="8" t="s">
        <v>328</v>
      </c>
      <c r="X599" s="8">
        <v>3000</v>
      </c>
      <c r="Y599" s="8" t="s">
        <v>394</v>
      </c>
      <c r="Z599" s="8">
        <v>100</v>
      </c>
      <c r="AA599" s="8" t="s">
        <v>278</v>
      </c>
      <c r="AB599" s="8" t="s">
        <v>228</v>
      </c>
      <c r="AC599" s="8" t="s">
        <v>228</v>
      </c>
      <c r="AD599" s="8" t="s">
        <v>228</v>
      </c>
      <c r="AE599" s="8" t="s">
        <v>228</v>
      </c>
      <c r="AF599" s="8" t="s">
        <v>228</v>
      </c>
      <c r="AG599" s="8" t="s">
        <v>228</v>
      </c>
      <c r="AH599" s="8" t="s">
        <v>228</v>
      </c>
      <c r="AI599" s="8" t="s">
        <v>228</v>
      </c>
      <c r="AJ599" t="s">
        <v>468</v>
      </c>
      <c r="AK599">
        <v>1</v>
      </c>
      <c r="AL599">
        <v>1</v>
      </c>
      <c r="AM599" t="s">
        <v>85</v>
      </c>
      <c r="AN599" t="s">
        <v>67</v>
      </c>
      <c r="AO599" t="s">
        <v>526</v>
      </c>
      <c r="AP599" t="s">
        <v>108</v>
      </c>
      <c r="AQ599">
        <v>12</v>
      </c>
      <c r="AR599" t="s">
        <v>483</v>
      </c>
      <c r="AS599" t="s">
        <v>228</v>
      </c>
      <c r="AT599" t="s">
        <v>170</v>
      </c>
      <c r="AU599">
        <v>1</v>
      </c>
      <c r="AV599">
        <v>1</v>
      </c>
      <c r="AW599" t="s">
        <v>537</v>
      </c>
      <c r="AX599" t="s">
        <v>283</v>
      </c>
      <c r="AY599" t="s">
        <v>280</v>
      </c>
      <c r="AZ599">
        <v>5</v>
      </c>
      <c r="BA599" t="s">
        <v>533</v>
      </c>
      <c r="BB599" t="s">
        <v>541</v>
      </c>
      <c r="BC599" t="s">
        <v>395</v>
      </c>
      <c r="BD599" t="s">
        <v>228</v>
      </c>
      <c r="BE599" t="s">
        <v>522</v>
      </c>
      <c r="BF599" t="s">
        <v>523</v>
      </c>
      <c r="BG599" t="s">
        <v>407</v>
      </c>
      <c r="BH599" t="s">
        <v>551</v>
      </c>
      <c r="BI599" t="s">
        <v>525</v>
      </c>
      <c r="BJ599" t="s">
        <v>228</v>
      </c>
      <c r="BK599" t="s">
        <v>228</v>
      </c>
      <c r="BL599" t="s">
        <v>228</v>
      </c>
      <c r="BM599" t="s">
        <v>228</v>
      </c>
      <c r="BN599" t="s">
        <v>228</v>
      </c>
      <c r="BO599" t="s">
        <v>228</v>
      </c>
      <c r="BP599" t="s">
        <v>228</v>
      </c>
      <c r="BQ599" t="s">
        <v>228</v>
      </c>
      <c r="BR599" t="s">
        <v>228</v>
      </c>
      <c r="BS599" t="s">
        <v>409</v>
      </c>
      <c r="BT599">
        <v>1</v>
      </c>
    </row>
    <row r="600" spans="1:72" x14ac:dyDescent="0.15">
      <c r="A600" s="43">
        <v>2023</v>
      </c>
      <c r="B600" s="8">
        <v>1</v>
      </c>
      <c r="C600" s="8">
        <v>1</v>
      </c>
      <c r="D600" s="8">
        <v>16</v>
      </c>
      <c r="E600" s="8" t="s">
        <v>67</v>
      </c>
      <c r="F600" s="8" t="s">
        <v>57</v>
      </c>
      <c r="G600" s="8">
        <v>2017</v>
      </c>
      <c r="H600" s="8">
        <v>12</v>
      </c>
      <c r="I600" s="8" t="s">
        <v>483</v>
      </c>
      <c r="J600" s="8" t="s">
        <v>228</v>
      </c>
      <c r="K600" s="8">
        <v>1953</v>
      </c>
      <c r="L600" s="17">
        <v>1</v>
      </c>
      <c r="M600" s="8">
        <v>1</v>
      </c>
      <c r="N600" s="8" t="s">
        <v>49</v>
      </c>
      <c r="O600" s="8" t="s">
        <v>283</v>
      </c>
      <c r="P600" s="8" t="s">
        <v>280</v>
      </c>
      <c r="Q600" s="8">
        <v>20000</v>
      </c>
      <c r="R600" s="8" t="s">
        <v>59</v>
      </c>
      <c r="S600" s="8" t="s">
        <v>54</v>
      </c>
      <c r="T600" s="8" t="s">
        <v>69</v>
      </c>
      <c r="U600" s="8" t="s">
        <v>228</v>
      </c>
      <c r="V600" s="8">
        <v>500</v>
      </c>
      <c r="W600" s="8" t="s">
        <v>328</v>
      </c>
      <c r="X600" s="8">
        <v>3000</v>
      </c>
      <c r="Y600" s="8" t="s">
        <v>271</v>
      </c>
      <c r="Z600" s="8">
        <v>100</v>
      </c>
      <c r="AA600" s="8" t="s">
        <v>278</v>
      </c>
      <c r="AB600" s="8" t="s">
        <v>228</v>
      </c>
      <c r="AC600" s="8" t="s">
        <v>228</v>
      </c>
      <c r="AD600" s="8" t="s">
        <v>228</v>
      </c>
      <c r="AE600" s="8" t="s">
        <v>228</v>
      </c>
      <c r="AF600" s="8" t="s">
        <v>228</v>
      </c>
      <c r="AG600" s="8" t="s">
        <v>228</v>
      </c>
      <c r="AH600" s="8" t="s">
        <v>228</v>
      </c>
      <c r="AI600" s="8" t="s">
        <v>228</v>
      </c>
      <c r="AJ600" t="s">
        <v>468</v>
      </c>
      <c r="AK600">
        <v>1</v>
      </c>
      <c r="AL600">
        <v>1</v>
      </c>
      <c r="AM600" t="s">
        <v>85</v>
      </c>
      <c r="AN600" t="s">
        <v>67</v>
      </c>
      <c r="AO600" t="s">
        <v>526</v>
      </c>
      <c r="AP600" t="s">
        <v>108</v>
      </c>
      <c r="AQ600">
        <v>12</v>
      </c>
      <c r="AR600" t="s">
        <v>483</v>
      </c>
      <c r="AS600" t="s">
        <v>228</v>
      </c>
      <c r="AT600" t="s">
        <v>170</v>
      </c>
      <c r="AU600">
        <v>1</v>
      </c>
      <c r="AV600">
        <v>1</v>
      </c>
      <c r="AW600" t="s">
        <v>537</v>
      </c>
      <c r="AX600" t="s">
        <v>283</v>
      </c>
      <c r="AY600" t="s">
        <v>280</v>
      </c>
      <c r="AZ600">
        <v>5</v>
      </c>
      <c r="BA600" t="s">
        <v>533</v>
      </c>
      <c r="BB600" t="s">
        <v>541</v>
      </c>
      <c r="BC600" t="s">
        <v>395</v>
      </c>
      <c r="BD600" t="s">
        <v>228</v>
      </c>
      <c r="BE600" t="s">
        <v>522</v>
      </c>
      <c r="BF600" t="s">
        <v>523</v>
      </c>
      <c r="BG600" t="s">
        <v>407</v>
      </c>
      <c r="BH600" t="s">
        <v>544</v>
      </c>
      <c r="BI600" t="s">
        <v>525</v>
      </c>
      <c r="BJ600" t="s">
        <v>228</v>
      </c>
      <c r="BK600" t="s">
        <v>228</v>
      </c>
      <c r="BL600" t="s">
        <v>228</v>
      </c>
      <c r="BM600" t="s">
        <v>228</v>
      </c>
      <c r="BN600" t="s">
        <v>228</v>
      </c>
      <c r="BO600" t="s">
        <v>228</v>
      </c>
      <c r="BP600" t="s">
        <v>228</v>
      </c>
      <c r="BQ600" t="s">
        <v>228</v>
      </c>
      <c r="BR600" t="s">
        <v>228</v>
      </c>
      <c r="BS600" t="s">
        <v>409</v>
      </c>
      <c r="BT600">
        <v>0</v>
      </c>
    </row>
    <row r="601" spans="1:72" x14ac:dyDescent="0.15">
      <c r="A601" s="43">
        <v>2023</v>
      </c>
      <c r="B601" s="8">
        <v>1</v>
      </c>
      <c r="C601" s="8">
        <v>1</v>
      </c>
      <c r="D601" s="8">
        <v>15</v>
      </c>
      <c r="E601" s="8" t="s">
        <v>67</v>
      </c>
      <c r="F601" s="8" t="s">
        <v>57</v>
      </c>
      <c r="G601" s="8">
        <v>2017</v>
      </c>
      <c r="H601" s="8">
        <v>12</v>
      </c>
      <c r="I601" s="8" t="s">
        <v>483</v>
      </c>
      <c r="J601" s="8" t="s">
        <v>228</v>
      </c>
      <c r="K601" s="8">
        <v>1953</v>
      </c>
      <c r="L601" s="17">
        <v>1</v>
      </c>
      <c r="M601" s="8">
        <v>1</v>
      </c>
      <c r="N601" s="8" t="s">
        <v>49</v>
      </c>
      <c r="O601" s="8" t="s">
        <v>283</v>
      </c>
      <c r="P601" s="8" t="s">
        <v>280</v>
      </c>
      <c r="Q601" s="8">
        <v>20000</v>
      </c>
      <c r="R601" s="8" t="s">
        <v>59</v>
      </c>
      <c r="S601" s="8" t="s">
        <v>54</v>
      </c>
      <c r="T601" s="8" t="s">
        <v>69</v>
      </c>
      <c r="U601" s="8" t="s">
        <v>228</v>
      </c>
      <c r="V601" s="8">
        <v>500</v>
      </c>
      <c r="W601" s="8" t="s">
        <v>328</v>
      </c>
      <c r="X601" s="8">
        <v>3000</v>
      </c>
      <c r="Y601" s="8" t="s">
        <v>268</v>
      </c>
      <c r="Z601" s="8">
        <v>100</v>
      </c>
      <c r="AA601" s="8" t="s">
        <v>278</v>
      </c>
      <c r="AB601" s="8" t="s">
        <v>228</v>
      </c>
      <c r="AC601" s="8" t="s">
        <v>228</v>
      </c>
      <c r="AD601" s="8" t="s">
        <v>228</v>
      </c>
      <c r="AE601" s="8" t="s">
        <v>228</v>
      </c>
      <c r="AF601" s="8" t="s">
        <v>228</v>
      </c>
      <c r="AG601" s="8" t="s">
        <v>228</v>
      </c>
      <c r="AH601" s="8" t="s">
        <v>228</v>
      </c>
      <c r="AI601" s="8" t="s">
        <v>228</v>
      </c>
      <c r="AJ601" t="s">
        <v>468</v>
      </c>
      <c r="AK601">
        <v>1</v>
      </c>
      <c r="AL601">
        <v>1</v>
      </c>
      <c r="AM601" t="s">
        <v>86</v>
      </c>
      <c r="AN601" t="s">
        <v>67</v>
      </c>
      <c r="AO601" t="s">
        <v>526</v>
      </c>
      <c r="AP601" t="s">
        <v>108</v>
      </c>
      <c r="AQ601">
        <v>12</v>
      </c>
      <c r="AR601" t="s">
        <v>483</v>
      </c>
      <c r="AS601" t="s">
        <v>228</v>
      </c>
      <c r="AT601" t="s">
        <v>170</v>
      </c>
      <c r="AU601">
        <v>1</v>
      </c>
      <c r="AV601">
        <v>1</v>
      </c>
      <c r="AW601" t="s">
        <v>537</v>
      </c>
      <c r="AX601" t="s">
        <v>283</v>
      </c>
      <c r="AY601" t="s">
        <v>280</v>
      </c>
      <c r="AZ601">
        <v>5</v>
      </c>
      <c r="BA601" t="s">
        <v>533</v>
      </c>
      <c r="BB601" t="s">
        <v>541</v>
      </c>
      <c r="BC601" t="s">
        <v>395</v>
      </c>
      <c r="BD601" t="s">
        <v>228</v>
      </c>
      <c r="BE601" t="s">
        <v>522</v>
      </c>
      <c r="BF601" t="s">
        <v>523</v>
      </c>
      <c r="BG601" t="s">
        <v>407</v>
      </c>
      <c r="BH601" t="s">
        <v>396</v>
      </c>
      <c r="BI601" t="s">
        <v>525</v>
      </c>
      <c r="BJ601" t="s">
        <v>228</v>
      </c>
      <c r="BK601" t="s">
        <v>228</v>
      </c>
      <c r="BL601" t="s">
        <v>228</v>
      </c>
      <c r="BM601" t="s">
        <v>228</v>
      </c>
      <c r="BN601" t="s">
        <v>228</v>
      </c>
      <c r="BO601" t="s">
        <v>228</v>
      </c>
      <c r="BP601" t="s">
        <v>228</v>
      </c>
      <c r="BQ601" t="s">
        <v>228</v>
      </c>
      <c r="BR601" t="s">
        <v>228</v>
      </c>
      <c r="BS601" t="s">
        <v>409</v>
      </c>
      <c r="BT601">
        <v>1</v>
      </c>
    </row>
    <row r="602" spans="1:72" x14ac:dyDescent="0.15">
      <c r="A602" s="43">
        <v>2023</v>
      </c>
      <c r="B602" s="8">
        <v>1</v>
      </c>
      <c r="C602" s="8">
        <v>1</v>
      </c>
      <c r="D602" s="8">
        <v>15</v>
      </c>
      <c r="E602" s="8" t="s">
        <v>67</v>
      </c>
      <c r="F602" s="8" t="s">
        <v>57</v>
      </c>
      <c r="G602" s="8">
        <v>2017</v>
      </c>
      <c r="H602" s="8">
        <v>12</v>
      </c>
      <c r="I602" s="8" t="s">
        <v>483</v>
      </c>
      <c r="J602" s="8" t="s">
        <v>228</v>
      </c>
      <c r="K602" s="8">
        <v>1953</v>
      </c>
      <c r="L602" s="17">
        <v>1</v>
      </c>
      <c r="M602" s="8">
        <v>1</v>
      </c>
      <c r="N602" s="8" t="s">
        <v>49</v>
      </c>
      <c r="O602" s="8" t="s">
        <v>283</v>
      </c>
      <c r="P602" s="8" t="s">
        <v>280</v>
      </c>
      <c r="Q602" s="8">
        <v>20000</v>
      </c>
      <c r="R602" s="8" t="s">
        <v>59</v>
      </c>
      <c r="S602" s="8" t="s">
        <v>54</v>
      </c>
      <c r="T602" s="8" t="s">
        <v>69</v>
      </c>
      <c r="U602" s="8" t="s">
        <v>228</v>
      </c>
      <c r="V602" s="8">
        <v>500</v>
      </c>
      <c r="W602" s="8" t="s">
        <v>328</v>
      </c>
      <c r="X602" s="8">
        <v>3000</v>
      </c>
      <c r="Y602" s="8" t="s">
        <v>394</v>
      </c>
      <c r="Z602" s="8">
        <v>100</v>
      </c>
      <c r="AA602" s="8" t="s">
        <v>278</v>
      </c>
      <c r="AB602" s="8" t="s">
        <v>228</v>
      </c>
      <c r="AC602" s="8" t="s">
        <v>228</v>
      </c>
      <c r="AD602" s="8" t="s">
        <v>228</v>
      </c>
      <c r="AE602" s="8" t="s">
        <v>228</v>
      </c>
      <c r="AF602" s="8" t="s">
        <v>228</v>
      </c>
      <c r="AG602" s="8" t="s">
        <v>228</v>
      </c>
      <c r="AH602" s="8" t="s">
        <v>228</v>
      </c>
      <c r="AI602" s="8" t="s">
        <v>228</v>
      </c>
      <c r="AJ602" t="s">
        <v>468</v>
      </c>
      <c r="AK602">
        <v>1</v>
      </c>
      <c r="AL602">
        <v>1</v>
      </c>
      <c r="AM602" t="s">
        <v>86</v>
      </c>
      <c r="AN602" t="s">
        <v>67</v>
      </c>
      <c r="AO602" t="s">
        <v>526</v>
      </c>
      <c r="AP602" t="s">
        <v>108</v>
      </c>
      <c r="AQ602">
        <v>12</v>
      </c>
      <c r="AR602" t="s">
        <v>483</v>
      </c>
      <c r="AS602" t="s">
        <v>228</v>
      </c>
      <c r="AT602" t="s">
        <v>170</v>
      </c>
      <c r="AU602">
        <v>1</v>
      </c>
      <c r="AV602">
        <v>1</v>
      </c>
      <c r="AW602" t="s">
        <v>537</v>
      </c>
      <c r="AX602" t="s">
        <v>283</v>
      </c>
      <c r="AY602" t="s">
        <v>280</v>
      </c>
      <c r="AZ602">
        <v>5</v>
      </c>
      <c r="BA602" t="s">
        <v>533</v>
      </c>
      <c r="BB602" t="s">
        <v>541</v>
      </c>
      <c r="BC602" t="s">
        <v>395</v>
      </c>
      <c r="BD602" t="s">
        <v>228</v>
      </c>
      <c r="BE602" t="s">
        <v>522</v>
      </c>
      <c r="BF602" t="s">
        <v>523</v>
      </c>
      <c r="BG602" t="s">
        <v>407</v>
      </c>
      <c r="BH602" t="s">
        <v>551</v>
      </c>
      <c r="BI602" t="s">
        <v>525</v>
      </c>
      <c r="BJ602" t="s">
        <v>228</v>
      </c>
      <c r="BK602" t="s">
        <v>228</v>
      </c>
      <c r="BL602" t="s">
        <v>228</v>
      </c>
      <c r="BM602" t="s">
        <v>228</v>
      </c>
      <c r="BN602" t="s">
        <v>228</v>
      </c>
      <c r="BO602" t="s">
        <v>228</v>
      </c>
      <c r="BP602" t="s">
        <v>228</v>
      </c>
      <c r="BQ602" t="s">
        <v>228</v>
      </c>
      <c r="BR602" t="s">
        <v>228</v>
      </c>
      <c r="BS602" t="s">
        <v>409</v>
      </c>
      <c r="BT602">
        <v>1</v>
      </c>
    </row>
    <row r="603" spans="1:72" x14ac:dyDescent="0.15">
      <c r="A603" s="43">
        <v>2023</v>
      </c>
      <c r="B603" s="8">
        <v>1</v>
      </c>
      <c r="C603" s="8">
        <v>1</v>
      </c>
      <c r="D603" s="8">
        <v>15</v>
      </c>
      <c r="E603" s="8" t="s">
        <v>67</v>
      </c>
      <c r="F603" s="8" t="s">
        <v>57</v>
      </c>
      <c r="G603" s="8">
        <v>2017</v>
      </c>
      <c r="H603" s="8">
        <v>12</v>
      </c>
      <c r="I603" s="8" t="s">
        <v>483</v>
      </c>
      <c r="J603" s="8" t="s">
        <v>228</v>
      </c>
      <c r="K603" s="8">
        <v>1953</v>
      </c>
      <c r="L603" s="17">
        <v>1</v>
      </c>
      <c r="M603" s="8">
        <v>1</v>
      </c>
      <c r="N603" s="8" t="s">
        <v>49</v>
      </c>
      <c r="O603" s="8" t="s">
        <v>283</v>
      </c>
      <c r="P603" s="8" t="s">
        <v>280</v>
      </c>
      <c r="Q603" s="8">
        <v>20000</v>
      </c>
      <c r="R603" s="8" t="s">
        <v>59</v>
      </c>
      <c r="S603" s="8" t="s">
        <v>54</v>
      </c>
      <c r="T603" s="8" t="s">
        <v>69</v>
      </c>
      <c r="U603" s="8" t="s">
        <v>228</v>
      </c>
      <c r="V603" s="8">
        <v>500</v>
      </c>
      <c r="W603" s="8" t="s">
        <v>328</v>
      </c>
      <c r="X603" s="8">
        <v>3000</v>
      </c>
      <c r="Y603" s="8" t="s">
        <v>271</v>
      </c>
      <c r="Z603" s="8">
        <v>100</v>
      </c>
      <c r="AA603" s="8" t="s">
        <v>278</v>
      </c>
      <c r="AB603" s="8" t="s">
        <v>228</v>
      </c>
      <c r="AC603" s="8" t="s">
        <v>228</v>
      </c>
      <c r="AD603" s="8" t="s">
        <v>228</v>
      </c>
      <c r="AE603" s="8" t="s">
        <v>228</v>
      </c>
      <c r="AF603" s="8" t="s">
        <v>228</v>
      </c>
      <c r="AG603" s="8" t="s">
        <v>228</v>
      </c>
      <c r="AH603" s="8" t="s">
        <v>228</v>
      </c>
      <c r="AI603" s="8" t="s">
        <v>228</v>
      </c>
      <c r="AJ603" t="s">
        <v>468</v>
      </c>
      <c r="AK603">
        <v>1</v>
      </c>
      <c r="AL603">
        <v>1</v>
      </c>
      <c r="AM603" t="s">
        <v>86</v>
      </c>
      <c r="AN603" t="s">
        <v>67</v>
      </c>
      <c r="AO603" t="s">
        <v>526</v>
      </c>
      <c r="AP603" t="s">
        <v>108</v>
      </c>
      <c r="AQ603">
        <v>12</v>
      </c>
      <c r="AR603" t="s">
        <v>483</v>
      </c>
      <c r="AS603" t="s">
        <v>228</v>
      </c>
      <c r="AT603" t="s">
        <v>170</v>
      </c>
      <c r="AU603">
        <v>1</v>
      </c>
      <c r="AV603">
        <v>1</v>
      </c>
      <c r="AW603" t="s">
        <v>537</v>
      </c>
      <c r="AX603" t="s">
        <v>283</v>
      </c>
      <c r="AY603" t="s">
        <v>280</v>
      </c>
      <c r="AZ603">
        <v>5</v>
      </c>
      <c r="BA603" t="s">
        <v>533</v>
      </c>
      <c r="BB603" t="s">
        <v>541</v>
      </c>
      <c r="BC603" t="s">
        <v>395</v>
      </c>
      <c r="BD603" t="s">
        <v>228</v>
      </c>
      <c r="BE603" t="s">
        <v>522</v>
      </c>
      <c r="BF603" t="s">
        <v>523</v>
      </c>
      <c r="BG603" t="s">
        <v>407</v>
      </c>
      <c r="BH603" t="s">
        <v>544</v>
      </c>
      <c r="BI603" t="s">
        <v>525</v>
      </c>
      <c r="BJ603" t="s">
        <v>228</v>
      </c>
      <c r="BK603" t="s">
        <v>228</v>
      </c>
      <c r="BL603" t="s">
        <v>228</v>
      </c>
      <c r="BM603" t="s">
        <v>228</v>
      </c>
      <c r="BN603" t="s">
        <v>228</v>
      </c>
      <c r="BO603" t="s">
        <v>228</v>
      </c>
      <c r="BP603" t="s">
        <v>228</v>
      </c>
      <c r="BQ603" t="s">
        <v>228</v>
      </c>
      <c r="BR603" t="s">
        <v>228</v>
      </c>
      <c r="BS603" t="s">
        <v>409</v>
      </c>
      <c r="BT603">
        <v>0</v>
      </c>
    </row>
    <row r="604" spans="1:72" x14ac:dyDescent="0.15">
      <c r="A604" s="43">
        <v>2023</v>
      </c>
      <c r="B604" s="8">
        <v>1</v>
      </c>
      <c r="C604" s="8">
        <v>1</v>
      </c>
      <c r="D604" s="8">
        <v>14</v>
      </c>
      <c r="E604" s="8" t="s">
        <v>67</v>
      </c>
      <c r="F604" s="8" t="s">
        <v>57</v>
      </c>
      <c r="G604" s="8">
        <v>2017</v>
      </c>
      <c r="H604" s="8">
        <v>12</v>
      </c>
      <c r="I604" s="8" t="s">
        <v>483</v>
      </c>
      <c r="J604" s="8" t="s">
        <v>228</v>
      </c>
      <c r="K604" s="8">
        <v>1953</v>
      </c>
      <c r="L604" s="17">
        <v>1</v>
      </c>
      <c r="M604" s="8">
        <v>1</v>
      </c>
      <c r="N604" s="8" t="s">
        <v>49</v>
      </c>
      <c r="O604" s="8" t="s">
        <v>283</v>
      </c>
      <c r="P604" s="8" t="s">
        <v>280</v>
      </c>
      <c r="Q604" s="8">
        <v>20000</v>
      </c>
      <c r="R604" s="8" t="s">
        <v>59</v>
      </c>
      <c r="S604" s="8" t="s">
        <v>54</v>
      </c>
      <c r="T604" s="8" t="s">
        <v>69</v>
      </c>
      <c r="U604" s="8" t="s">
        <v>228</v>
      </c>
      <c r="V604" s="8">
        <v>500</v>
      </c>
      <c r="W604" s="8" t="s">
        <v>328</v>
      </c>
      <c r="X604" s="8">
        <v>3000</v>
      </c>
      <c r="Y604" s="8" t="s">
        <v>268</v>
      </c>
      <c r="Z604" s="8">
        <v>100</v>
      </c>
      <c r="AA604" s="8" t="s">
        <v>278</v>
      </c>
      <c r="AB604" s="8" t="s">
        <v>228</v>
      </c>
      <c r="AC604" s="8" t="s">
        <v>228</v>
      </c>
      <c r="AD604" s="8" t="s">
        <v>228</v>
      </c>
      <c r="AE604" s="8" t="s">
        <v>228</v>
      </c>
      <c r="AF604" s="8" t="s">
        <v>228</v>
      </c>
      <c r="AG604" s="8" t="s">
        <v>228</v>
      </c>
      <c r="AH604" s="8" t="s">
        <v>228</v>
      </c>
      <c r="AI604" s="8" t="s">
        <v>228</v>
      </c>
      <c r="AJ604" t="s">
        <v>468</v>
      </c>
      <c r="AK604">
        <v>1</v>
      </c>
      <c r="AL604">
        <v>1</v>
      </c>
      <c r="AM604" t="s">
        <v>87</v>
      </c>
      <c r="AN604" t="s">
        <v>67</v>
      </c>
      <c r="AO604" t="s">
        <v>526</v>
      </c>
      <c r="AP604" t="s">
        <v>108</v>
      </c>
      <c r="AQ604">
        <v>12</v>
      </c>
      <c r="AR604" t="s">
        <v>483</v>
      </c>
      <c r="AS604" t="s">
        <v>228</v>
      </c>
      <c r="AT604" t="s">
        <v>170</v>
      </c>
      <c r="AU604">
        <v>1</v>
      </c>
      <c r="AV604">
        <v>1</v>
      </c>
      <c r="AW604" t="s">
        <v>537</v>
      </c>
      <c r="AX604" t="s">
        <v>283</v>
      </c>
      <c r="AY604" t="s">
        <v>280</v>
      </c>
      <c r="AZ604">
        <v>5</v>
      </c>
      <c r="BA604" t="s">
        <v>533</v>
      </c>
      <c r="BB604" t="s">
        <v>541</v>
      </c>
      <c r="BC604" t="s">
        <v>395</v>
      </c>
      <c r="BD604" t="s">
        <v>228</v>
      </c>
      <c r="BE604" t="s">
        <v>522</v>
      </c>
      <c r="BF604" t="s">
        <v>523</v>
      </c>
      <c r="BG604" t="s">
        <v>407</v>
      </c>
      <c r="BH604" t="s">
        <v>396</v>
      </c>
      <c r="BI604" t="s">
        <v>525</v>
      </c>
      <c r="BJ604" t="s">
        <v>228</v>
      </c>
      <c r="BK604" t="s">
        <v>228</v>
      </c>
      <c r="BL604" t="s">
        <v>228</v>
      </c>
      <c r="BM604" t="s">
        <v>228</v>
      </c>
      <c r="BN604" t="s">
        <v>228</v>
      </c>
      <c r="BO604" t="s">
        <v>228</v>
      </c>
      <c r="BP604" t="s">
        <v>228</v>
      </c>
      <c r="BQ604" t="s">
        <v>228</v>
      </c>
      <c r="BR604" t="s">
        <v>228</v>
      </c>
      <c r="BS604" t="s">
        <v>409</v>
      </c>
      <c r="BT604">
        <v>1</v>
      </c>
    </row>
    <row r="605" spans="1:72" x14ac:dyDescent="0.15">
      <c r="A605" s="43">
        <v>2023</v>
      </c>
      <c r="B605" s="8">
        <v>1</v>
      </c>
      <c r="C605" s="8">
        <v>1</v>
      </c>
      <c r="D605" s="8">
        <v>14</v>
      </c>
      <c r="E605" s="8" t="s">
        <v>67</v>
      </c>
      <c r="F605" s="8" t="s">
        <v>57</v>
      </c>
      <c r="G605" s="8">
        <v>2017</v>
      </c>
      <c r="H605" s="8">
        <v>12</v>
      </c>
      <c r="I605" s="8" t="s">
        <v>483</v>
      </c>
      <c r="J605" s="8" t="s">
        <v>228</v>
      </c>
      <c r="K605" s="8">
        <v>1953</v>
      </c>
      <c r="L605" s="17">
        <v>1</v>
      </c>
      <c r="M605" s="8">
        <v>1</v>
      </c>
      <c r="N605" s="8" t="s">
        <v>49</v>
      </c>
      <c r="O605" s="8" t="s">
        <v>283</v>
      </c>
      <c r="P605" s="8" t="s">
        <v>280</v>
      </c>
      <c r="Q605" s="8">
        <v>20000</v>
      </c>
      <c r="R605" s="8" t="s">
        <v>59</v>
      </c>
      <c r="S605" s="8" t="s">
        <v>54</v>
      </c>
      <c r="T605" s="8" t="s">
        <v>69</v>
      </c>
      <c r="U605" s="8" t="s">
        <v>228</v>
      </c>
      <c r="V605" s="8">
        <v>500</v>
      </c>
      <c r="W605" s="8" t="s">
        <v>328</v>
      </c>
      <c r="X605" s="8">
        <v>3000</v>
      </c>
      <c r="Y605" s="8" t="s">
        <v>394</v>
      </c>
      <c r="Z605" s="8">
        <v>100</v>
      </c>
      <c r="AA605" s="8" t="s">
        <v>278</v>
      </c>
      <c r="AB605" s="8" t="s">
        <v>228</v>
      </c>
      <c r="AC605" s="8" t="s">
        <v>228</v>
      </c>
      <c r="AD605" s="8" t="s">
        <v>228</v>
      </c>
      <c r="AE605" s="8" t="s">
        <v>228</v>
      </c>
      <c r="AF605" s="8" t="s">
        <v>228</v>
      </c>
      <c r="AG605" s="8" t="s">
        <v>228</v>
      </c>
      <c r="AH605" s="8" t="s">
        <v>228</v>
      </c>
      <c r="AI605" s="8" t="s">
        <v>228</v>
      </c>
      <c r="AJ605" t="s">
        <v>468</v>
      </c>
      <c r="AK605">
        <v>1</v>
      </c>
      <c r="AL605">
        <v>1</v>
      </c>
      <c r="AM605" t="s">
        <v>87</v>
      </c>
      <c r="AN605" t="s">
        <v>67</v>
      </c>
      <c r="AO605" t="s">
        <v>526</v>
      </c>
      <c r="AP605" t="s">
        <v>108</v>
      </c>
      <c r="AQ605">
        <v>12</v>
      </c>
      <c r="AR605" t="s">
        <v>483</v>
      </c>
      <c r="AS605" t="s">
        <v>228</v>
      </c>
      <c r="AT605" t="s">
        <v>170</v>
      </c>
      <c r="AU605">
        <v>1</v>
      </c>
      <c r="AV605">
        <v>1</v>
      </c>
      <c r="AW605" t="s">
        <v>537</v>
      </c>
      <c r="AX605" t="s">
        <v>283</v>
      </c>
      <c r="AY605" t="s">
        <v>280</v>
      </c>
      <c r="AZ605">
        <v>5</v>
      </c>
      <c r="BA605" t="s">
        <v>533</v>
      </c>
      <c r="BB605" t="s">
        <v>541</v>
      </c>
      <c r="BC605" t="s">
        <v>395</v>
      </c>
      <c r="BD605" t="s">
        <v>228</v>
      </c>
      <c r="BE605" t="s">
        <v>522</v>
      </c>
      <c r="BF605" t="s">
        <v>523</v>
      </c>
      <c r="BG605" t="s">
        <v>407</v>
      </c>
      <c r="BH605" t="s">
        <v>551</v>
      </c>
      <c r="BI605" t="s">
        <v>525</v>
      </c>
      <c r="BJ605" t="s">
        <v>228</v>
      </c>
      <c r="BK605" t="s">
        <v>228</v>
      </c>
      <c r="BL605" t="s">
        <v>228</v>
      </c>
      <c r="BM605" t="s">
        <v>228</v>
      </c>
      <c r="BN605" t="s">
        <v>228</v>
      </c>
      <c r="BO605" t="s">
        <v>228</v>
      </c>
      <c r="BP605" t="s">
        <v>228</v>
      </c>
      <c r="BQ605" t="s">
        <v>228</v>
      </c>
      <c r="BR605" t="s">
        <v>228</v>
      </c>
      <c r="BS605" t="s">
        <v>409</v>
      </c>
      <c r="BT605">
        <v>1</v>
      </c>
    </row>
    <row r="606" spans="1:72" x14ac:dyDescent="0.15">
      <c r="A606" s="43">
        <v>2023</v>
      </c>
      <c r="B606" s="8">
        <v>1</v>
      </c>
      <c r="C606" s="8">
        <v>1</v>
      </c>
      <c r="D606" s="8">
        <v>14</v>
      </c>
      <c r="E606" s="8" t="s">
        <v>67</v>
      </c>
      <c r="F606" s="8" t="s">
        <v>57</v>
      </c>
      <c r="G606" s="8">
        <v>2017</v>
      </c>
      <c r="H606" s="8">
        <v>12</v>
      </c>
      <c r="I606" s="8" t="s">
        <v>483</v>
      </c>
      <c r="J606" s="8" t="s">
        <v>228</v>
      </c>
      <c r="K606" s="8">
        <v>1953</v>
      </c>
      <c r="L606" s="17">
        <v>1</v>
      </c>
      <c r="M606" s="8">
        <v>1</v>
      </c>
      <c r="N606" s="8" t="s">
        <v>49</v>
      </c>
      <c r="O606" s="8" t="s">
        <v>283</v>
      </c>
      <c r="P606" s="8" t="s">
        <v>280</v>
      </c>
      <c r="Q606" s="8">
        <v>20000</v>
      </c>
      <c r="R606" s="8" t="s">
        <v>59</v>
      </c>
      <c r="S606" s="8" t="s">
        <v>54</v>
      </c>
      <c r="T606" s="8" t="s">
        <v>69</v>
      </c>
      <c r="U606" s="8" t="s">
        <v>228</v>
      </c>
      <c r="V606" s="8">
        <v>500</v>
      </c>
      <c r="W606" s="8" t="s">
        <v>328</v>
      </c>
      <c r="X606" s="8">
        <v>3000</v>
      </c>
      <c r="Y606" s="8" t="s">
        <v>271</v>
      </c>
      <c r="Z606" s="8">
        <v>100</v>
      </c>
      <c r="AA606" s="8" t="s">
        <v>278</v>
      </c>
      <c r="AB606" s="8" t="s">
        <v>228</v>
      </c>
      <c r="AC606" s="8" t="s">
        <v>228</v>
      </c>
      <c r="AD606" s="8" t="s">
        <v>228</v>
      </c>
      <c r="AE606" s="8" t="s">
        <v>228</v>
      </c>
      <c r="AF606" s="8" t="s">
        <v>228</v>
      </c>
      <c r="AG606" s="8" t="s">
        <v>228</v>
      </c>
      <c r="AH606" s="8" t="s">
        <v>228</v>
      </c>
      <c r="AI606" s="8" t="s">
        <v>228</v>
      </c>
      <c r="AJ606" t="s">
        <v>468</v>
      </c>
      <c r="AK606">
        <v>1</v>
      </c>
      <c r="AL606">
        <v>1</v>
      </c>
      <c r="AM606" t="s">
        <v>87</v>
      </c>
      <c r="AN606" t="s">
        <v>67</v>
      </c>
      <c r="AO606" t="s">
        <v>526</v>
      </c>
      <c r="AP606" t="s">
        <v>108</v>
      </c>
      <c r="AQ606">
        <v>12</v>
      </c>
      <c r="AR606" t="s">
        <v>483</v>
      </c>
      <c r="AS606" t="s">
        <v>228</v>
      </c>
      <c r="AT606" t="s">
        <v>170</v>
      </c>
      <c r="AU606">
        <v>1</v>
      </c>
      <c r="AV606">
        <v>1</v>
      </c>
      <c r="AW606" t="s">
        <v>537</v>
      </c>
      <c r="AX606" t="s">
        <v>283</v>
      </c>
      <c r="AY606" t="s">
        <v>280</v>
      </c>
      <c r="AZ606">
        <v>5</v>
      </c>
      <c r="BA606" t="s">
        <v>533</v>
      </c>
      <c r="BB606" t="s">
        <v>541</v>
      </c>
      <c r="BC606" t="s">
        <v>395</v>
      </c>
      <c r="BD606" t="s">
        <v>228</v>
      </c>
      <c r="BE606" t="s">
        <v>522</v>
      </c>
      <c r="BF606" t="s">
        <v>523</v>
      </c>
      <c r="BG606" t="s">
        <v>407</v>
      </c>
      <c r="BH606" t="s">
        <v>544</v>
      </c>
      <c r="BI606" t="s">
        <v>525</v>
      </c>
      <c r="BJ606" t="s">
        <v>228</v>
      </c>
      <c r="BK606" t="s">
        <v>228</v>
      </c>
      <c r="BL606" t="s">
        <v>228</v>
      </c>
      <c r="BM606" t="s">
        <v>228</v>
      </c>
      <c r="BN606" t="s">
        <v>228</v>
      </c>
      <c r="BO606" t="s">
        <v>228</v>
      </c>
      <c r="BP606" t="s">
        <v>228</v>
      </c>
      <c r="BQ606" t="s">
        <v>228</v>
      </c>
      <c r="BR606" t="s">
        <v>228</v>
      </c>
      <c r="BS606" t="s">
        <v>409</v>
      </c>
      <c r="BT606">
        <v>0</v>
      </c>
    </row>
    <row r="607" spans="1:72" x14ac:dyDescent="0.15">
      <c r="A607" s="43">
        <v>2023</v>
      </c>
      <c r="B607" s="8">
        <v>1</v>
      </c>
      <c r="C607" s="8">
        <v>1</v>
      </c>
      <c r="D607" s="8">
        <v>13</v>
      </c>
      <c r="E607" s="8" t="s">
        <v>67</v>
      </c>
      <c r="F607" s="8" t="s">
        <v>57</v>
      </c>
      <c r="G607" s="8">
        <v>2017</v>
      </c>
      <c r="H607" s="8">
        <v>12</v>
      </c>
      <c r="I607" s="8" t="s">
        <v>483</v>
      </c>
      <c r="J607" s="8" t="s">
        <v>228</v>
      </c>
      <c r="K607" s="8">
        <v>1953</v>
      </c>
      <c r="L607" s="17">
        <v>1</v>
      </c>
      <c r="M607" s="8">
        <v>1</v>
      </c>
      <c r="N607" s="8" t="s">
        <v>49</v>
      </c>
      <c r="O607" s="8" t="s">
        <v>283</v>
      </c>
      <c r="P607" s="8" t="s">
        <v>280</v>
      </c>
      <c r="Q607" s="8">
        <v>20000</v>
      </c>
      <c r="R607" s="8" t="s">
        <v>59</v>
      </c>
      <c r="S607" s="8" t="s">
        <v>54</v>
      </c>
      <c r="T607" s="8" t="s">
        <v>69</v>
      </c>
      <c r="U607" s="8" t="s">
        <v>228</v>
      </c>
      <c r="V607" s="8">
        <v>500</v>
      </c>
      <c r="W607" s="8" t="s">
        <v>328</v>
      </c>
      <c r="X607" s="8">
        <v>3000</v>
      </c>
      <c r="Y607" s="8" t="s">
        <v>268</v>
      </c>
      <c r="Z607" s="8">
        <v>100</v>
      </c>
      <c r="AA607" s="8" t="s">
        <v>278</v>
      </c>
      <c r="AB607" s="8" t="s">
        <v>228</v>
      </c>
      <c r="AC607" s="8" t="s">
        <v>228</v>
      </c>
      <c r="AD607" s="8" t="s">
        <v>228</v>
      </c>
      <c r="AE607" s="8" t="s">
        <v>228</v>
      </c>
      <c r="AF607" s="8" t="s">
        <v>228</v>
      </c>
      <c r="AG607" s="8" t="s">
        <v>228</v>
      </c>
      <c r="AH607" s="8" t="s">
        <v>228</v>
      </c>
      <c r="AI607" s="8" t="s">
        <v>228</v>
      </c>
      <c r="AJ607" t="s">
        <v>468</v>
      </c>
      <c r="AK607">
        <v>1</v>
      </c>
      <c r="AL607">
        <v>1</v>
      </c>
      <c r="AM607" t="s">
        <v>88</v>
      </c>
      <c r="AN607" t="s">
        <v>67</v>
      </c>
      <c r="AO607" t="s">
        <v>526</v>
      </c>
      <c r="AP607" t="s">
        <v>108</v>
      </c>
      <c r="AQ607">
        <v>12</v>
      </c>
      <c r="AR607" t="s">
        <v>483</v>
      </c>
      <c r="AS607" t="s">
        <v>228</v>
      </c>
      <c r="AT607" t="s">
        <v>170</v>
      </c>
      <c r="AU607">
        <v>1</v>
      </c>
      <c r="AV607">
        <v>1</v>
      </c>
      <c r="AW607" t="s">
        <v>537</v>
      </c>
      <c r="AX607" t="s">
        <v>283</v>
      </c>
      <c r="AY607" t="s">
        <v>280</v>
      </c>
      <c r="AZ607">
        <v>5</v>
      </c>
      <c r="BA607" t="s">
        <v>533</v>
      </c>
      <c r="BB607" t="s">
        <v>541</v>
      </c>
      <c r="BC607" t="s">
        <v>395</v>
      </c>
      <c r="BD607" t="s">
        <v>228</v>
      </c>
      <c r="BE607" t="s">
        <v>522</v>
      </c>
      <c r="BF607" t="s">
        <v>523</v>
      </c>
      <c r="BG607" t="s">
        <v>407</v>
      </c>
      <c r="BH607" t="s">
        <v>396</v>
      </c>
      <c r="BI607" t="s">
        <v>525</v>
      </c>
      <c r="BJ607" t="s">
        <v>228</v>
      </c>
      <c r="BK607" t="s">
        <v>228</v>
      </c>
      <c r="BL607" t="s">
        <v>228</v>
      </c>
      <c r="BM607" t="s">
        <v>228</v>
      </c>
      <c r="BN607" t="s">
        <v>228</v>
      </c>
      <c r="BO607" t="s">
        <v>228</v>
      </c>
      <c r="BP607" t="s">
        <v>228</v>
      </c>
      <c r="BQ607" t="s">
        <v>228</v>
      </c>
      <c r="BR607" t="s">
        <v>228</v>
      </c>
      <c r="BS607" t="s">
        <v>409</v>
      </c>
      <c r="BT607">
        <v>1</v>
      </c>
    </row>
    <row r="608" spans="1:72" x14ac:dyDescent="0.15">
      <c r="A608" s="43">
        <v>2023</v>
      </c>
      <c r="B608" s="8">
        <v>1</v>
      </c>
      <c r="C608" s="8">
        <v>1</v>
      </c>
      <c r="D608" s="8">
        <v>13</v>
      </c>
      <c r="E608" s="8" t="s">
        <v>67</v>
      </c>
      <c r="F608" s="8" t="s">
        <v>57</v>
      </c>
      <c r="G608" s="8">
        <v>2017</v>
      </c>
      <c r="H608" s="8">
        <v>12</v>
      </c>
      <c r="I608" s="8" t="s">
        <v>483</v>
      </c>
      <c r="J608" s="8" t="s">
        <v>228</v>
      </c>
      <c r="K608" s="8">
        <v>1953</v>
      </c>
      <c r="L608" s="17">
        <v>1</v>
      </c>
      <c r="M608" s="8">
        <v>1</v>
      </c>
      <c r="N608" s="8" t="s">
        <v>49</v>
      </c>
      <c r="O608" s="8" t="s">
        <v>283</v>
      </c>
      <c r="P608" s="8" t="s">
        <v>280</v>
      </c>
      <c r="Q608" s="8">
        <v>20000</v>
      </c>
      <c r="R608" s="8" t="s">
        <v>59</v>
      </c>
      <c r="S608" s="8" t="s">
        <v>54</v>
      </c>
      <c r="T608" s="8" t="s">
        <v>69</v>
      </c>
      <c r="U608" s="8" t="s">
        <v>228</v>
      </c>
      <c r="V608" s="8">
        <v>500</v>
      </c>
      <c r="W608" s="8" t="s">
        <v>328</v>
      </c>
      <c r="X608" s="8">
        <v>3000</v>
      </c>
      <c r="Y608" s="8" t="s">
        <v>394</v>
      </c>
      <c r="Z608" s="8">
        <v>100</v>
      </c>
      <c r="AA608" s="8" t="s">
        <v>278</v>
      </c>
      <c r="AB608" s="8" t="s">
        <v>228</v>
      </c>
      <c r="AC608" s="8" t="s">
        <v>228</v>
      </c>
      <c r="AD608" s="8" t="s">
        <v>228</v>
      </c>
      <c r="AE608" s="8" t="s">
        <v>228</v>
      </c>
      <c r="AF608" s="8" t="s">
        <v>228</v>
      </c>
      <c r="AG608" s="8" t="s">
        <v>228</v>
      </c>
      <c r="AH608" s="8" t="s">
        <v>228</v>
      </c>
      <c r="AI608" s="8" t="s">
        <v>228</v>
      </c>
      <c r="AJ608" t="s">
        <v>468</v>
      </c>
      <c r="AK608">
        <v>1</v>
      </c>
      <c r="AL608">
        <v>1</v>
      </c>
      <c r="AM608" t="s">
        <v>88</v>
      </c>
      <c r="AN608" t="s">
        <v>67</v>
      </c>
      <c r="AO608" t="s">
        <v>526</v>
      </c>
      <c r="AP608" t="s">
        <v>108</v>
      </c>
      <c r="AQ608">
        <v>12</v>
      </c>
      <c r="AR608" t="s">
        <v>483</v>
      </c>
      <c r="AS608" t="s">
        <v>228</v>
      </c>
      <c r="AT608" t="s">
        <v>170</v>
      </c>
      <c r="AU608">
        <v>1</v>
      </c>
      <c r="AV608">
        <v>1</v>
      </c>
      <c r="AW608" t="s">
        <v>537</v>
      </c>
      <c r="AX608" t="s">
        <v>283</v>
      </c>
      <c r="AY608" t="s">
        <v>280</v>
      </c>
      <c r="AZ608">
        <v>5</v>
      </c>
      <c r="BA608" t="s">
        <v>533</v>
      </c>
      <c r="BB608" t="s">
        <v>541</v>
      </c>
      <c r="BC608" t="s">
        <v>395</v>
      </c>
      <c r="BD608" t="s">
        <v>228</v>
      </c>
      <c r="BE608" t="s">
        <v>522</v>
      </c>
      <c r="BF608" t="s">
        <v>523</v>
      </c>
      <c r="BG608" t="s">
        <v>407</v>
      </c>
      <c r="BH608" t="s">
        <v>551</v>
      </c>
      <c r="BI608" t="s">
        <v>525</v>
      </c>
      <c r="BJ608" t="s">
        <v>228</v>
      </c>
      <c r="BK608" t="s">
        <v>228</v>
      </c>
      <c r="BL608" t="s">
        <v>228</v>
      </c>
      <c r="BM608" t="s">
        <v>228</v>
      </c>
      <c r="BN608" t="s">
        <v>228</v>
      </c>
      <c r="BO608" t="s">
        <v>228</v>
      </c>
      <c r="BP608" t="s">
        <v>228</v>
      </c>
      <c r="BQ608" t="s">
        <v>228</v>
      </c>
      <c r="BR608" t="s">
        <v>228</v>
      </c>
      <c r="BS608" t="s">
        <v>409</v>
      </c>
      <c r="BT608">
        <v>1</v>
      </c>
    </row>
    <row r="609" spans="1:72" x14ac:dyDescent="0.15">
      <c r="A609" s="43">
        <v>2023</v>
      </c>
      <c r="B609" s="8">
        <v>1</v>
      </c>
      <c r="C609" s="8">
        <v>1</v>
      </c>
      <c r="D609" s="8">
        <v>13</v>
      </c>
      <c r="E609" s="8" t="s">
        <v>67</v>
      </c>
      <c r="F609" s="8" t="s">
        <v>57</v>
      </c>
      <c r="G609" s="8">
        <v>2017</v>
      </c>
      <c r="H609" s="8">
        <v>12</v>
      </c>
      <c r="I609" s="8" t="s">
        <v>483</v>
      </c>
      <c r="J609" s="8" t="s">
        <v>228</v>
      </c>
      <c r="K609" s="8">
        <v>1953</v>
      </c>
      <c r="L609" s="17">
        <v>1</v>
      </c>
      <c r="M609" s="8">
        <v>1</v>
      </c>
      <c r="N609" s="8" t="s">
        <v>49</v>
      </c>
      <c r="O609" s="8" t="s">
        <v>283</v>
      </c>
      <c r="P609" s="8" t="s">
        <v>280</v>
      </c>
      <c r="Q609" s="8">
        <v>20000</v>
      </c>
      <c r="R609" s="8" t="s">
        <v>59</v>
      </c>
      <c r="S609" s="8" t="s">
        <v>54</v>
      </c>
      <c r="T609" s="8" t="s">
        <v>69</v>
      </c>
      <c r="U609" s="8" t="s">
        <v>228</v>
      </c>
      <c r="V609" s="8">
        <v>500</v>
      </c>
      <c r="W609" s="8" t="s">
        <v>328</v>
      </c>
      <c r="X609" s="8">
        <v>3000</v>
      </c>
      <c r="Y609" s="8" t="s">
        <v>271</v>
      </c>
      <c r="Z609" s="8">
        <v>100</v>
      </c>
      <c r="AA609" s="8" t="s">
        <v>278</v>
      </c>
      <c r="AB609" s="8" t="s">
        <v>228</v>
      </c>
      <c r="AC609" s="8" t="s">
        <v>228</v>
      </c>
      <c r="AD609" s="8" t="s">
        <v>228</v>
      </c>
      <c r="AE609" s="8" t="s">
        <v>228</v>
      </c>
      <c r="AF609" s="8" t="s">
        <v>228</v>
      </c>
      <c r="AG609" s="8" t="s">
        <v>228</v>
      </c>
      <c r="AH609" s="8" t="s">
        <v>228</v>
      </c>
      <c r="AI609" s="8" t="s">
        <v>228</v>
      </c>
      <c r="AJ609" t="s">
        <v>468</v>
      </c>
      <c r="AK609">
        <v>1</v>
      </c>
      <c r="AL609">
        <v>1</v>
      </c>
      <c r="AM609" t="s">
        <v>88</v>
      </c>
      <c r="AN609" t="s">
        <v>67</v>
      </c>
      <c r="AO609" t="s">
        <v>526</v>
      </c>
      <c r="AP609" t="s">
        <v>108</v>
      </c>
      <c r="AQ609">
        <v>12</v>
      </c>
      <c r="AR609" t="s">
        <v>483</v>
      </c>
      <c r="AS609" t="s">
        <v>228</v>
      </c>
      <c r="AT609" t="s">
        <v>170</v>
      </c>
      <c r="AU609">
        <v>1</v>
      </c>
      <c r="AV609">
        <v>1</v>
      </c>
      <c r="AW609" t="s">
        <v>537</v>
      </c>
      <c r="AX609" t="s">
        <v>283</v>
      </c>
      <c r="AY609" t="s">
        <v>280</v>
      </c>
      <c r="AZ609">
        <v>5</v>
      </c>
      <c r="BA609" t="s">
        <v>533</v>
      </c>
      <c r="BB609" t="s">
        <v>541</v>
      </c>
      <c r="BC609" t="s">
        <v>395</v>
      </c>
      <c r="BD609" t="s">
        <v>228</v>
      </c>
      <c r="BE609" t="s">
        <v>522</v>
      </c>
      <c r="BF609" t="s">
        <v>523</v>
      </c>
      <c r="BG609" t="s">
        <v>407</v>
      </c>
      <c r="BH609" t="s">
        <v>544</v>
      </c>
      <c r="BI609" t="s">
        <v>525</v>
      </c>
      <c r="BJ609" t="s">
        <v>228</v>
      </c>
      <c r="BK609" t="s">
        <v>228</v>
      </c>
      <c r="BL609" t="s">
        <v>228</v>
      </c>
      <c r="BM609" t="s">
        <v>228</v>
      </c>
      <c r="BN609" t="s">
        <v>228</v>
      </c>
      <c r="BO609" t="s">
        <v>228</v>
      </c>
      <c r="BP609" t="s">
        <v>228</v>
      </c>
      <c r="BQ609" t="s">
        <v>228</v>
      </c>
      <c r="BR609" t="s">
        <v>228</v>
      </c>
      <c r="BS609" t="s">
        <v>409</v>
      </c>
      <c r="BT609">
        <v>0</v>
      </c>
    </row>
    <row r="610" spans="1:72" x14ac:dyDescent="0.15">
      <c r="A610" s="43">
        <v>2023</v>
      </c>
      <c r="B610" s="8">
        <v>1</v>
      </c>
      <c r="C610" s="8">
        <v>1</v>
      </c>
      <c r="D610" s="8">
        <v>12</v>
      </c>
      <c r="E610" s="8" t="s">
        <v>67</v>
      </c>
      <c r="F610" s="8" t="s">
        <v>57</v>
      </c>
      <c r="G610" s="8">
        <v>2017</v>
      </c>
      <c r="H610" s="8">
        <v>12</v>
      </c>
      <c r="I610" s="8" t="s">
        <v>483</v>
      </c>
      <c r="J610" s="8" t="s">
        <v>228</v>
      </c>
      <c r="K610" s="8">
        <v>1953</v>
      </c>
      <c r="L610" s="17">
        <v>1</v>
      </c>
      <c r="M610" s="8">
        <v>1</v>
      </c>
      <c r="N610" s="8" t="s">
        <v>49</v>
      </c>
      <c r="O610" s="8" t="s">
        <v>283</v>
      </c>
      <c r="P610" s="8" t="s">
        <v>280</v>
      </c>
      <c r="Q610" s="8">
        <v>20000</v>
      </c>
      <c r="R610" s="8" t="s">
        <v>59</v>
      </c>
      <c r="S610" s="8" t="s">
        <v>54</v>
      </c>
      <c r="T610" s="8" t="s">
        <v>69</v>
      </c>
      <c r="U610" s="8" t="s">
        <v>228</v>
      </c>
      <c r="V610" s="8">
        <v>500</v>
      </c>
      <c r="W610" s="8" t="s">
        <v>328</v>
      </c>
      <c r="X610" s="8">
        <v>3000</v>
      </c>
      <c r="Y610" s="8" t="s">
        <v>268</v>
      </c>
      <c r="Z610" s="8">
        <v>100</v>
      </c>
      <c r="AA610" s="8" t="s">
        <v>278</v>
      </c>
      <c r="AB610" s="8" t="s">
        <v>228</v>
      </c>
      <c r="AC610" s="8" t="s">
        <v>228</v>
      </c>
      <c r="AD610" s="8" t="s">
        <v>228</v>
      </c>
      <c r="AE610" s="8" t="s">
        <v>228</v>
      </c>
      <c r="AF610" s="8" t="s">
        <v>228</v>
      </c>
      <c r="AG610" s="8" t="s">
        <v>228</v>
      </c>
      <c r="AH610" s="8" t="s">
        <v>228</v>
      </c>
      <c r="AI610" s="8" t="s">
        <v>228</v>
      </c>
      <c r="AJ610" t="s">
        <v>468</v>
      </c>
      <c r="AK610">
        <v>1</v>
      </c>
      <c r="AL610">
        <v>1</v>
      </c>
      <c r="AM610" t="s">
        <v>89</v>
      </c>
      <c r="AN610" t="s">
        <v>67</v>
      </c>
      <c r="AO610" t="s">
        <v>526</v>
      </c>
      <c r="AP610" t="s">
        <v>108</v>
      </c>
      <c r="AQ610">
        <v>12</v>
      </c>
      <c r="AR610" t="s">
        <v>483</v>
      </c>
      <c r="AS610" t="s">
        <v>228</v>
      </c>
      <c r="AT610" t="s">
        <v>170</v>
      </c>
      <c r="AU610">
        <v>1</v>
      </c>
      <c r="AV610">
        <v>1</v>
      </c>
      <c r="AW610" t="s">
        <v>537</v>
      </c>
      <c r="AX610" t="s">
        <v>283</v>
      </c>
      <c r="AY610" t="s">
        <v>280</v>
      </c>
      <c r="AZ610">
        <v>5</v>
      </c>
      <c r="BA610" t="s">
        <v>533</v>
      </c>
      <c r="BB610" t="s">
        <v>541</v>
      </c>
      <c r="BC610" t="s">
        <v>395</v>
      </c>
      <c r="BD610" t="s">
        <v>228</v>
      </c>
      <c r="BE610" t="s">
        <v>522</v>
      </c>
      <c r="BF610" t="s">
        <v>523</v>
      </c>
      <c r="BG610" t="s">
        <v>407</v>
      </c>
      <c r="BH610" t="s">
        <v>396</v>
      </c>
      <c r="BI610" t="s">
        <v>525</v>
      </c>
      <c r="BJ610" t="s">
        <v>228</v>
      </c>
      <c r="BK610" t="s">
        <v>228</v>
      </c>
      <c r="BL610" t="s">
        <v>228</v>
      </c>
      <c r="BM610" t="s">
        <v>228</v>
      </c>
      <c r="BN610" t="s">
        <v>228</v>
      </c>
      <c r="BO610" t="s">
        <v>228</v>
      </c>
      <c r="BP610" t="s">
        <v>228</v>
      </c>
      <c r="BQ610" t="s">
        <v>228</v>
      </c>
      <c r="BR610" t="s">
        <v>228</v>
      </c>
      <c r="BS610" t="s">
        <v>409</v>
      </c>
      <c r="BT610">
        <v>1</v>
      </c>
    </row>
    <row r="611" spans="1:72" x14ac:dyDescent="0.15">
      <c r="A611" s="43">
        <v>2023</v>
      </c>
      <c r="B611" s="8">
        <v>1</v>
      </c>
      <c r="C611" s="8">
        <v>1</v>
      </c>
      <c r="D611" s="8">
        <v>12</v>
      </c>
      <c r="E611" s="8" t="s">
        <v>67</v>
      </c>
      <c r="F611" s="8" t="s">
        <v>57</v>
      </c>
      <c r="G611" s="8">
        <v>2017</v>
      </c>
      <c r="H611" s="8">
        <v>12</v>
      </c>
      <c r="I611" s="8" t="s">
        <v>483</v>
      </c>
      <c r="J611" s="8" t="s">
        <v>228</v>
      </c>
      <c r="K611" s="8">
        <v>1953</v>
      </c>
      <c r="L611" s="17">
        <v>1</v>
      </c>
      <c r="M611" s="8">
        <v>1</v>
      </c>
      <c r="N611" s="8" t="s">
        <v>49</v>
      </c>
      <c r="O611" s="8" t="s">
        <v>283</v>
      </c>
      <c r="P611" s="8" t="s">
        <v>280</v>
      </c>
      <c r="Q611" s="8">
        <v>20000</v>
      </c>
      <c r="R611" s="8" t="s">
        <v>59</v>
      </c>
      <c r="S611" s="8" t="s">
        <v>54</v>
      </c>
      <c r="T611" s="8" t="s">
        <v>69</v>
      </c>
      <c r="U611" s="8" t="s">
        <v>228</v>
      </c>
      <c r="V611" s="8">
        <v>500</v>
      </c>
      <c r="W611" s="8" t="s">
        <v>328</v>
      </c>
      <c r="X611" s="8">
        <v>3000</v>
      </c>
      <c r="Y611" s="8" t="s">
        <v>394</v>
      </c>
      <c r="Z611" s="8">
        <v>100</v>
      </c>
      <c r="AA611" s="8" t="s">
        <v>278</v>
      </c>
      <c r="AB611" s="8" t="s">
        <v>228</v>
      </c>
      <c r="AC611" s="8" t="s">
        <v>228</v>
      </c>
      <c r="AD611" s="8" t="s">
        <v>228</v>
      </c>
      <c r="AE611" s="8" t="s">
        <v>228</v>
      </c>
      <c r="AF611" s="8" t="s">
        <v>228</v>
      </c>
      <c r="AG611" s="8" t="s">
        <v>228</v>
      </c>
      <c r="AH611" s="8" t="s">
        <v>228</v>
      </c>
      <c r="AI611" s="8" t="s">
        <v>228</v>
      </c>
      <c r="AJ611" t="s">
        <v>468</v>
      </c>
      <c r="AK611">
        <v>1</v>
      </c>
      <c r="AL611">
        <v>1</v>
      </c>
      <c r="AM611" t="s">
        <v>89</v>
      </c>
      <c r="AN611" t="s">
        <v>67</v>
      </c>
      <c r="AO611" t="s">
        <v>526</v>
      </c>
      <c r="AP611" t="s">
        <v>108</v>
      </c>
      <c r="AQ611">
        <v>12</v>
      </c>
      <c r="AR611" t="s">
        <v>483</v>
      </c>
      <c r="AS611" t="s">
        <v>228</v>
      </c>
      <c r="AT611" t="s">
        <v>170</v>
      </c>
      <c r="AU611">
        <v>1</v>
      </c>
      <c r="AV611">
        <v>1</v>
      </c>
      <c r="AW611" t="s">
        <v>537</v>
      </c>
      <c r="AX611" t="s">
        <v>283</v>
      </c>
      <c r="AY611" t="s">
        <v>280</v>
      </c>
      <c r="AZ611">
        <v>5</v>
      </c>
      <c r="BA611" t="s">
        <v>533</v>
      </c>
      <c r="BB611" t="s">
        <v>541</v>
      </c>
      <c r="BC611" t="s">
        <v>395</v>
      </c>
      <c r="BD611" t="s">
        <v>228</v>
      </c>
      <c r="BE611" t="s">
        <v>522</v>
      </c>
      <c r="BF611" t="s">
        <v>523</v>
      </c>
      <c r="BG611" t="s">
        <v>407</v>
      </c>
      <c r="BH611" t="s">
        <v>551</v>
      </c>
      <c r="BI611" t="s">
        <v>525</v>
      </c>
      <c r="BJ611" t="s">
        <v>228</v>
      </c>
      <c r="BK611" t="s">
        <v>228</v>
      </c>
      <c r="BL611" t="s">
        <v>228</v>
      </c>
      <c r="BM611" t="s">
        <v>228</v>
      </c>
      <c r="BN611" t="s">
        <v>228</v>
      </c>
      <c r="BO611" t="s">
        <v>228</v>
      </c>
      <c r="BP611" t="s">
        <v>228</v>
      </c>
      <c r="BQ611" t="s">
        <v>228</v>
      </c>
      <c r="BR611" t="s">
        <v>228</v>
      </c>
      <c r="BS611" t="s">
        <v>409</v>
      </c>
      <c r="BT611">
        <v>1</v>
      </c>
    </row>
    <row r="612" spans="1:72" x14ac:dyDescent="0.15">
      <c r="A612" s="43">
        <v>2023</v>
      </c>
      <c r="B612" s="8">
        <v>1</v>
      </c>
      <c r="C612" s="8">
        <v>1</v>
      </c>
      <c r="D612" s="8">
        <v>12</v>
      </c>
      <c r="E612" s="8" t="s">
        <v>67</v>
      </c>
      <c r="F612" s="8" t="s">
        <v>57</v>
      </c>
      <c r="G612" s="8">
        <v>2017</v>
      </c>
      <c r="H612" s="8">
        <v>12</v>
      </c>
      <c r="I612" s="8" t="s">
        <v>483</v>
      </c>
      <c r="J612" s="8" t="s">
        <v>228</v>
      </c>
      <c r="K612" s="8">
        <v>1953</v>
      </c>
      <c r="L612" s="17">
        <v>1</v>
      </c>
      <c r="M612" s="8">
        <v>1</v>
      </c>
      <c r="N612" s="8" t="s">
        <v>49</v>
      </c>
      <c r="O612" s="8" t="s">
        <v>283</v>
      </c>
      <c r="P612" s="8" t="s">
        <v>280</v>
      </c>
      <c r="Q612" s="8">
        <v>20000</v>
      </c>
      <c r="R612" s="8" t="s">
        <v>59</v>
      </c>
      <c r="S612" s="8" t="s">
        <v>54</v>
      </c>
      <c r="T612" s="8" t="s">
        <v>69</v>
      </c>
      <c r="U612" s="8" t="s">
        <v>228</v>
      </c>
      <c r="V612" s="8">
        <v>500</v>
      </c>
      <c r="W612" s="8" t="s">
        <v>328</v>
      </c>
      <c r="X612" s="8">
        <v>3000</v>
      </c>
      <c r="Y612" s="8" t="s">
        <v>271</v>
      </c>
      <c r="Z612" s="8">
        <v>100</v>
      </c>
      <c r="AA612" s="8" t="s">
        <v>278</v>
      </c>
      <c r="AB612" s="8" t="s">
        <v>228</v>
      </c>
      <c r="AC612" s="8" t="s">
        <v>228</v>
      </c>
      <c r="AD612" s="8" t="s">
        <v>228</v>
      </c>
      <c r="AE612" s="8" t="s">
        <v>228</v>
      </c>
      <c r="AF612" s="8" t="s">
        <v>228</v>
      </c>
      <c r="AG612" s="8" t="s">
        <v>228</v>
      </c>
      <c r="AH612" s="8" t="s">
        <v>228</v>
      </c>
      <c r="AI612" s="8" t="s">
        <v>228</v>
      </c>
      <c r="AJ612" t="s">
        <v>468</v>
      </c>
      <c r="AK612">
        <v>1</v>
      </c>
      <c r="AL612">
        <v>1</v>
      </c>
      <c r="AM612" t="s">
        <v>89</v>
      </c>
      <c r="AN612" t="s">
        <v>67</v>
      </c>
      <c r="AO612" t="s">
        <v>526</v>
      </c>
      <c r="AP612" t="s">
        <v>108</v>
      </c>
      <c r="AQ612">
        <v>12</v>
      </c>
      <c r="AR612" t="s">
        <v>483</v>
      </c>
      <c r="AS612" t="s">
        <v>228</v>
      </c>
      <c r="AT612" t="s">
        <v>170</v>
      </c>
      <c r="AU612">
        <v>1</v>
      </c>
      <c r="AV612">
        <v>1</v>
      </c>
      <c r="AW612" t="s">
        <v>537</v>
      </c>
      <c r="AX612" t="s">
        <v>283</v>
      </c>
      <c r="AY612" t="s">
        <v>280</v>
      </c>
      <c r="AZ612">
        <v>5</v>
      </c>
      <c r="BA612" t="s">
        <v>533</v>
      </c>
      <c r="BB612" t="s">
        <v>541</v>
      </c>
      <c r="BC612" t="s">
        <v>395</v>
      </c>
      <c r="BD612" t="s">
        <v>228</v>
      </c>
      <c r="BE612" t="s">
        <v>522</v>
      </c>
      <c r="BF612" t="s">
        <v>523</v>
      </c>
      <c r="BG612" t="s">
        <v>407</v>
      </c>
      <c r="BH612" t="s">
        <v>544</v>
      </c>
      <c r="BI612" t="s">
        <v>525</v>
      </c>
      <c r="BJ612" t="s">
        <v>228</v>
      </c>
      <c r="BK612" t="s">
        <v>228</v>
      </c>
      <c r="BL612" t="s">
        <v>228</v>
      </c>
      <c r="BM612" t="s">
        <v>228</v>
      </c>
      <c r="BN612" t="s">
        <v>228</v>
      </c>
      <c r="BO612" t="s">
        <v>228</v>
      </c>
      <c r="BP612" t="s">
        <v>228</v>
      </c>
      <c r="BQ612" t="s">
        <v>228</v>
      </c>
      <c r="BR612" t="s">
        <v>228</v>
      </c>
      <c r="BS612" t="s">
        <v>409</v>
      </c>
      <c r="BT612">
        <v>0</v>
      </c>
    </row>
    <row r="613" spans="1:72" x14ac:dyDescent="0.15">
      <c r="A613" s="43">
        <v>2023</v>
      </c>
      <c r="B613" s="8">
        <v>1</v>
      </c>
      <c r="C613" s="8">
        <v>1</v>
      </c>
      <c r="D613" s="8">
        <v>11</v>
      </c>
      <c r="E613" s="8" t="s">
        <v>67</v>
      </c>
      <c r="F613" s="8" t="s">
        <v>57</v>
      </c>
      <c r="G613" s="8">
        <v>2017</v>
      </c>
      <c r="H613" s="8">
        <v>12</v>
      </c>
      <c r="I613" s="8" t="s">
        <v>483</v>
      </c>
      <c r="J613" s="8" t="s">
        <v>228</v>
      </c>
      <c r="K613" s="8">
        <v>1953</v>
      </c>
      <c r="L613" s="17">
        <v>1</v>
      </c>
      <c r="M613" s="8">
        <v>1</v>
      </c>
      <c r="N613" s="8" t="s">
        <v>49</v>
      </c>
      <c r="O613" s="8" t="s">
        <v>283</v>
      </c>
      <c r="P613" s="8" t="s">
        <v>280</v>
      </c>
      <c r="Q613" s="8">
        <v>20000</v>
      </c>
      <c r="R613" s="8" t="s">
        <v>59</v>
      </c>
      <c r="S613" s="8" t="s">
        <v>54</v>
      </c>
      <c r="T613" s="8" t="s">
        <v>69</v>
      </c>
      <c r="U613" s="8" t="s">
        <v>228</v>
      </c>
      <c r="V613" s="8">
        <v>500</v>
      </c>
      <c r="W613" s="8" t="s">
        <v>328</v>
      </c>
      <c r="X613" s="8">
        <v>3000</v>
      </c>
      <c r="Y613" s="8" t="s">
        <v>268</v>
      </c>
      <c r="Z613" s="8">
        <v>100</v>
      </c>
      <c r="AA613" s="8" t="s">
        <v>278</v>
      </c>
      <c r="AB613" s="8" t="s">
        <v>228</v>
      </c>
      <c r="AC613" s="8" t="s">
        <v>228</v>
      </c>
      <c r="AD613" s="8" t="s">
        <v>228</v>
      </c>
      <c r="AE613" s="8" t="s">
        <v>228</v>
      </c>
      <c r="AF613" s="8" t="s">
        <v>228</v>
      </c>
      <c r="AG613" s="8" t="s">
        <v>228</v>
      </c>
      <c r="AH613" s="8" t="s">
        <v>228</v>
      </c>
      <c r="AI613" s="8" t="s">
        <v>228</v>
      </c>
      <c r="AJ613" t="s">
        <v>468</v>
      </c>
      <c r="AK613">
        <v>1</v>
      </c>
      <c r="AL613">
        <v>1</v>
      </c>
      <c r="AM613" t="s">
        <v>90</v>
      </c>
      <c r="AN613" t="s">
        <v>67</v>
      </c>
      <c r="AO613" t="s">
        <v>526</v>
      </c>
      <c r="AP613" t="s">
        <v>108</v>
      </c>
      <c r="AQ613">
        <v>12</v>
      </c>
      <c r="AR613" t="s">
        <v>483</v>
      </c>
      <c r="AS613" t="s">
        <v>228</v>
      </c>
      <c r="AT613" t="s">
        <v>170</v>
      </c>
      <c r="AU613">
        <v>1</v>
      </c>
      <c r="AV613">
        <v>1</v>
      </c>
      <c r="AW613" t="s">
        <v>537</v>
      </c>
      <c r="AX613" t="s">
        <v>283</v>
      </c>
      <c r="AY613" t="s">
        <v>280</v>
      </c>
      <c r="AZ613">
        <v>5</v>
      </c>
      <c r="BA613" t="s">
        <v>533</v>
      </c>
      <c r="BB613" t="s">
        <v>541</v>
      </c>
      <c r="BC613" t="s">
        <v>395</v>
      </c>
      <c r="BD613" t="s">
        <v>228</v>
      </c>
      <c r="BE613" t="s">
        <v>522</v>
      </c>
      <c r="BF613" t="s">
        <v>523</v>
      </c>
      <c r="BG613" t="s">
        <v>407</v>
      </c>
      <c r="BH613" t="s">
        <v>396</v>
      </c>
      <c r="BI613" t="s">
        <v>525</v>
      </c>
      <c r="BJ613" t="s">
        <v>228</v>
      </c>
      <c r="BK613" t="s">
        <v>228</v>
      </c>
      <c r="BL613" t="s">
        <v>228</v>
      </c>
      <c r="BM613" t="s">
        <v>228</v>
      </c>
      <c r="BN613" t="s">
        <v>228</v>
      </c>
      <c r="BO613" t="s">
        <v>228</v>
      </c>
      <c r="BP613" t="s">
        <v>228</v>
      </c>
      <c r="BQ613" t="s">
        <v>228</v>
      </c>
      <c r="BR613" t="s">
        <v>228</v>
      </c>
      <c r="BS613" t="s">
        <v>409</v>
      </c>
      <c r="BT613">
        <v>1</v>
      </c>
    </row>
    <row r="614" spans="1:72" x14ac:dyDescent="0.15">
      <c r="A614" s="43">
        <v>2023</v>
      </c>
      <c r="B614" s="8">
        <v>1</v>
      </c>
      <c r="C614" s="8">
        <v>1</v>
      </c>
      <c r="D614" s="8">
        <v>11</v>
      </c>
      <c r="E614" s="8" t="s">
        <v>67</v>
      </c>
      <c r="F614" s="8" t="s">
        <v>57</v>
      </c>
      <c r="G614" s="8">
        <v>2017</v>
      </c>
      <c r="H614" s="8">
        <v>12</v>
      </c>
      <c r="I614" s="8" t="s">
        <v>483</v>
      </c>
      <c r="J614" s="8" t="s">
        <v>228</v>
      </c>
      <c r="K614" s="8">
        <v>1953</v>
      </c>
      <c r="L614" s="17">
        <v>1</v>
      </c>
      <c r="M614" s="8">
        <v>1</v>
      </c>
      <c r="N614" s="8" t="s">
        <v>49</v>
      </c>
      <c r="O614" s="8" t="s">
        <v>283</v>
      </c>
      <c r="P614" s="8" t="s">
        <v>280</v>
      </c>
      <c r="Q614" s="8">
        <v>20000</v>
      </c>
      <c r="R614" s="8" t="s">
        <v>59</v>
      </c>
      <c r="S614" s="8" t="s">
        <v>54</v>
      </c>
      <c r="T614" s="8" t="s">
        <v>69</v>
      </c>
      <c r="U614" s="8" t="s">
        <v>228</v>
      </c>
      <c r="V614" s="8">
        <v>500</v>
      </c>
      <c r="W614" s="8" t="s">
        <v>328</v>
      </c>
      <c r="X614" s="8">
        <v>3000</v>
      </c>
      <c r="Y614" s="8" t="s">
        <v>394</v>
      </c>
      <c r="Z614" s="8">
        <v>100</v>
      </c>
      <c r="AA614" s="8" t="s">
        <v>278</v>
      </c>
      <c r="AB614" s="8" t="s">
        <v>228</v>
      </c>
      <c r="AC614" s="8" t="s">
        <v>228</v>
      </c>
      <c r="AD614" s="8" t="s">
        <v>228</v>
      </c>
      <c r="AE614" s="8" t="s">
        <v>228</v>
      </c>
      <c r="AF614" s="8" t="s">
        <v>228</v>
      </c>
      <c r="AG614" s="8" t="s">
        <v>228</v>
      </c>
      <c r="AH614" s="8" t="s">
        <v>228</v>
      </c>
      <c r="AI614" s="8" t="s">
        <v>228</v>
      </c>
      <c r="AJ614" t="s">
        <v>468</v>
      </c>
      <c r="AK614">
        <v>1</v>
      </c>
      <c r="AL614">
        <v>1</v>
      </c>
      <c r="AM614" t="s">
        <v>90</v>
      </c>
      <c r="AN614" t="s">
        <v>67</v>
      </c>
      <c r="AO614" t="s">
        <v>526</v>
      </c>
      <c r="AP614" t="s">
        <v>108</v>
      </c>
      <c r="AQ614">
        <v>12</v>
      </c>
      <c r="AR614" t="s">
        <v>483</v>
      </c>
      <c r="AS614" t="s">
        <v>228</v>
      </c>
      <c r="AT614" t="s">
        <v>170</v>
      </c>
      <c r="AU614">
        <v>1</v>
      </c>
      <c r="AV614">
        <v>1</v>
      </c>
      <c r="AW614" t="s">
        <v>537</v>
      </c>
      <c r="AX614" t="s">
        <v>283</v>
      </c>
      <c r="AY614" t="s">
        <v>280</v>
      </c>
      <c r="AZ614">
        <v>5</v>
      </c>
      <c r="BA614" t="s">
        <v>533</v>
      </c>
      <c r="BB614" t="s">
        <v>541</v>
      </c>
      <c r="BC614" t="s">
        <v>395</v>
      </c>
      <c r="BD614" t="s">
        <v>228</v>
      </c>
      <c r="BE614" t="s">
        <v>522</v>
      </c>
      <c r="BF614" t="s">
        <v>523</v>
      </c>
      <c r="BG614" t="s">
        <v>407</v>
      </c>
      <c r="BH614" t="s">
        <v>551</v>
      </c>
      <c r="BI614" t="s">
        <v>525</v>
      </c>
      <c r="BJ614" t="s">
        <v>228</v>
      </c>
      <c r="BK614" t="s">
        <v>228</v>
      </c>
      <c r="BL614" t="s">
        <v>228</v>
      </c>
      <c r="BM614" t="s">
        <v>228</v>
      </c>
      <c r="BN614" t="s">
        <v>228</v>
      </c>
      <c r="BO614" t="s">
        <v>228</v>
      </c>
      <c r="BP614" t="s">
        <v>228</v>
      </c>
      <c r="BQ614" t="s">
        <v>228</v>
      </c>
      <c r="BR614" t="s">
        <v>228</v>
      </c>
      <c r="BS614" t="s">
        <v>409</v>
      </c>
      <c r="BT614">
        <v>1</v>
      </c>
    </row>
    <row r="615" spans="1:72" x14ac:dyDescent="0.15">
      <c r="A615" s="43">
        <v>2023</v>
      </c>
      <c r="B615" s="8">
        <v>1</v>
      </c>
      <c r="C615" s="8">
        <v>1</v>
      </c>
      <c r="D615" s="8">
        <v>11</v>
      </c>
      <c r="E615" s="8" t="s">
        <v>67</v>
      </c>
      <c r="F615" s="8" t="s">
        <v>57</v>
      </c>
      <c r="G615" s="8">
        <v>2017</v>
      </c>
      <c r="H615" s="8">
        <v>12</v>
      </c>
      <c r="I615" s="8" t="s">
        <v>483</v>
      </c>
      <c r="J615" s="8" t="s">
        <v>228</v>
      </c>
      <c r="K615" s="8">
        <v>1953</v>
      </c>
      <c r="L615" s="17">
        <v>1</v>
      </c>
      <c r="M615" s="8">
        <v>1</v>
      </c>
      <c r="N615" s="8" t="s">
        <v>49</v>
      </c>
      <c r="O615" s="8" t="s">
        <v>283</v>
      </c>
      <c r="P615" s="8" t="s">
        <v>280</v>
      </c>
      <c r="Q615" s="8">
        <v>20000</v>
      </c>
      <c r="R615" s="8" t="s">
        <v>59</v>
      </c>
      <c r="S615" s="8" t="s">
        <v>54</v>
      </c>
      <c r="T615" s="8" t="s">
        <v>69</v>
      </c>
      <c r="U615" s="8" t="s">
        <v>228</v>
      </c>
      <c r="V615" s="8">
        <v>500</v>
      </c>
      <c r="W615" s="8" t="s">
        <v>328</v>
      </c>
      <c r="X615" s="8">
        <v>3000</v>
      </c>
      <c r="Y615" s="8" t="s">
        <v>271</v>
      </c>
      <c r="Z615" s="8">
        <v>100</v>
      </c>
      <c r="AA615" s="8" t="s">
        <v>278</v>
      </c>
      <c r="AB615" s="8" t="s">
        <v>228</v>
      </c>
      <c r="AC615" s="8" t="s">
        <v>228</v>
      </c>
      <c r="AD615" s="8" t="s">
        <v>228</v>
      </c>
      <c r="AE615" s="8" t="s">
        <v>228</v>
      </c>
      <c r="AF615" s="8" t="s">
        <v>228</v>
      </c>
      <c r="AG615" s="8" t="s">
        <v>228</v>
      </c>
      <c r="AH615" s="8" t="s">
        <v>228</v>
      </c>
      <c r="AI615" s="8" t="s">
        <v>228</v>
      </c>
      <c r="AJ615" t="s">
        <v>468</v>
      </c>
      <c r="AK615">
        <v>1</v>
      </c>
      <c r="AL615">
        <v>1</v>
      </c>
      <c r="AM615" t="s">
        <v>90</v>
      </c>
      <c r="AN615" t="s">
        <v>67</v>
      </c>
      <c r="AO615" t="s">
        <v>526</v>
      </c>
      <c r="AP615" t="s">
        <v>108</v>
      </c>
      <c r="AQ615">
        <v>12</v>
      </c>
      <c r="AR615" t="s">
        <v>483</v>
      </c>
      <c r="AS615" t="s">
        <v>228</v>
      </c>
      <c r="AT615" t="s">
        <v>170</v>
      </c>
      <c r="AU615">
        <v>1</v>
      </c>
      <c r="AV615">
        <v>1</v>
      </c>
      <c r="AW615" t="s">
        <v>537</v>
      </c>
      <c r="AX615" t="s">
        <v>283</v>
      </c>
      <c r="AY615" t="s">
        <v>280</v>
      </c>
      <c r="AZ615">
        <v>5</v>
      </c>
      <c r="BA615" t="s">
        <v>533</v>
      </c>
      <c r="BB615" t="s">
        <v>541</v>
      </c>
      <c r="BC615" t="s">
        <v>395</v>
      </c>
      <c r="BD615" t="s">
        <v>228</v>
      </c>
      <c r="BE615" t="s">
        <v>522</v>
      </c>
      <c r="BF615" t="s">
        <v>523</v>
      </c>
      <c r="BG615" t="s">
        <v>407</v>
      </c>
      <c r="BH615" t="s">
        <v>544</v>
      </c>
      <c r="BI615" t="s">
        <v>525</v>
      </c>
      <c r="BJ615" t="s">
        <v>228</v>
      </c>
      <c r="BK615" t="s">
        <v>228</v>
      </c>
      <c r="BL615" t="s">
        <v>228</v>
      </c>
      <c r="BM615" t="s">
        <v>228</v>
      </c>
      <c r="BN615" t="s">
        <v>228</v>
      </c>
      <c r="BO615" t="s">
        <v>228</v>
      </c>
      <c r="BP615" t="s">
        <v>228</v>
      </c>
      <c r="BQ615" t="s">
        <v>228</v>
      </c>
      <c r="BR615" t="s">
        <v>228</v>
      </c>
      <c r="BS615" t="s">
        <v>409</v>
      </c>
      <c r="BT615">
        <v>0</v>
      </c>
    </row>
    <row r="616" spans="1:72" x14ac:dyDescent="0.15">
      <c r="A616" s="43">
        <v>2023</v>
      </c>
      <c r="B616" s="8">
        <v>1</v>
      </c>
      <c r="C616" s="8">
        <v>1</v>
      </c>
      <c r="D616" s="8">
        <v>10</v>
      </c>
      <c r="E616" s="8" t="s">
        <v>67</v>
      </c>
      <c r="F616" s="8" t="s">
        <v>57</v>
      </c>
      <c r="G616" s="8">
        <v>2017</v>
      </c>
      <c r="H616" s="8">
        <v>12</v>
      </c>
      <c r="I616" s="8" t="s">
        <v>483</v>
      </c>
      <c r="J616" s="8" t="s">
        <v>228</v>
      </c>
      <c r="K616" s="8">
        <v>1953</v>
      </c>
      <c r="L616" s="17">
        <v>1</v>
      </c>
      <c r="M616" s="8">
        <v>1</v>
      </c>
      <c r="N616" s="8" t="s">
        <v>49</v>
      </c>
      <c r="O616" s="8" t="s">
        <v>283</v>
      </c>
      <c r="P616" s="8" t="s">
        <v>280</v>
      </c>
      <c r="Q616" s="8">
        <v>20000</v>
      </c>
      <c r="R616" s="8" t="s">
        <v>59</v>
      </c>
      <c r="S616" s="8" t="s">
        <v>54</v>
      </c>
      <c r="T616" s="8" t="s">
        <v>69</v>
      </c>
      <c r="U616" s="8" t="s">
        <v>228</v>
      </c>
      <c r="V616" s="8">
        <v>500</v>
      </c>
      <c r="W616" s="8" t="s">
        <v>328</v>
      </c>
      <c r="X616" s="8">
        <v>3000</v>
      </c>
      <c r="Y616" s="8" t="s">
        <v>268</v>
      </c>
      <c r="Z616" s="8">
        <v>100</v>
      </c>
      <c r="AA616" s="8" t="s">
        <v>278</v>
      </c>
      <c r="AB616" s="8" t="s">
        <v>228</v>
      </c>
      <c r="AC616" s="8" t="s">
        <v>228</v>
      </c>
      <c r="AD616" s="8" t="s">
        <v>228</v>
      </c>
      <c r="AE616" s="8" t="s">
        <v>228</v>
      </c>
      <c r="AF616" s="8" t="s">
        <v>228</v>
      </c>
      <c r="AG616" s="8" t="s">
        <v>228</v>
      </c>
      <c r="AH616" s="8" t="s">
        <v>228</v>
      </c>
      <c r="AI616" s="8" t="s">
        <v>228</v>
      </c>
      <c r="AJ616" t="s">
        <v>468</v>
      </c>
      <c r="AK616">
        <v>1</v>
      </c>
      <c r="AL616">
        <v>1</v>
      </c>
      <c r="AM616" t="s">
        <v>91</v>
      </c>
      <c r="AN616" t="s">
        <v>67</v>
      </c>
      <c r="AO616" t="s">
        <v>526</v>
      </c>
      <c r="AP616" t="s">
        <v>108</v>
      </c>
      <c r="AQ616">
        <v>12</v>
      </c>
      <c r="AR616" t="s">
        <v>483</v>
      </c>
      <c r="AS616" t="s">
        <v>228</v>
      </c>
      <c r="AT616" t="s">
        <v>170</v>
      </c>
      <c r="AU616">
        <v>1</v>
      </c>
      <c r="AV616">
        <v>1</v>
      </c>
      <c r="AW616" t="s">
        <v>537</v>
      </c>
      <c r="AX616" t="s">
        <v>283</v>
      </c>
      <c r="AY616" t="s">
        <v>280</v>
      </c>
      <c r="AZ616">
        <v>5</v>
      </c>
      <c r="BA616" t="s">
        <v>533</v>
      </c>
      <c r="BB616" t="s">
        <v>541</v>
      </c>
      <c r="BC616" t="s">
        <v>395</v>
      </c>
      <c r="BD616" t="s">
        <v>228</v>
      </c>
      <c r="BE616" t="s">
        <v>522</v>
      </c>
      <c r="BF616" t="s">
        <v>523</v>
      </c>
      <c r="BG616" t="s">
        <v>407</v>
      </c>
      <c r="BH616" t="s">
        <v>396</v>
      </c>
      <c r="BI616" t="s">
        <v>525</v>
      </c>
      <c r="BJ616" t="s">
        <v>228</v>
      </c>
      <c r="BK616" t="s">
        <v>228</v>
      </c>
      <c r="BL616" t="s">
        <v>228</v>
      </c>
      <c r="BM616" t="s">
        <v>228</v>
      </c>
      <c r="BN616" t="s">
        <v>228</v>
      </c>
      <c r="BO616" t="s">
        <v>228</v>
      </c>
      <c r="BP616" t="s">
        <v>228</v>
      </c>
      <c r="BQ616" t="s">
        <v>228</v>
      </c>
      <c r="BR616" t="s">
        <v>228</v>
      </c>
      <c r="BS616" t="s">
        <v>409</v>
      </c>
      <c r="BT616">
        <v>1</v>
      </c>
    </row>
    <row r="617" spans="1:72" x14ac:dyDescent="0.15">
      <c r="A617" s="43">
        <v>2023</v>
      </c>
      <c r="B617" s="8">
        <v>1</v>
      </c>
      <c r="C617" s="8">
        <v>1</v>
      </c>
      <c r="D617" s="8">
        <v>10</v>
      </c>
      <c r="E617" s="8" t="s">
        <v>67</v>
      </c>
      <c r="F617" s="8" t="s">
        <v>57</v>
      </c>
      <c r="G617" s="8">
        <v>2017</v>
      </c>
      <c r="H617" s="8">
        <v>12</v>
      </c>
      <c r="I617" s="8" t="s">
        <v>483</v>
      </c>
      <c r="J617" s="8" t="s">
        <v>228</v>
      </c>
      <c r="K617" s="8">
        <v>1953</v>
      </c>
      <c r="L617" s="17">
        <v>1</v>
      </c>
      <c r="M617" s="8">
        <v>1</v>
      </c>
      <c r="N617" s="8" t="s">
        <v>49</v>
      </c>
      <c r="O617" s="8" t="s">
        <v>283</v>
      </c>
      <c r="P617" s="8" t="s">
        <v>280</v>
      </c>
      <c r="Q617" s="8">
        <v>20000</v>
      </c>
      <c r="R617" s="8" t="s">
        <v>59</v>
      </c>
      <c r="S617" s="8" t="s">
        <v>54</v>
      </c>
      <c r="T617" s="8" t="s">
        <v>69</v>
      </c>
      <c r="U617" s="8" t="s">
        <v>228</v>
      </c>
      <c r="V617" s="8">
        <v>500</v>
      </c>
      <c r="W617" s="8" t="s">
        <v>328</v>
      </c>
      <c r="X617" s="8">
        <v>3000</v>
      </c>
      <c r="Y617" s="8" t="s">
        <v>394</v>
      </c>
      <c r="Z617" s="8">
        <v>100</v>
      </c>
      <c r="AA617" s="8" t="s">
        <v>278</v>
      </c>
      <c r="AB617" s="8" t="s">
        <v>228</v>
      </c>
      <c r="AC617" s="8" t="s">
        <v>228</v>
      </c>
      <c r="AD617" s="8" t="s">
        <v>228</v>
      </c>
      <c r="AE617" s="8" t="s">
        <v>228</v>
      </c>
      <c r="AF617" s="8" t="s">
        <v>228</v>
      </c>
      <c r="AG617" s="8" t="s">
        <v>228</v>
      </c>
      <c r="AH617" s="8" t="s">
        <v>228</v>
      </c>
      <c r="AI617" s="8" t="s">
        <v>228</v>
      </c>
      <c r="AJ617" t="s">
        <v>468</v>
      </c>
      <c r="AK617">
        <v>1</v>
      </c>
      <c r="AL617">
        <v>1</v>
      </c>
      <c r="AM617" t="s">
        <v>91</v>
      </c>
      <c r="AN617" t="s">
        <v>67</v>
      </c>
      <c r="AO617" t="s">
        <v>526</v>
      </c>
      <c r="AP617" t="s">
        <v>108</v>
      </c>
      <c r="AQ617">
        <v>12</v>
      </c>
      <c r="AR617" t="s">
        <v>483</v>
      </c>
      <c r="AS617" t="s">
        <v>228</v>
      </c>
      <c r="AT617" t="s">
        <v>170</v>
      </c>
      <c r="AU617">
        <v>1</v>
      </c>
      <c r="AV617">
        <v>1</v>
      </c>
      <c r="AW617" t="s">
        <v>537</v>
      </c>
      <c r="AX617" t="s">
        <v>283</v>
      </c>
      <c r="AY617" t="s">
        <v>280</v>
      </c>
      <c r="AZ617">
        <v>5</v>
      </c>
      <c r="BA617" t="s">
        <v>533</v>
      </c>
      <c r="BB617" t="s">
        <v>541</v>
      </c>
      <c r="BC617" t="s">
        <v>395</v>
      </c>
      <c r="BD617" t="s">
        <v>228</v>
      </c>
      <c r="BE617" t="s">
        <v>522</v>
      </c>
      <c r="BF617" t="s">
        <v>523</v>
      </c>
      <c r="BG617" t="s">
        <v>407</v>
      </c>
      <c r="BH617" t="s">
        <v>551</v>
      </c>
      <c r="BI617" t="s">
        <v>525</v>
      </c>
      <c r="BJ617" t="s">
        <v>228</v>
      </c>
      <c r="BK617" t="s">
        <v>228</v>
      </c>
      <c r="BL617" t="s">
        <v>228</v>
      </c>
      <c r="BM617" t="s">
        <v>228</v>
      </c>
      <c r="BN617" t="s">
        <v>228</v>
      </c>
      <c r="BO617" t="s">
        <v>228</v>
      </c>
      <c r="BP617" t="s">
        <v>228</v>
      </c>
      <c r="BQ617" t="s">
        <v>228</v>
      </c>
      <c r="BR617" t="s">
        <v>228</v>
      </c>
      <c r="BS617" t="s">
        <v>409</v>
      </c>
      <c r="BT617">
        <v>1</v>
      </c>
    </row>
    <row r="618" spans="1:72" x14ac:dyDescent="0.15">
      <c r="A618" s="43">
        <v>2023</v>
      </c>
      <c r="B618" s="8">
        <v>1</v>
      </c>
      <c r="C618" s="8">
        <v>1</v>
      </c>
      <c r="D618" s="8">
        <v>10</v>
      </c>
      <c r="E618" s="8" t="s">
        <v>67</v>
      </c>
      <c r="F618" s="8" t="s">
        <v>57</v>
      </c>
      <c r="G618" s="8">
        <v>2017</v>
      </c>
      <c r="H618" s="8">
        <v>12</v>
      </c>
      <c r="I618" s="8" t="s">
        <v>483</v>
      </c>
      <c r="J618" s="8" t="s">
        <v>228</v>
      </c>
      <c r="K618" s="8">
        <v>1953</v>
      </c>
      <c r="L618" s="17">
        <v>1</v>
      </c>
      <c r="M618" s="8">
        <v>1</v>
      </c>
      <c r="N618" s="8" t="s">
        <v>49</v>
      </c>
      <c r="O618" s="8" t="s">
        <v>283</v>
      </c>
      <c r="P618" s="8" t="s">
        <v>280</v>
      </c>
      <c r="Q618" s="8">
        <v>20000</v>
      </c>
      <c r="R618" s="8" t="s">
        <v>59</v>
      </c>
      <c r="S618" s="8" t="s">
        <v>54</v>
      </c>
      <c r="T618" s="8" t="s">
        <v>69</v>
      </c>
      <c r="U618" s="8" t="s">
        <v>228</v>
      </c>
      <c r="V618" s="8">
        <v>500</v>
      </c>
      <c r="W618" s="8" t="s">
        <v>328</v>
      </c>
      <c r="X618" s="8">
        <v>3000</v>
      </c>
      <c r="Y618" s="8" t="s">
        <v>271</v>
      </c>
      <c r="Z618" s="8">
        <v>100</v>
      </c>
      <c r="AA618" s="8" t="s">
        <v>278</v>
      </c>
      <c r="AB618" s="8" t="s">
        <v>228</v>
      </c>
      <c r="AC618" s="8" t="s">
        <v>228</v>
      </c>
      <c r="AD618" s="8" t="s">
        <v>228</v>
      </c>
      <c r="AE618" s="8" t="s">
        <v>228</v>
      </c>
      <c r="AF618" s="8" t="s">
        <v>228</v>
      </c>
      <c r="AG618" s="8" t="s">
        <v>228</v>
      </c>
      <c r="AH618" s="8" t="s">
        <v>228</v>
      </c>
      <c r="AI618" s="8" t="s">
        <v>228</v>
      </c>
      <c r="AJ618" t="s">
        <v>468</v>
      </c>
      <c r="AK618">
        <v>1</v>
      </c>
      <c r="AL618">
        <v>1</v>
      </c>
      <c r="AM618" t="s">
        <v>91</v>
      </c>
      <c r="AN618" t="s">
        <v>67</v>
      </c>
      <c r="AO618" t="s">
        <v>526</v>
      </c>
      <c r="AP618" t="s">
        <v>108</v>
      </c>
      <c r="AQ618">
        <v>12</v>
      </c>
      <c r="AR618" t="s">
        <v>483</v>
      </c>
      <c r="AS618" t="s">
        <v>228</v>
      </c>
      <c r="AT618" t="s">
        <v>170</v>
      </c>
      <c r="AU618">
        <v>1</v>
      </c>
      <c r="AV618">
        <v>1</v>
      </c>
      <c r="AW618" t="s">
        <v>537</v>
      </c>
      <c r="AX618" t="s">
        <v>283</v>
      </c>
      <c r="AY618" t="s">
        <v>280</v>
      </c>
      <c r="AZ618">
        <v>5</v>
      </c>
      <c r="BA618" t="s">
        <v>533</v>
      </c>
      <c r="BB618" t="s">
        <v>541</v>
      </c>
      <c r="BC618" t="s">
        <v>395</v>
      </c>
      <c r="BD618" t="s">
        <v>228</v>
      </c>
      <c r="BE618" t="s">
        <v>522</v>
      </c>
      <c r="BF618" t="s">
        <v>523</v>
      </c>
      <c r="BG618" t="s">
        <v>407</v>
      </c>
      <c r="BH618" t="s">
        <v>544</v>
      </c>
      <c r="BI618" t="s">
        <v>525</v>
      </c>
      <c r="BJ618" t="s">
        <v>228</v>
      </c>
      <c r="BK618" t="s">
        <v>228</v>
      </c>
      <c r="BL618" t="s">
        <v>228</v>
      </c>
      <c r="BM618" t="s">
        <v>228</v>
      </c>
      <c r="BN618" t="s">
        <v>228</v>
      </c>
      <c r="BO618" t="s">
        <v>228</v>
      </c>
      <c r="BP618" t="s">
        <v>228</v>
      </c>
      <c r="BQ618" t="s">
        <v>228</v>
      </c>
      <c r="BR618" t="s">
        <v>228</v>
      </c>
      <c r="BS618" t="s">
        <v>409</v>
      </c>
      <c r="BT618">
        <v>0</v>
      </c>
    </row>
    <row r="619" spans="1:72" x14ac:dyDescent="0.15">
      <c r="A619" s="43">
        <v>2023</v>
      </c>
      <c r="B619" s="8">
        <v>1</v>
      </c>
      <c r="C619" s="8">
        <v>1</v>
      </c>
      <c r="D619" s="8">
        <v>9</v>
      </c>
      <c r="E619" s="8" t="s">
        <v>67</v>
      </c>
      <c r="F619" s="8" t="s">
        <v>57</v>
      </c>
      <c r="G619" s="8">
        <v>2017</v>
      </c>
      <c r="H619" s="8">
        <v>12</v>
      </c>
      <c r="I619" s="8" t="s">
        <v>483</v>
      </c>
      <c r="J619" s="8" t="s">
        <v>228</v>
      </c>
      <c r="K619" s="8">
        <v>1953</v>
      </c>
      <c r="L619" s="17">
        <v>1</v>
      </c>
      <c r="M619" s="8">
        <v>1</v>
      </c>
      <c r="N619" s="8" t="s">
        <v>49</v>
      </c>
      <c r="O619" s="8" t="s">
        <v>283</v>
      </c>
      <c r="P619" s="8" t="s">
        <v>280</v>
      </c>
      <c r="Q619" s="8">
        <v>20000</v>
      </c>
      <c r="R619" s="8" t="s">
        <v>59</v>
      </c>
      <c r="S619" s="8" t="s">
        <v>54</v>
      </c>
      <c r="T619" s="8" t="s">
        <v>69</v>
      </c>
      <c r="U619" s="8" t="s">
        <v>228</v>
      </c>
      <c r="V619" s="8">
        <v>500</v>
      </c>
      <c r="W619" s="8" t="s">
        <v>328</v>
      </c>
      <c r="X619" s="8">
        <v>3000</v>
      </c>
      <c r="Y619" s="8" t="s">
        <v>268</v>
      </c>
      <c r="Z619" s="8">
        <v>100</v>
      </c>
      <c r="AA619" s="8" t="s">
        <v>278</v>
      </c>
      <c r="AB619" s="8" t="s">
        <v>228</v>
      </c>
      <c r="AC619" s="8" t="s">
        <v>228</v>
      </c>
      <c r="AD619" s="8" t="s">
        <v>228</v>
      </c>
      <c r="AE619" s="8" t="s">
        <v>228</v>
      </c>
      <c r="AF619" s="8" t="s">
        <v>228</v>
      </c>
      <c r="AG619" s="8" t="s">
        <v>228</v>
      </c>
      <c r="AH619" s="8" t="s">
        <v>228</v>
      </c>
      <c r="AI619" s="8" t="s">
        <v>228</v>
      </c>
      <c r="AJ619" t="s">
        <v>468</v>
      </c>
      <c r="AK619">
        <v>1</v>
      </c>
      <c r="AL619">
        <v>1</v>
      </c>
      <c r="AM619" t="s">
        <v>92</v>
      </c>
      <c r="AN619" t="s">
        <v>67</v>
      </c>
      <c r="AO619" t="s">
        <v>526</v>
      </c>
      <c r="AP619" t="s">
        <v>108</v>
      </c>
      <c r="AQ619">
        <v>12</v>
      </c>
      <c r="AR619" t="s">
        <v>483</v>
      </c>
      <c r="AS619" t="s">
        <v>228</v>
      </c>
      <c r="AT619" t="s">
        <v>170</v>
      </c>
      <c r="AU619">
        <v>1</v>
      </c>
      <c r="AV619">
        <v>1</v>
      </c>
      <c r="AW619" t="s">
        <v>537</v>
      </c>
      <c r="AX619" t="s">
        <v>283</v>
      </c>
      <c r="AY619" t="s">
        <v>280</v>
      </c>
      <c r="AZ619">
        <v>5</v>
      </c>
      <c r="BA619" t="s">
        <v>533</v>
      </c>
      <c r="BB619" t="s">
        <v>541</v>
      </c>
      <c r="BC619" t="s">
        <v>395</v>
      </c>
      <c r="BD619" t="s">
        <v>228</v>
      </c>
      <c r="BE619" t="s">
        <v>522</v>
      </c>
      <c r="BF619" t="s">
        <v>523</v>
      </c>
      <c r="BG619" t="s">
        <v>407</v>
      </c>
      <c r="BH619" t="s">
        <v>396</v>
      </c>
      <c r="BI619" t="s">
        <v>525</v>
      </c>
      <c r="BJ619" t="s">
        <v>228</v>
      </c>
      <c r="BK619" t="s">
        <v>228</v>
      </c>
      <c r="BL619" t="s">
        <v>228</v>
      </c>
      <c r="BM619" t="s">
        <v>228</v>
      </c>
      <c r="BN619" t="s">
        <v>228</v>
      </c>
      <c r="BO619" t="s">
        <v>228</v>
      </c>
      <c r="BP619" t="s">
        <v>228</v>
      </c>
      <c r="BQ619" t="s">
        <v>228</v>
      </c>
      <c r="BR619" t="s">
        <v>228</v>
      </c>
      <c r="BS619" t="s">
        <v>409</v>
      </c>
      <c r="BT619">
        <v>1</v>
      </c>
    </row>
    <row r="620" spans="1:72" x14ac:dyDescent="0.15">
      <c r="A620" s="43">
        <v>2023</v>
      </c>
      <c r="B620" s="8">
        <v>1</v>
      </c>
      <c r="C620" s="8">
        <v>1</v>
      </c>
      <c r="D620" s="8">
        <v>9</v>
      </c>
      <c r="E620" s="8" t="s">
        <v>67</v>
      </c>
      <c r="F620" s="8" t="s">
        <v>57</v>
      </c>
      <c r="G620" s="8">
        <v>2017</v>
      </c>
      <c r="H620" s="8">
        <v>12</v>
      </c>
      <c r="I620" s="8" t="s">
        <v>483</v>
      </c>
      <c r="J620" s="8" t="s">
        <v>228</v>
      </c>
      <c r="K620" s="8">
        <v>1953</v>
      </c>
      <c r="L620" s="17">
        <v>1</v>
      </c>
      <c r="M620" s="8">
        <v>1</v>
      </c>
      <c r="N620" s="8" t="s">
        <v>49</v>
      </c>
      <c r="O620" s="8" t="s">
        <v>283</v>
      </c>
      <c r="P620" s="8" t="s">
        <v>280</v>
      </c>
      <c r="Q620" s="8">
        <v>20000</v>
      </c>
      <c r="R620" s="8" t="s">
        <v>59</v>
      </c>
      <c r="S620" s="8" t="s">
        <v>54</v>
      </c>
      <c r="T620" s="8" t="s">
        <v>69</v>
      </c>
      <c r="U620" s="8" t="s">
        <v>228</v>
      </c>
      <c r="V620" s="8">
        <v>500</v>
      </c>
      <c r="W620" s="8" t="s">
        <v>328</v>
      </c>
      <c r="X620" s="8">
        <v>3000</v>
      </c>
      <c r="Y620" s="8" t="s">
        <v>394</v>
      </c>
      <c r="Z620" s="8">
        <v>100</v>
      </c>
      <c r="AA620" s="8" t="s">
        <v>278</v>
      </c>
      <c r="AB620" s="8" t="s">
        <v>228</v>
      </c>
      <c r="AC620" s="8" t="s">
        <v>228</v>
      </c>
      <c r="AD620" s="8" t="s">
        <v>228</v>
      </c>
      <c r="AE620" s="8" t="s">
        <v>228</v>
      </c>
      <c r="AF620" s="8" t="s">
        <v>228</v>
      </c>
      <c r="AG620" s="8" t="s">
        <v>228</v>
      </c>
      <c r="AH620" s="8" t="s">
        <v>228</v>
      </c>
      <c r="AI620" s="8" t="s">
        <v>228</v>
      </c>
      <c r="AJ620" t="s">
        <v>468</v>
      </c>
      <c r="AK620">
        <v>1</v>
      </c>
      <c r="AL620">
        <v>1</v>
      </c>
      <c r="AM620" t="s">
        <v>92</v>
      </c>
      <c r="AN620" t="s">
        <v>67</v>
      </c>
      <c r="AO620" t="s">
        <v>526</v>
      </c>
      <c r="AP620" t="s">
        <v>108</v>
      </c>
      <c r="AQ620">
        <v>12</v>
      </c>
      <c r="AR620" t="s">
        <v>483</v>
      </c>
      <c r="AS620" t="s">
        <v>228</v>
      </c>
      <c r="AT620" t="s">
        <v>170</v>
      </c>
      <c r="AU620">
        <v>1</v>
      </c>
      <c r="AV620">
        <v>1</v>
      </c>
      <c r="AW620" t="s">
        <v>537</v>
      </c>
      <c r="AX620" t="s">
        <v>283</v>
      </c>
      <c r="AY620" t="s">
        <v>280</v>
      </c>
      <c r="AZ620">
        <v>5</v>
      </c>
      <c r="BA620" t="s">
        <v>533</v>
      </c>
      <c r="BB620" t="s">
        <v>541</v>
      </c>
      <c r="BC620" t="s">
        <v>395</v>
      </c>
      <c r="BD620" t="s">
        <v>228</v>
      </c>
      <c r="BE620" t="s">
        <v>522</v>
      </c>
      <c r="BF620" t="s">
        <v>523</v>
      </c>
      <c r="BG620" t="s">
        <v>407</v>
      </c>
      <c r="BH620" t="s">
        <v>551</v>
      </c>
      <c r="BI620" t="s">
        <v>525</v>
      </c>
      <c r="BJ620" t="s">
        <v>228</v>
      </c>
      <c r="BK620" t="s">
        <v>228</v>
      </c>
      <c r="BL620" t="s">
        <v>228</v>
      </c>
      <c r="BM620" t="s">
        <v>228</v>
      </c>
      <c r="BN620" t="s">
        <v>228</v>
      </c>
      <c r="BO620" t="s">
        <v>228</v>
      </c>
      <c r="BP620" t="s">
        <v>228</v>
      </c>
      <c r="BQ620" t="s">
        <v>228</v>
      </c>
      <c r="BR620" t="s">
        <v>228</v>
      </c>
      <c r="BS620" t="s">
        <v>409</v>
      </c>
      <c r="BT620">
        <v>1</v>
      </c>
    </row>
    <row r="621" spans="1:72" x14ac:dyDescent="0.15">
      <c r="A621" s="43">
        <v>2023</v>
      </c>
      <c r="B621" s="8">
        <v>1</v>
      </c>
      <c r="C621" s="8">
        <v>1</v>
      </c>
      <c r="D621" s="8">
        <v>9</v>
      </c>
      <c r="E621" s="8" t="s">
        <v>67</v>
      </c>
      <c r="F621" s="8" t="s">
        <v>57</v>
      </c>
      <c r="G621" s="8">
        <v>2017</v>
      </c>
      <c r="H621" s="8">
        <v>12</v>
      </c>
      <c r="I621" s="8" t="s">
        <v>483</v>
      </c>
      <c r="J621" s="8" t="s">
        <v>228</v>
      </c>
      <c r="K621" s="8">
        <v>1953</v>
      </c>
      <c r="L621" s="17">
        <v>1</v>
      </c>
      <c r="M621" s="8">
        <v>1</v>
      </c>
      <c r="N621" s="8" t="s">
        <v>49</v>
      </c>
      <c r="O621" s="8" t="s">
        <v>283</v>
      </c>
      <c r="P621" s="8" t="s">
        <v>280</v>
      </c>
      <c r="Q621" s="8">
        <v>20000</v>
      </c>
      <c r="R621" s="8" t="s">
        <v>59</v>
      </c>
      <c r="S621" s="8" t="s">
        <v>54</v>
      </c>
      <c r="T621" s="8" t="s">
        <v>69</v>
      </c>
      <c r="U621" s="8" t="s">
        <v>228</v>
      </c>
      <c r="V621" s="8">
        <v>500</v>
      </c>
      <c r="W621" s="8" t="s">
        <v>328</v>
      </c>
      <c r="X621" s="8">
        <v>3000</v>
      </c>
      <c r="Y621" s="8" t="s">
        <v>271</v>
      </c>
      <c r="Z621" s="8">
        <v>100</v>
      </c>
      <c r="AA621" s="8" t="s">
        <v>278</v>
      </c>
      <c r="AB621" s="8" t="s">
        <v>228</v>
      </c>
      <c r="AC621" s="8" t="s">
        <v>228</v>
      </c>
      <c r="AD621" s="8" t="s">
        <v>228</v>
      </c>
      <c r="AE621" s="8" t="s">
        <v>228</v>
      </c>
      <c r="AF621" s="8" t="s">
        <v>228</v>
      </c>
      <c r="AG621" s="8" t="s">
        <v>228</v>
      </c>
      <c r="AH621" s="8" t="s">
        <v>228</v>
      </c>
      <c r="AI621" s="8" t="s">
        <v>228</v>
      </c>
      <c r="AJ621" t="s">
        <v>468</v>
      </c>
      <c r="AK621">
        <v>1</v>
      </c>
      <c r="AL621">
        <v>1</v>
      </c>
      <c r="AM621" t="s">
        <v>92</v>
      </c>
      <c r="AN621" t="s">
        <v>67</v>
      </c>
      <c r="AO621" t="s">
        <v>526</v>
      </c>
      <c r="AP621" t="s">
        <v>108</v>
      </c>
      <c r="AQ621">
        <v>12</v>
      </c>
      <c r="AR621" t="s">
        <v>483</v>
      </c>
      <c r="AS621" t="s">
        <v>228</v>
      </c>
      <c r="AT621" t="s">
        <v>170</v>
      </c>
      <c r="AU621">
        <v>1</v>
      </c>
      <c r="AV621">
        <v>1</v>
      </c>
      <c r="AW621" t="s">
        <v>537</v>
      </c>
      <c r="AX621" t="s">
        <v>283</v>
      </c>
      <c r="AY621" t="s">
        <v>280</v>
      </c>
      <c r="AZ621">
        <v>5</v>
      </c>
      <c r="BA621" t="s">
        <v>533</v>
      </c>
      <c r="BB621" t="s">
        <v>541</v>
      </c>
      <c r="BC621" t="s">
        <v>395</v>
      </c>
      <c r="BD621" t="s">
        <v>228</v>
      </c>
      <c r="BE621" t="s">
        <v>522</v>
      </c>
      <c r="BF621" t="s">
        <v>523</v>
      </c>
      <c r="BG621" t="s">
        <v>407</v>
      </c>
      <c r="BH621" t="s">
        <v>544</v>
      </c>
      <c r="BI621" t="s">
        <v>525</v>
      </c>
      <c r="BJ621" t="s">
        <v>228</v>
      </c>
      <c r="BK621" t="s">
        <v>228</v>
      </c>
      <c r="BL621" t="s">
        <v>228</v>
      </c>
      <c r="BM621" t="s">
        <v>228</v>
      </c>
      <c r="BN621" t="s">
        <v>228</v>
      </c>
      <c r="BO621" t="s">
        <v>228</v>
      </c>
      <c r="BP621" t="s">
        <v>228</v>
      </c>
      <c r="BQ621" t="s">
        <v>228</v>
      </c>
      <c r="BR621" t="s">
        <v>228</v>
      </c>
      <c r="BS621" t="s">
        <v>409</v>
      </c>
      <c r="BT621">
        <v>0</v>
      </c>
    </row>
    <row r="622" spans="1:72" x14ac:dyDescent="0.15">
      <c r="A622" s="43">
        <v>2023</v>
      </c>
      <c r="B622" s="8">
        <v>1</v>
      </c>
      <c r="C622" s="8">
        <v>1</v>
      </c>
      <c r="D622" s="8">
        <v>8</v>
      </c>
      <c r="E622" s="8" t="s">
        <v>67</v>
      </c>
      <c r="F622" s="8" t="s">
        <v>57</v>
      </c>
      <c r="G622" s="8">
        <v>2017</v>
      </c>
      <c r="H622" s="8">
        <v>12</v>
      </c>
      <c r="I622" s="8" t="s">
        <v>483</v>
      </c>
      <c r="J622" s="8" t="s">
        <v>228</v>
      </c>
      <c r="K622" s="8">
        <v>1953</v>
      </c>
      <c r="L622" s="17">
        <v>1</v>
      </c>
      <c r="M622" s="8">
        <v>1</v>
      </c>
      <c r="N622" s="8" t="s">
        <v>49</v>
      </c>
      <c r="O622" s="8" t="s">
        <v>283</v>
      </c>
      <c r="P622" s="8" t="s">
        <v>280</v>
      </c>
      <c r="Q622" s="8">
        <v>20000</v>
      </c>
      <c r="R622" s="8" t="s">
        <v>59</v>
      </c>
      <c r="S622" s="8" t="s">
        <v>54</v>
      </c>
      <c r="T622" s="8" t="s">
        <v>69</v>
      </c>
      <c r="U622" s="8" t="s">
        <v>228</v>
      </c>
      <c r="V622" s="8">
        <v>500</v>
      </c>
      <c r="W622" s="8" t="s">
        <v>328</v>
      </c>
      <c r="X622" s="8">
        <v>3000</v>
      </c>
      <c r="Y622" s="8" t="s">
        <v>268</v>
      </c>
      <c r="Z622" s="8">
        <v>100</v>
      </c>
      <c r="AA622" s="8" t="s">
        <v>278</v>
      </c>
      <c r="AB622" s="8" t="s">
        <v>228</v>
      </c>
      <c r="AC622" s="8" t="s">
        <v>228</v>
      </c>
      <c r="AD622" s="8" t="s">
        <v>228</v>
      </c>
      <c r="AE622" s="8" t="s">
        <v>228</v>
      </c>
      <c r="AF622" s="8" t="s">
        <v>228</v>
      </c>
      <c r="AG622" s="8" t="s">
        <v>228</v>
      </c>
      <c r="AH622" s="8" t="s">
        <v>228</v>
      </c>
      <c r="AI622" s="8" t="s">
        <v>228</v>
      </c>
      <c r="AJ622" t="s">
        <v>468</v>
      </c>
      <c r="AK622">
        <v>1</v>
      </c>
      <c r="AL622">
        <v>1</v>
      </c>
      <c r="AM622" t="s">
        <v>93</v>
      </c>
      <c r="AN622" t="s">
        <v>67</v>
      </c>
      <c r="AO622" t="s">
        <v>526</v>
      </c>
      <c r="AP622" t="s">
        <v>108</v>
      </c>
      <c r="AQ622">
        <v>12</v>
      </c>
      <c r="AR622" t="s">
        <v>483</v>
      </c>
      <c r="AS622" t="s">
        <v>228</v>
      </c>
      <c r="AT622" t="s">
        <v>170</v>
      </c>
      <c r="AU622">
        <v>1</v>
      </c>
      <c r="AV622">
        <v>1</v>
      </c>
      <c r="AW622" t="s">
        <v>537</v>
      </c>
      <c r="AX622" t="s">
        <v>283</v>
      </c>
      <c r="AY622" t="s">
        <v>280</v>
      </c>
      <c r="AZ622">
        <v>5</v>
      </c>
      <c r="BA622" t="s">
        <v>533</v>
      </c>
      <c r="BB622" t="s">
        <v>541</v>
      </c>
      <c r="BC622" t="s">
        <v>395</v>
      </c>
      <c r="BD622" t="s">
        <v>228</v>
      </c>
      <c r="BE622" t="s">
        <v>522</v>
      </c>
      <c r="BF622" t="s">
        <v>523</v>
      </c>
      <c r="BG622" t="s">
        <v>407</v>
      </c>
      <c r="BH622" t="s">
        <v>396</v>
      </c>
      <c r="BI622" t="s">
        <v>525</v>
      </c>
      <c r="BJ622" t="s">
        <v>228</v>
      </c>
      <c r="BK622" t="s">
        <v>228</v>
      </c>
      <c r="BL622" t="s">
        <v>228</v>
      </c>
      <c r="BM622" t="s">
        <v>228</v>
      </c>
      <c r="BN622" t="s">
        <v>228</v>
      </c>
      <c r="BO622" t="s">
        <v>228</v>
      </c>
      <c r="BP622" t="s">
        <v>228</v>
      </c>
      <c r="BQ622" t="s">
        <v>228</v>
      </c>
      <c r="BR622" t="s">
        <v>228</v>
      </c>
      <c r="BS622" t="s">
        <v>409</v>
      </c>
      <c r="BT622">
        <v>1</v>
      </c>
    </row>
    <row r="623" spans="1:72" x14ac:dyDescent="0.15">
      <c r="A623" s="43">
        <v>2023</v>
      </c>
      <c r="B623" s="8">
        <v>1</v>
      </c>
      <c r="C623" s="8">
        <v>1</v>
      </c>
      <c r="D623" s="8">
        <v>8</v>
      </c>
      <c r="E623" s="8" t="s">
        <v>67</v>
      </c>
      <c r="F623" s="8" t="s">
        <v>57</v>
      </c>
      <c r="G623" s="8">
        <v>2017</v>
      </c>
      <c r="H623" s="8">
        <v>12</v>
      </c>
      <c r="I623" s="8" t="s">
        <v>483</v>
      </c>
      <c r="J623" s="8" t="s">
        <v>228</v>
      </c>
      <c r="K623" s="8">
        <v>1953</v>
      </c>
      <c r="L623" s="17">
        <v>1</v>
      </c>
      <c r="M623" s="8">
        <v>1</v>
      </c>
      <c r="N623" s="8" t="s">
        <v>49</v>
      </c>
      <c r="O623" s="8" t="s">
        <v>283</v>
      </c>
      <c r="P623" s="8" t="s">
        <v>280</v>
      </c>
      <c r="Q623" s="8">
        <v>20000</v>
      </c>
      <c r="R623" s="8" t="s">
        <v>59</v>
      </c>
      <c r="S623" s="8" t="s">
        <v>54</v>
      </c>
      <c r="T623" s="8" t="s">
        <v>69</v>
      </c>
      <c r="U623" s="8" t="s">
        <v>228</v>
      </c>
      <c r="V623" s="8">
        <v>500</v>
      </c>
      <c r="W623" s="8" t="s">
        <v>328</v>
      </c>
      <c r="X623" s="8">
        <v>3000</v>
      </c>
      <c r="Y623" s="8" t="s">
        <v>394</v>
      </c>
      <c r="Z623" s="8">
        <v>100</v>
      </c>
      <c r="AA623" s="8" t="s">
        <v>278</v>
      </c>
      <c r="AB623" s="8" t="s">
        <v>228</v>
      </c>
      <c r="AC623" s="8" t="s">
        <v>228</v>
      </c>
      <c r="AD623" s="8" t="s">
        <v>228</v>
      </c>
      <c r="AE623" s="8" t="s">
        <v>228</v>
      </c>
      <c r="AF623" s="8" t="s">
        <v>228</v>
      </c>
      <c r="AG623" s="8" t="s">
        <v>228</v>
      </c>
      <c r="AH623" s="8" t="s">
        <v>228</v>
      </c>
      <c r="AI623" s="8" t="s">
        <v>228</v>
      </c>
      <c r="AJ623" t="s">
        <v>468</v>
      </c>
      <c r="AK623">
        <v>1</v>
      </c>
      <c r="AL623">
        <v>1</v>
      </c>
      <c r="AM623" t="s">
        <v>93</v>
      </c>
      <c r="AN623" t="s">
        <v>67</v>
      </c>
      <c r="AO623" t="s">
        <v>526</v>
      </c>
      <c r="AP623" t="s">
        <v>108</v>
      </c>
      <c r="AQ623">
        <v>12</v>
      </c>
      <c r="AR623" t="s">
        <v>483</v>
      </c>
      <c r="AS623" t="s">
        <v>228</v>
      </c>
      <c r="AT623" t="s">
        <v>170</v>
      </c>
      <c r="AU623">
        <v>1</v>
      </c>
      <c r="AV623">
        <v>1</v>
      </c>
      <c r="AW623" t="s">
        <v>537</v>
      </c>
      <c r="AX623" t="s">
        <v>283</v>
      </c>
      <c r="AY623" t="s">
        <v>280</v>
      </c>
      <c r="AZ623">
        <v>5</v>
      </c>
      <c r="BA623" t="s">
        <v>533</v>
      </c>
      <c r="BB623" t="s">
        <v>541</v>
      </c>
      <c r="BC623" t="s">
        <v>395</v>
      </c>
      <c r="BD623" t="s">
        <v>228</v>
      </c>
      <c r="BE623" t="s">
        <v>522</v>
      </c>
      <c r="BF623" t="s">
        <v>523</v>
      </c>
      <c r="BG623" t="s">
        <v>407</v>
      </c>
      <c r="BH623" t="s">
        <v>551</v>
      </c>
      <c r="BI623" t="s">
        <v>525</v>
      </c>
      <c r="BJ623" t="s">
        <v>228</v>
      </c>
      <c r="BK623" t="s">
        <v>228</v>
      </c>
      <c r="BL623" t="s">
        <v>228</v>
      </c>
      <c r="BM623" t="s">
        <v>228</v>
      </c>
      <c r="BN623" t="s">
        <v>228</v>
      </c>
      <c r="BO623" t="s">
        <v>228</v>
      </c>
      <c r="BP623" t="s">
        <v>228</v>
      </c>
      <c r="BQ623" t="s">
        <v>228</v>
      </c>
      <c r="BR623" t="s">
        <v>228</v>
      </c>
      <c r="BS623" t="s">
        <v>409</v>
      </c>
      <c r="BT623">
        <v>1</v>
      </c>
    </row>
    <row r="624" spans="1:72" x14ac:dyDescent="0.15">
      <c r="A624" s="43">
        <v>2023</v>
      </c>
      <c r="B624" s="8">
        <v>1</v>
      </c>
      <c r="C624" s="8">
        <v>1</v>
      </c>
      <c r="D624" s="8">
        <v>8</v>
      </c>
      <c r="E624" s="8" t="s">
        <v>67</v>
      </c>
      <c r="F624" s="8" t="s">
        <v>57</v>
      </c>
      <c r="G624" s="8">
        <v>2017</v>
      </c>
      <c r="H624" s="8">
        <v>12</v>
      </c>
      <c r="I624" s="8" t="s">
        <v>483</v>
      </c>
      <c r="J624" s="8" t="s">
        <v>228</v>
      </c>
      <c r="K624" s="8">
        <v>1953</v>
      </c>
      <c r="L624" s="17">
        <v>1</v>
      </c>
      <c r="M624" s="8">
        <v>1</v>
      </c>
      <c r="N624" s="8" t="s">
        <v>49</v>
      </c>
      <c r="O624" s="8" t="s">
        <v>283</v>
      </c>
      <c r="P624" s="8" t="s">
        <v>280</v>
      </c>
      <c r="Q624" s="8">
        <v>20000</v>
      </c>
      <c r="R624" s="8" t="s">
        <v>59</v>
      </c>
      <c r="S624" s="8" t="s">
        <v>54</v>
      </c>
      <c r="T624" s="8" t="s">
        <v>69</v>
      </c>
      <c r="U624" s="8" t="s">
        <v>228</v>
      </c>
      <c r="V624" s="8">
        <v>500</v>
      </c>
      <c r="W624" s="8" t="s">
        <v>328</v>
      </c>
      <c r="X624" s="8">
        <v>3000</v>
      </c>
      <c r="Y624" s="8" t="s">
        <v>271</v>
      </c>
      <c r="Z624" s="8">
        <v>100</v>
      </c>
      <c r="AA624" s="8" t="s">
        <v>278</v>
      </c>
      <c r="AB624" s="8" t="s">
        <v>228</v>
      </c>
      <c r="AC624" s="8" t="s">
        <v>228</v>
      </c>
      <c r="AD624" s="8" t="s">
        <v>228</v>
      </c>
      <c r="AE624" s="8" t="s">
        <v>228</v>
      </c>
      <c r="AF624" s="8" t="s">
        <v>228</v>
      </c>
      <c r="AG624" s="8" t="s">
        <v>228</v>
      </c>
      <c r="AH624" s="8" t="s">
        <v>228</v>
      </c>
      <c r="AI624" s="8" t="s">
        <v>228</v>
      </c>
      <c r="AJ624" t="s">
        <v>468</v>
      </c>
      <c r="AK624">
        <v>1</v>
      </c>
      <c r="AL624">
        <v>1</v>
      </c>
      <c r="AM624" t="s">
        <v>93</v>
      </c>
      <c r="AN624" t="s">
        <v>67</v>
      </c>
      <c r="AO624" t="s">
        <v>526</v>
      </c>
      <c r="AP624" t="s">
        <v>108</v>
      </c>
      <c r="AQ624">
        <v>12</v>
      </c>
      <c r="AR624" t="s">
        <v>483</v>
      </c>
      <c r="AS624" t="s">
        <v>228</v>
      </c>
      <c r="AT624" t="s">
        <v>170</v>
      </c>
      <c r="AU624">
        <v>1</v>
      </c>
      <c r="AV624">
        <v>1</v>
      </c>
      <c r="AW624" t="s">
        <v>537</v>
      </c>
      <c r="AX624" t="s">
        <v>283</v>
      </c>
      <c r="AY624" t="s">
        <v>280</v>
      </c>
      <c r="AZ624">
        <v>5</v>
      </c>
      <c r="BA624" t="s">
        <v>533</v>
      </c>
      <c r="BB624" t="s">
        <v>541</v>
      </c>
      <c r="BC624" t="s">
        <v>395</v>
      </c>
      <c r="BD624" t="s">
        <v>228</v>
      </c>
      <c r="BE624" t="s">
        <v>522</v>
      </c>
      <c r="BF624" t="s">
        <v>523</v>
      </c>
      <c r="BG624" t="s">
        <v>407</v>
      </c>
      <c r="BH624" t="s">
        <v>544</v>
      </c>
      <c r="BI624" t="s">
        <v>525</v>
      </c>
      <c r="BJ624" t="s">
        <v>228</v>
      </c>
      <c r="BK624" t="s">
        <v>228</v>
      </c>
      <c r="BL624" t="s">
        <v>228</v>
      </c>
      <c r="BM624" t="s">
        <v>228</v>
      </c>
      <c r="BN624" t="s">
        <v>228</v>
      </c>
      <c r="BO624" t="s">
        <v>228</v>
      </c>
      <c r="BP624" t="s">
        <v>228</v>
      </c>
      <c r="BQ624" t="s">
        <v>228</v>
      </c>
      <c r="BR624" t="s">
        <v>228</v>
      </c>
      <c r="BS624" t="s">
        <v>409</v>
      </c>
      <c r="BT624">
        <v>0</v>
      </c>
    </row>
    <row r="625" spans="1:72" x14ac:dyDescent="0.15">
      <c r="A625" s="43">
        <v>2023</v>
      </c>
      <c r="B625" s="8">
        <v>1</v>
      </c>
      <c r="C625" s="8">
        <v>1</v>
      </c>
      <c r="D625" s="8">
        <v>7</v>
      </c>
      <c r="E625" s="8" t="s">
        <v>67</v>
      </c>
      <c r="F625" s="8" t="s">
        <v>57</v>
      </c>
      <c r="G625" s="8">
        <v>2017</v>
      </c>
      <c r="H625" s="8">
        <v>12</v>
      </c>
      <c r="I625" s="8" t="s">
        <v>483</v>
      </c>
      <c r="J625" s="8" t="s">
        <v>228</v>
      </c>
      <c r="K625" s="8">
        <v>1953</v>
      </c>
      <c r="L625" s="17">
        <v>1</v>
      </c>
      <c r="M625" s="8">
        <v>1</v>
      </c>
      <c r="N625" s="8" t="s">
        <v>49</v>
      </c>
      <c r="O625" s="8" t="s">
        <v>283</v>
      </c>
      <c r="P625" s="8" t="s">
        <v>280</v>
      </c>
      <c r="Q625" s="8">
        <v>20000</v>
      </c>
      <c r="R625" s="8" t="s">
        <v>59</v>
      </c>
      <c r="S625" s="8" t="s">
        <v>54</v>
      </c>
      <c r="T625" s="8" t="s">
        <v>69</v>
      </c>
      <c r="U625" s="8" t="s">
        <v>228</v>
      </c>
      <c r="V625" s="8">
        <v>500</v>
      </c>
      <c r="W625" s="8" t="s">
        <v>328</v>
      </c>
      <c r="X625" s="8">
        <v>3000</v>
      </c>
      <c r="Y625" s="8" t="s">
        <v>268</v>
      </c>
      <c r="Z625" s="8">
        <v>100</v>
      </c>
      <c r="AA625" s="8" t="s">
        <v>278</v>
      </c>
      <c r="AB625" s="8" t="s">
        <v>228</v>
      </c>
      <c r="AC625" s="8" t="s">
        <v>228</v>
      </c>
      <c r="AD625" s="8" t="s">
        <v>228</v>
      </c>
      <c r="AE625" s="8" t="s">
        <v>228</v>
      </c>
      <c r="AF625" s="8" t="s">
        <v>228</v>
      </c>
      <c r="AG625" s="8" t="s">
        <v>228</v>
      </c>
      <c r="AH625" s="8" t="s">
        <v>228</v>
      </c>
      <c r="AI625" s="8" t="s">
        <v>228</v>
      </c>
      <c r="AJ625" t="s">
        <v>468</v>
      </c>
      <c r="AK625">
        <v>1</v>
      </c>
      <c r="AL625">
        <v>1</v>
      </c>
      <c r="AM625" t="s">
        <v>94</v>
      </c>
      <c r="AN625" t="s">
        <v>67</v>
      </c>
      <c r="AO625" t="s">
        <v>526</v>
      </c>
      <c r="AP625" t="s">
        <v>108</v>
      </c>
      <c r="AQ625">
        <v>12</v>
      </c>
      <c r="AR625" t="s">
        <v>483</v>
      </c>
      <c r="AS625" t="s">
        <v>228</v>
      </c>
      <c r="AT625" t="s">
        <v>170</v>
      </c>
      <c r="AU625">
        <v>1</v>
      </c>
      <c r="AV625">
        <v>1</v>
      </c>
      <c r="AW625" t="s">
        <v>537</v>
      </c>
      <c r="AX625" t="s">
        <v>283</v>
      </c>
      <c r="AY625" t="s">
        <v>280</v>
      </c>
      <c r="AZ625">
        <v>5</v>
      </c>
      <c r="BA625" t="s">
        <v>533</v>
      </c>
      <c r="BB625" t="s">
        <v>541</v>
      </c>
      <c r="BC625" t="s">
        <v>395</v>
      </c>
      <c r="BD625" t="s">
        <v>228</v>
      </c>
      <c r="BE625" t="s">
        <v>522</v>
      </c>
      <c r="BF625" t="s">
        <v>523</v>
      </c>
      <c r="BG625" t="s">
        <v>407</v>
      </c>
      <c r="BH625" t="s">
        <v>396</v>
      </c>
      <c r="BI625" t="s">
        <v>525</v>
      </c>
      <c r="BJ625" t="s">
        <v>228</v>
      </c>
      <c r="BK625" t="s">
        <v>228</v>
      </c>
      <c r="BL625" t="s">
        <v>228</v>
      </c>
      <c r="BM625" t="s">
        <v>228</v>
      </c>
      <c r="BN625" t="s">
        <v>228</v>
      </c>
      <c r="BO625" t="s">
        <v>228</v>
      </c>
      <c r="BP625" t="s">
        <v>228</v>
      </c>
      <c r="BQ625" t="s">
        <v>228</v>
      </c>
      <c r="BR625" t="s">
        <v>228</v>
      </c>
      <c r="BS625" t="s">
        <v>409</v>
      </c>
      <c r="BT625">
        <v>1</v>
      </c>
    </row>
    <row r="626" spans="1:72" x14ac:dyDescent="0.15">
      <c r="A626" s="43">
        <v>2023</v>
      </c>
      <c r="B626" s="8">
        <v>1</v>
      </c>
      <c r="C626" s="8">
        <v>1</v>
      </c>
      <c r="D626" s="8">
        <v>7</v>
      </c>
      <c r="E626" s="8" t="s">
        <v>67</v>
      </c>
      <c r="F626" s="8" t="s">
        <v>57</v>
      </c>
      <c r="G626" s="8">
        <v>2017</v>
      </c>
      <c r="H626" s="8">
        <v>12</v>
      </c>
      <c r="I626" s="8" t="s">
        <v>483</v>
      </c>
      <c r="J626" s="8" t="s">
        <v>228</v>
      </c>
      <c r="K626" s="8">
        <v>1953</v>
      </c>
      <c r="L626" s="17">
        <v>1</v>
      </c>
      <c r="M626" s="8">
        <v>1</v>
      </c>
      <c r="N626" s="8" t="s">
        <v>49</v>
      </c>
      <c r="O626" s="8" t="s">
        <v>283</v>
      </c>
      <c r="P626" s="8" t="s">
        <v>280</v>
      </c>
      <c r="Q626" s="8">
        <v>20000</v>
      </c>
      <c r="R626" s="8" t="s">
        <v>59</v>
      </c>
      <c r="S626" s="8" t="s">
        <v>54</v>
      </c>
      <c r="T626" s="8" t="s">
        <v>69</v>
      </c>
      <c r="U626" s="8" t="s">
        <v>228</v>
      </c>
      <c r="V626" s="8">
        <v>500</v>
      </c>
      <c r="W626" s="8" t="s">
        <v>328</v>
      </c>
      <c r="X626" s="8">
        <v>3000</v>
      </c>
      <c r="Y626" s="8" t="s">
        <v>394</v>
      </c>
      <c r="Z626" s="8">
        <v>100</v>
      </c>
      <c r="AA626" s="8" t="s">
        <v>278</v>
      </c>
      <c r="AB626" s="8" t="s">
        <v>228</v>
      </c>
      <c r="AC626" s="8" t="s">
        <v>228</v>
      </c>
      <c r="AD626" s="8" t="s">
        <v>228</v>
      </c>
      <c r="AE626" s="8" t="s">
        <v>228</v>
      </c>
      <c r="AF626" s="8" t="s">
        <v>228</v>
      </c>
      <c r="AG626" s="8" t="s">
        <v>228</v>
      </c>
      <c r="AH626" s="8" t="s">
        <v>228</v>
      </c>
      <c r="AI626" s="8" t="s">
        <v>228</v>
      </c>
      <c r="AJ626" t="s">
        <v>468</v>
      </c>
      <c r="AK626">
        <v>1</v>
      </c>
      <c r="AL626">
        <v>1</v>
      </c>
      <c r="AM626" t="s">
        <v>94</v>
      </c>
      <c r="AN626" t="s">
        <v>67</v>
      </c>
      <c r="AO626" t="s">
        <v>526</v>
      </c>
      <c r="AP626" t="s">
        <v>108</v>
      </c>
      <c r="AQ626">
        <v>12</v>
      </c>
      <c r="AR626" t="s">
        <v>483</v>
      </c>
      <c r="AS626" t="s">
        <v>228</v>
      </c>
      <c r="AT626" t="s">
        <v>170</v>
      </c>
      <c r="AU626">
        <v>1</v>
      </c>
      <c r="AV626">
        <v>1</v>
      </c>
      <c r="AW626" t="s">
        <v>537</v>
      </c>
      <c r="AX626" t="s">
        <v>283</v>
      </c>
      <c r="AY626" t="s">
        <v>280</v>
      </c>
      <c r="AZ626">
        <v>5</v>
      </c>
      <c r="BA626" t="s">
        <v>533</v>
      </c>
      <c r="BB626" t="s">
        <v>541</v>
      </c>
      <c r="BC626" t="s">
        <v>395</v>
      </c>
      <c r="BD626" t="s">
        <v>228</v>
      </c>
      <c r="BE626" t="s">
        <v>522</v>
      </c>
      <c r="BF626" t="s">
        <v>523</v>
      </c>
      <c r="BG626" t="s">
        <v>407</v>
      </c>
      <c r="BH626" t="s">
        <v>551</v>
      </c>
      <c r="BI626" t="s">
        <v>525</v>
      </c>
      <c r="BJ626" t="s">
        <v>228</v>
      </c>
      <c r="BK626" t="s">
        <v>228</v>
      </c>
      <c r="BL626" t="s">
        <v>228</v>
      </c>
      <c r="BM626" t="s">
        <v>228</v>
      </c>
      <c r="BN626" t="s">
        <v>228</v>
      </c>
      <c r="BO626" t="s">
        <v>228</v>
      </c>
      <c r="BP626" t="s">
        <v>228</v>
      </c>
      <c r="BQ626" t="s">
        <v>228</v>
      </c>
      <c r="BR626" t="s">
        <v>228</v>
      </c>
      <c r="BS626" t="s">
        <v>409</v>
      </c>
      <c r="BT626">
        <v>1</v>
      </c>
    </row>
    <row r="627" spans="1:72" x14ac:dyDescent="0.15">
      <c r="A627" s="43">
        <v>2023</v>
      </c>
      <c r="B627" s="8">
        <v>1</v>
      </c>
      <c r="C627" s="8">
        <v>1</v>
      </c>
      <c r="D627" s="8">
        <v>7</v>
      </c>
      <c r="E627" s="8" t="s">
        <v>67</v>
      </c>
      <c r="F627" s="8" t="s">
        <v>57</v>
      </c>
      <c r="G627" s="8">
        <v>2017</v>
      </c>
      <c r="H627" s="8">
        <v>12</v>
      </c>
      <c r="I627" s="8" t="s">
        <v>483</v>
      </c>
      <c r="J627" s="8" t="s">
        <v>228</v>
      </c>
      <c r="K627" s="8">
        <v>1953</v>
      </c>
      <c r="L627" s="17">
        <v>1</v>
      </c>
      <c r="M627" s="8">
        <v>1</v>
      </c>
      <c r="N627" s="8" t="s">
        <v>49</v>
      </c>
      <c r="O627" s="8" t="s">
        <v>283</v>
      </c>
      <c r="P627" s="8" t="s">
        <v>280</v>
      </c>
      <c r="Q627" s="8">
        <v>20000</v>
      </c>
      <c r="R627" s="8" t="s">
        <v>59</v>
      </c>
      <c r="S627" s="8" t="s">
        <v>54</v>
      </c>
      <c r="T627" s="8" t="s">
        <v>69</v>
      </c>
      <c r="U627" s="8" t="s">
        <v>228</v>
      </c>
      <c r="V627" s="8">
        <v>500</v>
      </c>
      <c r="W627" s="8" t="s">
        <v>328</v>
      </c>
      <c r="X627" s="8">
        <v>3000</v>
      </c>
      <c r="Y627" s="8" t="s">
        <v>271</v>
      </c>
      <c r="Z627" s="8">
        <v>100</v>
      </c>
      <c r="AA627" s="8" t="s">
        <v>278</v>
      </c>
      <c r="AB627" s="8" t="s">
        <v>228</v>
      </c>
      <c r="AC627" s="8" t="s">
        <v>228</v>
      </c>
      <c r="AD627" s="8" t="s">
        <v>228</v>
      </c>
      <c r="AE627" s="8" t="s">
        <v>228</v>
      </c>
      <c r="AF627" s="8" t="s">
        <v>228</v>
      </c>
      <c r="AG627" s="8" t="s">
        <v>228</v>
      </c>
      <c r="AH627" s="8" t="s">
        <v>228</v>
      </c>
      <c r="AI627" s="8" t="s">
        <v>228</v>
      </c>
      <c r="AJ627" t="s">
        <v>468</v>
      </c>
      <c r="AK627">
        <v>1</v>
      </c>
      <c r="AL627">
        <v>1</v>
      </c>
      <c r="AM627" t="s">
        <v>94</v>
      </c>
      <c r="AN627" t="s">
        <v>67</v>
      </c>
      <c r="AO627" t="s">
        <v>526</v>
      </c>
      <c r="AP627" t="s">
        <v>108</v>
      </c>
      <c r="AQ627">
        <v>12</v>
      </c>
      <c r="AR627" t="s">
        <v>483</v>
      </c>
      <c r="AS627" t="s">
        <v>228</v>
      </c>
      <c r="AT627" t="s">
        <v>170</v>
      </c>
      <c r="AU627">
        <v>1</v>
      </c>
      <c r="AV627">
        <v>1</v>
      </c>
      <c r="AW627" t="s">
        <v>537</v>
      </c>
      <c r="AX627" t="s">
        <v>283</v>
      </c>
      <c r="AY627" t="s">
        <v>280</v>
      </c>
      <c r="AZ627">
        <v>5</v>
      </c>
      <c r="BA627" t="s">
        <v>533</v>
      </c>
      <c r="BB627" t="s">
        <v>541</v>
      </c>
      <c r="BC627" t="s">
        <v>395</v>
      </c>
      <c r="BD627" t="s">
        <v>228</v>
      </c>
      <c r="BE627" t="s">
        <v>522</v>
      </c>
      <c r="BF627" t="s">
        <v>523</v>
      </c>
      <c r="BG627" t="s">
        <v>407</v>
      </c>
      <c r="BH627" t="s">
        <v>544</v>
      </c>
      <c r="BI627" t="s">
        <v>525</v>
      </c>
      <c r="BJ627" t="s">
        <v>228</v>
      </c>
      <c r="BK627" t="s">
        <v>228</v>
      </c>
      <c r="BL627" t="s">
        <v>228</v>
      </c>
      <c r="BM627" t="s">
        <v>228</v>
      </c>
      <c r="BN627" t="s">
        <v>228</v>
      </c>
      <c r="BO627" t="s">
        <v>228</v>
      </c>
      <c r="BP627" t="s">
        <v>228</v>
      </c>
      <c r="BQ627" t="s">
        <v>228</v>
      </c>
      <c r="BR627" t="s">
        <v>228</v>
      </c>
      <c r="BS627" t="s">
        <v>409</v>
      </c>
      <c r="BT627">
        <v>0</v>
      </c>
    </row>
    <row r="628" spans="1:72" x14ac:dyDescent="0.15">
      <c r="A628" s="43">
        <v>2023</v>
      </c>
      <c r="B628" s="8">
        <v>1</v>
      </c>
      <c r="C628" s="8">
        <v>1</v>
      </c>
      <c r="D628" s="8">
        <v>6</v>
      </c>
      <c r="E628" s="8" t="s">
        <v>67</v>
      </c>
      <c r="F628" s="8" t="s">
        <v>57</v>
      </c>
      <c r="G628" s="8">
        <v>2017</v>
      </c>
      <c r="H628" s="8">
        <v>12</v>
      </c>
      <c r="I628" s="8" t="s">
        <v>483</v>
      </c>
      <c r="J628" s="8" t="s">
        <v>228</v>
      </c>
      <c r="K628" s="8">
        <v>1953</v>
      </c>
      <c r="L628" s="17">
        <v>1</v>
      </c>
      <c r="M628" s="8">
        <v>1</v>
      </c>
      <c r="N628" s="8" t="s">
        <v>49</v>
      </c>
      <c r="O628" s="8" t="s">
        <v>283</v>
      </c>
      <c r="P628" s="8" t="s">
        <v>280</v>
      </c>
      <c r="Q628" s="8">
        <v>20000</v>
      </c>
      <c r="R628" s="8" t="s">
        <v>59</v>
      </c>
      <c r="S628" s="8" t="s">
        <v>54</v>
      </c>
      <c r="T628" s="8" t="s">
        <v>69</v>
      </c>
      <c r="U628" s="8" t="s">
        <v>228</v>
      </c>
      <c r="V628" s="8">
        <v>500</v>
      </c>
      <c r="W628" s="8" t="s">
        <v>328</v>
      </c>
      <c r="X628" s="8">
        <v>3000</v>
      </c>
      <c r="Y628" s="8" t="s">
        <v>268</v>
      </c>
      <c r="Z628" s="8">
        <v>100</v>
      </c>
      <c r="AA628" s="8" t="s">
        <v>278</v>
      </c>
      <c r="AB628" s="8" t="s">
        <v>228</v>
      </c>
      <c r="AC628" s="8" t="s">
        <v>228</v>
      </c>
      <c r="AD628" s="8" t="s">
        <v>228</v>
      </c>
      <c r="AE628" s="8" t="s">
        <v>228</v>
      </c>
      <c r="AF628" s="8" t="s">
        <v>228</v>
      </c>
      <c r="AG628" s="8" t="s">
        <v>228</v>
      </c>
      <c r="AH628" s="8" t="s">
        <v>228</v>
      </c>
      <c r="AI628" s="8" t="s">
        <v>228</v>
      </c>
      <c r="AJ628" t="s">
        <v>468</v>
      </c>
      <c r="AK628">
        <v>1</v>
      </c>
      <c r="AL628">
        <v>1</v>
      </c>
      <c r="AM628" t="s">
        <v>95</v>
      </c>
      <c r="AN628" t="s">
        <v>67</v>
      </c>
      <c r="AO628" t="s">
        <v>526</v>
      </c>
      <c r="AP628" t="s">
        <v>108</v>
      </c>
      <c r="AQ628">
        <v>12</v>
      </c>
      <c r="AR628" t="s">
        <v>483</v>
      </c>
      <c r="AS628" t="s">
        <v>228</v>
      </c>
      <c r="AT628" t="s">
        <v>170</v>
      </c>
      <c r="AU628">
        <v>1</v>
      </c>
      <c r="AV628">
        <v>1</v>
      </c>
      <c r="AW628" t="s">
        <v>537</v>
      </c>
      <c r="AX628" t="s">
        <v>283</v>
      </c>
      <c r="AY628" t="s">
        <v>280</v>
      </c>
      <c r="AZ628">
        <v>5</v>
      </c>
      <c r="BA628" t="s">
        <v>533</v>
      </c>
      <c r="BB628" t="s">
        <v>541</v>
      </c>
      <c r="BC628" t="s">
        <v>395</v>
      </c>
      <c r="BD628" t="s">
        <v>228</v>
      </c>
      <c r="BE628" t="s">
        <v>522</v>
      </c>
      <c r="BF628" t="s">
        <v>523</v>
      </c>
      <c r="BG628" t="s">
        <v>407</v>
      </c>
      <c r="BH628" t="s">
        <v>396</v>
      </c>
      <c r="BI628" t="s">
        <v>525</v>
      </c>
      <c r="BJ628" t="s">
        <v>228</v>
      </c>
      <c r="BK628" t="s">
        <v>228</v>
      </c>
      <c r="BL628" t="s">
        <v>228</v>
      </c>
      <c r="BM628" t="s">
        <v>228</v>
      </c>
      <c r="BN628" t="s">
        <v>228</v>
      </c>
      <c r="BO628" t="s">
        <v>228</v>
      </c>
      <c r="BP628" t="s">
        <v>228</v>
      </c>
      <c r="BQ628" t="s">
        <v>228</v>
      </c>
      <c r="BR628" t="s">
        <v>228</v>
      </c>
      <c r="BS628" t="s">
        <v>409</v>
      </c>
      <c r="BT628">
        <v>1</v>
      </c>
    </row>
    <row r="629" spans="1:72" x14ac:dyDescent="0.15">
      <c r="A629" s="43">
        <v>2023</v>
      </c>
      <c r="B629" s="8">
        <v>1</v>
      </c>
      <c r="C629" s="8">
        <v>1</v>
      </c>
      <c r="D629" s="8">
        <v>6</v>
      </c>
      <c r="E629" s="8" t="s">
        <v>67</v>
      </c>
      <c r="F629" s="8" t="s">
        <v>57</v>
      </c>
      <c r="G629" s="8">
        <v>2017</v>
      </c>
      <c r="H629" s="8">
        <v>12</v>
      </c>
      <c r="I629" s="8" t="s">
        <v>483</v>
      </c>
      <c r="J629" s="8" t="s">
        <v>228</v>
      </c>
      <c r="K629" s="8">
        <v>1953</v>
      </c>
      <c r="L629" s="17">
        <v>1</v>
      </c>
      <c r="M629" s="8">
        <v>1</v>
      </c>
      <c r="N629" s="8" t="s">
        <v>49</v>
      </c>
      <c r="O629" s="8" t="s">
        <v>283</v>
      </c>
      <c r="P629" s="8" t="s">
        <v>280</v>
      </c>
      <c r="Q629" s="8">
        <v>20000</v>
      </c>
      <c r="R629" s="8" t="s">
        <v>59</v>
      </c>
      <c r="S629" s="8" t="s">
        <v>54</v>
      </c>
      <c r="T629" s="8" t="s">
        <v>69</v>
      </c>
      <c r="U629" s="8" t="s">
        <v>228</v>
      </c>
      <c r="V629" s="8">
        <v>500</v>
      </c>
      <c r="W629" s="8" t="s">
        <v>328</v>
      </c>
      <c r="X629" s="8">
        <v>3000</v>
      </c>
      <c r="Y629" s="8" t="s">
        <v>394</v>
      </c>
      <c r="Z629" s="8">
        <v>100</v>
      </c>
      <c r="AA629" s="8" t="s">
        <v>278</v>
      </c>
      <c r="AB629" s="8" t="s">
        <v>228</v>
      </c>
      <c r="AC629" s="8" t="s">
        <v>228</v>
      </c>
      <c r="AD629" s="8" t="s">
        <v>228</v>
      </c>
      <c r="AE629" s="8" t="s">
        <v>228</v>
      </c>
      <c r="AF629" s="8" t="s">
        <v>228</v>
      </c>
      <c r="AG629" s="8" t="s">
        <v>228</v>
      </c>
      <c r="AH629" s="8" t="s">
        <v>228</v>
      </c>
      <c r="AI629" s="8" t="s">
        <v>228</v>
      </c>
      <c r="AJ629" t="s">
        <v>468</v>
      </c>
      <c r="AK629">
        <v>1</v>
      </c>
      <c r="AL629">
        <v>1</v>
      </c>
      <c r="AM629" t="s">
        <v>95</v>
      </c>
      <c r="AN629" t="s">
        <v>67</v>
      </c>
      <c r="AO629" t="s">
        <v>526</v>
      </c>
      <c r="AP629" t="s">
        <v>108</v>
      </c>
      <c r="AQ629">
        <v>12</v>
      </c>
      <c r="AR629" t="s">
        <v>483</v>
      </c>
      <c r="AS629" t="s">
        <v>228</v>
      </c>
      <c r="AT629" t="s">
        <v>170</v>
      </c>
      <c r="AU629">
        <v>1</v>
      </c>
      <c r="AV629">
        <v>1</v>
      </c>
      <c r="AW629" t="s">
        <v>537</v>
      </c>
      <c r="AX629" t="s">
        <v>283</v>
      </c>
      <c r="AY629" t="s">
        <v>280</v>
      </c>
      <c r="AZ629">
        <v>5</v>
      </c>
      <c r="BA629" t="s">
        <v>533</v>
      </c>
      <c r="BB629" t="s">
        <v>541</v>
      </c>
      <c r="BC629" t="s">
        <v>395</v>
      </c>
      <c r="BD629" t="s">
        <v>228</v>
      </c>
      <c r="BE629" t="s">
        <v>522</v>
      </c>
      <c r="BF629" t="s">
        <v>523</v>
      </c>
      <c r="BG629" t="s">
        <v>407</v>
      </c>
      <c r="BH629" t="s">
        <v>551</v>
      </c>
      <c r="BI629" t="s">
        <v>525</v>
      </c>
      <c r="BJ629" t="s">
        <v>228</v>
      </c>
      <c r="BK629" t="s">
        <v>228</v>
      </c>
      <c r="BL629" t="s">
        <v>228</v>
      </c>
      <c r="BM629" t="s">
        <v>228</v>
      </c>
      <c r="BN629" t="s">
        <v>228</v>
      </c>
      <c r="BO629" t="s">
        <v>228</v>
      </c>
      <c r="BP629" t="s">
        <v>228</v>
      </c>
      <c r="BQ629" t="s">
        <v>228</v>
      </c>
      <c r="BR629" t="s">
        <v>228</v>
      </c>
      <c r="BS629" t="s">
        <v>409</v>
      </c>
      <c r="BT629">
        <v>1</v>
      </c>
    </row>
    <row r="630" spans="1:72" x14ac:dyDescent="0.15">
      <c r="A630" s="43">
        <v>2023</v>
      </c>
      <c r="B630" s="8">
        <v>1</v>
      </c>
      <c r="C630" s="8">
        <v>1</v>
      </c>
      <c r="D630" s="8">
        <v>6</v>
      </c>
      <c r="E630" s="8" t="s">
        <v>67</v>
      </c>
      <c r="F630" s="8" t="s">
        <v>57</v>
      </c>
      <c r="G630" s="8">
        <v>2017</v>
      </c>
      <c r="H630" s="8">
        <v>12</v>
      </c>
      <c r="I630" s="8" t="s">
        <v>483</v>
      </c>
      <c r="J630" s="8" t="s">
        <v>228</v>
      </c>
      <c r="K630" s="8">
        <v>1953</v>
      </c>
      <c r="L630" s="17">
        <v>1</v>
      </c>
      <c r="M630" s="8">
        <v>1</v>
      </c>
      <c r="N630" s="8" t="s">
        <v>49</v>
      </c>
      <c r="O630" s="8" t="s">
        <v>283</v>
      </c>
      <c r="P630" s="8" t="s">
        <v>280</v>
      </c>
      <c r="Q630" s="8">
        <v>20000</v>
      </c>
      <c r="R630" s="8" t="s">
        <v>59</v>
      </c>
      <c r="S630" s="8" t="s">
        <v>54</v>
      </c>
      <c r="T630" s="8" t="s">
        <v>69</v>
      </c>
      <c r="U630" s="8" t="s">
        <v>228</v>
      </c>
      <c r="V630" s="8">
        <v>500</v>
      </c>
      <c r="W630" s="8" t="s">
        <v>328</v>
      </c>
      <c r="X630" s="8">
        <v>3000</v>
      </c>
      <c r="Y630" s="8" t="s">
        <v>271</v>
      </c>
      <c r="Z630" s="8">
        <v>100</v>
      </c>
      <c r="AA630" s="8" t="s">
        <v>278</v>
      </c>
      <c r="AB630" s="8" t="s">
        <v>228</v>
      </c>
      <c r="AC630" s="8" t="s">
        <v>228</v>
      </c>
      <c r="AD630" s="8" t="s">
        <v>228</v>
      </c>
      <c r="AE630" s="8" t="s">
        <v>228</v>
      </c>
      <c r="AF630" s="8" t="s">
        <v>228</v>
      </c>
      <c r="AG630" s="8" t="s">
        <v>228</v>
      </c>
      <c r="AH630" s="8" t="s">
        <v>228</v>
      </c>
      <c r="AI630" s="8" t="s">
        <v>228</v>
      </c>
      <c r="AJ630" t="s">
        <v>468</v>
      </c>
      <c r="AK630">
        <v>1</v>
      </c>
      <c r="AL630">
        <v>1</v>
      </c>
      <c r="AM630" t="s">
        <v>95</v>
      </c>
      <c r="AN630" t="s">
        <v>67</v>
      </c>
      <c r="AO630" t="s">
        <v>526</v>
      </c>
      <c r="AP630" t="s">
        <v>108</v>
      </c>
      <c r="AQ630">
        <v>12</v>
      </c>
      <c r="AR630" t="s">
        <v>483</v>
      </c>
      <c r="AS630" t="s">
        <v>228</v>
      </c>
      <c r="AT630" t="s">
        <v>170</v>
      </c>
      <c r="AU630">
        <v>1</v>
      </c>
      <c r="AV630">
        <v>1</v>
      </c>
      <c r="AW630" t="s">
        <v>537</v>
      </c>
      <c r="AX630" t="s">
        <v>283</v>
      </c>
      <c r="AY630" t="s">
        <v>280</v>
      </c>
      <c r="AZ630">
        <v>5</v>
      </c>
      <c r="BA630" t="s">
        <v>533</v>
      </c>
      <c r="BB630" t="s">
        <v>541</v>
      </c>
      <c r="BC630" t="s">
        <v>395</v>
      </c>
      <c r="BD630" t="s">
        <v>228</v>
      </c>
      <c r="BE630" t="s">
        <v>522</v>
      </c>
      <c r="BF630" t="s">
        <v>523</v>
      </c>
      <c r="BG630" t="s">
        <v>407</v>
      </c>
      <c r="BH630" t="s">
        <v>544</v>
      </c>
      <c r="BI630" t="s">
        <v>525</v>
      </c>
      <c r="BJ630" t="s">
        <v>228</v>
      </c>
      <c r="BK630" t="s">
        <v>228</v>
      </c>
      <c r="BL630" t="s">
        <v>228</v>
      </c>
      <c r="BM630" t="s">
        <v>228</v>
      </c>
      <c r="BN630" t="s">
        <v>228</v>
      </c>
      <c r="BO630" t="s">
        <v>228</v>
      </c>
      <c r="BP630" t="s">
        <v>228</v>
      </c>
      <c r="BQ630" t="s">
        <v>228</v>
      </c>
      <c r="BR630" t="s">
        <v>228</v>
      </c>
      <c r="BS630" t="s">
        <v>409</v>
      </c>
      <c r="BT630">
        <v>0</v>
      </c>
    </row>
    <row r="631" spans="1:72" x14ac:dyDescent="0.15">
      <c r="A631" s="43">
        <v>2023</v>
      </c>
      <c r="B631" s="8">
        <v>1</v>
      </c>
      <c r="C631" s="8">
        <v>1</v>
      </c>
      <c r="D631" s="8" t="s">
        <v>282</v>
      </c>
      <c r="E631" s="8" t="s">
        <v>228</v>
      </c>
      <c r="F631" s="8" t="s">
        <v>57</v>
      </c>
      <c r="G631" s="8">
        <v>2016</v>
      </c>
      <c r="H631" s="8">
        <v>12</v>
      </c>
      <c r="I631" s="8" t="s">
        <v>521</v>
      </c>
      <c r="J631" s="8" t="s">
        <v>228</v>
      </c>
      <c r="K631" s="8">
        <v>1953</v>
      </c>
      <c r="L631" s="17">
        <v>1</v>
      </c>
      <c r="M631" s="8">
        <v>1</v>
      </c>
      <c r="N631" s="8" t="s">
        <v>49</v>
      </c>
      <c r="O631" s="8" t="s">
        <v>283</v>
      </c>
      <c r="P631" s="8" t="s">
        <v>280</v>
      </c>
      <c r="Q631" s="8">
        <v>20000</v>
      </c>
      <c r="R631" s="8" t="s">
        <v>59</v>
      </c>
      <c r="S631" s="8" t="s">
        <v>54</v>
      </c>
      <c r="T631" s="8" t="s">
        <v>69</v>
      </c>
      <c r="U631" s="8" t="s">
        <v>228</v>
      </c>
      <c r="V631" s="8">
        <v>500</v>
      </c>
      <c r="W631" s="8" t="s">
        <v>328</v>
      </c>
      <c r="X631" s="8">
        <v>3000</v>
      </c>
      <c r="Y631" s="8" t="s">
        <v>268</v>
      </c>
      <c r="Z631" s="8">
        <v>85</v>
      </c>
      <c r="AA631" s="8" t="s">
        <v>278</v>
      </c>
      <c r="AB631" s="8" t="s">
        <v>228</v>
      </c>
      <c r="AC631" s="8" t="s">
        <v>228</v>
      </c>
      <c r="AD631" s="8" t="s">
        <v>228</v>
      </c>
      <c r="AE631" s="8" t="s">
        <v>228</v>
      </c>
      <c r="AF631" s="8" t="s">
        <v>228</v>
      </c>
      <c r="AG631" s="8" t="s">
        <v>228</v>
      </c>
      <c r="AH631" s="8" t="s">
        <v>228</v>
      </c>
      <c r="AI631" s="8" t="s">
        <v>228</v>
      </c>
      <c r="AJ631" t="s">
        <v>468</v>
      </c>
      <c r="AK631">
        <v>1</v>
      </c>
      <c r="AL631">
        <v>1</v>
      </c>
      <c r="AM631" t="s">
        <v>282</v>
      </c>
      <c r="AN631" t="s">
        <v>228</v>
      </c>
      <c r="AO631" t="s">
        <v>526</v>
      </c>
      <c r="AP631" t="s">
        <v>109</v>
      </c>
      <c r="AQ631">
        <v>12</v>
      </c>
      <c r="AR631" t="s">
        <v>521</v>
      </c>
      <c r="AS631" t="s">
        <v>228</v>
      </c>
      <c r="AT631" t="s">
        <v>170</v>
      </c>
      <c r="AU631">
        <v>1</v>
      </c>
      <c r="AV631">
        <v>1</v>
      </c>
      <c r="AW631" t="s">
        <v>537</v>
      </c>
      <c r="AX631" t="s">
        <v>283</v>
      </c>
      <c r="AY631" t="s">
        <v>280</v>
      </c>
      <c r="AZ631">
        <v>5</v>
      </c>
      <c r="BA631" t="s">
        <v>533</v>
      </c>
      <c r="BB631" t="s">
        <v>541</v>
      </c>
      <c r="BC631" t="s">
        <v>395</v>
      </c>
      <c r="BD631" t="s">
        <v>228</v>
      </c>
      <c r="BE631" t="s">
        <v>522</v>
      </c>
      <c r="BF631" t="s">
        <v>523</v>
      </c>
      <c r="BG631" t="s">
        <v>407</v>
      </c>
      <c r="BH631" t="s">
        <v>396</v>
      </c>
      <c r="BI631" t="s">
        <v>524</v>
      </c>
      <c r="BJ631" t="s">
        <v>228</v>
      </c>
      <c r="BK631" t="s">
        <v>228</v>
      </c>
      <c r="BL631" t="s">
        <v>228</v>
      </c>
      <c r="BM631" t="s">
        <v>228</v>
      </c>
      <c r="BN631" t="s">
        <v>228</v>
      </c>
      <c r="BO631" t="s">
        <v>228</v>
      </c>
      <c r="BP631" t="s">
        <v>228</v>
      </c>
      <c r="BQ631" t="s">
        <v>228</v>
      </c>
      <c r="BR631" t="s">
        <v>228</v>
      </c>
      <c r="BS631" t="s">
        <v>465</v>
      </c>
      <c r="BT631">
        <v>1</v>
      </c>
    </row>
    <row r="632" spans="1:72" x14ac:dyDescent="0.15">
      <c r="A632" s="43">
        <v>2023</v>
      </c>
      <c r="B632" s="8">
        <v>1</v>
      </c>
      <c r="C632" s="8">
        <v>1</v>
      </c>
      <c r="D632" s="8" t="s">
        <v>282</v>
      </c>
      <c r="E632" s="8" t="s">
        <v>228</v>
      </c>
      <c r="F632" s="8" t="s">
        <v>57</v>
      </c>
      <c r="G632" s="8">
        <v>2016</v>
      </c>
      <c r="H632" s="8">
        <v>12</v>
      </c>
      <c r="I632" s="8" t="s">
        <v>521</v>
      </c>
      <c r="J632" s="8" t="s">
        <v>228</v>
      </c>
      <c r="K632" s="8">
        <v>1953</v>
      </c>
      <c r="L632" s="17">
        <v>1</v>
      </c>
      <c r="M632" s="8">
        <v>1</v>
      </c>
      <c r="N632" s="8" t="s">
        <v>49</v>
      </c>
      <c r="O632" s="8" t="s">
        <v>283</v>
      </c>
      <c r="P632" s="8" t="s">
        <v>280</v>
      </c>
      <c r="Q632" s="8">
        <v>20000</v>
      </c>
      <c r="R632" s="8" t="s">
        <v>59</v>
      </c>
      <c r="S632" s="8" t="s">
        <v>54</v>
      </c>
      <c r="T632" s="8" t="s">
        <v>69</v>
      </c>
      <c r="U632" s="8" t="s">
        <v>228</v>
      </c>
      <c r="V632" s="8">
        <v>500</v>
      </c>
      <c r="W632" s="8" t="s">
        <v>328</v>
      </c>
      <c r="X632" s="8">
        <v>3000</v>
      </c>
      <c r="Y632" s="8" t="s">
        <v>394</v>
      </c>
      <c r="Z632" s="8">
        <v>85</v>
      </c>
      <c r="AA632" s="8" t="s">
        <v>278</v>
      </c>
      <c r="AB632" s="8" t="s">
        <v>228</v>
      </c>
      <c r="AC632" s="8" t="s">
        <v>228</v>
      </c>
      <c r="AD632" s="8" t="s">
        <v>228</v>
      </c>
      <c r="AE632" s="8" t="s">
        <v>228</v>
      </c>
      <c r="AF632" s="8" t="s">
        <v>228</v>
      </c>
      <c r="AG632" s="8" t="s">
        <v>228</v>
      </c>
      <c r="AH632" s="8" t="s">
        <v>228</v>
      </c>
      <c r="AI632" s="8" t="s">
        <v>228</v>
      </c>
      <c r="AJ632" t="s">
        <v>468</v>
      </c>
      <c r="AK632">
        <v>1</v>
      </c>
      <c r="AL632">
        <v>1</v>
      </c>
      <c r="AM632" t="s">
        <v>282</v>
      </c>
      <c r="AN632" t="s">
        <v>228</v>
      </c>
      <c r="AO632" t="s">
        <v>526</v>
      </c>
      <c r="AP632" t="s">
        <v>109</v>
      </c>
      <c r="AQ632">
        <v>12</v>
      </c>
      <c r="AR632" t="s">
        <v>521</v>
      </c>
      <c r="AS632" t="s">
        <v>228</v>
      </c>
      <c r="AT632" t="s">
        <v>170</v>
      </c>
      <c r="AU632">
        <v>1</v>
      </c>
      <c r="AV632">
        <v>1</v>
      </c>
      <c r="AW632" t="s">
        <v>537</v>
      </c>
      <c r="AX632" t="s">
        <v>283</v>
      </c>
      <c r="AY632" t="s">
        <v>280</v>
      </c>
      <c r="AZ632">
        <v>5</v>
      </c>
      <c r="BA632" t="s">
        <v>533</v>
      </c>
      <c r="BB632" t="s">
        <v>541</v>
      </c>
      <c r="BC632" t="s">
        <v>395</v>
      </c>
      <c r="BD632" t="s">
        <v>228</v>
      </c>
      <c r="BE632" t="s">
        <v>522</v>
      </c>
      <c r="BF632" t="s">
        <v>523</v>
      </c>
      <c r="BG632" t="s">
        <v>407</v>
      </c>
      <c r="BH632" t="s">
        <v>551</v>
      </c>
      <c r="BI632" t="s">
        <v>524</v>
      </c>
      <c r="BJ632" t="s">
        <v>228</v>
      </c>
      <c r="BK632" t="s">
        <v>228</v>
      </c>
      <c r="BL632" t="s">
        <v>228</v>
      </c>
      <c r="BM632" t="s">
        <v>228</v>
      </c>
      <c r="BN632" t="s">
        <v>228</v>
      </c>
      <c r="BO632" t="s">
        <v>228</v>
      </c>
      <c r="BP632" t="s">
        <v>228</v>
      </c>
      <c r="BQ632" t="s">
        <v>228</v>
      </c>
      <c r="BR632" t="s">
        <v>228</v>
      </c>
      <c r="BS632" t="s">
        <v>465</v>
      </c>
      <c r="BT632">
        <v>1</v>
      </c>
    </row>
    <row r="633" spans="1:72" x14ac:dyDescent="0.15">
      <c r="A633" s="43">
        <v>2023</v>
      </c>
      <c r="B633" s="8">
        <v>1</v>
      </c>
      <c r="C633" s="8">
        <v>1</v>
      </c>
      <c r="D633" s="8" t="s">
        <v>282</v>
      </c>
      <c r="E633" s="8" t="s">
        <v>228</v>
      </c>
      <c r="F633" s="8" t="s">
        <v>57</v>
      </c>
      <c r="G633" s="8">
        <v>2016</v>
      </c>
      <c r="H633" s="8">
        <v>12</v>
      </c>
      <c r="I633" s="8" t="s">
        <v>521</v>
      </c>
      <c r="J633" s="8" t="s">
        <v>228</v>
      </c>
      <c r="K633" s="8">
        <v>1953</v>
      </c>
      <c r="L633" s="17">
        <v>1</v>
      </c>
      <c r="M633" s="8">
        <v>1</v>
      </c>
      <c r="N633" s="8" t="s">
        <v>49</v>
      </c>
      <c r="O633" s="8" t="s">
        <v>283</v>
      </c>
      <c r="P633" s="8" t="s">
        <v>280</v>
      </c>
      <c r="Q633" s="8">
        <v>20000</v>
      </c>
      <c r="R633" s="8" t="s">
        <v>59</v>
      </c>
      <c r="S633" s="8" t="s">
        <v>54</v>
      </c>
      <c r="T633" s="8" t="s">
        <v>69</v>
      </c>
      <c r="U633" s="8" t="s">
        <v>228</v>
      </c>
      <c r="V633" s="8">
        <v>500</v>
      </c>
      <c r="W633" s="8" t="s">
        <v>328</v>
      </c>
      <c r="X633" s="8">
        <v>3000</v>
      </c>
      <c r="Y633" s="8" t="s">
        <v>271</v>
      </c>
      <c r="Z633" s="8">
        <v>85</v>
      </c>
      <c r="AA633" s="8" t="s">
        <v>278</v>
      </c>
      <c r="AB633" s="8" t="s">
        <v>228</v>
      </c>
      <c r="AC633" s="8" t="s">
        <v>228</v>
      </c>
      <c r="AD633" s="8" t="s">
        <v>228</v>
      </c>
      <c r="AE633" s="8" t="s">
        <v>228</v>
      </c>
      <c r="AF633" s="8" t="s">
        <v>228</v>
      </c>
      <c r="AG633" s="8" t="s">
        <v>228</v>
      </c>
      <c r="AH633" s="8" t="s">
        <v>228</v>
      </c>
      <c r="AI633" s="8" t="s">
        <v>228</v>
      </c>
      <c r="AJ633" t="s">
        <v>468</v>
      </c>
      <c r="AK633">
        <v>1</v>
      </c>
      <c r="AL633">
        <v>1</v>
      </c>
      <c r="AM633" t="s">
        <v>282</v>
      </c>
      <c r="AN633" t="s">
        <v>228</v>
      </c>
      <c r="AO633" t="s">
        <v>526</v>
      </c>
      <c r="AP633" t="s">
        <v>109</v>
      </c>
      <c r="AQ633">
        <v>12</v>
      </c>
      <c r="AR633" t="s">
        <v>521</v>
      </c>
      <c r="AS633" t="s">
        <v>228</v>
      </c>
      <c r="AT633" t="s">
        <v>170</v>
      </c>
      <c r="AU633">
        <v>1</v>
      </c>
      <c r="AV633">
        <v>1</v>
      </c>
      <c r="AW633" t="s">
        <v>537</v>
      </c>
      <c r="AX633" t="s">
        <v>283</v>
      </c>
      <c r="AY633" t="s">
        <v>280</v>
      </c>
      <c r="AZ633">
        <v>5</v>
      </c>
      <c r="BA633" t="s">
        <v>533</v>
      </c>
      <c r="BB633" t="s">
        <v>541</v>
      </c>
      <c r="BC633" t="s">
        <v>395</v>
      </c>
      <c r="BD633" t="s">
        <v>228</v>
      </c>
      <c r="BE633" t="s">
        <v>522</v>
      </c>
      <c r="BF633" t="s">
        <v>523</v>
      </c>
      <c r="BG633" t="s">
        <v>407</v>
      </c>
      <c r="BH633" t="s">
        <v>544</v>
      </c>
      <c r="BI633" t="s">
        <v>524</v>
      </c>
      <c r="BJ633" t="s">
        <v>228</v>
      </c>
      <c r="BK633" t="s">
        <v>228</v>
      </c>
      <c r="BL633" t="s">
        <v>228</v>
      </c>
      <c r="BM633" t="s">
        <v>228</v>
      </c>
      <c r="BN633" t="s">
        <v>228</v>
      </c>
      <c r="BO633" t="s">
        <v>228</v>
      </c>
      <c r="BP633" t="s">
        <v>228</v>
      </c>
      <c r="BQ633" t="s">
        <v>228</v>
      </c>
      <c r="BR633" t="s">
        <v>228</v>
      </c>
      <c r="BS633" t="s">
        <v>465</v>
      </c>
      <c r="BT633">
        <v>0</v>
      </c>
    </row>
    <row r="634" spans="1:72" x14ac:dyDescent="0.15">
      <c r="A634" s="43">
        <v>2023</v>
      </c>
      <c r="B634" s="8">
        <v>1</v>
      </c>
      <c r="C634" s="8">
        <v>1</v>
      </c>
      <c r="D634" s="8" t="s">
        <v>391</v>
      </c>
      <c r="E634" s="8" t="s">
        <v>228</v>
      </c>
      <c r="F634" s="8" t="s">
        <v>57</v>
      </c>
      <c r="G634" s="8">
        <v>2016</v>
      </c>
      <c r="H634" s="8">
        <v>12</v>
      </c>
      <c r="I634" s="8" t="s">
        <v>521</v>
      </c>
      <c r="J634" s="8" t="s">
        <v>228</v>
      </c>
      <c r="K634" s="8">
        <v>1953</v>
      </c>
      <c r="L634" s="17">
        <v>1</v>
      </c>
      <c r="M634" s="8">
        <v>1</v>
      </c>
      <c r="N634" s="8" t="s">
        <v>49</v>
      </c>
      <c r="O634" s="8" t="s">
        <v>283</v>
      </c>
      <c r="P634" s="8" t="s">
        <v>280</v>
      </c>
      <c r="Q634" s="8">
        <v>20000</v>
      </c>
      <c r="R634" s="8" t="s">
        <v>59</v>
      </c>
      <c r="S634" s="8" t="s">
        <v>54</v>
      </c>
      <c r="T634" s="8" t="s">
        <v>69</v>
      </c>
      <c r="U634" s="8" t="s">
        <v>228</v>
      </c>
      <c r="V634" s="8">
        <v>500</v>
      </c>
      <c r="W634" s="8" t="s">
        <v>328</v>
      </c>
      <c r="X634" s="8">
        <v>3000</v>
      </c>
      <c r="Y634" s="8" t="s">
        <v>268</v>
      </c>
      <c r="Z634" s="8">
        <v>85</v>
      </c>
      <c r="AA634" s="8" t="s">
        <v>278</v>
      </c>
      <c r="AB634" s="8" t="s">
        <v>228</v>
      </c>
      <c r="AC634" s="8" t="s">
        <v>228</v>
      </c>
      <c r="AD634" s="8" t="s">
        <v>228</v>
      </c>
      <c r="AE634" s="8" t="s">
        <v>228</v>
      </c>
      <c r="AF634" s="8" t="s">
        <v>228</v>
      </c>
      <c r="AG634" s="8" t="s">
        <v>228</v>
      </c>
      <c r="AH634" s="8" t="s">
        <v>228</v>
      </c>
      <c r="AI634" s="8" t="s">
        <v>228</v>
      </c>
      <c r="AJ634" t="s">
        <v>468</v>
      </c>
      <c r="AK634">
        <v>1</v>
      </c>
      <c r="AL634">
        <v>1</v>
      </c>
      <c r="AM634" t="s">
        <v>391</v>
      </c>
      <c r="AN634" t="s">
        <v>228</v>
      </c>
      <c r="AO634" t="s">
        <v>526</v>
      </c>
      <c r="AP634" t="s">
        <v>109</v>
      </c>
      <c r="AQ634">
        <v>12</v>
      </c>
      <c r="AR634" t="s">
        <v>521</v>
      </c>
      <c r="AS634" t="s">
        <v>228</v>
      </c>
      <c r="AT634" t="s">
        <v>170</v>
      </c>
      <c r="AU634">
        <v>1</v>
      </c>
      <c r="AV634">
        <v>1</v>
      </c>
      <c r="AW634" t="s">
        <v>537</v>
      </c>
      <c r="AX634" t="s">
        <v>283</v>
      </c>
      <c r="AY634" t="s">
        <v>280</v>
      </c>
      <c r="AZ634">
        <v>5</v>
      </c>
      <c r="BA634" t="s">
        <v>533</v>
      </c>
      <c r="BB634" t="s">
        <v>541</v>
      </c>
      <c r="BC634" t="s">
        <v>395</v>
      </c>
      <c r="BD634" t="s">
        <v>228</v>
      </c>
      <c r="BE634" t="s">
        <v>522</v>
      </c>
      <c r="BF634" t="s">
        <v>523</v>
      </c>
      <c r="BG634" t="s">
        <v>407</v>
      </c>
      <c r="BH634" t="s">
        <v>396</v>
      </c>
      <c r="BI634" t="s">
        <v>524</v>
      </c>
      <c r="BJ634" t="s">
        <v>228</v>
      </c>
      <c r="BK634" t="s">
        <v>228</v>
      </c>
      <c r="BL634" t="s">
        <v>228</v>
      </c>
      <c r="BM634" t="s">
        <v>228</v>
      </c>
      <c r="BN634" t="s">
        <v>228</v>
      </c>
      <c r="BO634" t="s">
        <v>228</v>
      </c>
      <c r="BP634" t="s">
        <v>228</v>
      </c>
      <c r="BQ634" t="s">
        <v>228</v>
      </c>
      <c r="BR634" t="s">
        <v>228</v>
      </c>
      <c r="BS634" t="s">
        <v>465</v>
      </c>
      <c r="BT634">
        <v>1</v>
      </c>
    </row>
    <row r="635" spans="1:72" x14ac:dyDescent="0.15">
      <c r="A635" s="43">
        <v>2023</v>
      </c>
      <c r="B635" s="8">
        <v>1</v>
      </c>
      <c r="C635" s="8">
        <v>1</v>
      </c>
      <c r="D635" s="8" t="s">
        <v>391</v>
      </c>
      <c r="E635" s="8" t="s">
        <v>228</v>
      </c>
      <c r="F635" s="8" t="s">
        <v>57</v>
      </c>
      <c r="G635" s="8">
        <v>2016</v>
      </c>
      <c r="H635" s="8">
        <v>12</v>
      </c>
      <c r="I635" s="8" t="s">
        <v>521</v>
      </c>
      <c r="J635" s="8" t="s">
        <v>228</v>
      </c>
      <c r="K635" s="8">
        <v>1953</v>
      </c>
      <c r="L635" s="17">
        <v>1</v>
      </c>
      <c r="M635" s="8">
        <v>1</v>
      </c>
      <c r="N635" s="8" t="s">
        <v>49</v>
      </c>
      <c r="O635" s="8" t="s">
        <v>283</v>
      </c>
      <c r="P635" s="8" t="s">
        <v>280</v>
      </c>
      <c r="Q635" s="8">
        <v>20000</v>
      </c>
      <c r="R635" s="8" t="s">
        <v>59</v>
      </c>
      <c r="S635" s="8" t="s">
        <v>54</v>
      </c>
      <c r="T635" s="8" t="s">
        <v>69</v>
      </c>
      <c r="U635" s="8" t="s">
        <v>228</v>
      </c>
      <c r="V635" s="8">
        <v>500</v>
      </c>
      <c r="W635" s="8" t="s">
        <v>328</v>
      </c>
      <c r="X635" s="8">
        <v>3000</v>
      </c>
      <c r="Y635" s="8" t="s">
        <v>394</v>
      </c>
      <c r="Z635" s="8">
        <v>85</v>
      </c>
      <c r="AA635" s="8" t="s">
        <v>278</v>
      </c>
      <c r="AB635" s="8" t="s">
        <v>228</v>
      </c>
      <c r="AC635" s="8" t="s">
        <v>228</v>
      </c>
      <c r="AD635" s="8" t="s">
        <v>228</v>
      </c>
      <c r="AE635" s="8" t="s">
        <v>228</v>
      </c>
      <c r="AF635" s="8" t="s">
        <v>228</v>
      </c>
      <c r="AG635" s="8" t="s">
        <v>228</v>
      </c>
      <c r="AH635" s="8" t="s">
        <v>228</v>
      </c>
      <c r="AI635" s="8" t="s">
        <v>228</v>
      </c>
      <c r="AJ635" t="s">
        <v>468</v>
      </c>
      <c r="AK635">
        <v>1</v>
      </c>
      <c r="AL635">
        <v>1</v>
      </c>
      <c r="AM635" t="s">
        <v>391</v>
      </c>
      <c r="AN635" t="s">
        <v>228</v>
      </c>
      <c r="AO635" t="s">
        <v>526</v>
      </c>
      <c r="AP635" t="s">
        <v>109</v>
      </c>
      <c r="AQ635">
        <v>12</v>
      </c>
      <c r="AR635" t="s">
        <v>521</v>
      </c>
      <c r="AS635" t="s">
        <v>228</v>
      </c>
      <c r="AT635" t="s">
        <v>170</v>
      </c>
      <c r="AU635">
        <v>1</v>
      </c>
      <c r="AV635">
        <v>1</v>
      </c>
      <c r="AW635" t="s">
        <v>537</v>
      </c>
      <c r="AX635" t="s">
        <v>283</v>
      </c>
      <c r="AY635" t="s">
        <v>280</v>
      </c>
      <c r="AZ635">
        <v>5</v>
      </c>
      <c r="BA635" t="s">
        <v>533</v>
      </c>
      <c r="BB635" t="s">
        <v>541</v>
      </c>
      <c r="BC635" t="s">
        <v>395</v>
      </c>
      <c r="BD635" t="s">
        <v>228</v>
      </c>
      <c r="BE635" t="s">
        <v>522</v>
      </c>
      <c r="BF635" t="s">
        <v>523</v>
      </c>
      <c r="BG635" t="s">
        <v>407</v>
      </c>
      <c r="BH635" t="s">
        <v>551</v>
      </c>
      <c r="BI635" t="s">
        <v>524</v>
      </c>
      <c r="BJ635" t="s">
        <v>228</v>
      </c>
      <c r="BK635" t="s">
        <v>228</v>
      </c>
      <c r="BL635" t="s">
        <v>228</v>
      </c>
      <c r="BM635" t="s">
        <v>228</v>
      </c>
      <c r="BN635" t="s">
        <v>228</v>
      </c>
      <c r="BO635" t="s">
        <v>228</v>
      </c>
      <c r="BP635" t="s">
        <v>228</v>
      </c>
      <c r="BQ635" t="s">
        <v>228</v>
      </c>
      <c r="BR635" t="s">
        <v>228</v>
      </c>
      <c r="BS635" t="s">
        <v>465</v>
      </c>
      <c r="BT635">
        <v>1</v>
      </c>
    </row>
    <row r="636" spans="1:72" x14ac:dyDescent="0.15">
      <c r="A636" s="43">
        <v>2023</v>
      </c>
      <c r="B636" s="8">
        <v>1</v>
      </c>
      <c r="C636" s="8">
        <v>1</v>
      </c>
      <c r="D636" s="8" t="s">
        <v>391</v>
      </c>
      <c r="E636" s="8" t="s">
        <v>228</v>
      </c>
      <c r="F636" s="8" t="s">
        <v>57</v>
      </c>
      <c r="G636" s="8">
        <v>2016</v>
      </c>
      <c r="H636" s="8">
        <v>12</v>
      </c>
      <c r="I636" s="8" t="s">
        <v>521</v>
      </c>
      <c r="J636" s="8" t="s">
        <v>228</v>
      </c>
      <c r="K636" s="8">
        <v>1953</v>
      </c>
      <c r="L636" s="17">
        <v>1</v>
      </c>
      <c r="M636" s="8">
        <v>1</v>
      </c>
      <c r="N636" s="8" t="s">
        <v>49</v>
      </c>
      <c r="O636" s="8" t="s">
        <v>283</v>
      </c>
      <c r="P636" s="8" t="s">
        <v>280</v>
      </c>
      <c r="Q636" s="8">
        <v>20000</v>
      </c>
      <c r="R636" s="8" t="s">
        <v>59</v>
      </c>
      <c r="S636" s="8" t="s">
        <v>54</v>
      </c>
      <c r="T636" s="8" t="s">
        <v>69</v>
      </c>
      <c r="U636" s="8" t="s">
        <v>228</v>
      </c>
      <c r="V636" s="8">
        <v>500</v>
      </c>
      <c r="W636" s="8" t="s">
        <v>328</v>
      </c>
      <c r="X636" s="8">
        <v>3000</v>
      </c>
      <c r="Y636" s="8" t="s">
        <v>271</v>
      </c>
      <c r="Z636" s="8">
        <v>85</v>
      </c>
      <c r="AA636" s="8" t="s">
        <v>278</v>
      </c>
      <c r="AB636" s="8" t="s">
        <v>228</v>
      </c>
      <c r="AC636" s="8" t="s">
        <v>228</v>
      </c>
      <c r="AD636" s="8" t="s">
        <v>228</v>
      </c>
      <c r="AE636" s="8" t="s">
        <v>228</v>
      </c>
      <c r="AF636" s="8" t="s">
        <v>228</v>
      </c>
      <c r="AG636" s="8" t="s">
        <v>228</v>
      </c>
      <c r="AH636" s="8" t="s">
        <v>228</v>
      </c>
      <c r="AI636" s="8" t="s">
        <v>228</v>
      </c>
      <c r="AJ636" t="s">
        <v>468</v>
      </c>
      <c r="AK636">
        <v>1</v>
      </c>
      <c r="AL636">
        <v>1</v>
      </c>
      <c r="AM636" t="s">
        <v>391</v>
      </c>
      <c r="AN636" t="s">
        <v>228</v>
      </c>
      <c r="AO636" t="s">
        <v>526</v>
      </c>
      <c r="AP636" t="s">
        <v>109</v>
      </c>
      <c r="AQ636">
        <v>12</v>
      </c>
      <c r="AR636" t="s">
        <v>521</v>
      </c>
      <c r="AS636" t="s">
        <v>228</v>
      </c>
      <c r="AT636" t="s">
        <v>170</v>
      </c>
      <c r="AU636">
        <v>1</v>
      </c>
      <c r="AV636">
        <v>1</v>
      </c>
      <c r="AW636" t="s">
        <v>537</v>
      </c>
      <c r="AX636" t="s">
        <v>283</v>
      </c>
      <c r="AY636" t="s">
        <v>280</v>
      </c>
      <c r="AZ636">
        <v>5</v>
      </c>
      <c r="BA636" t="s">
        <v>533</v>
      </c>
      <c r="BB636" t="s">
        <v>541</v>
      </c>
      <c r="BC636" t="s">
        <v>395</v>
      </c>
      <c r="BD636" t="s">
        <v>228</v>
      </c>
      <c r="BE636" t="s">
        <v>522</v>
      </c>
      <c r="BF636" t="s">
        <v>523</v>
      </c>
      <c r="BG636" t="s">
        <v>407</v>
      </c>
      <c r="BH636" t="s">
        <v>544</v>
      </c>
      <c r="BI636" t="s">
        <v>524</v>
      </c>
      <c r="BJ636" t="s">
        <v>228</v>
      </c>
      <c r="BK636" t="s">
        <v>228</v>
      </c>
      <c r="BL636" t="s">
        <v>228</v>
      </c>
      <c r="BM636" t="s">
        <v>228</v>
      </c>
      <c r="BN636" t="s">
        <v>228</v>
      </c>
      <c r="BO636" t="s">
        <v>228</v>
      </c>
      <c r="BP636" t="s">
        <v>228</v>
      </c>
      <c r="BQ636" t="s">
        <v>228</v>
      </c>
      <c r="BR636" t="s">
        <v>228</v>
      </c>
      <c r="BS636" t="s">
        <v>465</v>
      </c>
      <c r="BT636">
        <v>0</v>
      </c>
    </row>
    <row r="637" spans="1:72" x14ac:dyDescent="0.15">
      <c r="A637" s="43">
        <v>2023</v>
      </c>
      <c r="B637" s="8">
        <v>1</v>
      </c>
      <c r="C637" s="8">
        <v>1</v>
      </c>
      <c r="D637" s="8" t="s">
        <v>282</v>
      </c>
      <c r="E637" s="8" t="s">
        <v>228</v>
      </c>
      <c r="F637" s="8" t="s">
        <v>57</v>
      </c>
      <c r="G637" s="8">
        <v>2017</v>
      </c>
      <c r="H637" s="8">
        <v>12</v>
      </c>
      <c r="I637" s="8" t="s">
        <v>483</v>
      </c>
      <c r="J637" s="8" t="s">
        <v>228</v>
      </c>
      <c r="K637" s="8">
        <v>1953</v>
      </c>
      <c r="L637" s="17">
        <v>1</v>
      </c>
      <c r="M637" s="8">
        <v>1</v>
      </c>
      <c r="N637" s="8" t="s">
        <v>49</v>
      </c>
      <c r="O637" s="8" t="s">
        <v>283</v>
      </c>
      <c r="P637" s="8" t="s">
        <v>280</v>
      </c>
      <c r="Q637" s="8">
        <v>20000</v>
      </c>
      <c r="R637" s="8" t="s">
        <v>59</v>
      </c>
      <c r="S637" s="8" t="s">
        <v>54</v>
      </c>
      <c r="T637" s="8" t="s">
        <v>69</v>
      </c>
      <c r="U637" s="8" t="s">
        <v>228</v>
      </c>
      <c r="V637" s="8">
        <v>500</v>
      </c>
      <c r="W637" s="8" t="s">
        <v>328</v>
      </c>
      <c r="X637" s="8">
        <v>3000</v>
      </c>
      <c r="Y637" s="8" t="s">
        <v>268</v>
      </c>
      <c r="Z637" s="8">
        <v>100</v>
      </c>
      <c r="AA637" s="8" t="s">
        <v>278</v>
      </c>
      <c r="AB637" s="8" t="s">
        <v>228</v>
      </c>
      <c r="AC637" s="8" t="s">
        <v>228</v>
      </c>
      <c r="AD637" s="8" t="s">
        <v>228</v>
      </c>
      <c r="AE637" s="8" t="s">
        <v>228</v>
      </c>
      <c r="AF637" s="8" t="s">
        <v>228</v>
      </c>
      <c r="AG637" s="8" t="s">
        <v>228</v>
      </c>
      <c r="AH637" s="8" t="s">
        <v>228</v>
      </c>
      <c r="AI637" s="8" t="s">
        <v>228</v>
      </c>
      <c r="AJ637" t="s">
        <v>468</v>
      </c>
      <c r="AK637">
        <v>1</v>
      </c>
      <c r="AL637">
        <v>1</v>
      </c>
      <c r="AM637" t="s">
        <v>282</v>
      </c>
      <c r="AN637" t="s">
        <v>228</v>
      </c>
      <c r="AO637" t="s">
        <v>526</v>
      </c>
      <c r="AP637" t="s">
        <v>108</v>
      </c>
      <c r="AQ637">
        <v>12</v>
      </c>
      <c r="AR637" t="s">
        <v>483</v>
      </c>
      <c r="AS637" t="s">
        <v>228</v>
      </c>
      <c r="AT637" t="s">
        <v>170</v>
      </c>
      <c r="AU637">
        <v>1</v>
      </c>
      <c r="AV637">
        <v>1</v>
      </c>
      <c r="AW637" t="s">
        <v>537</v>
      </c>
      <c r="AX637" t="s">
        <v>283</v>
      </c>
      <c r="AY637" t="s">
        <v>280</v>
      </c>
      <c r="AZ637">
        <v>5</v>
      </c>
      <c r="BA637" t="s">
        <v>533</v>
      </c>
      <c r="BB637" t="s">
        <v>541</v>
      </c>
      <c r="BC637" t="s">
        <v>395</v>
      </c>
      <c r="BD637" t="s">
        <v>228</v>
      </c>
      <c r="BE637" t="s">
        <v>522</v>
      </c>
      <c r="BF637" t="s">
        <v>523</v>
      </c>
      <c r="BG637" t="s">
        <v>407</v>
      </c>
      <c r="BH637" t="s">
        <v>396</v>
      </c>
      <c r="BI637" t="s">
        <v>525</v>
      </c>
      <c r="BJ637" t="s">
        <v>228</v>
      </c>
      <c r="BK637" t="s">
        <v>228</v>
      </c>
      <c r="BL637" t="s">
        <v>228</v>
      </c>
      <c r="BM637" t="s">
        <v>228</v>
      </c>
      <c r="BN637" t="s">
        <v>228</v>
      </c>
      <c r="BO637" t="s">
        <v>228</v>
      </c>
      <c r="BP637" t="s">
        <v>228</v>
      </c>
      <c r="BQ637" t="s">
        <v>228</v>
      </c>
      <c r="BR637" t="s">
        <v>228</v>
      </c>
      <c r="BS637" t="s">
        <v>465</v>
      </c>
      <c r="BT637">
        <v>1</v>
      </c>
    </row>
    <row r="638" spans="1:72" x14ac:dyDescent="0.15">
      <c r="A638" s="43">
        <v>2023</v>
      </c>
      <c r="B638" s="8">
        <v>1</v>
      </c>
      <c r="C638" s="8">
        <v>1</v>
      </c>
      <c r="D638" s="8" t="s">
        <v>282</v>
      </c>
      <c r="E638" s="8" t="s">
        <v>228</v>
      </c>
      <c r="F638" s="8" t="s">
        <v>57</v>
      </c>
      <c r="G638" s="8">
        <v>2017</v>
      </c>
      <c r="H638" s="8">
        <v>12</v>
      </c>
      <c r="I638" s="8" t="s">
        <v>483</v>
      </c>
      <c r="J638" s="8" t="s">
        <v>228</v>
      </c>
      <c r="K638" s="8">
        <v>1953</v>
      </c>
      <c r="L638" s="17">
        <v>1</v>
      </c>
      <c r="M638" s="8">
        <v>1</v>
      </c>
      <c r="N638" s="8" t="s">
        <v>49</v>
      </c>
      <c r="O638" s="8" t="s">
        <v>283</v>
      </c>
      <c r="P638" s="8" t="s">
        <v>280</v>
      </c>
      <c r="Q638" s="8">
        <v>20000</v>
      </c>
      <c r="R638" s="8" t="s">
        <v>59</v>
      </c>
      <c r="S638" s="8" t="s">
        <v>54</v>
      </c>
      <c r="T638" s="8" t="s">
        <v>69</v>
      </c>
      <c r="U638" s="8" t="s">
        <v>228</v>
      </c>
      <c r="V638" s="8">
        <v>500</v>
      </c>
      <c r="W638" s="8" t="s">
        <v>328</v>
      </c>
      <c r="X638" s="8">
        <v>3000</v>
      </c>
      <c r="Y638" s="8" t="s">
        <v>394</v>
      </c>
      <c r="Z638" s="8">
        <v>100</v>
      </c>
      <c r="AA638" s="8" t="s">
        <v>278</v>
      </c>
      <c r="AB638" s="8" t="s">
        <v>228</v>
      </c>
      <c r="AC638" s="8" t="s">
        <v>228</v>
      </c>
      <c r="AD638" s="8" t="s">
        <v>228</v>
      </c>
      <c r="AE638" s="8" t="s">
        <v>228</v>
      </c>
      <c r="AF638" s="8" t="s">
        <v>228</v>
      </c>
      <c r="AG638" s="8" t="s">
        <v>228</v>
      </c>
      <c r="AH638" s="8" t="s">
        <v>228</v>
      </c>
      <c r="AI638" s="8" t="s">
        <v>228</v>
      </c>
      <c r="AJ638" t="s">
        <v>468</v>
      </c>
      <c r="AK638">
        <v>1</v>
      </c>
      <c r="AL638">
        <v>1</v>
      </c>
      <c r="AM638" t="s">
        <v>282</v>
      </c>
      <c r="AN638" t="s">
        <v>228</v>
      </c>
      <c r="AO638" t="s">
        <v>526</v>
      </c>
      <c r="AP638" t="s">
        <v>108</v>
      </c>
      <c r="AQ638">
        <v>12</v>
      </c>
      <c r="AR638" t="s">
        <v>483</v>
      </c>
      <c r="AS638" t="s">
        <v>228</v>
      </c>
      <c r="AT638" t="s">
        <v>170</v>
      </c>
      <c r="AU638">
        <v>1</v>
      </c>
      <c r="AV638">
        <v>1</v>
      </c>
      <c r="AW638" t="s">
        <v>537</v>
      </c>
      <c r="AX638" t="s">
        <v>283</v>
      </c>
      <c r="AY638" t="s">
        <v>280</v>
      </c>
      <c r="AZ638">
        <v>5</v>
      </c>
      <c r="BA638" t="s">
        <v>533</v>
      </c>
      <c r="BB638" t="s">
        <v>541</v>
      </c>
      <c r="BC638" t="s">
        <v>395</v>
      </c>
      <c r="BD638" t="s">
        <v>228</v>
      </c>
      <c r="BE638" t="s">
        <v>522</v>
      </c>
      <c r="BF638" t="s">
        <v>523</v>
      </c>
      <c r="BG638" t="s">
        <v>407</v>
      </c>
      <c r="BH638" t="s">
        <v>551</v>
      </c>
      <c r="BI638" t="s">
        <v>525</v>
      </c>
      <c r="BJ638" t="s">
        <v>228</v>
      </c>
      <c r="BK638" t="s">
        <v>228</v>
      </c>
      <c r="BL638" t="s">
        <v>228</v>
      </c>
      <c r="BM638" t="s">
        <v>228</v>
      </c>
      <c r="BN638" t="s">
        <v>228</v>
      </c>
      <c r="BO638" t="s">
        <v>228</v>
      </c>
      <c r="BP638" t="s">
        <v>228</v>
      </c>
      <c r="BQ638" t="s">
        <v>228</v>
      </c>
      <c r="BR638" t="s">
        <v>228</v>
      </c>
      <c r="BS638" t="s">
        <v>465</v>
      </c>
      <c r="BT638">
        <v>1</v>
      </c>
    </row>
    <row r="639" spans="1:72" x14ac:dyDescent="0.15">
      <c r="A639" s="43">
        <v>2023</v>
      </c>
      <c r="B639" s="8">
        <v>1</v>
      </c>
      <c r="C639" s="8">
        <v>1</v>
      </c>
      <c r="D639" s="8" t="s">
        <v>282</v>
      </c>
      <c r="E639" s="8" t="s">
        <v>228</v>
      </c>
      <c r="F639" s="8" t="s">
        <v>57</v>
      </c>
      <c r="G639" s="8">
        <v>2017</v>
      </c>
      <c r="H639" s="8">
        <v>12</v>
      </c>
      <c r="I639" s="8" t="s">
        <v>483</v>
      </c>
      <c r="J639" s="8" t="s">
        <v>228</v>
      </c>
      <c r="K639" s="8">
        <v>1953</v>
      </c>
      <c r="L639" s="17">
        <v>1</v>
      </c>
      <c r="M639" s="8">
        <v>1</v>
      </c>
      <c r="N639" s="8" t="s">
        <v>49</v>
      </c>
      <c r="O639" s="8" t="s">
        <v>283</v>
      </c>
      <c r="P639" s="8" t="s">
        <v>280</v>
      </c>
      <c r="Q639" s="8">
        <v>20000</v>
      </c>
      <c r="R639" s="8" t="s">
        <v>59</v>
      </c>
      <c r="S639" s="8" t="s">
        <v>54</v>
      </c>
      <c r="T639" s="8" t="s">
        <v>69</v>
      </c>
      <c r="U639" s="8" t="s">
        <v>228</v>
      </c>
      <c r="V639" s="8">
        <v>500</v>
      </c>
      <c r="W639" s="8" t="s">
        <v>328</v>
      </c>
      <c r="X639" s="8">
        <v>3000</v>
      </c>
      <c r="Y639" s="8" t="s">
        <v>271</v>
      </c>
      <c r="Z639" s="8">
        <v>100</v>
      </c>
      <c r="AA639" s="8" t="s">
        <v>278</v>
      </c>
      <c r="AB639" s="8" t="s">
        <v>228</v>
      </c>
      <c r="AC639" s="8" t="s">
        <v>228</v>
      </c>
      <c r="AD639" s="8" t="s">
        <v>228</v>
      </c>
      <c r="AE639" s="8" t="s">
        <v>228</v>
      </c>
      <c r="AF639" s="8" t="s">
        <v>228</v>
      </c>
      <c r="AG639" s="8" t="s">
        <v>228</v>
      </c>
      <c r="AH639" s="8" t="s">
        <v>228</v>
      </c>
      <c r="AI639" s="8" t="s">
        <v>228</v>
      </c>
      <c r="AJ639" t="s">
        <v>468</v>
      </c>
      <c r="AK639">
        <v>1</v>
      </c>
      <c r="AL639">
        <v>1</v>
      </c>
      <c r="AM639" t="s">
        <v>282</v>
      </c>
      <c r="AN639" t="s">
        <v>228</v>
      </c>
      <c r="AO639" t="s">
        <v>526</v>
      </c>
      <c r="AP639" t="s">
        <v>108</v>
      </c>
      <c r="AQ639">
        <v>12</v>
      </c>
      <c r="AR639" t="s">
        <v>483</v>
      </c>
      <c r="AS639" t="s">
        <v>228</v>
      </c>
      <c r="AT639" t="s">
        <v>170</v>
      </c>
      <c r="AU639">
        <v>1</v>
      </c>
      <c r="AV639">
        <v>1</v>
      </c>
      <c r="AW639" t="s">
        <v>537</v>
      </c>
      <c r="AX639" t="s">
        <v>283</v>
      </c>
      <c r="AY639" t="s">
        <v>280</v>
      </c>
      <c r="AZ639">
        <v>5</v>
      </c>
      <c r="BA639" t="s">
        <v>533</v>
      </c>
      <c r="BB639" t="s">
        <v>541</v>
      </c>
      <c r="BC639" t="s">
        <v>395</v>
      </c>
      <c r="BD639" t="s">
        <v>228</v>
      </c>
      <c r="BE639" t="s">
        <v>522</v>
      </c>
      <c r="BF639" t="s">
        <v>523</v>
      </c>
      <c r="BG639" t="s">
        <v>407</v>
      </c>
      <c r="BH639" t="s">
        <v>544</v>
      </c>
      <c r="BI639" t="s">
        <v>525</v>
      </c>
      <c r="BJ639" t="s">
        <v>228</v>
      </c>
      <c r="BK639" t="s">
        <v>228</v>
      </c>
      <c r="BL639" t="s">
        <v>228</v>
      </c>
      <c r="BM639" t="s">
        <v>228</v>
      </c>
      <c r="BN639" t="s">
        <v>228</v>
      </c>
      <c r="BO639" t="s">
        <v>228</v>
      </c>
      <c r="BP639" t="s">
        <v>228</v>
      </c>
      <c r="BQ639" t="s">
        <v>228</v>
      </c>
      <c r="BR639" t="s">
        <v>228</v>
      </c>
      <c r="BS639" t="s">
        <v>465</v>
      </c>
      <c r="BT639">
        <v>0</v>
      </c>
    </row>
    <row r="640" spans="1:72" x14ac:dyDescent="0.15">
      <c r="A640" s="43">
        <v>2023</v>
      </c>
      <c r="B640" s="8">
        <v>1</v>
      </c>
      <c r="C640" s="8">
        <v>1</v>
      </c>
      <c r="D640" s="8" t="s">
        <v>391</v>
      </c>
      <c r="E640" s="8" t="s">
        <v>228</v>
      </c>
      <c r="F640" s="8" t="s">
        <v>57</v>
      </c>
      <c r="G640" s="8">
        <v>2017</v>
      </c>
      <c r="H640" s="8">
        <v>12</v>
      </c>
      <c r="I640" s="8" t="s">
        <v>483</v>
      </c>
      <c r="J640" s="8" t="s">
        <v>228</v>
      </c>
      <c r="K640" s="8">
        <v>1953</v>
      </c>
      <c r="L640" s="17">
        <v>1</v>
      </c>
      <c r="M640" s="8">
        <v>1</v>
      </c>
      <c r="N640" s="8" t="s">
        <v>49</v>
      </c>
      <c r="O640" s="8" t="s">
        <v>283</v>
      </c>
      <c r="P640" s="8" t="s">
        <v>280</v>
      </c>
      <c r="Q640" s="8">
        <v>20000</v>
      </c>
      <c r="R640" s="8" t="s">
        <v>59</v>
      </c>
      <c r="S640" s="8" t="s">
        <v>54</v>
      </c>
      <c r="T640" s="8" t="s">
        <v>69</v>
      </c>
      <c r="U640" s="8" t="s">
        <v>228</v>
      </c>
      <c r="V640" s="8">
        <v>500</v>
      </c>
      <c r="W640" s="8" t="s">
        <v>328</v>
      </c>
      <c r="X640" s="8">
        <v>3000</v>
      </c>
      <c r="Y640" s="8" t="s">
        <v>268</v>
      </c>
      <c r="Z640" s="8">
        <v>100</v>
      </c>
      <c r="AA640" s="8" t="s">
        <v>278</v>
      </c>
      <c r="AB640" s="8" t="s">
        <v>228</v>
      </c>
      <c r="AC640" s="8" t="s">
        <v>228</v>
      </c>
      <c r="AD640" s="8" t="s">
        <v>228</v>
      </c>
      <c r="AE640" s="8" t="s">
        <v>228</v>
      </c>
      <c r="AF640" s="8" t="s">
        <v>228</v>
      </c>
      <c r="AG640" s="8" t="s">
        <v>228</v>
      </c>
      <c r="AH640" s="8" t="s">
        <v>228</v>
      </c>
      <c r="AI640" s="8" t="s">
        <v>228</v>
      </c>
      <c r="AJ640" t="s">
        <v>468</v>
      </c>
      <c r="AK640">
        <v>1</v>
      </c>
      <c r="AL640">
        <v>1</v>
      </c>
      <c r="AM640" t="s">
        <v>391</v>
      </c>
      <c r="AN640" t="s">
        <v>228</v>
      </c>
      <c r="AO640" t="s">
        <v>526</v>
      </c>
      <c r="AP640" t="s">
        <v>108</v>
      </c>
      <c r="AQ640">
        <v>12</v>
      </c>
      <c r="AR640" t="s">
        <v>483</v>
      </c>
      <c r="AS640" t="s">
        <v>228</v>
      </c>
      <c r="AT640" t="s">
        <v>170</v>
      </c>
      <c r="AU640">
        <v>1</v>
      </c>
      <c r="AV640">
        <v>1</v>
      </c>
      <c r="AW640" t="s">
        <v>537</v>
      </c>
      <c r="AX640" t="s">
        <v>283</v>
      </c>
      <c r="AY640" t="s">
        <v>280</v>
      </c>
      <c r="AZ640">
        <v>5</v>
      </c>
      <c r="BA640" t="s">
        <v>533</v>
      </c>
      <c r="BB640" t="s">
        <v>541</v>
      </c>
      <c r="BC640" t="s">
        <v>395</v>
      </c>
      <c r="BD640" t="s">
        <v>228</v>
      </c>
      <c r="BE640" t="s">
        <v>522</v>
      </c>
      <c r="BF640" t="s">
        <v>523</v>
      </c>
      <c r="BG640" t="s">
        <v>407</v>
      </c>
      <c r="BH640" t="s">
        <v>396</v>
      </c>
      <c r="BI640" t="s">
        <v>525</v>
      </c>
      <c r="BJ640" t="s">
        <v>228</v>
      </c>
      <c r="BK640" t="s">
        <v>228</v>
      </c>
      <c r="BL640" t="s">
        <v>228</v>
      </c>
      <c r="BM640" t="s">
        <v>228</v>
      </c>
      <c r="BN640" t="s">
        <v>228</v>
      </c>
      <c r="BO640" t="s">
        <v>228</v>
      </c>
      <c r="BP640" t="s">
        <v>228</v>
      </c>
      <c r="BQ640" t="s">
        <v>228</v>
      </c>
      <c r="BR640" t="s">
        <v>228</v>
      </c>
      <c r="BS640" t="s">
        <v>465</v>
      </c>
      <c r="BT640">
        <v>1</v>
      </c>
    </row>
    <row r="641" spans="1:72" x14ac:dyDescent="0.15">
      <c r="A641" s="43">
        <v>2023</v>
      </c>
      <c r="B641" s="8">
        <v>1</v>
      </c>
      <c r="C641" s="8">
        <v>1</v>
      </c>
      <c r="D641" s="8" t="s">
        <v>391</v>
      </c>
      <c r="E641" s="8" t="s">
        <v>228</v>
      </c>
      <c r="F641" s="8" t="s">
        <v>57</v>
      </c>
      <c r="G641" s="8">
        <v>2017</v>
      </c>
      <c r="H641" s="8">
        <v>12</v>
      </c>
      <c r="I641" s="8" t="s">
        <v>483</v>
      </c>
      <c r="J641" s="8" t="s">
        <v>228</v>
      </c>
      <c r="K641" s="8">
        <v>1953</v>
      </c>
      <c r="L641" s="17">
        <v>1</v>
      </c>
      <c r="M641" s="8">
        <v>1</v>
      </c>
      <c r="N641" s="8" t="s">
        <v>49</v>
      </c>
      <c r="O641" s="8" t="s">
        <v>283</v>
      </c>
      <c r="P641" s="8" t="s">
        <v>280</v>
      </c>
      <c r="Q641" s="8">
        <v>20000</v>
      </c>
      <c r="R641" s="8" t="s">
        <v>59</v>
      </c>
      <c r="S641" s="8" t="s">
        <v>54</v>
      </c>
      <c r="T641" s="8" t="s">
        <v>69</v>
      </c>
      <c r="U641" s="8" t="s">
        <v>228</v>
      </c>
      <c r="V641" s="8">
        <v>500</v>
      </c>
      <c r="W641" s="8" t="s">
        <v>328</v>
      </c>
      <c r="X641" s="8">
        <v>3000</v>
      </c>
      <c r="Y641" s="8" t="s">
        <v>394</v>
      </c>
      <c r="Z641" s="8">
        <v>100</v>
      </c>
      <c r="AA641" s="8" t="s">
        <v>278</v>
      </c>
      <c r="AB641" s="8" t="s">
        <v>228</v>
      </c>
      <c r="AC641" s="8" t="s">
        <v>228</v>
      </c>
      <c r="AD641" s="8" t="s">
        <v>228</v>
      </c>
      <c r="AE641" s="8" t="s">
        <v>228</v>
      </c>
      <c r="AF641" s="8" t="s">
        <v>228</v>
      </c>
      <c r="AG641" s="8" t="s">
        <v>228</v>
      </c>
      <c r="AH641" s="8" t="s">
        <v>228</v>
      </c>
      <c r="AI641" s="8" t="s">
        <v>228</v>
      </c>
      <c r="AJ641" t="s">
        <v>468</v>
      </c>
      <c r="AK641">
        <v>1</v>
      </c>
      <c r="AL641">
        <v>1</v>
      </c>
      <c r="AM641" t="s">
        <v>391</v>
      </c>
      <c r="AN641" t="s">
        <v>228</v>
      </c>
      <c r="AO641" t="s">
        <v>526</v>
      </c>
      <c r="AP641" t="s">
        <v>108</v>
      </c>
      <c r="AQ641">
        <v>12</v>
      </c>
      <c r="AR641" t="s">
        <v>483</v>
      </c>
      <c r="AS641" t="s">
        <v>228</v>
      </c>
      <c r="AT641" t="s">
        <v>170</v>
      </c>
      <c r="AU641">
        <v>1</v>
      </c>
      <c r="AV641">
        <v>1</v>
      </c>
      <c r="AW641" t="s">
        <v>537</v>
      </c>
      <c r="AX641" t="s">
        <v>283</v>
      </c>
      <c r="AY641" t="s">
        <v>280</v>
      </c>
      <c r="AZ641">
        <v>5</v>
      </c>
      <c r="BA641" t="s">
        <v>533</v>
      </c>
      <c r="BB641" t="s">
        <v>541</v>
      </c>
      <c r="BC641" t="s">
        <v>395</v>
      </c>
      <c r="BD641" t="s">
        <v>228</v>
      </c>
      <c r="BE641" t="s">
        <v>522</v>
      </c>
      <c r="BF641" t="s">
        <v>523</v>
      </c>
      <c r="BG641" t="s">
        <v>407</v>
      </c>
      <c r="BH641" t="s">
        <v>551</v>
      </c>
      <c r="BI641" t="s">
        <v>525</v>
      </c>
      <c r="BJ641" t="s">
        <v>228</v>
      </c>
      <c r="BK641" t="s">
        <v>228</v>
      </c>
      <c r="BL641" t="s">
        <v>228</v>
      </c>
      <c r="BM641" t="s">
        <v>228</v>
      </c>
      <c r="BN641" t="s">
        <v>228</v>
      </c>
      <c r="BO641" t="s">
        <v>228</v>
      </c>
      <c r="BP641" t="s">
        <v>228</v>
      </c>
      <c r="BQ641" t="s">
        <v>228</v>
      </c>
      <c r="BR641" t="s">
        <v>228</v>
      </c>
      <c r="BS641" t="s">
        <v>465</v>
      </c>
      <c r="BT641">
        <v>1</v>
      </c>
    </row>
    <row r="642" spans="1:72" x14ac:dyDescent="0.15">
      <c r="A642" s="43">
        <v>2023</v>
      </c>
      <c r="B642" s="8">
        <v>1</v>
      </c>
      <c r="C642" s="8">
        <v>1</v>
      </c>
      <c r="D642" s="8" t="s">
        <v>391</v>
      </c>
      <c r="E642" s="8" t="s">
        <v>228</v>
      </c>
      <c r="F642" s="8" t="s">
        <v>57</v>
      </c>
      <c r="G642" s="8">
        <v>2017</v>
      </c>
      <c r="H642" s="8">
        <v>12</v>
      </c>
      <c r="I642" s="8" t="s">
        <v>483</v>
      </c>
      <c r="J642" s="8" t="s">
        <v>228</v>
      </c>
      <c r="K642" s="8">
        <v>1953</v>
      </c>
      <c r="L642" s="17">
        <v>1</v>
      </c>
      <c r="M642" s="8">
        <v>1</v>
      </c>
      <c r="N642" s="8" t="s">
        <v>49</v>
      </c>
      <c r="O642" s="8" t="s">
        <v>283</v>
      </c>
      <c r="P642" s="8" t="s">
        <v>280</v>
      </c>
      <c r="Q642" s="8">
        <v>20000</v>
      </c>
      <c r="R642" s="8" t="s">
        <v>59</v>
      </c>
      <c r="S642" s="8" t="s">
        <v>54</v>
      </c>
      <c r="T642" s="8" t="s">
        <v>69</v>
      </c>
      <c r="U642" s="8" t="s">
        <v>228</v>
      </c>
      <c r="V642" s="8">
        <v>500</v>
      </c>
      <c r="W642" s="8" t="s">
        <v>328</v>
      </c>
      <c r="X642" s="8">
        <v>3000</v>
      </c>
      <c r="Y642" s="8" t="s">
        <v>271</v>
      </c>
      <c r="Z642" s="8">
        <v>100</v>
      </c>
      <c r="AA642" s="8" t="s">
        <v>278</v>
      </c>
      <c r="AB642" s="8" t="s">
        <v>228</v>
      </c>
      <c r="AC642" s="8" t="s">
        <v>228</v>
      </c>
      <c r="AD642" s="8" t="s">
        <v>228</v>
      </c>
      <c r="AE642" s="8" t="s">
        <v>228</v>
      </c>
      <c r="AF642" s="8" t="s">
        <v>228</v>
      </c>
      <c r="AG642" s="8" t="s">
        <v>228</v>
      </c>
      <c r="AH642" s="8" t="s">
        <v>228</v>
      </c>
      <c r="AI642" s="8" t="s">
        <v>228</v>
      </c>
      <c r="AJ642" t="s">
        <v>468</v>
      </c>
      <c r="AK642">
        <v>1</v>
      </c>
      <c r="AL642">
        <v>1</v>
      </c>
      <c r="AM642" t="s">
        <v>391</v>
      </c>
      <c r="AN642" t="s">
        <v>228</v>
      </c>
      <c r="AO642" t="s">
        <v>526</v>
      </c>
      <c r="AP642" t="s">
        <v>108</v>
      </c>
      <c r="AQ642">
        <v>12</v>
      </c>
      <c r="AR642" t="s">
        <v>483</v>
      </c>
      <c r="AS642" t="s">
        <v>228</v>
      </c>
      <c r="AT642" t="s">
        <v>170</v>
      </c>
      <c r="AU642">
        <v>1</v>
      </c>
      <c r="AV642">
        <v>1</v>
      </c>
      <c r="AW642" t="s">
        <v>537</v>
      </c>
      <c r="AX642" t="s">
        <v>283</v>
      </c>
      <c r="AY642" t="s">
        <v>280</v>
      </c>
      <c r="AZ642">
        <v>5</v>
      </c>
      <c r="BA642" t="s">
        <v>533</v>
      </c>
      <c r="BB642" t="s">
        <v>541</v>
      </c>
      <c r="BC642" t="s">
        <v>395</v>
      </c>
      <c r="BD642" t="s">
        <v>228</v>
      </c>
      <c r="BE642" t="s">
        <v>522</v>
      </c>
      <c r="BF642" t="s">
        <v>523</v>
      </c>
      <c r="BG642" t="s">
        <v>407</v>
      </c>
      <c r="BH642" t="s">
        <v>544</v>
      </c>
      <c r="BI642" t="s">
        <v>525</v>
      </c>
      <c r="BJ642" t="s">
        <v>228</v>
      </c>
      <c r="BK642" t="s">
        <v>228</v>
      </c>
      <c r="BL642" t="s">
        <v>228</v>
      </c>
      <c r="BM642" t="s">
        <v>228</v>
      </c>
      <c r="BN642" t="s">
        <v>228</v>
      </c>
      <c r="BO642" t="s">
        <v>228</v>
      </c>
      <c r="BP642" t="s">
        <v>228</v>
      </c>
      <c r="BQ642" t="s">
        <v>228</v>
      </c>
      <c r="BR642" t="s">
        <v>228</v>
      </c>
      <c r="BS642" t="s">
        <v>465</v>
      </c>
      <c r="BT642">
        <v>0</v>
      </c>
    </row>
  </sheetData>
  <autoFilter ref="A1:BY642"/>
  <phoneticPr fontId="1"/>
  <dataValidations count="8">
    <dataValidation type="whole" operator="greaterThanOrEqual" allowBlank="1" showInputMessage="1" showErrorMessage="1" sqref="K2:K49 A2:A49 G2:G49">
      <formula1>1</formula1>
    </dataValidation>
    <dataValidation type="whole" allowBlank="1" showInputMessage="1" showErrorMessage="1" sqref="H2:H49 B2:B49 L2:L49">
      <formula1>1</formula1>
      <formula2>12</formula2>
    </dataValidation>
    <dataValidation type="whole" allowBlank="1" showInputMessage="1" showErrorMessage="1" sqref="C2:C49 M2:M49">
      <formula1>1</formula1>
      <formula2>31</formula2>
    </dataValidation>
    <dataValidation type="list" allowBlank="1" showInputMessage="1" showErrorMessage="1" sqref="O2:O49">
      <formula1>"ゴールド,ブルー,グリーン"</formula1>
    </dataValidation>
    <dataValidation type="list" allowBlank="1" showInputMessage="1" showErrorMessage="1" sqref="P2:P49">
      <formula1>"日常,通勤,業務"</formula1>
    </dataValidation>
    <dataValidation type="whole" operator="greaterThanOrEqual" allowBlank="1" showInputMessage="1" showErrorMessage="1" sqref="Z2:Z49">
      <formula1>10</formula1>
    </dataValidation>
    <dataValidation type="list" allowBlank="1" showInputMessage="1" showErrorMessage="1" sqref="AC2:AD49 AE1:AE1048576">
      <formula1>"なし,あり"</formula1>
    </dataValidation>
    <dataValidation type="list" allowBlank="1" showInputMessage="1" showErrorMessage="1" sqref="AF2:AF49">
      <formula1>"なし,自損型,人傷型"</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7">
        <x14:dataValidation type="list" allowBlank="1" showInputMessage="1" showErrorMessage="1">
          <x14:formula1>
            <xm:f>ヘンスウチ!$E$3:$E$24</xm:f>
          </x14:formula1>
          <xm:sqref>D2:D49</xm:sqref>
        </x14:dataValidation>
        <x14:dataValidation type="list" allowBlank="1" showInputMessage="1" showErrorMessage="1">
          <x14:formula1>
            <xm:f>ヘンスウチ!$K$38:$K$39</xm:f>
          </x14:formula1>
          <xm:sqref>E2:E49</xm:sqref>
        </x14:dataValidation>
        <x14:dataValidation type="list" allowBlank="1" showInputMessage="1" showErrorMessage="1">
          <x14:formula1>
            <xm:f>ヘンスウチ!$H$12:$H$15</xm:f>
          </x14:formula1>
          <xm:sqref>F2:F49</xm:sqref>
        </x14:dataValidation>
        <x14:dataValidation type="list" allowBlank="1" showInputMessage="1" showErrorMessage="1">
          <x14:formula1>
            <xm:f>ヘンスウチ!$H$3:$H$9</xm:f>
          </x14:formula1>
          <xm:sqref>N2:N49</xm:sqref>
        </x14:dataValidation>
        <x14:dataValidation type="list" allowBlank="1" showInputMessage="1" showErrorMessage="1">
          <x14:formula1>
            <xm:f>ヘンスウチ!$E$27:$E$56</xm:f>
          </x14:formula1>
          <xm:sqref>Q2:Q49</xm:sqref>
        </x14:dataValidation>
        <x14:dataValidation type="list" allowBlank="1" showInputMessage="1" showErrorMessage="1">
          <x14:formula1>
            <xm:f>ヘンスウチ!$H$23:$H$26</xm:f>
          </x14:formula1>
          <xm:sqref>R2:R49</xm:sqref>
        </x14:dataValidation>
        <x14:dataValidation type="list" allowBlank="1" showInputMessage="1" showErrorMessage="1">
          <x14:formula1>
            <xm:f>ヘンスウチ!$H$18:$H$20</xm:f>
          </x14:formula1>
          <xm:sqref>S2:S49</xm:sqref>
        </x14:dataValidation>
        <x14:dataValidation type="list" allowBlank="1" showInputMessage="1" showErrorMessage="1">
          <x14:formula1>
            <xm:f>ヘンスウチ!$K$14:$K$19</xm:f>
          </x14:formula1>
          <xm:sqref>T2:T49</xm:sqref>
        </x14:dataValidation>
        <x14:dataValidation type="list" allowBlank="1" showInputMessage="1" showErrorMessage="1">
          <x14:formula1>
            <xm:f>ヘンスウチ!$K$38:$K$40</xm:f>
          </x14:formula1>
          <xm:sqref>U2:U49</xm:sqref>
        </x14:dataValidation>
        <x14:dataValidation type="list" allowBlank="1" showInputMessage="1" showErrorMessage="1">
          <x14:formula1>
            <xm:f>ヘンスウチ!$K$22:$K$24</xm:f>
          </x14:formula1>
          <xm:sqref>V2:V49</xm:sqref>
        </x14:dataValidation>
        <x14:dataValidation type="list" allowBlank="1" showInputMessage="1" showErrorMessage="1">
          <x14:formula1>
            <xm:f>ヘンスウチ!$K$64:$K$65</xm:f>
          </x14:formula1>
          <xm:sqref>W2:W49</xm:sqref>
        </x14:dataValidation>
        <x14:dataValidation type="list" allowBlank="1" showInputMessage="1" showErrorMessage="1">
          <x14:formula1>
            <xm:f>ヘンスウチ!$K$27:$K$35</xm:f>
          </x14:formula1>
          <xm:sqref>X2:X49</xm:sqref>
        </x14:dataValidation>
        <x14:dataValidation type="list" allowBlank="1" showInputMessage="1" showErrorMessage="1">
          <x14:formula1>
            <xm:f>ヘンスウチ!$K$4:$K$6</xm:f>
          </x14:formula1>
          <xm:sqref>Y2:Y49</xm:sqref>
        </x14:dataValidation>
        <x14:dataValidation type="list" allowBlank="1" showInputMessage="1" showErrorMessage="1">
          <x14:formula1>
            <xm:f>ヘンスウチ!$K$9:$K$11</xm:f>
          </x14:formula1>
          <xm:sqref>AA2:AA49</xm:sqref>
        </x14:dataValidation>
        <x14:dataValidation type="list" allowBlank="1" showInputMessage="1" showErrorMessage="1">
          <x14:formula1>
            <xm:f>ヘンスウチ!$K$43:$K$49</xm:f>
          </x14:formula1>
          <xm:sqref>AB2:AB49</xm:sqref>
        </x14:dataValidation>
        <x14:dataValidation type="list" allowBlank="1" showInputMessage="1" showErrorMessage="1">
          <x14:formula1>
            <xm:f>ヘンスウチ!$K$52:$K$55</xm:f>
          </x14:formula1>
          <xm:sqref>AG2:AG49</xm:sqref>
        </x14:dataValidation>
        <x14:dataValidation type="list" allowBlank="1" showInputMessage="1" showErrorMessage="1">
          <x14:formula1>
            <xm:f>ヘンスウチ!$K$58:$K$61</xm:f>
          </x14:formula1>
          <xm:sqref>AH2:AI49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1"/>
  </sheetPr>
  <dimension ref="B2:L166"/>
  <sheetViews>
    <sheetView topLeftCell="A52" zoomScale="70" zoomScaleNormal="70" workbookViewId="0">
      <selection activeCell="G68" sqref="G68"/>
    </sheetView>
  </sheetViews>
  <sheetFormatPr defaultRowHeight="13.5" x14ac:dyDescent="0.15"/>
  <cols>
    <col min="1" max="1" width="4.375" customWidth="1"/>
    <col min="2" max="3" width="14.375" customWidth="1"/>
    <col min="9" max="9" width="23" customWidth="1"/>
    <col min="10" max="10" width="5.625" customWidth="1"/>
    <col min="11" max="11" width="22.625" customWidth="1"/>
    <col min="12" max="12" width="22.125" customWidth="1"/>
  </cols>
  <sheetData>
    <row r="2" spans="2:12" x14ac:dyDescent="0.15">
      <c r="B2" s="10" t="s">
        <v>2</v>
      </c>
      <c r="C2" s="10" t="s">
        <v>3</v>
      </c>
      <c r="E2" s="10" t="s">
        <v>37</v>
      </c>
      <c r="F2" s="10" t="s">
        <v>3</v>
      </c>
      <c r="H2" s="10" t="s">
        <v>43</v>
      </c>
      <c r="I2" s="10" t="s">
        <v>3</v>
      </c>
    </row>
    <row r="3" spans="2:12" x14ac:dyDescent="0.15">
      <c r="B3" s="11">
        <v>2018</v>
      </c>
      <c r="C3" s="12" t="s">
        <v>76</v>
      </c>
      <c r="E3" s="14">
        <v>20</v>
      </c>
      <c r="F3" s="12" t="s">
        <v>81</v>
      </c>
      <c r="H3" s="11" t="s">
        <v>44</v>
      </c>
      <c r="I3" s="12" t="s">
        <v>44</v>
      </c>
      <c r="K3" s="18" t="s">
        <v>66</v>
      </c>
      <c r="L3" s="10" t="s">
        <v>272</v>
      </c>
    </row>
    <row r="4" spans="2:12" x14ac:dyDescent="0.15">
      <c r="B4" s="11">
        <v>2019</v>
      </c>
      <c r="C4" s="12" t="s">
        <v>345</v>
      </c>
      <c r="E4" s="14">
        <v>19</v>
      </c>
      <c r="F4" s="12" t="s">
        <v>82</v>
      </c>
      <c r="H4" s="11" t="s">
        <v>45</v>
      </c>
      <c r="I4" s="12" t="s">
        <v>209</v>
      </c>
      <c r="K4" s="11" t="s">
        <v>269</v>
      </c>
      <c r="L4" s="1" t="s">
        <v>273</v>
      </c>
    </row>
    <row r="5" spans="2:12" x14ac:dyDescent="0.15">
      <c r="B5" s="11">
        <v>2020</v>
      </c>
      <c r="C5" s="12" t="s">
        <v>346</v>
      </c>
      <c r="E5" s="14">
        <v>18</v>
      </c>
      <c r="F5" s="12" t="s">
        <v>83</v>
      </c>
      <c r="H5" s="11" t="s">
        <v>48</v>
      </c>
      <c r="I5" s="12" t="s">
        <v>210</v>
      </c>
      <c r="K5" s="11" t="s">
        <v>270</v>
      </c>
      <c r="L5" s="1" t="s">
        <v>274</v>
      </c>
    </row>
    <row r="6" spans="2:12" x14ac:dyDescent="0.15">
      <c r="B6" s="11">
        <v>2021</v>
      </c>
      <c r="C6" s="12" t="s">
        <v>347</v>
      </c>
      <c r="E6" s="14">
        <v>17</v>
      </c>
      <c r="F6" s="12" t="s">
        <v>84</v>
      </c>
      <c r="H6" s="11" t="s">
        <v>50</v>
      </c>
      <c r="I6" s="12" t="s">
        <v>211</v>
      </c>
      <c r="K6" s="11" t="s">
        <v>271</v>
      </c>
      <c r="L6" s="1" t="s">
        <v>275</v>
      </c>
    </row>
    <row r="7" spans="2:12" x14ac:dyDescent="0.15">
      <c r="B7" s="11">
        <v>2022</v>
      </c>
      <c r="C7" s="12" t="s">
        <v>348</v>
      </c>
      <c r="E7" s="14">
        <v>16</v>
      </c>
      <c r="F7" s="12" t="s">
        <v>85</v>
      </c>
      <c r="H7" s="11" t="s">
        <v>49</v>
      </c>
      <c r="I7" s="12" t="s">
        <v>212</v>
      </c>
    </row>
    <row r="8" spans="2:12" x14ac:dyDescent="0.15">
      <c r="B8" s="11">
        <v>2023</v>
      </c>
      <c r="C8" s="12" t="s">
        <v>349</v>
      </c>
      <c r="E8" s="14">
        <v>15</v>
      </c>
      <c r="F8" s="12" t="s">
        <v>86</v>
      </c>
      <c r="H8" s="11" t="s">
        <v>47</v>
      </c>
      <c r="I8" s="12" t="s">
        <v>213</v>
      </c>
      <c r="K8" s="10" t="s">
        <v>64</v>
      </c>
    </row>
    <row r="9" spans="2:12" x14ac:dyDescent="0.15">
      <c r="B9" s="11">
        <v>2024</v>
      </c>
      <c r="C9" s="12" t="s">
        <v>350</v>
      </c>
      <c r="E9" s="14">
        <v>14</v>
      </c>
      <c r="F9" s="12" t="s">
        <v>87</v>
      </c>
      <c r="H9" s="11" t="s">
        <v>46</v>
      </c>
      <c r="I9" s="12" t="s">
        <v>214</v>
      </c>
      <c r="K9" s="11" t="s">
        <v>277</v>
      </c>
      <c r="L9" s="1" t="s">
        <v>67</v>
      </c>
    </row>
    <row r="10" spans="2:12" x14ac:dyDescent="0.15">
      <c r="E10" s="14">
        <v>13</v>
      </c>
      <c r="F10" s="12" t="s">
        <v>88</v>
      </c>
      <c r="K10" s="11" t="s">
        <v>276</v>
      </c>
      <c r="L10" s="1" t="s">
        <v>276</v>
      </c>
    </row>
    <row r="11" spans="2:12" x14ac:dyDescent="0.15">
      <c r="B11" s="10" t="s">
        <v>4</v>
      </c>
      <c r="C11" s="10" t="s">
        <v>3</v>
      </c>
      <c r="E11" s="14">
        <v>12</v>
      </c>
      <c r="F11" s="12" t="s">
        <v>89</v>
      </c>
      <c r="H11" s="10" t="s">
        <v>55</v>
      </c>
      <c r="I11" s="10" t="s">
        <v>56</v>
      </c>
      <c r="K11" s="11" t="s">
        <v>278</v>
      </c>
      <c r="L11" s="1" t="s">
        <v>228</v>
      </c>
    </row>
    <row r="12" spans="2:12" x14ac:dyDescent="0.15">
      <c r="B12" s="11">
        <v>1</v>
      </c>
      <c r="C12" s="13" t="s">
        <v>6</v>
      </c>
      <c r="E12" s="14">
        <v>11</v>
      </c>
      <c r="F12" s="12" t="s">
        <v>90</v>
      </c>
      <c r="H12" s="11" t="s">
        <v>57</v>
      </c>
      <c r="I12" s="1">
        <v>1</v>
      </c>
    </row>
    <row r="13" spans="2:12" x14ac:dyDescent="0.15">
      <c r="B13" s="11">
        <v>2</v>
      </c>
      <c r="C13" s="13" t="s">
        <v>7</v>
      </c>
      <c r="E13" s="14">
        <v>10</v>
      </c>
      <c r="F13" s="12" t="s">
        <v>91</v>
      </c>
      <c r="H13" s="11" t="s">
        <v>58</v>
      </c>
      <c r="I13" s="1">
        <v>2</v>
      </c>
      <c r="K13" s="10" t="s">
        <v>68</v>
      </c>
      <c r="L13" s="10" t="s">
        <v>70</v>
      </c>
    </row>
    <row r="14" spans="2:12" x14ac:dyDescent="0.15">
      <c r="B14" s="11">
        <v>3</v>
      </c>
      <c r="C14" s="13" t="s">
        <v>8</v>
      </c>
      <c r="E14" s="14">
        <v>9</v>
      </c>
      <c r="F14" s="12" t="s">
        <v>92</v>
      </c>
      <c r="H14" s="11" t="s">
        <v>59</v>
      </c>
      <c r="I14" s="1">
        <v>3</v>
      </c>
      <c r="K14" s="11">
        <v>500</v>
      </c>
      <c r="L14" s="12" t="s">
        <v>221</v>
      </c>
    </row>
    <row r="15" spans="2:12" x14ac:dyDescent="0.15">
      <c r="B15" s="11">
        <v>4</v>
      </c>
      <c r="C15" s="13" t="s">
        <v>9</v>
      </c>
      <c r="E15" s="14">
        <v>8</v>
      </c>
      <c r="F15" s="12" t="s">
        <v>93</v>
      </c>
      <c r="H15" s="11" t="s">
        <v>60</v>
      </c>
      <c r="I15" s="1">
        <v>4</v>
      </c>
      <c r="K15" s="11">
        <v>1000</v>
      </c>
      <c r="L15" s="12" t="s">
        <v>222</v>
      </c>
    </row>
    <row r="16" spans="2:12" x14ac:dyDescent="0.15">
      <c r="B16" s="11">
        <v>5</v>
      </c>
      <c r="C16" s="13" t="s">
        <v>10</v>
      </c>
      <c r="E16" s="14">
        <v>7</v>
      </c>
      <c r="F16" s="12" t="s">
        <v>94</v>
      </c>
      <c r="K16" s="11">
        <v>2000</v>
      </c>
      <c r="L16" s="12" t="s">
        <v>223</v>
      </c>
    </row>
    <row r="17" spans="2:12" x14ac:dyDescent="0.15">
      <c r="B17" s="11">
        <v>6</v>
      </c>
      <c r="C17" s="13" t="s">
        <v>11</v>
      </c>
      <c r="E17" s="14">
        <v>6</v>
      </c>
      <c r="F17" s="12" t="s">
        <v>95</v>
      </c>
      <c r="H17" s="10" t="s">
        <v>62</v>
      </c>
      <c r="I17" s="10" t="s">
        <v>42</v>
      </c>
      <c r="K17" s="11">
        <v>3000</v>
      </c>
      <c r="L17" s="12" t="s">
        <v>224</v>
      </c>
    </row>
    <row r="18" spans="2:12" x14ac:dyDescent="0.15">
      <c r="B18" s="11">
        <v>7</v>
      </c>
      <c r="C18" s="13" t="s">
        <v>12</v>
      </c>
      <c r="E18" s="14">
        <v>5</v>
      </c>
      <c r="F18" s="12" t="s">
        <v>96</v>
      </c>
      <c r="H18" s="11" t="s">
        <v>52</v>
      </c>
      <c r="I18" s="1" t="s">
        <v>256</v>
      </c>
      <c r="K18" s="11">
        <v>5000</v>
      </c>
      <c r="L18" s="12" t="s">
        <v>225</v>
      </c>
    </row>
    <row r="19" spans="2:12" x14ac:dyDescent="0.15">
      <c r="B19" s="11">
        <v>8</v>
      </c>
      <c r="C19" s="13" t="s">
        <v>13</v>
      </c>
      <c r="E19" s="14">
        <v>4</v>
      </c>
      <c r="F19" s="12" t="s">
        <v>97</v>
      </c>
      <c r="H19" s="11" t="s">
        <v>53</v>
      </c>
      <c r="I19" s="1" t="s">
        <v>53</v>
      </c>
      <c r="K19" s="11" t="s">
        <v>69</v>
      </c>
      <c r="L19" s="12" t="s">
        <v>69</v>
      </c>
    </row>
    <row r="20" spans="2:12" x14ac:dyDescent="0.15">
      <c r="B20" s="11">
        <v>9</v>
      </c>
      <c r="C20" s="13" t="s">
        <v>14</v>
      </c>
      <c r="E20" s="14">
        <v>3</v>
      </c>
      <c r="F20" s="12" t="s">
        <v>98</v>
      </c>
      <c r="H20" s="11" t="s">
        <v>54</v>
      </c>
      <c r="I20" s="1" t="s">
        <v>257</v>
      </c>
    </row>
    <row r="21" spans="2:12" x14ac:dyDescent="0.15">
      <c r="B21" s="11">
        <v>10</v>
      </c>
      <c r="C21" s="13" t="s">
        <v>15</v>
      </c>
      <c r="E21" s="14">
        <v>2</v>
      </c>
      <c r="F21" s="12" t="s">
        <v>99</v>
      </c>
      <c r="K21" s="10" t="s">
        <v>71</v>
      </c>
      <c r="L21" s="10" t="s">
        <v>72</v>
      </c>
    </row>
    <row r="22" spans="2:12" x14ac:dyDescent="0.15">
      <c r="B22" s="11">
        <v>11</v>
      </c>
      <c r="C22" s="13" t="s">
        <v>16</v>
      </c>
      <c r="E22" s="14">
        <v>1</v>
      </c>
      <c r="F22" s="12" t="s">
        <v>99</v>
      </c>
      <c r="H22" s="10" t="s">
        <v>63</v>
      </c>
      <c r="I22" s="10" t="s">
        <v>56</v>
      </c>
      <c r="K22" s="11">
        <v>500</v>
      </c>
      <c r="L22" s="12" t="s">
        <v>221</v>
      </c>
    </row>
    <row r="23" spans="2:12" x14ac:dyDescent="0.15">
      <c r="B23" s="11">
        <v>12</v>
      </c>
      <c r="C23" s="13" t="s">
        <v>17</v>
      </c>
      <c r="E23" s="11" t="s">
        <v>38</v>
      </c>
      <c r="F23" s="12" t="s">
        <v>38</v>
      </c>
      <c r="H23" s="11" t="s">
        <v>57</v>
      </c>
      <c r="I23" s="1" t="s">
        <v>103</v>
      </c>
      <c r="K23" s="11">
        <v>1000</v>
      </c>
      <c r="L23" s="12" t="s">
        <v>222</v>
      </c>
    </row>
    <row r="24" spans="2:12" x14ac:dyDescent="0.15">
      <c r="E24" s="11" t="s">
        <v>39</v>
      </c>
      <c r="F24" s="12" t="s">
        <v>39</v>
      </c>
      <c r="H24" s="11" t="s">
        <v>58</v>
      </c>
      <c r="I24" s="1" t="s">
        <v>102</v>
      </c>
      <c r="K24" s="11">
        <v>2000</v>
      </c>
      <c r="L24" s="12" t="s">
        <v>223</v>
      </c>
    </row>
    <row r="25" spans="2:12" x14ac:dyDescent="0.15">
      <c r="B25" s="10" t="s">
        <v>5</v>
      </c>
      <c r="C25" s="10" t="s">
        <v>3</v>
      </c>
      <c r="H25" s="11" t="s">
        <v>59</v>
      </c>
      <c r="I25" s="1" t="s">
        <v>101</v>
      </c>
    </row>
    <row r="26" spans="2:12" x14ac:dyDescent="0.15">
      <c r="B26" s="11">
        <v>1</v>
      </c>
      <c r="C26" s="13" t="s">
        <v>6</v>
      </c>
      <c r="E26" s="10" t="s">
        <v>41</v>
      </c>
      <c r="F26" s="10" t="s">
        <v>42</v>
      </c>
      <c r="H26" s="11" t="s">
        <v>60</v>
      </c>
      <c r="I26" s="1" t="s">
        <v>392</v>
      </c>
      <c r="K26" s="10" t="s">
        <v>73</v>
      </c>
      <c r="L26" s="10" t="s">
        <v>74</v>
      </c>
    </row>
    <row r="27" spans="2:12" x14ac:dyDescent="0.15">
      <c r="B27" s="11">
        <v>2</v>
      </c>
      <c r="C27" s="13" t="s">
        <v>7</v>
      </c>
      <c r="E27" s="14">
        <v>1000</v>
      </c>
      <c r="F27" s="1">
        <v>1</v>
      </c>
      <c r="K27" s="11">
        <v>3000</v>
      </c>
      <c r="L27" s="12" t="s">
        <v>224</v>
      </c>
    </row>
    <row r="28" spans="2:12" x14ac:dyDescent="0.15">
      <c r="B28" s="11">
        <v>3</v>
      </c>
      <c r="C28" s="13" t="s">
        <v>8</v>
      </c>
      <c r="E28" s="14">
        <f>E27+1000</f>
        <v>2000</v>
      </c>
      <c r="F28" s="1">
        <v>1</v>
      </c>
      <c r="H28" s="10" t="s">
        <v>258</v>
      </c>
      <c r="I28" s="10" t="s">
        <v>42</v>
      </c>
      <c r="K28" s="11">
        <v>4000</v>
      </c>
      <c r="L28" s="12" t="s">
        <v>235</v>
      </c>
    </row>
    <row r="29" spans="2:12" x14ac:dyDescent="0.15">
      <c r="B29" s="11">
        <v>4</v>
      </c>
      <c r="C29" s="13" t="s">
        <v>9</v>
      </c>
      <c r="E29" s="14">
        <f t="shared" ref="E29:E56" si="0">E28+1000</f>
        <v>3000</v>
      </c>
      <c r="F29" s="1">
        <v>1</v>
      </c>
      <c r="H29" s="11" t="s">
        <v>57</v>
      </c>
      <c r="I29" s="1" t="s">
        <v>259</v>
      </c>
      <c r="K29" s="11">
        <v>5000</v>
      </c>
      <c r="L29" s="12" t="s">
        <v>225</v>
      </c>
    </row>
    <row r="30" spans="2:12" x14ac:dyDescent="0.15">
      <c r="B30" s="11">
        <v>5</v>
      </c>
      <c r="C30" s="13" t="s">
        <v>10</v>
      </c>
      <c r="E30" s="14">
        <f t="shared" si="0"/>
        <v>4000</v>
      </c>
      <c r="F30" s="2">
        <v>2</v>
      </c>
      <c r="H30" s="11" t="s">
        <v>58</v>
      </c>
      <c r="I30" s="1" t="s">
        <v>102</v>
      </c>
      <c r="K30" s="11">
        <v>6000</v>
      </c>
      <c r="L30" s="12" t="s">
        <v>236</v>
      </c>
    </row>
    <row r="31" spans="2:12" x14ac:dyDescent="0.15">
      <c r="B31" s="11">
        <v>6</v>
      </c>
      <c r="C31" s="13" t="s">
        <v>11</v>
      </c>
      <c r="E31" s="14">
        <f t="shared" si="0"/>
        <v>5000</v>
      </c>
      <c r="F31" s="2">
        <v>2</v>
      </c>
      <c r="H31" s="11" t="s">
        <v>59</v>
      </c>
      <c r="I31" s="1" t="s">
        <v>101</v>
      </c>
      <c r="K31" s="11">
        <v>7000</v>
      </c>
      <c r="L31" s="12" t="s">
        <v>237</v>
      </c>
    </row>
    <row r="32" spans="2:12" x14ac:dyDescent="0.15">
      <c r="B32" s="11">
        <v>7</v>
      </c>
      <c r="C32" s="13" t="s">
        <v>12</v>
      </c>
      <c r="E32" s="14">
        <f t="shared" si="0"/>
        <v>6000</v>
      </c>
      <c r="F32" s="2">
        <v>3</v>
      </c>
      <c r="H32" s="11" t="s">
        <v>60</v>
      </c>
      <c r="I32" s="1" t="s">
        <v>393</v>
      </c>
      <c r="K32" s="11">
        <v>8000</v>
      </c>
      <c r="L32" s="12" t="s">
        <v>238</v>
      </c>
    </row>
    <row r="33" spans="2:12" x14ac:dyDescent="0.15">
      <c r="B33" s="11">
        <v>8</v>
      </c>
      <c r="C33" s="13" t="s">
        <v>13</v>
      </c>
      <c r="E33" s="14">
        <f t="shared" si="0"/>
        <v>7000</v>
      </c>
      <c r="F33" s="2">
        <v>3</v>
      </c>
      <c r="K33" s="11">
        <v>9000</v>
      </c>
      <c r="L33" s="12" t="s">
        <v>239</v>
      </c>
    </row>
    <row r="34" spans="2:12" x14ac:dyDescent="0.15">
      <c r="B34" s="11">
        <v>9</v>
      </c>
      <c r="C34" s="13" t="s">
        <v>14</v>
      </c>
      <c r="E34" s="14">
        <f t="shared" si="0"/>
        <v>8000</v>
      </c>
      <c r="F34" s="2">
        <v>3</v>
      </c>
      <c r="K34" s="11">
        <v>10000</v>
      </c>
      <c r="L34" s="12" t="s">
        <v>234</v>
      </c>
    </row>
    <row r="35" spans="2:12" x14ac:dyDescent="0.15">
      <c r="B35" s="11">
        <v>10</v>
      </c>
      <c r="C35" s="13" t="s">
        <v>15</v>
      </c>
      <c r="E35" s="14">
        <f t="shared" si="0"/>
        <v>9000</v>
      </c>
      <c r="F35" s="2">
        <v>3</v>
      </c>
      <c r="K35" s="11" t="s">
        <v>69</v>
      </c>
      <c r="L35" s="12" t="s">
        <v>69</v>
      </c>
    </row>
    <row r="36" spans="2:12" x14ac:dyDescent="0.15">
      <c r="B36" s="11">
        <v>11</v>
      </c>
      <c r="C36" s="13" t="s">
        <v>16</v>
      </c>
      <c r="E36" s="14">
        <f t="shared" si="0"/>
        <v>10000</v>
      </c>
      <c r="F36" s="2">
        <v>3</v>
      </c>
    </row>
    <row r="37" spans="2:12" x14ac:dyDescent="0.15">
      <c r="B37" s="11">
        <v>12</v>
      </c>
      <c r="C37" s="13" t="s">
        <v>17</v>
      </c>
      <c r="E37" s="14">
        <f t="shared" si="0"/>
        <v>11000</v>
      </c>
      <c r="F37" s="2">
        <v>4</v>
      </c>
      <c r="K37" s="10" t="s">
        <v>226</v>
      </c>
      <c r="L37" s="10" t="s">
        <v>227</v>
      </c>
    </row>
    <row r="38" spans="2:12" x14ac:dyDescent="0.15">
      <c r="B38" s="11">
        <v>13</v>
      </c>
      <c r="C38" s="13" t="s">
        <v>18</v>
      </c>
      <c r="E38" s="14">
        <f t="shared" si="0"/>
        <v>12000</v>
      </c>
      <c r="F38" s="2">
        <v>4</v>
      </c>
      <c r="K38" s="11" t="s">
        <v>40</v>
      </c>
      <c r="L38" s="12" t="s">
        <v>40</v>
      </c>
    </row>
    <row r="39" spans="2:12" x14ac:dyDescent="0.15">
      <c r="B39" s="11">
        <v>14</v>
      </c>
      <c r="C39" s="13" t="s">
        <v>19</v>
      </c>
      <c r="E39" s="14">
        <f t="shared" si="0"/>
        <v>13000</v>
      </c>
      <c r="F39" s="2">
        <v>4</v>
      </c>
      <c r="K39" s="11" t="s">
        <v>65</v>
      </c>
      <c r="L39" s="12" t="s">
        <v>229</v>
      </c>
    </row>
    <row r="40" spans="2:12" x14ac:dyDescent="0.15">
      <c r="B40" s="11">
        <v>15</v>
      </c>
      <c r="C40" s="13" t="s">
        <v>20</v>
      </c>
      <c r="E40" s="14">
        <f t="shared" si="0"/>
        <v>14000</v>
      </c>
      <c r="F40" s="2">
        <v>4</v>
      </c>
      <c r="K40" s="11" t="s">
        <v>69</v>
      </c>
      <c r="L40" s="12" t="s">
        <v>69</v>
      </c>
    </row>
    <row r="41" spans="2:12" x14ac:dyDescent="0.15">
      <c r="B41" s="11">
        <v>16</v>
      </c>
      <c r="C41" s="13" t="s">
        <v>21</v>
      </c>
      <c r="E41" s="14">
        <f t="shared" si="0"/>
        <v>15000</v>
      </c>
      <c r="F41" s="2">
        <v>4</v>
      </c>
    </row>
    <row r="42" spans="2:12" x14ac:dyDescent="0.15">
      <c r="B42" s="11">
        <v>17</v>
      </c>
      <c r="C42" s="13" t="s">
        <v>22</v>
      </c>
      <c r="E42" s="14">
        <f t="shared" si="0"/>
        <v>16000</v>
      </c>
      <c r="F42" s="2">
        <v>5</v>
      </c>
      <c r="K42" s="10" t="s">
        <v>241</v>
      </c>
    </row>
    <row r="43" spans="2:12" x14ac:dyDescent="0.15">
      <c r="B43" s="11">
        <v>18</v>
      </c>
      <c r="C43" s="13" t="s">
        <v>23</v>
      </c>
      <c r="E43" s="14">
        <f t="shared" si="0"/>
        <v>17000</v>
      </c>
      <c r="F43" s="2">
        <v>5</v>
      </c>
      <c r="K43" s="11" t="s">
        <v>40</v>
      </c>
    </row>
    <row r="44" spans="2:12" x14ac:dyDescent="0.15">
      <c r="B44" s="11">
        <v>19</v>
      </c>
      <c r="C44" s="13" t="s">
        <v>24</v>
      </c>
      <c r="E44" s="14">
        <f t="shared" si="0"/>
        <v>18000</v>
      </c>
      <c r="F44" s="2">
        <v>5</v>
      </c>
      <c r="K44" s="11" t="s">
        <v>242</v>
      </c>
    </row>
    <row r="45" spans="2:12" x14ac:dyDescent="0.15">
      <c r="B45" s="11">
        <v>20</v>
      </c>
      <c r="C45" s="13" t="s">
        <v>25</v>
      </c>
      <c r="E45" s="14">
        <f t="shared" si="0"/>
        <v>19000</v>
      </c>
      <c r="F45" s="2">
        <v>5</v>
      </c>
      <c r="K45" s="11" t="s">
        <v>243</v>
      </c>
    </row>
    <row r="46" spans="2:12" x14ac:dyDescent="0.15">
      <c r="B46" s="11">
        <v>21</v>
      </c>
      <c r="C46" s="13" t="s">
        <v>26</v>
      </c>
      <c r="E46" s="14">
        <f t="shared" si="0"/>
        <v>20000</v>
      </c>
      <c r="F46" s="2">
        <v>5</v>
      </c>
      <c r="K46" s="11" t="s">
        <v>244</v>
      </c>
    </row>
    <row r="47" spans="2:12" x14ac:dyDescent="0.15">
      <c r="B47" s="11">
        <v>22</v>
      </c>
      <c r="C47" s="13" t="s">
        <v>27</v>
      </c>
      <c r="E47" s="14">
        <f t="shared" si="0"/>
        <v>21000</v>
      </c>
      <c r="F47" s="2">
        <v>5</v>
      </c>
      <c r="K47" s="11" t="s">
        <v>245</v>
      </c>
    </row>
    <row r="48" spans="2:12" x14ac:dyDescent="0.15">
      <c r="B48" s="11">
        <v>23</v>
      </c>
      <c r="C48" s="13" t="s">
        <v>28</v>
      </c>
      <c r="E48" s="14">
        <f t="shared" si="0"/>
        <v>22000</v>
      </c>
      <c r="F48" s="2">
        <v>5</v>
      </c>
      <c r="K48" s="11" t="s">
        <v>246</v>
      </c>
    </row>
    <row r="49" spans="2:12" x14ac:dyDescent="0.15">
      <c r="B49" s="11">
        <v>24</v>
      </c>
      <c r="C49" s="13" t="s">
        <v>29</v>
      </c>
      <c r="E49" s="14">
        <f t="shared" si="0"/>
        <v>23000</v>
      </c>
      <c r="F49" s="2">
        <v>5</v>
      </c>
      <c r="K49" s="11" t="s">
        <v>247</v>
      </c>
    </row>
    <row r="50" spans="2:12" x14ac:dyDescent="0.15">
      <c r="B50" s="11">
        <v>25</v>
      </c>
      <c r="C50" s="13" t="s">
        <v>30</v>
      </c>
      <c r="E50" s="14">
        <f t="shared" si="0"/>
        <v>24000</v>
      </c>
      <c r="F50" s="2">
        <v>5</v>
      </c>
    </row>
    <row r="51" spans="2:12" x14ac:dyDescent="0.15">
      <c r="B51" s="11">
        <v>26</v>
      </c>
      <c r="C51" s="13" t="s">
        <v>31</v>
      </c>
      <c r="E51" s="14">
        <f t="shared" si="0"/>
        <v>25000</v>
      </c>
      <c r="F51" s="2">
        <v>5</v>
      </c>
      <c r="K51" s="10" t="s">
        <v>260</v>
      </c>
      <c r="L51" s="10" t="s">
        <v>261</v>
      </c>
    </row>
    <row r="52" spans="2:12" x14ac:dyDescent="0.15">
      <c r="B52" s="11">
        <v>27</v>
      </c>
      <c r="C52" s="13" t="s">
        <v>32</v>
      </c>
      <c r="E52" s="14">
        <f t="shared" si="0"/>
        <v>26000</v>
      </c>
      <c r="F52" s="2">
        <v>5</v>
      </c>
      <c r="K52" s="11" t="s">
        <v>40</v>
      </c>
      <c r="L52" s="12" t="s">
        <v>40</v>
      </c>
    </row>
    <row r="53" spans="2:12" x14ac:dyDescent="0.15">
      <c r="B53" s="11">
        <v>28</v>
      </c>
      <c r="C53" s="13" t="s">
        <v>33</v>
      </c>
      <c r="E53" s="14">
        <f t="shared" si="0"/>
        <v>27000</v>
      </c>
      <c r="F53" s="2">
        <v>5</v>
      </c>
      <c r="K53" s="11">
        <v>3000</v>
      </c>
      <c r="L53" s="12" t="s">
        <v>224</v>
      </c>
    </row>
    <row r="54" spans="2:12" x14ac:dyDescent="0.15">
      <c r="B54" s="11">
        <v>29</v>
      </c>
      <c r="C54" s="13" t="s">
        <v>34</v>
      </c>
      <c r="E54" s="14">
        <f t="shared" si="0"/>
        <v>28000</v>
      </c>
      <c r="F54" s="2">
        <v>5</v>
      </c>
      <c r="K54" s="11">
        <v>5000</v>
      </c>
      <c r="L54" s="12" t="s">
        <v>225</v>
      </c>
    </row>
    <row r="55" spans="2:12" x14ac:dyDescent="0.15">
      <c r="B55" s="11">
        <v>30</v>
      </c>
      <c r="C55" s="13" t="s">
        <v>35</v>
      </c>
      <c r="E55" s="14">
        <f t="shared" si="0"/>
        <v>29000</v>
      </c>
      <c r="F55" s="2">
        <v>5</v>
      </c>
      <c r="K55" s="11">
        <v>10000</v>
      </c>
      <c r="L55" s="12" t="s">
        <v>262</v>
      </c>
    </row>
    <row r="56" spans="2:12" x14ac:dyDescent="0.15">
      <c r="B56" s="11">
        <v>31</v>
      </c>
      <c r="C56" s="13" t="s">
        <v>36</v>
      </c>
      <c r="E56" s="14">
        <f t="shared" si="0"/>
        <v>30000</v>
      </c>
      <c r="F56" s="2">
        <v>5</v>
      </c>
    </row>
    <row r="57" spans="2:12" x14ac:dyDescent="0.15">
      <c r="K57" s="10" t="s">
        <v>267</v>
      </c>
      <c r="L57" s="10" t="s">
        <v>3</v>
      </c>
    </row>
    <row r="58" spans="2:12" x14ac:dyDescent="0.15">
      <c r="B58" s="10" t="s">
        <v>329</v>
      </c>
      <c r="C58" s="10" t="s">
        <v>3</v>
      </c>
      <c r="K58" s="11" t="s">
        <v>40</v>
      </c>
      <c r="L58" s="12" t="s">
        <v>40</v>
      </c>
    </row>
    <row r="59" spans="2:12" x14ac:dyDescent="0.15">
      <c r="B59" s="11">
        <v>2026</v>
      </c>
      <c r="C59" s="12" t="s">
        <v>418</v>
      </c>
      <c r="K59" s="11" t="s">
        <v>51</v>
      </c>
      <c r="L59" s="12" t="s">
        <v>264</v>
      </c>
    </row>
    <row r="60" spans="2:12" x14ac:dyDescent="0.15">
      <c r="B60" s="11">
        <f t="shared" ref="B60:B67" si="1">B59-1</f>
        <v>2025</v>
      </c>
      <c r="C60" s="12" t="s">
        <v>417</v>
      </c>
      <c r="K60" s="11" t="s">
        <v>263</v>
      </c>
      <c r="L60" s="12" t="s">
        <v>265</v>
      </c>
    </row>
    <row r="61" spans="2:12" x14ac:dyDescent="0.15">
      <c r="B61" s="11">
        <f t="shared" si="1"/>
        <v>2024</v>
      </c>
      <c r="C61" s="12" t="s">
        <v>416</v>
      </c>
      <c r="K61" s="11" t="s">
        <v>53</v>
      </c>
      <c r="L61" s="12" t="s">
        <v>266</v>
      </c>
    </row>
    <row r="62" spans="2:12" x14ac:dyDescent="0.15">
      <c r="B62" s="11">
        <f t="shared" si="1"/>
        <v>2023</v>
      </c>
      <c r="C62" s="12" t="s">
        <v>415</v>
      </c>
    </row>
    <row r="63" spans="2:12" x14ac:dyDescent="0.15">
      <c r="B63" s="11">
        <f t="shared" si="1"/>
        <v>2022</v>
      </c>
      <c r="C63" s="12" t="s">
        <v>414</v>
      </c>
      <c r="K63" s="10" t="s">
        <v>232</v>
      </c>
    </row>
    <row r="64" spans="2:12" x14ac:dyDescent="0.15">
      <c r="B64" s="11">
        <f t="shared" si="1"/>
        <v>2021</v>
      </c>
      <c r="C64" s="12" t="s">
        <v>413</v>
      </c>
      <c r="K64" s="11" t="s">
        <v>233</v>
      </c>
    </row>
    <row r="65" spans="2:11" x14ac:dyDescent="0.15">
      <c r="B65" s="11">
        <f t="shared" si="1"/>
        <v>2020</v>
      </c>
      <c r="C65" s="12" t="s">
        <v>354</v>
      </c>
      <c r="K65" s="11" t="s">
        <v>328</v>
      </c>
    </row>
    <row r="66" spans="2:11" x14ac:dyDescent="0.15">
      <c r="B66" s="11">
        <f t="shared" si="1"/>
        <v>2019</v>
      </c>
      <c r="C66" s="12" t="s">
        <v>353</v>
      </c>
    </row>
    <row r="67" spans="2:11" x14ac:dyDescent="0.15">
      <c r="B67" s="11">
        <f t="shared" si="1"/>
        <v>2018</v>
      </c>
      <c r="C67" s="12" t="s">
        <v>107</v>
      </c>
    </row>
    <row r="68" spans="2:11" x14ac:dyDescent="0.15">
      <c r="B68" s="11">
        <f t="shared" ref="B68:B130" si="2">B67-1</f>
        <v>2017</v>
      </c>
      <c r="C68" s="12" t="s">
        <v>108</v>
      </c>
    </row>
    <row r="69" spans="2:11" x14ac:dyDescent="0.15">
      <c r="B69" s="11">
        <f t="shared" si="2"/>
        <v>2016</v>
      </c>
      <c r="C69" s="12" t="s">
        <v>109</v>
      </c>
    </row>
    <row r="70" spans="2:11" x14ac:dyDescent="0.15">
      <c r="B70" s="11">
        <f t="shared" si="2"/>
        <v>2015</v>
      </c>
      <c r="C70" s="12" t="s">
        <v>110</v>
      </c>
    </row>
    <row r="71" spans="2:11" x14ac:dyDescent="0.15">
      <c r="B71" s="11">
        <f t="shared" si="2"/>
        <v>2014</v>
      </c>
      <c r="C71" s="12" t="s">
        <v>111</v>
      </c>
    </row>
    <row r="72" spans="2:11" x14ac:dyDescent="0.15">
      <c r="B72" s="11">
        <f t="shared" si="2"/>
        <v>2013</v>
      </c>
      <c r="C72" s="12" t="s">
        <v>112</v>
      </c>
    </row>
    <row r="73" spans="2:11" x14ac:dyDescent="0.15">
      <c r="B73" s="11">
        <f t="shared" si="2"/>
        <v>2012</v>
      </c>
      <c r="C73" s="12" t="s">
        <v>113</v>
      </c>
    </row>
    <row r="74" spans="2:11" x14ac:dyDescent="0.15">
      <c r="B74" s="11">
        <f t="shared" si="2"/>
        <v>2011</v>
      </c>
      <c r="C74" s="12" t="s">
        <v>114</v>
      </c>
    </row>
    <row r="75" spans="2:11" x14ac:dyDescent="0.15">
      <c r="B75" s="11">
        <f t="shared" si="2"/>
        <v>2010</v>
      </c>
      <c r="C75" s="12" t="s">
        <v>115</v>
      </c>
    </row>
    <row r="76" spans="2:11" x14ac:dyDescent="0.15">
      <c r="B76" s="11">
        <f t="shared" si="2"/>
        <v>2009</v>
      </c>
      <c r="C76" s="12" t="s">
        <v>116</v>
      </c>
    </row>
    <row r="77" spans="2:11" x14ac:dyDescent="0.15">
      <c r="B77" s="11">
        <f t="shared" si="2"/>
        <v>2008</v>
      </c>
      <c r="C77" s="12" t="s">
        <v>117</v>
      </c>
    </row>
    <row r="78" spans="2:11" x14ac:dyDescent="0.15">
      <c r="B78" s="11">
        <f t="shared" si="2"/>
        <v>2007</v>
      </c>
      <c r="C78" s="12" t="s">
        <v>118</v>
      </c>
    </row>
    <row r="79" spans="2:11" x14ac:dyDescent="0.15">
      <c r="B79" s="11">
        <f t="shared" si="2"/>
        <v>2006</v>
      </c>
      <c r="C79" s="12" t="s">
        <v>119</v>
      </c>
    </row>
    <row r="80" spans="2:11" x14ac:dyDescent="0.15">
      <c r="B80" s="11">
        <f t="shared" si="2"/>
        <v>2005</v>
      </c>
      <c r="C80" s="12" t="s">
        <v>120</v>
      </c>
    </row>
    <row r="81" spans="2:3" x14ac:dyDescent="0.15">
      <c r="B81" s="11">
        <f t="shared" si="2"/>
        <v>2004</v>
      </c>
      <c r="C81" s="12" t="s">
        <v>121</v>
      </c>
    </row>
    <row r="82" spans="2:3" x14ac:dyDescent="0.15">
      <c r="B82" s="11">
        <f t="shared" si="2"/>
        <v>2003</v>
      </c>
      <c r="C82" s="12" t="s">
        <v>122</v>
      </c>
    </row>
    <row r="83" spans="2:3" x14ac:dyDescent="0.15">
      <c r="B83" s="11">
        <f t="shared" si="2"/>
        <v>2002</v>
      </c>
      <c r="C83" s="12" t="s">
        <v>123</v>
      </c>
    </row>
    <row r="84" spans="2:3" x14ac:dyDescent="0.15">
      <c r="B84" s="11">
        <f t="shared" si="2"/>
        <v>2001</v>
      </c>
      <c r="C84" s="12" t="s">
        <v>124</v>
      </c>
    </row>
    <row r="85" spans="2:3" x14ac:dyDescent="0.15">
      <c r="B85" s="11">
        <f t="shared" si="2"/>
        <v>2000</v>
      </c>
      <c r="C85" s="12" t="s">
        <v>125</v>
      </c>
    </row>
    <row r="86" spans="2:3" x14ac:dyDescent="0.15">
      <c r="B86" s="11">
        <f t="shared" si="2"/>
        <v>1999</v>
      </c>
      <c r="C86" s="12" t="s">
        <v>126</v>
      </c>
    </row>
    <row r="87" spans="2:3" x14ac:dyDescent="0.15">
      <c r="B87" s="11">
        <f t="shared" si="2"/>
        <v>1998</v>
      </c>
      <c r="C87" s="12" t="s">
        <v>127</v>
      </c>
    </row>
    <row r="88" spans="2:3" x14ac:dyDescent="0.15">
      <c r="B88" s="11">
        <f t="shared" si="2"/>
        <v>1997</v>
      </c>
      <c r="C88" s="12" t="s">
        <v>128</v>
      </c>
    </row>
    <row r="89" spans="2:3" x14ac:dyDescent="0.15">
      <c r="B89" s="11">
        <f t="shared" si="2"/>
        <v>1996</v>
      </c>
      <c r="C89" s="12" t="s">
        <v>129</v>
      </c>
    </row>
    <row r="90" spans="2:3" x14ac:dyDescent="0.15">
      <c r="B90" s="11">
        <f t="shared" si="2"/>
        <v>1995</v>
      </c>
      <c r="C90" s="12" t="s">
        <v>130</v>
      </c>
    </row>
    <row r="91" spans="2:3" x14ac:dyDescent="0.15">
      <c r="B91" s="11">
        <f t="shared" si="2"/>
        <v>1994</v>
      </c>
      <c r="C91" s="12" t="s">
        <v>131</v>
      </c>
    </row>
    <row r="92" spans="2:3" x14ac:dyDescent="0.15">
      <c r="B92" s="11">
        <f t="shared" si="2"/>
        <v>1993</v>
      </c>
      <c r="C92" s="12" t="s">
        <v>132</v>
      </c>
    </row>
    <row r="93" spans="2:3" x14ac:dyDescent="0.15">
      <c r="B93" s="11">
        <f t="shared" si="2"/>
        <v>1992</v>
      </c>
      <c r="C93" s="12" t="s">
        <v>133</v>
      </c>
    </row>
    <row r="94" spans="2:3" x14ac:dyDescent="0.15">
      <c r="B94" s="11">
        <f t="shared" si="2"/>
        <v>1991</v>
      </c>
      <c r="C94" s="12" t="s">
        <v>134</v>
      </c>
    </row>
    <row r="95" spans="2:3" x14ac:dyDescent="0.15">
      <c r="B95" s="11">
        <f t="shared" si="2"/>
        <v>1990</v>
      </c>
      <c r="C95" s="12" t="s">
        <v>135</v>
      </c>
    </row>
    <row r="96" spans="2:3" x14ac:dyDescent="0.15">
      <c r="B96" s="11">
        <f t="shared" si="2"/>
        <v>1989</v>
      </c>
      <c r="C96" s="12" t="s">
        <v>284</v>
      </c>
    </row>
    <row r="97" spans="2:3" x14ac:dyDescent="0.15">
      <c r="B97" s="11">
        <f t="shared" si="2"/>
        <v>1988</v>
      </c>
      <c r="C97" s="12" t="s">
        <v>330</v>
      </c>
    </row>
    <row r="98" spans="2:3" x14ac:dyDescent="0.15">
      <c r="B98" s="11">
        <f t="shared" si="2"/>
        <v>1987</v>
      </c>
      <c r="C98" s="12" t="s">
        <v>136</v>
      </c>
    </row>
    <row r="99" spans="2:3" x14ac:dyDescent="0.15">
      <c r="B99" s="11">
        <f t="shared" si="2"/>
        <v>1986</v>
      </c>
      <c r="C99" s="12" t="s">
        <v>137</v>
      </c>
    </row>
    <row r="100" spans="2:3" x14ac:dyDescent="0.15">
      <c r="B100" s="11">
        <f t="shared" si="2"/>
        <v>1985</v>
      </c>
      <c r="C100" s="12" t="s">
        <v>138</v>
      </c>
    </row>
    <row r="101" spans="2:3" x14ac:dyDescent="0.15">
      <c r="B101" s="11">
        <f t="shared" si="2"/>
        <v>1984</v>
      </c>
      <c r="C101" s="12" t="s">
        <v>139</v>
      </c>
    </row>
    <row r="102" spans="2:3" x14ac:dyDescent="0.15">
      <c r="B102" s="11">
        <f t="shared" si="2"/>
        <v>1983</v>
      </c>
      <c r="C102" s="12" t="s">
        <v>140</v>
      </c>
    </row>
    <row r="103" spans="2:3" x14ac:dyDescent="0.15">
      <c r="B103" s="11">
        <f t="shared" si="2"/>
        <v>1982</v>
      </c>
      <c r="C103" s="12" t="s">
        <v>141</v>
      </c>
    </row>
    <row r="104" spans="2:3" x14ac:dyDescent="0.15">
      <c r="B104" s="11">
        <f t="shared" si="2"/>
        <v>1981</v>
      </c>
      <c r="C104" s="12" t="s">
        <v>142</v>
      </c>
    </row>
    <row r="105" spans="2:3" x14ac:dyDescent="0.15">
      <c r="B105" s="11">
        <f t="shared" si="2"/>
        <v>1980</v>
      </c>
      <c r="C105" s="12" t="s">
        <v>143</v>
      </c>
    </row>
    <row r="106" spans="2:3" x14ac:dyDescent="0.15">
      <c r="B106" s="11">
        <f t="shared" si="2"/>
        <v>1979</v>
      </c>
      <c r="C106" s="12" t="s">
        <v>144</v>
      </c>
    </row>
    <row r="107" spans="2:3" x14ac:dyDescent="0.15">
      <c r="B107" s="11">
        <f t="shared" si="2"/>
        <v>1978</v>
      </c>
      <c r="C107" s="12" t="s">
        <v>145</v>
      </c>
    </row>
    <row r="108" spans="2:3" x14ac:dyDescent="0.15">
      <c r="B108" s="11">
        <f t="shared" si="2"/>
        <v>1977</v>
      </c>
      <c r="C108" s="12" t="s">
        <v>146</v>
      </c>
    </row>
    <row r="109" spans="2:3" x14ac:dyDescent="0.15">
      <c r="B109" s="11">
        <f t="shared" si="2"/>
        <v>1976</v>
      </c>
      <c r="C109" s="12" t="s">
        <v>147</v>
      </c>
    </row>
    <row r="110" spans="2:3" x14ac:dyDescent="0.15">
      <c r="B110" s="11">
        <f t="shared" si="2"/>
        <v>1975</v>
      </c>
      <c r="C110" s="12" t="s">
        <v>148</v>
      </c>
    </row>
    <row r="111" spans="2:3" x14ac:dyDescent="0.15">
      <c r="B111" s="11">
        <f t="shared" si="2"/>
        <v>1974</v>
      </c>
      <c r="C111" s="12" t="s">
        <v>149</v>
      </c>
    </row>
    <row r="112" spans="2:3" x14ac:dyDescent="0.15">
      <c r="B112" s="11">
        <f t="shared" si="2"/>
        <v>1973</v>
      </c>
      <c r="C112" s="12" t="s">
        <v>150</v>
      </c>
    </row>
    <row r="113" spans="2:3" x14ac:dyDescent="0.15">
      <c r="B113" s="11">
        <f t="shared" si="2"/>
        <v>1972</v>
      </c>
      <c r="C113" s="12" t="s">
        <v>151</v>
      </c>
    </row>
    <row r="114" spans="2:3" x14ac:dyDescent="0.15">
      <c r="B114" s="11">
        <f t="shared" si="2"/>
        <v>1971</v>
      </c>
      <c r="C114" s="12" t="s">
        <v>152</v>
      </c>
    </row>
    <row r="115" spans="2:3" x14ac:dyDescent="0.15">
      <c r="B115" s="11">
        <f t="shared" si="2"/>
        <v>1970</v>
      </c>
      <c r="C115" s="12" t="s">
        <v>153</v>
      </c>
    </row>
    <row r="116" spans="2:3" x14ac:dyDescent="0.15">
      <c r="B116" s="11">
        <f t="shared" si="2"/>
        <v>1969</v>
      </c>
      <c r="C116" s="12" t="s">
        <v>154</v>
      </c>
    </row>
    <row r="117" spans="2:3" x14ac:dyDescent="0.15">
      <c r="B117" s="11">
        <f t="shared" si="2"/>
        <v>1968</v>
      </c>
      <c r="C117" s="12" t="s">
        <v>155</v>
      </c>
    </row>
    <row r="118" spans="2:3" x14ac:dyDescent="0.15">
      <c r="B118" s="11">
        <f t="shared" si="2"/>
        <v>1967</v>
      </c>
      <c r="C118" s="12" t="s">
        <v>156</v>
      </c>
    </row>
    <row r="119" spans="2:3" x14ac:dyDescent="0.15">
      <c r="B119" s="11">
        <f t="shared" si="2"/>
        <v>1966</v>
      </c>
      <c r="C119" s="12" t="s">
        <v>157</v>
      </c>
    </row>
    <row r="120" spans="2:3" x14ac:dyDescent="0.15">
      <c r="B120" s="11">
        <f t="shared" si="2"/>
        <v>1965</v>
      </c>
      <c r="C120" s="12" t="s">
        <v>158</v>
      </c>
    </row>
    <row r="121" spans="2:3" x14ac:dyDescent="0.15">
      <c r="B121" s="11">
        <f t="shared" si="2"/>
        <v>1964</v>
      </c>
      <c r="C121" s="12" t="s">
        <v>159</v>
      </c>
    </row>
    <row r="122" spans="2:3" x14ac:dyDescent="0.15">
      <c r="B122" s="11">
        <f t="shared" si="2"/>
        <v>1963</v>
      </c>
      <c r="C122" s="12" t="s">
        <v>160</v>
      </c>
    </row>
    <row r="123" spans="2:3" x14ac:dyDescent="0.15">
      <c r="B123" s="11">
        <f t="shared" si="2"/>
        <v>1962</v>
      </c>
      <c r="C123" s="12" t="s">
        <v>161</v>
      </c>
    </row>
    <row r="124" spans="2:3" x14ac:dyDescent="0.15">
      <c r="B124" s="11">
        <f t="shared" si="2"/>
        <v>1961</v>
      </c>
      <c r="C124" s="12" t="s">
        <v>162</v>
      </c>
    </row>
    <row r="125" spans="2:3" x14ac:dyDescent="0.15">
      <c r="B125" s="11">
        <f t="shared" si="2"/>
        <v>1960</v>
      </c>
      <c r="C125" s="12" t="s">
        <v>163</v>
      </c>
    </row>
    <row r="126" spans="2:3" x14ac:dyDescent="0.15">
      <c r="B126" s="11">
        <f t="shared" si="2"/>
        <v>1959</v>
      </c>
      <c r="C126" s="12" t="s">
        <v>164</v>
      </c>
    </row>
    <row r="127" spans="2:3" x14ac:dyDescent="0.15">
      <c r="B127" s="11">
        <f t="shared" si="2"/>
        <v>1958</v>
      </c>
      <c r="C127" s="12" t="s">
        <v>165</v>
      </c>
    </row>
    <row r="128" spans="2:3" x14ac:dyDescent="0.15">
      <c r="B128" s="11">
        <f t="shared" si="2"/>
        <v>1957</v>
      </c>
      <c r="C128" s="12" t="s">
        <v>166</v>
      </c>
    </row>
    <row r="129" spans="2:3" x14ac:dyDescent="0.15">
      <c r="B129" s="11">
        <f t="shared" si="2"/>
        <v>1956</v>
      </c>
      <c r="C129" s="12" t="s">
        <v>167</v>
      </c>
    </row>
    <row r="130" spans="2:3" x14ac:dyDescent="0.15">
      <c r="B130" s="11">
        <f t="shared" si="2"/>
        <v>1955</v>
      </c>
      <c r="C130" s="12" t="s">
        <v>168</v>
      </c>
    </row>
    <row r="131" spans="2:3" x14ac:dyDescent="0.15">
      <c r="B131" s="11">
        <f t="shared" ref="B131:B166" si="3">B130-1</f>
        <v>1954</v>
      </c>
      <c r="C131" s="12" t="s">
        <v>169</v>
      </c>
    </row>
    <row r="132" spans="2:3" x14ac:dyDescent="0.15">
      <c r="B132" s="11">
        <f t="shared" si="3"/>
        <v>1953</v>
      </c>
      <c r="C132" s="12" t="s">
        <v>170</v>
      </c>
    </row>
    <row r="133" spans="2:3" x14ac:dyDescent="0.15">
      <c r="B133" s="11">
        <f t="shared" si="3"/>
        <v>1952</v>
      </c>
      <c r="C133" s="12" t="s">
        <v>171</v>
      </c>
    </row>
    <row r="134" spans="2:3" x14ac:dyDescent="0.15">
      <c r="B134" s="11">
        <f t="shared" si="3"/>
        <v>1951</v>
      </c>
      <c r="C134" s="12" t="s">
        <v>172</v>
      </c>
    </row>
    <row r="135" spans="2:3" x14ac:dyDescent="0.15">
      <c r="B135" s="11">
        <f t="shared" si="3"/>
        <v>1950</v>
      </c>
      <c r="C135" s="12" t="s">
        <v>173</v>
      </c>
    </row>
    <row r="136" spans="2:3" x14ac:dyDescent="0.15">
      <c r="B136" s="11">
        <f t="shared" si="3"/>
        <v>1949</v>
      </c>
      <c r="C136" s="12" t="s">
        <v>174</v>
      </c>
    </row>
    <row r="137" spans="2:3" x14ac:dyDescent="0.15">
      <c r="B137" s="11">
        <f t="shared" si="3"/>
        <v>1948</v>
      </c>
      <c r="C137" s="12" t="s">
        <v>176</v>
      </c>
    </row>
    <row r="138" spans="2:3" x14ac:dyDescent="0.15">
      <c r="B138" s="11">
        <f t="shared" si="3"/>
        <v>1947</v>
      </c>
      <c r="C138" s="12" t="s">
        <v>177</v>
      </c>
    </row>
    <row r="139" spans="2:3" x14ac:dyDescent="0.15">
      <c r="B139" s="11">
        <f t="shared" si="3"/>
        <v>1946</v>
      </c>
      <c r="C139" s="12" t="s">
        <v>178</v>
      </c>
    </row>
    <row r="140" spans="2:3" x14ac:dyDescent="0.15">
      <c r="B140" s="11">
        <f t="shared" si="3"/>
        <v>1945</v>
      </c>
      <c r="C140" s="12" t="s">
        <v>179</v>
      </c>
    </row>
    <row r="141" spans="2:3" x14ac:dyDescent="0.15">
      <c r="B141" s="11">
        <f t="shared" si="3"/>
        <v>1944</v>
      </c>
      <c r="C141" s="12" t="s">
        <v>180</v>
      </c>
    </row>
    <row r="142" spans="2:3" x14ac:dyDescent="0.15">
      <c r="B142" s="11">
        <f t="shared" si="3"/>
        <v>1943</v>
      </c>
      <c r="C142" s="12" t="s">
        <v>181</v>
      </c>
    </row>
    <row r="143" spans="2:3" x14ac:dyDescent="0.15">
      <c r="B143" s="11">
        <f t="shared" si="3"/>
        <v>1942</v>
      </c>
      <c r="C143" s="12" t="s">
        <v>182</v>
      </c>
    </row>
    <row r="144" spans="2:3" x14ac:dyDescent="0.15">
      <c r="B144" s="11">
        <f t="shared" si="3"/>
        <v>1941</v>
      </c>
      <c r="C144" s="12" t="s">
        <v>183</v>
      </c>
    </row>
    <row r="145" spans="2:3" x14ac:dyDescent="0.15">
      <c r="B145" s="11">
        <f t="shared" si="3"/>
        <v>1940</v>
      </c>
      <c r="C145" s="12" t="s">
        <v>184</v>
      </c>
    </row>
    <row r="146" spans="2:3" x14ac:dyDescent="0.15">
      <c r="B146" s="11">
        <f t="shared" si="3"/>
        <v>1939</v>
      </c>
      <c r="C146" s="12" t="s">
        <v>185</v>
      </c>
    </row>
    <row r="147" spans="2:3" x14ac:dyDescent="0.15">
      <c r="B147" s="11">
        <f t="shared" si="3"/>
        <v>1938</v>
      </c>
      <c r="C147" s="12" t="s">
        <v>186</v>
      </c>
    </row>
    <row r="148" spans="2:3" x14ac:dyDescent="0.15">
      <c r="B148" s="11">
        <f t="shared" si="3"/>
        <v>1937</v>
      </c>
      <c r="C148" s="12" t="s">
        <v>187</v>
      </c>
    </row>
    <row r="149" spans="2:3" x14ac:dyDescent="0.15">
      <c r="B149" s="11">
        <f t="shared" si="3"/>
        <v>1936</v>
      </c>
      <c r="C149" s="12" t="s">
        <v>188</v>
      </c>
    </row>
    <row r="150" spans="2:3" x14ac:dyDescent="0.15">
      <c r="B150" s="11">
        <f t="shared" si="3"/>
        <v>1935</v>
      </c>
      <c r="C150" s="12" t="s">
        <v>189</v>
      </c>
    </row>
    <row r="151" spans="2:3" x14ac:dyDescent="0.15">
      <c r="B151" s="11">
        <f t="shared" si="3"/>
        <v>1934</v>
      </c>
      <c r="C151" s="12" t="s">
        <v>190</v>
      </c>
    </row>
    <row r="152" spans="2:3" x14ac:dyDescent="0.15">
      <c r="B152" s="11">
        <f t="shared" si="3"/>
        <v>1933</v>
      </c>
      <c r="C152" s="12" t="s">
        <v>191</v>
      </c>
    </row>
    <row r="153" spans="2:3" x14ac:dyDescent="0.15">
      <c r="B153" s="11">
        <f t="shared" si="3"/>
        <v>1932</v>
      </c>
      <c r="C153" s="12" t="s">
        <v>192</v>
      </c>
    </row>
    <row r="154" spans="2:3" x14ac:dyDescent="0.15">
      <c r="B154" s="11">
        <f t="shared" si="3"/>
        <v>1931</v>
      </c>
      <c r="C154" s="12" t="s">
        <v>193</v>
      </c>
    </row>
    <row r="155" spans="2:3" x14ac:dyDescent="0.15">
      <c r="B155" s="11">
        <f t="shared" si="3"/>
        <v>1930</v>
      </c>
      <c r="C155" s="12" t="s">
        <v>194</v>
      </c>
    </row>
    <row r="156" spans="2:3" x14ac:dyDescent="0.15">
      <c r="B156" s="11">
        <f t="shared" si="3"/>
        <v>1929</v>
      </c>
      <c r="C156" s="12" t="s">
        <v>195</v>
      </c>
    </row>
    <row r="157" spans="2:3" x14ac:dyDescent="0.15">
      <c r="B157" s="11">
        <f t="shared" si="3"/>
        <v>1928</v>
      </c>
      <c r="C157" s="12" t="s">
        <v>196</v>
      </c>
    </row>
    <row r="158" spans="2:3" x14ac:dyDescent="0.15">
      <c r="B158" s="11">
        <f t="shared" si="3"/>
        <v>1927</v>
      </c>
      <c r="C158" s="12" t="s">
        <v>197</v>
      </c>
    </row>
    <row r="159" spans="2:3" x14ac:dyDescent="0.15">
      <c r="B159" s="11">
        <f t="shared" si="3"/>
        <v>1926</v>
      </c>
      <c r="C159" s="12" t="s">
        <v>198</v>
      </c>
    </row>
    <row r="160" spans="2:3" x14ac:dyDescent="0.15">
      <c r="B160" s="11">
        <f t="shared" si="3"/>
        <v>1925</v>
      </c>
      <c r="C160" s="12" t="s">
        <v>199</v>
      </c>
    </row>
    <row r="161" spans="2:3" x14ac:dyDescent="0.15">
      <c r="B161" s="11">
        <f t="shared" si="3"/>
        <v>1924</v>
      </c>
      <c r="C161" s="12" t="s">
        <v>200</v>
      </c>
    </row>
    <row r="162" spans="2:3" x14ac:dyDescent="0.15">
      <c r="B162" s="11">
        <f t="shared" si="3"/>
        <v>1923</v>
      </c>
      <c r="C162" s="12" t="s">
        <v>201</v>
      </c>
    </row>
    <row r="163" spans="2:3" x14ac:dyDescent="0.15">
      <c r="B163" s="11">
        <f t="shared" si="3"/>
        <v>1922</v>
      </c>
      <c r="C163" s="12" t="s">
        <v>202</v>
      </c>
    </row>
    <row r="164" spans="2:3" x14ac:dyDescent="0.15">
      <c r="B164" s="11">
        <f t="shared" si="3"/>
        <v>1921</v>
      </c>
      <c r="C164" s="12" t="s">
        <v>203</v>
      </c>
    </row>
    <row r="165" spans="2:3" x14ac:dyDescent="0.15">
      <c r="B165" s="11">
        <f t="shared" si="3"/>
        <v>1920</v>
      </c>
      <c r="C165" s="12" t="s">
        <v>204</v>
      </c>
    </row>
    <row r="166" spans="2:3" x14ac:dyDescent="0.15">
      <c r="B166" s="11">
        <f t="shared" si="3"/>
        <v>1919</v>
      </c>
      <c r="C166" s="12" t="s">
        <v>205</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1"/>
  </sheetPr>
  <dimension ref="D1:L63"/>
  <sheetViews>
    <sheetView workbookViewId="0">
      <selection activeCell="M61" sqref="M61"/>
    </sheetView>
  </sheetViews>
  <sheetFormatPr defaultRowHeight="13.5" x14ac:dyDescent="0.15"/>
  <sheetData>
    <row r="1" spans="4:12" x14ac:dyDescent="0.15">
      <c r="H1" t="s">
        <v>388</v>
      </c>
      <c r="K1" t="s">
        <v>387</v>
      </c>
    </row>
    <row r="2" spans="4:12" x14ac:dyDescent="0.15">
      <c r="H2" s="20" t="s">
        <v>55</v>
      </c>
      <c r="I2" s="20" t="s">
        <v>206</v>
      </c>
      <c r="K2" s="20" t="s">
        <v>55</v>
      </c>
      <c r="L2" s="20" t="s">
        <v>206</v>
      </c>
    </row>
    <row r="3" spans="4:12" x14ac:dyDescent="0.15">
      <c r="H3" s="14">
        <v>30</v>
      </c>
      <c r="I3" s="1">
        <f>$E$9</f>
        <v>1993</v>
      </c>
      <c r="K3" s="14">
        <f t="shared" ref="K3:K11" si="0">K4-1</f>
        <v>20</v>
      </c>
      <c r="L3" s="1">
        <f t="shared" ref="L3:L11" si="1">L4+1</f>
        <v>2003</v>
      </c>
    </row>
    <row r="4" spans="4:12" x14ac:dyDescent="0.15">
      <c r="H4" s="14">
        <f>H3+1</f>
        <v>31</v>
      </c>
      <c r="I4" s="1">
        <f>I3-1</f>
        <v>1992</v>
      </c>
      <c r="K4" s="14">
        <f t="shared" si="0"/>
        <v>21</v>
      </c>
      <c r="L4" s="1">
        <f t="shared" si="1"/>
        <v>2002</v>
      </c>
    </row>
    <row r="5" spans="4:12" x14ac:dyDescent="0.15">
      <c r="H5" s="14">
        <f t="shared" ref="H5:H35" si="2">H4+1</f>
        <v>32</v>
      </c>
      <c r="I5" s="1">
        <f t="shared" ref="I5:I35" si="3">I4-1</f>
        <v>1991</v>
      </c>
      <c r="K5" s="14">
        <f t="shared" si="0"/>
        <v>22</v>
      </c>
      <c r="L5" s="1">
        <f t="shared" si="1"/>
        <v>2001</v>
      </c>
    </row>
    <row r="6" spans="4:12" x14ac:dyDescent="0.15">
      <c r="H6" s="14">
        <f t="shared" si="2"/>
        <v>33</v>
      </c>
      <c r="I6" s="1">
        <f t="shared" si="3"/>
        <v>1990</v>
      </c>
      <c r="K6" s="14">
        <f t="shared" si="0"/>
        <v>23</v>
      </c>
      <c r="L6" s="1">
        <f t="shared" si="1"/>
        <v>2000</v>
      </c>
    </row>
    <row r="7" spans="4:12" x14ac:dyDescent="0.15">
      <c r="H7" s="14">
        <f t="shared" si="2"/>
        <v>34</v>
      </c>
      <c r="I7" s="1">
        <f t="shared" si="3"/>
        <v>1989</v>
      </c>
      <c r="K7" s="14">
        <f t="shared" si="0"/>
        <v>24</v>
      </c>
      <c r="L7" s="1">
        <f t="shared" si="1"/>
        <v>1999</v>
      </c>
    </row>
    <row r="8" spans="4:12" x14ac:dyDescent="0.15">
      <c r="D8" s="20" t="s">
        <v>206</v>
      </c>
      <c r="H8" s="14">
        <f t="shared" si="2"/>
        <v>35</v>
      </c>
      <c r="I8" s="1">
        <f t="shared" si="3"/>
        <v>1988</v>
      </c>
      <c r="K8" s="14">
        <f t="shared" si="0"/>
        <v>25</v>
      </c>
      <c r="L8" s="1">
        <f t="shared" si="1"/>
        <v>1998</v>
      </c>
    </row>
    <row r="9" spans="4:12" x14ac:dyDescent="0.15">
      <c r="D9" s="14">
        <v>1</v>
      </c>
      <c r="E9" s="1">
        <f>説明書!$U$22-30</f>
        <v>1993</v>
      </c>
      <c r="H9" s="14">
        <f t="shared" si="2"/>
        <v>36</v>
      </c>
      <c r="I9" s="1">
        <f t="shared" si="3"/>
        <v>1987</v>
      </c>
      <c r="K9" s="14">
        <f t="shared" si="0"/>
        <v>26</v>
      </c>
      <c r="L9" s="1">
        <f t="shared" si="1"/>
        <v>1997</v>
      </c>
    </row>
    <row r="10" spans="4:12" x14ac:dyDescent="0.15">
      <c r="D10" s="14">
        <v>2</v>
      </c>
      <c r="E10" s="1">
        <f>説明書!$U$22-35</f>
        <v>1988</v>
      </c>
      <c r="H10" s="14">
        <f t="shared" si="2"/>
        <v>37</v>
      </c>
      <c r="I10" s="1">
        <f t="shared" si="3"/>
        <v>1986</v>
      </c>
      <c r="K10" s="14">
        <f t="shared" si="0"/>
        <v>27</v>
      </c>
      <c r="L10" s="1">
        <f t="shared" si="1"/>
        <v>1996</v>
      </c>
    </row>
    <row r="11" spans="4:12" x14ac:dyDescent="0.15">
      <c r="D11" s="14">
        <v>3</v>
      </c>
      <c r="E11" s="1">
        <f>説明書!$U$22-40</f>
        <v>1983</v>
      </c>
      <c r="H11" s="14">
        <f t="shared" si="2"/>
        <v>38</v>
      </c>
      <c r="I11" s="1">
        <f t="shared" si="3"/>
        <v>1985</v>
      </c>
      <c r="K11" s="14">
        <f t="shared" si="0"/>
        <v>28</v>
      </c>
      <c r="L11" s="1">
        <f t="shared" si="1"/>
        <v>1995</v>
      </c>
    </row>
    <row r="12" spans="4:12" x14ac:dyDescent="0.15">
      <c r="D12" s="14">
        <v>4</v>
      </c>
      <c r="E12" s="1">
        <f>説明書!$U$22-45</f>
        <v>1978</v>
      </c>
      <c r="H12" s="14">
        <f t="shared" si="2"/>
        <v>39</v>
      </c>
      <c r="I12" s="1">
        <f t="shared" si="3"/>
        <v>1984</v>
      </c>
      <c r="K12" s="14">
        <f>K13-1</f>
        <v>29</v>
      </c>
      <c r="L12" s="1">
        <f>L13+1</f>
        <v>1994</v>
      </c>
    </row>
    <row r="13" spans="4:12" x14ac:dyDescent="0.15">
      <c r="D13" s="14">
        <v>5</v>
      </c>
      <c r="E13" s="1">
        <f>説明書!$U$22-50</f>
        <v>1973</v>
      </c>
      <c r="H13" s="14">
        <f t="shared" si="2"/>
        <v>40</v>
      </c>
      <c r="I13" s="1">
        <f t="shared" si="3"/>
        <v>1983</v>
      </c>
      <c r="K13" s="14">
        <v>30</v>
      </c>
      <c r="L13" s="1">
        <f>説明書!$U$104-30</f>
        <v>1993</v>
      </c>
    </row>
    <row r="14" spans="4:12" x14ac:dyDescent="0.15">
      <c r="D14" s="14">
        <v>6</v>
      </c>
      <c r="E14" s="1">
        <f>説明書!$U$22-60</f>
        <v>1963</v>
      </c>
      <c r="H14" s="14">
        <f t="shared" si="2"/>
        <v>41</v>
      </c>
      <c r="I14" s="1">
        <f t="shared" si="3"/>
        <v>1982</v>
      </c>
      <c r="K14" s="14">
        <f>K13+1</f>
        <v>31</v>
      </c>
      <c r="L14" s="1">
        <f>L13-1</f>
        <v>1992</v>
      </c>
    </row>
    <row r="15" spans="4:12" x14ac:dyDescent="0.15">
      <c r="D15" s="14">
        <v>7</v>
      </c>
      <c r="E15" s="1">
        <f>説明書!$U$22-70</f>
        <v>1953</v>
      </c>
      <c r="H15" s="14">
        <f t="shared" si="2"/>
        <v>42</v>
      </c>
      <c r="I15" s="1">
        <f t="shared" si="3"/>
        <v>1981</v>
      </c>
      <c r="K15" s="14">
        <f t="shared" ref="K15:K45" si="4">K14+1</f>
        <v>32</v>
      </c>
      <c r="L15" s="1">
        <f t="shared" ref="L15:L45" si="5">L14-1</f>
        <v>1991</v>
      </c>
    </row>
    <row r="16" spans="4:12" x14ac:dyDescent="0.15">
      <c r="H16" s="14">
        <f t="shared" si="2"/>
        <v>43</v>
      </c>
      <c r="I16" s="1">
        <f t="shared" si="3"/>
        <v>1980</v>
      </c>
      <c r="K16" s="14">
        <f t="shared" si="4"/>
        <v>33</v>
      </c>
      <c r="L16" s="1">
        <f t="shared" si="5"/>
        <v>1990</v>
      </c>
    </row>
    <row r="17" spans="4:12" x14ac:dyDescent="0.15">
      <c r="D17" s="5" t="s">
        <v>216</v>
      </c>
      <c r="H17" s="14">
        <f t="shared" si="2"/>
        <v>44</v>
      </c>
      <c r="I17" s="1">
        <f t="shared" si="3"/>
        <v>1979</v>
      </c>
      <c r="K17" s="14">
        <f t="shared" si="4"/>
        <v>34</v>
      </c>
      <c r="L17" s="1">
        <f t="shared" si="5"/>
        <v>1989</v>
      </c>
    </row>
    <row r="18" spans="4:12" x14ac:dyDescent="0.15">
      <c r="D18" s="14">
        <v>1</v>
      </c>
      <c r="E18" s="12" t="s">
        <v>218</v>
      </c>
      <c r="H18" s="14">
        <f t="shared" si="2"/>
        <v>45</v>
      </c>
      <c r="I18" s="1">
        <f t="shared" si="3"/>
        <v>1978</v>
      </c>
      <c r="K18" s="14">
        <f t="shared" si="4"/>
        <v>35</v>
      </c>
      <c r="L18" s="1">
        <f t="shared" si="5"/>
        <v>1988</v>
      </c>
    </row>
    <row r="19" spans="4:12" x14ac:dyDescent="0.15">
      <c r="D19" s="14">
        <v>2</v>
      </c>
      <c r="E19" s="12" t="s">
        <v>281</v>
      </c>
      <c r="H19" s="14">
        <f t="shared" si="2"/>
        <v>46</v>
      </c>
      <c r="I19" s="1">
        <f t="shared" si="3"/>
        <v>1977</v>
      </c>
      <c r="K19" s="14">
        <f t="shared" si="4"/>
        <v>36</v>
      </c>
      <c r="L19" s="1">
        <f t="shared" si="5"/>
        <v>1987</v>
      </c>
    </row>
    <row r="20" spans="4:12" x14ac:dyDescent="0.15">
      <c r="H20" s="14">
        <f t="shared" si="2"/>
        <v>47</v>
      </c>
      <c r="I20" s="1">
        <f t="shared" si="3"/>
        <v>1976</v>
      </c>
      <c r="K20" s="14">
        <f t="shared" si="4"/>
        <v>37</v>
      </c>
      <c r="L20" s="1">
        <f t="shared" si="5"/>
        <v>1986</v>
      </c>
    </row>
    <row r="21" spans="4:12" x14ac:dyDescent="0.15">
      <c r="D21" s="5" t="s">
        <v>41</v>
      </c>
      <c r="H21" s="14">
        <f t="shared" si="2"/>
        <v>48</v>
      </c>
      <c r="I21" s="1">
        <f t="shared" si="3"/>
        <v>1975</v>
      </c>
      <c r="K21" s="14">
        <f t="shared" si="4"/>
        <v>38</v>
      </c>
      <c r="L21" s="1">
        <f t="shared" si="5"/>
        <v>1985</v>
      </c>
    </row>
    <row r="22" spans="4:12" x14ac:dyDescent="0.15">
      <c r="D22" s="14">
        <v>1</v>
      </c>
      <c r="E22" s="1">
        <v>3000</v>
      </c>
      <c r="H22" s="14">
        <f t="shared" si="2"/>
        <v>49</v>
      </c>
      <c r="I22" s="1">
        <f t="shared" si="3"/>
        <v>1974</v>
      </c>
      <c r="K22" s="14">
        <f t="shared" si="4"/>
        <v>39</v>
      </c>
      <c r="L22" s="1">
        <f t="shared" si="5"/>
        <v>1984</v>
      </c>
    </row>
    <row r="23" spans="4:12" x14ac:dyDescent="0.15">
      <c r="D23" s="14">
        <v>2</v>
      </c>
      <c r="E23" s="1">
        <v>7000</v>
      </c>
      <c r="H23" s="14">
        <f t="shared" si="2"/>
        <v>50</v>
      </c>
      <c r="I23" s="1">
        <f t="shared" si="3"/>
        <v>1973</v>
      </c>
      <c r="K23" s="14">
        <f t="shared" si="4"/>
        <v>40</v>
      </c>
      <c r="L23" s="1">
        <f t="shared" si="5"/>
        <v>1983</v>
      </c>
    </row>
    <row r="24" spans="4:12" x14ac:dyDescent="0.15">
      <c r="H24" s="14">
        <f t="shared" si="2"/>
        <v>51</v>
      </c>
      <c r="I24" s="1">
        <f t="shared" si="3"/>
        <v>1972</v>
      </c>
      <c r="K24" s="14">
        <f t="shared" si="4"/>
        <v>41</v>
      </c>
      <c r="L24" s="1">
        <f t="shared" si="5"/>
        <v>1982</v>
      </c>
    </row>
    <row r="25" spans="4:12" x14ac:dyDescent="0.15">
      <c r="H25" s="14">
        <f t="shared" si="2"/>
        <v>52</v>
      </c>
      <c r="I25" s="1">
        <f t="shared" si="3"/>
        <v>1971</v>
      </c>
      <c r="K25" s="14">
        <f t="shared" si="4"/>
        <v>42</v>
      </c>
      <c r="L25" s="1">
        <f t="shared" si="5"/>
        <v>1981</v>
      </c>
    </row>
    <row r="26" spans="4:12" x14ac:dyDescent="0.15">
      <c r="H26" s="14">
        <f t="shared" si="2"/>
        <v>53</v>
      </c>
      <c r="I26" s="1">
        <f t="shared" si="3"/>
        <v>1970</v>
      </c>
      <c r="K26" s="14">
        <f t="shared" si="4"/>
        <v>43</v>
      </c>
      <c r="L26" s="1">
        <f t="shared" si="5"/>
        <v>1980</v>
      </c>
    </row>
    <row r="27" spans="4:12" x14ac:dyDescent="0.15">
      <c r="H27" s="14">
        <f t="shared" si="2"/>
        <v>54</v>
      </c>
      <c r="I27" s="1">
        <f t="shared" si="3"/>
        <v>1969</v>
      </c>
      <c r="K27" s="14">
        <f t="shared" si="4"/>
        <v>44</v>
      </c>
      <c r="L27" s="1">
        <f t="shared" si="5"/>
        <v>1979</v>
      </c>
    </row>
    <row r="28" spans="4:12" x14ac:dyDescent="0.15">
      <c r="H28" s="14">
        <f t="shared" si="2"/>
        <v>55</v>
      </c>
      <c r="I28" s="1">
        <f t="shared" si="3"/>
        <v>1968</v>
      </c>
      <c r="K28" s="14">
        <f t="shared" si="4"/>
        <v>45</v>
      </c>
      <c r="L28" s="1">
        <f t="shared" si="5"/>
        <v>1978</v>
      </c>
    </row>
    <row r="29" spans="4:12" x14ac:dyDescent="0.15">
      <c r="H29" s="14">
        <f t="shared" si="2"/>
        <v>56</v>
      </c>
      <c r="I29" s="1">
        <f t="shared" si="3"/>
        <v>1967</v>
      </c>
      <c r="K29" s="14">
        <f t="shared" si="4"/>
        <v>46</v>
      </c>
      <c r="L29" s="1">
        <f t="shared" si="5"/>
        <v>1977</v>
      </c>
    </row>
    <row r="30" spans="4:12" x14ac:dyDescent="0.15">
      <c r="H30" s="14">
        <f t="shared" si="2"/>
        <v>57</v>
      </c>
      <c r="I30" s="1">
        <f t="shared" si="3"/>
        <v>1966</v>
      </c>
      <c r="K30" s="14">
        <f t="shared" si="4"/>
        <v>47</v>
      </c>
      <c r="L30" s="1">
        <f t="shared" si="5"/>
        <v>1976</v>
      </c>
    </row>
    <row r="31" spans="4:12" x14ac:dyDescent="0.15">
      <c r="H31" s="14">
        <f t="shared" si="2"/>
        <v>58</v>
      </c>
      <c r="I31" s="1">
        <f t="shared" si="3"/>
        <v>1965</v>
      </c>
      <c r="K31" s="14">
        <f t="shared" si="4"/>
        <v>48</v>
      </c>
      <c r="L31" s="1">
        <f t="shared" si="5"/>
        <v>1975</v>
      </c>
    </row>
    <row r="32" spans="4:12" x14ac:dyDescent="0.15">
      <c r="H32" s="14">
        <f t="shared" si="2"/>
        <v>59</v>
      </c>
      <c r="I32" s="1">
        <f t="shared" si="3"/>
        <v>1964</v>
      </c>
      <c r="K32" s="14">
        <f t="shared" si="4"/>
        <v>49</v>
      </c>
      <c r="L32" s="1">
        <f t="shared" si="5"/>
        <v>1974</v>
      </c>
    </row>
    <row r="33" spans="8:12" x14ac:dyDescent="0.15">
      <c r="H33" s="14">
        <f t="shared" si="2"/>
        <v>60</v>
      </c>
      <c r="I33" s="1">
        <f t="shared" si="3"/>
        <v>1963</v>
      </c>
      <c r="K33" s="14">
        <f t="shared" si="4"/>
        <v>50</v>
      </c>
      <c r="L33" s="1">
        <f t="shared" si="5"/>
        <v>1973</v>
      </c>
    </row>
    <row r="34" spans="8:12" x14ac:dyDescent="0.15">
      <c r="H34" s="14">
        <f t="shared" si="2"/>
        <v>61</v>
      </c>
      <c r="I34" s="1">
        <f t="shared" si="3"/>
        <v>1962</v>
      </c>
      <c r="K34" s="14">
        <f t="shared" si="4"/>
        <v>51</v>
      </c>
      <c r="L34" s="1">
        <f t="shared" si="5"/>
        <v>1972</v>
      </c>
    </row>
    <row r="35" spans="8:12" x14ac:dyDescent="0.15">
      <c r="H35" s="14">
        <f t="shared" si="2"/>
        <v>62</v>
      </c>
      <c r="I35" s="1">
        <f t="shared" si="3"/>
        <v>1961</v>
      </c>
      <c r="K35" s="14">
        <f t="shared" si="4"/>
        <v>52</v>
      </c>
      <c r="L35" s="1">
        <f t="shared" si="5"/>
        <v>1971</v>
      </c>
    </row>
    <row r="36" spans="8:12" x14ac:dyDescent="0.15">
      <c r="H36" s="14">
        <f>H35+1</f>
        <v>63</v>
      </c>
      <c r="I36" s="1">
        <f>I35-1</f>
        <v>1960</v>
      </c>
      <c r="K36" s="14">
        <f t="shared" si="4"/>
        <v>53</v>
      </c>
      <c r="L36" s="1">
        <f t="shared" si="5"/>
        <v>1970</v>
      </c>
    </row>
    <row r="37" spans="8:12" x14ac:dyDescent="0.15">
      <c r="H37" s="14">
        <f t="shared" ref="H37:H42" si="6">H36+1</f>
        <v>64</v>
      </c>
      <c r="I37" s="1">
        <f t="shared" ref="I37:I42" si="7">I36-1</f>
        <v>1959</v>
      </c>
      <c r="K37" s="14">
        <f t="shared" si="4"/>
        <v>54</v>
      </c>
      <c r="L37" s="1">
        <f t="shared" si="5"/>
        <v>1969</v>
      </c>
    </row>
    <row r="38" spans="8:12" x14ac:dyDescent="0.15">
      <c r="H38" s="14">
        <f t="shared" si="6"/>
        <v>65</v>
      </c>
      <c r="I38" s="1">
        <f t="shared" si="7"/>
        <v>1958</v>
      </c>
      <c r="K38" s="14">
        <f t="shared" si="4"/>
        <v>55</v>
      </c>
      <c r="L38" s="1">
        <f t="shared" si="5"/>
        <v>1968</v>
      </c>
    </row>
    <row r="39" spans="8:12" x14ac:dyDescent="0.15">
      <c r="H39" s="14">
        <f t="shared" si="6"/>
        <v>66</v>
      </c>
      <c r="I39" s="1">
        <f t="shared" si="7"/>
        <v>1957</v>
      </c>
      <c r="K39" s="14">
        <f t="shared" si="4"/>
        <v>56</v>
      </c>
      <c r="L39" s="1">
        <f t="shared" si="5"/>
        <v>1967</v>
      </c>
    </row>
    <row r="40" spans="8:12" x14ac:dyDescent="0.15">
      <c r="H40" s="14">
        <f t="shared" si="6"/>
        <v>67</v>
      </c>
      <c r="I40" s="1">
        <f t="shared" si="7"/>
        <v>1956</v>
      </c>
      <c r="K40" s="14">
        <f t="shared" si="4"/>
        <v>57</v>
      </c>
      <c r="L40" s="1">
        <f t="shared" si="5"/>
        <v>1966</v>
      </c>
    </row>
    <row r="41" spans="8:12" x14ac:dyDescent="0.15">
      <c r="H41" s="14">
        <f t="shared" si="6"/>
        <v>68</v>
      </c>
      <c r="I41" s="1">
        <f t="shared" si="7"/>
        <v>1955</v>
      </c>
      <c r="K41" s="14">
        <f t="shared" si="4"/>
        <v>58</v>
      </c>
      <c r="L41" s="1">
        <f t="shared" si="5"/>
        <v>1965</v>
      </c>
    </row>
    <row r="42" spans="8:12" x14ac:dyDescent="0.15">
      <c r="H42" s="14">
        <f t="shared" si="6"/>
        <v>69</v>
      </c>
      <c r="I42" s="1">
        <f t="shared" si="7"/>
        <v>1954</v>
      </c>
      <c r="K42" s="14">
        <f t="shared" si="4"/>
        <v>59</v>
      </c>
      <c r="L42" s="1">
        <f t="shared" si="5"/>
        <v>1964</v>
      </c>
    </row>
    <row r="43" spans="8:12" x14ac:dyDescent="0.15">
      <c r="K43" s="14">
        <f t="shared" si="4"/>
        <v>60</v>
      </c>
      <c r="L43" s="1">
        <f t="shared" si="5"/>
        <v>1963</v>
      </c>
    </row>
    <row r="44" spans="8:12" x14ac:dyDescent="0.15">
      <c r="K44" s="14">
        <f t="shared" si="4"/>
        <v>61</v>
      </c>
      <c r="L44" s="1">
        <f t="shared" si="5"/>
        <v>1962</v>
      </c>
    </row>
    <row r="45" spans="8:12" x14ac:dyDescent="0.15">
      <c r="K45" s="14">
        <f t="shared" si="4"/>
        <v>62</v>
      </c>
      <c r="L45" s="1">
        <f t="shared" si="5"/>
        <v>1961</v>
      </c>
    </row>
    <row r="46" spans="8:12" x14ac:dyDescent="0.15">
      <c r="K46" s="14">
        <f>K45+1</f>
        <v>63</v>
      </c>
      <c r="L46" s="1">
        <f>L45-1</f>
        <v>1960</v>
      </c>
    </row>
    <row r="47" spans="8:12" x14ac:dyDescent="0.15">
      <c r="K47" s="14">
        <f t="shared" ref="K47:K63" si="8">K46+1</f>
        <v>64</v>
      </c>
      <c r="L47" s="1">
        <f t="shared" ref="L47:L63" si="9">L46-1</f>
        <v>1959</v>
      </c>
    </row>
    <row r="48" spans="8:12" x14ac:dyDescent="0.15">
      <c r="K48" s="14">
        <f t="shared" si="8"/>
        <v>65</v>
      </c>
      <c r="L48" s="1">
        <f t="shared" si="9"/>
        <v>1958</v>
      </c>
    </row>
    <row r="49" spans="11:12" x14ac:dyDescent="0.15">
      <c r="K49" s="14">
        <f t="shared" si="8"/>
        <v>66</v>
      </c>
      <c r="L49" s="1">
        <f t="shared" si="9"/>
        <v>1957</v>
      </c>
    </row>
    <row r="50" spans="11:12" x14ac:dyDescent="0.15">
      <c r="K50" s="14">
        <f t="shared" si="8"/>
        <v>67</v>
      </c>
      <c r="L50" s="1">
        <f t="shared" si="9"/>
        <v>1956</v>
      </c>
    </row>
    <row r="51" spans="11:12" x14ac:dyDescent="0.15">
      <c r="K51" s="14">
        <f t="shared" si="8"/>
        <v>68</v>
      </c>
      <c r="L51" s="1">
        <f t="shared" si="9"/>
        <v>1955</v>
      </c>
    </row>
    <row r="52" spans="11:12" x14ac:dyDescent="0.15">
      <c r="K52" s="14">
        <f t="shared" si="8"/>
        <v>69</v>
      </c>
      <c r="L52" s="1">
        <f t="shared" si="9"/>
        <v>1954</v>
      </c>
    </row>
    <row r="53" spans="11:12" x14ac:dyDescent="0.15">
      <c r="K53" s="14">
        <f t="shared" si="8"/>
        <v>70</v>
      </c>
      <c r="L53" s="1">
        <f t="shared" si="9"/>
        <v>1953</v>
      </c>
    </row>
    <row r="54" spans="11:12" x14ac:dyDescent="0.15">
      <c r="K54" s="14">
        <f t="shared" si="8"/>
        <v>71</v>
      </c>
      <c r="L54" s="1">
        <f t="shared" si="9"/>
        <v>1952</v>
      </c>
    </row>
    <row r="55" spans="11:12" x14ac:dyDescent="0.15">
      <c r="K55" s="14">
        <f t="shared" si="8"/>
        <v>72</v>
      </c>
      <c r="L55" s="1">
        <f t="shared" si="9"/>
        <v>1951</v>
      </c>
    </row>
    <row r="56" spans="11:12" x14ac:dyDescent="0.15">
      <c r="K56" s="14">
        <f t="shared" si="8"/>
        <v>73</v>
      </c>
      <c r="L56" s="1">
        <f t="shared" si="9"/>
        <v>1950</v>
      </c>
    </row>
    <row r="57" spans="11:12" x14ac:dyDescent="0.15">
      <c r="K57" s="14">
        <f t="shared" si="8"/>
        <v>74</v>
      </c>
      <c r="L57" s="1">
        <f t="shared" si="9"/>
        <v>1949</v>
      </c>
    </row>
    <row r="58" spans="11:12" x14ac:dyDescent="0.15">
      <c r="K58" s="14">
        <f t="shared" si="8"/>
        <v>75</v>
      </c>
      <c r="L58" s="1">
        <f t="shared" si="9"/>
        <v>1948</v>
      </c>
    </row>
    <row r="59" spans="11:12" x14ac:dyDescent="0.15">
      <c r="K59" s="14">
        <f t="shared" si="8"/>
        <v>76</v>
      </c>
      <c r="L59" s="1">
        <f t="shared" si="9"/>
        <v>1947</v>
      </c>
    </row>
    <row r="60" spans="11:12" x14ac:dyDescent="0.15">
      <c r="K60" s="14">
        <f t="shared" si="8"/>
        <v>77</v>
      </c>
      <c r="L60" s="1">
        <f t="shared" si="9"/>
        <v>1946</v>
      </c>
    </row>
    <row r="61" spans="11:12" x14ac:dyDescent="0.15">
      <c r="K61" s="14">
        <f t="shared" si="8"/>
        <v>78</v>
      </c>
      <c r="L61" s="1">
        <f t="shared" si="9"/>
        <v>1945</v>
      </c>
    </row>
    <row r="62" spans="11:12" x14ac:dyDescent="0.15">
      <c r="K62" s="14">
        <f t="shared" si="8"/>
        <v>79</v>
      </c>
      <c r="L62" s="1">
        <f t="shared" si="9"/>
        <v>1944</v>
      </c>
    </row>
    <row r="63" spans="11:12" x14ac:dyDescent="0.15">
      <c r="K63" s="14">
        <f t="shared" si="8"/>
        <v>80</v>
      </c>
      <c r="L63" s="1">
        <f t="shared" si="9"/>
        <v>1943</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1"/>
  </sheetPr>
  <dimension ref="A1:AP2"/>
  <sheetViews>
    <sheetView zoomScale="85" zoomScaleNormal="85" workbookViewId="0">
      <selection activeCell="G12" sqref="G12"/>
    </sheetView>
  </sheetViews>
  <sheetFormatPr defaultRowHeight="13.5" x14ac:dyDescent="0.15"/>
  <cols>
    <col min="1" max="1" width="12.75" bestFit="1" customWidth="1"/>
    <col min="2" max="3" width="4.375" bestFit="1" customWidth="1"/>
    <col min="4" max="4" width="7.875" bestFit="1" customWidth="1"/>
    <col min="5" max="5" width="8.125" bestFit="1" customWidth="1"/>
    <col min="6" max="6" width="13.125" bestFit="1" customWidth="1"/>
    <col min="7" max="7" width="12.75" bestFit="1" customWidth="1"/>
    <col min="8" max="8" width="8.125" bestFit="1" customWidth="1"/>
    <col min="9" max="9" width="6.25" bestFit="1" customWidth="1"/>
    <col min="10" max="10" width="6.25" customWidth="1"/>
    <col min="11" max="11" width="12.75" bestFit="1" customWidth="1"/>
    <col min="12" max="13" width="9.75" bestFit="1" customWidth="1"/>
    <col min="14" max="14" width="6.25" bestFit="1" customWidth="1"/>
    <col min="15" max="15" width="8.125" bestFit="1" customWidth="1"/>
    <col min="16" max="17" width="10" bestFit="1" customWidth="1"/>
    <col min="18" max="18" width="14.125" bestFit="1" customWidth="1"/>
    <col min="19" max="19" width="12.5" bestFit="1" customWidth="1"/>
    <col min="20" max="20" width="9.875" bestFit="1" customWidth="1"/>
    <col min="21" max="21" width="8.25" bestFit="1" customWidth="1"/>
    <col min="22" max="22" width="9.625" bestFit="1" customWidth="1"/>
    <col min="23" max="23" width="10" bestFit="1" customWidth="1"/>
    <col min="24" max="24" width="9.875" bestFit="1" customWidth="1"/>
    <col min="25" max="25" width="24" bestFit="1" customWidth="1"/>
    <col min="26" max="26" width="9.875" bestFit="1" customWidth="1"/>
    <col min="27" max="29" width="10" bestFit="1" customWidth="1"/>
    <col min="30" max="30" width="8.125" bestFit="1" customWidth="1"/>
    <col min="31" max="34" width="6.25" bestFit="1" customWidth="1"/>
    <col min="35" max="35" width="16.25" bestFit="1" customWidth="1"/>
    <col min="36" max="36" width="13" bestFit="1" customWidth="1"/>
    <col min="37" max="37" width="6.25" bestFit="1" customWidth="1"/>
    <col min="38" max="39" width="7.125" bestFit="1" customWidth="1"/>
  </cols>
  <sheetData>
    <row r="1" spans="1:42" x14ac:dyDescent="0.15">
      <c r="A1" s="7" t="str">
        <f>CONCATENATE(Z打鍵!A1,"3")</f>
        <v>西暦3</v>
      </c>
      <c r="B1" s="7" t="str">
        <f>CONCATENATE(Z打鍵!B1,"3")</f>
        <v>月3</v>
      </c>
      <c r="C1" s="7" t="str">
        <f>CONCATENATE(Z打鍵!C1,"3")</f>
        <v>日3</v>
      </c>
      <c r="D1" s="7" t="str">
        <f>CONCATENATE(Z打鍵!D1,"3")</f>
        <v>NF3</v>
      </c>
      <c r="E1" s="7" t="str">
        <f>CONCATENATE(Z打鍵!E1,"3")</f>
        <v>背番号3</v>
      </c>
      <c r="F1" s="7" t="str">
        <f>CONCATENATE(Z打鍵!F1,"3")</f>
        <v>年齢限定3</v>
      </c>
      <c r="G1" s="7" t="str">
        <f>CONCATENATE(Z打鍵!G1,"3")</f>
        <v>初度年3</v>
      </c>
      <c r="H1" s="7" t="str">
        <f>CONCATENATE(Z打鍵!H1,"3")</f>
        <v>初度月3</v>
      </c>
      <c r="I1" s="7" t="str">
        <f>CONCATENATE(Z打鍵!I1,"3")</f>
        <v>型式3</v>
      </c>
      <c r="J1" s="7" t="s">
        <v>338</v>
      </c>
      <c r="K1" s="7" t="str">
        <f>CONCATENATE(Z打鍵!K1,"3")</f>
        <v>生年3</v>
      </c>
      <c r="L1" s="7" t="str">
        <f>CONCATENATE(Z打鍵!L1,"3")</f>
        <v>生まれ月3</v>
      </c>
      <c r="M1" s="7" t="str">
        <f>CONCATENATE(Z打鍵!M1,"3")</f>
        <v>生まれ日3</v>
      </c>
      <c r="N1" s="7" t="str">
        <f>CONCATENATE(Z打鍵!N1,"3")</f>
        <v>地域3</v>
      </c>
      <c r="O1" s="7" t="str">
        <f>CONCATENATE(Z打鍵!O1,"3")</f>
        <v>免許3</v>
      </c>
      <c r="P1" s="7" t="str">
        <f>CONCATENATE(Z打鍵!P1,"3")</f>
        <v>使用目的3</v>
      </c>
      <c r="Q1" s="7" t="str">
        <f>CONCATENATE(Z打鍵!Q1,"3")</f>
        <v>走行距離3</v>
      </c>
      <c r="R1" s="7" t="str">
        <f>CONCATENATE(Z打鍵!R1,"3")</f>
        <v>年齢限定修正3</v>
      </c>
      <c r="S1" s="7" t="str">
        <f>CONCATENATE(Z打鍵!S1,"3")</f>
        <v>運限修正3</v>
      </c>
      <c r="T1" s="7" t="str">
        <f>CONCATENATE(Z打鍵!T1,"3")</f>
        <v>対物AMT3</v>
      </c>
      <c r="U1" s="7" t="str">
        <f>CONCATENATE(Z打鍵!U1,"3")</f>
        <v>対物LL3</v>
      </c>
      <c r="V1" s="7" t="str">
        <f>CONCATENATE(Z打鍵!V1,"3")</f>
        <v>搭乗者3</v>
      </c>
      <c r="W1" s="7" t="str">
        <f>CONCATENATE(Z打鍵!W1,"3")</f>
        <v>人傷種類3</v>
      </c>
      <c r="X1" s="7" t="s">
        <v>279</v>
      </c>
      <c r="Y1" s="7" t="str">
        <f>CONCATENATE(Z打鍵!Y1,"3")</f>
        <v>車両保険種類3</v>
      </c>
      <c r="Z1" s="7" t="str">
        <f>CONCATENATE(Z打鍵!Z1,"3")</f>
        <v>車両AMT3</v>
      </c>
      <c r="AA1" s="7" t="str">
        <f>CONCATENATE(Z打鍵!AA1,"3")</f>
        <v>車両免責3</v>
      </c>
      <c r="AB1" s="7" t="str">
        <f>CONCATENATE(Z打鍵!AB1,"3")</f>
        <v>積載動産3</v>
      </c>
      <c r="AC1" s="7" t="str">
        <f>CONCATENATE(Z打鍵!AC1,"3")</f>
        <v>代車費用3</v>
      </c>
      <c r="AD1" s="7" t="str">
        <f>CONCATENATE(Z打鍵!AD1,"3")</f>
        <v>地噴津3</v>
      </c>
      <c r="AE1" s="7" t="str">
        <f>CONCATENATE(Z打鍵!AE1,"3")</f>
        <v>弁特3</v>
      </c>
      <c r="AF1" s="7" t="str">
        <f>CONCATENATE(Z打鍵!AF1,"3")</f>
        <v>原付3</v>
      </c>
      <c r="AG1" s="7" t="str">
        <f>CONCATENATE(Z打鍵!AG1,"3")</f>
        <v>個賠3</v>
      </c>
      <c r="AH1" s="7" t="str">
        <f>CONCATENATE(Z打鍵!AH1,"3")</f>
        <v>傷害3</v>
      </c>
      <c r="AI1" s="7" t="str">
        <f>CONCATENATE(Z打鍵!AI1,"3")</f>
        <v>地噴津死亡傷害3</v>
      </c>
      <c r="AJ1" s="7" t="s">
        <v>75</v>
      </c>
      <c r="AK1" s="7" t="s">
        <v>61</v>
      </c>
      <c r="AL1" s="3" t="s">
        <v>0</v>
      </c>
      <c r="AM1" s="3" t="s">
        <v>1</v>
      </c>
      <c r="AN1" s="3" t="s">
        <v>331</v>
      </c>
      <c r="AO1" s="3" t="s">
        <v>332</v>
      </c>
      <c r="AP1" s="3" t="s">
        <v>333</v>
      </c>
    </row>
    <row r="2" spans="1:42" x14ac:dyDescent="0.15">
      <c r="A2" s="8" t="str">
        <f>VLOOKUP(Z打鍵!$A2,ヘンスウチ!$B$3:$C$9,2,FALSE)</f>
        <v>2023(令和05)</v>
      </c>
      <c r="B2" s="8">
        <f>Z打鍵!$B2</f>
        <v>1</v>
      </c>
      <c r="C2" s="8">
        <f>Z打鍵!$C2</f>
        <v>1</v>
      </c>
      <c r="D2" s="8" t="str">
        <f>VLOOKUP(Z打鍵!$D2,ヘンスウチ!$E$3:$F$24,2,FALSE)</f>
        <v>7F 等級</v>
      </c>
      <c r="E2" s="8" t="str">
        <f>Z打鍵!$E2</f>
        <v>なし</v>
      </c>
      <c r="F2" s="8" t="str">
        <f>VLOOKUP(Z打鍵!$F2,ヘンスウチ!$H$23:$I$26,2,FALSE)</f>
        <v>35歳以上補償</v>
      </c>
      <c r="G2" s="8" t="str">
        <f>VLOOKUP(Z打鍵!$G2,ヘンスウチ!$B$59:$C$166,2,FALSE)</f>
        <v>2016(平成28)</v>
      </c>
      <c r="H2" s="8">
        <f>Z打鍵!$H2</f>
        <v>12</v>
      </c>
      <c r="I2" s="8" t="str">
        <f>Z打鍵!$I2</f>
        <v>ZC32S</v>
      </c>
      <c r="J2" s="8" t="str">
        <f>Z打鍵!$J2</f>
        <v>なし</v>
      </c>
      <c r="K2" s="8" t="str">
        <f>IF(AND(Z打鍵!$K2=1989,Z打鍵!$L2=1,Z打鍵!$M2&lt;=7),"1989(昭和64)",VLOOKUP(Z打鍵!$K2,ヘンスウチ!$B$65:$C$166,2,FALSE))</f>
        <v>1983(昭和58)</v>
      </c>
      <c r="L2" s="30">
        <f>Z打鍵!$L2</f>
        <v>1</v>
      </c>
      <c r="M2" s="8">
        <f>Z打鍵!$M2</f>
        <v>1</v>
      </c>
      <c r="N2" s="8" t="str">
        <f>VLOOKUP(Z打鍵!$N2,ヘンスウチ!$H$3:$I$9,2,FALSE)</f>
        <v>北海道</v>
      </c>
      <c r="O2" s="8" t="str">
        <f>Z打鍵!$O2</f>
        <v>ブルー</v>
      </c>
      <c r="P2" s="8" t="str">
        <f>Z打鍵!$P2</f>
        <v>通勤</v>
      </c>
      <c r="Q2" s="8">
        <f>VLOOKUP(Z打鍵!$Q2,ヘンスウチ!$E$26:$F$56,2,FALSE)</f>
        <v>5</v>
      </c>
      <c r="R2" s="8" t="str">
        <f>VLOOKUP(Z打鍵!$R2,ヘンスウチ!$H$29:$I$32,2,FALSE)</f>
        <v>21歳以上補償</v>
      </c>
      <c r="S2" s="8" t="str">
        <f>VLOOKUP(Z打鍵!$S2,ヘンスウチ!$H$18:$I$20,2,FALSE)</f>
        <v>本人と配偶者</v>
      </c>
      <c r="T2" s="8" t="str">
        <f>VLOOKUP(Z打鍵!$T2,ヘンスウチ!$K$14:$L$19,2,FALSE)</f>
        <v>無制限</v>
      </c>
      <c r="U2" s="8" t="str">
        <f>VLOOKUP(Z打鍵!$U2,ヘンスウチ!$K$38:$L$40,2,FALSE)</f>
        <v>なし</v>
      </c>
      <c r="V2" s="8" t="str">
        <f>VLOOKUP(Z打鍵!$V2,ヘンスウチ!$K$22:$L$24,2,FALSE)</f>
        <v>500万円</v>
      </c>
      <c r="W2" s="8" t="str">
        <f>Z打鍵!$W2</f>
        <v>車内</v>
      </c>
      <c r="X2" s="8" t="str">
        <f>VLOOKUP(Z打鍵!$X2,ヘンスウチ!$K$27:$L$35,2,FALSE)</f>
        <v>3,000万円</v>
      </c>
      <c r="Y2" s="8" t="str">
        <f>VLOOKUP(Z打鍵!$Y2,ヘンスウチ!$K$4:$L$6,2,FALSE)</f>
        <v>ワイドカバー型（一般条件）</v>
      </c>
      <c r="Z2" s="8" t="str">
        <f>CONCATENATE(Z打鍵!$Z2,"万円")</f>
        <v>85万円</v>
      </c>
      <c r="AA2" s="8" t="str">
        <f>VLOOKUP(Z打鍵!$AA2,ヘンスウチ!$K$9:$L$11,2,FALSE)</f>
        <v>なし</v>
      </c>
      <c r="AB2" s="8" t="str">
        <f>Z打鍵!$AB2</f>
        <v>なし</v>
      </c>
      <c r="AC2" s="8" t="str">
        <f>Z打鍵!$AC2</f>
        <v>なし</v>
      </c>
      <c r="AD2" s="8" t="str">
        <f>Z打鍵!$AD2</f>
        <v>なし</v>
      </c>
      <c r="AE2" s="8" t="str">
        <f>Z打鍵!$AE2</f>
        <v>なし</v>
      </c>
      <c r="AF2" s="8" t="str">
        <f>Z打鍵!$AF2</f>
        <v>なし</v>
      </c>
      <c r="AG2" s="8" t="str">
        <f>VLOOKUP(Z打鍵!$AG2,ヘンスウチ!$K$52:$L$55,2,FALSE)</f>
        <v>なし</v>
      </c>
      <c r="AH2" s="8" t="str">
        <f>VLOOKUP(Z打鍵!$AH2,ヘンスウチ!$K$58:$L$61,2,FALSE)</f>
        <v>なし</v>
      </c>
      <c r="AI2" s="8" t="str">
        <f>VLOOKUP(Z打鍵!$AI2,ヘンスウチ!$K$58:$L$61,2,FALSE)</f>
        <v>なし</v>
      </c>
      <c r="AJ2" s="8" t="str">
        <f>IF(OR(Z打鍵!$D2="6S",Z打鍵!$D2="7S"),"純新規","純新規以外")</f>
        <v>純新規以外</v>
      </c>
      <c r="AK2" s="8">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1</v>
      </c>
      <c r="AL2" s="8">
        <f>COUNTA(Z打鍵!$A:$A)-1+2</f>
        <v>643</v>
      </c>
      <c r="AM2" s="30">
        <f>COUNTA(Z打鍵!$BU:$BU)-1</f>
        <v>0</v>
      </c>
      <c r="AN2">
        <f>COUNTIFS(Z打鍵!$BU:$BU,"&gt;"&amp;0)+COUNTIFS(Z打鍵!$BV:$BV,"&gt;"&amp;0)</f>
        <v>0</v>
      </c>
      <c r="AP2">
        <f>$AN2-$AO2</f>
        <v>0</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Company>セゾン自動車火災保険株式会社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safic</cp:lastModifiedBy>
  <dcterms:created xsi:type="dcterms:W3CDTF">2018-10-17T06:24:52Z</dcterms:created>
  <dcterms:modified xsi:type="dcterms:W3CDTF">2022-11-15T13:04:28Z</dcterms:modified>
</cp:coreProperties>
</file>