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safic\Documents\ファイル元帳\"/>
    </mc:Choice>
  </mc:AlternateContent>
  <bookViews>
    <workbookView xWindow="0" yWindow="0" windowWidth="20490" windowHeight="8475" tabRatio="874"/>
  </bookViews>
  <sheets>
    <sheet name="説明書" sheetId="8" r:id="rId1"/>
    <sheet name="Z打鍵" sheetId="1" r:id="rId2"/>
    <sheet name="ヘンスウチ" sheetId="2" r:id="rId3"/>
    <sheet name="ランダマイザー" sheetId="3" r:id="rId4"/>
    <sheet name="関数" sheetId="6" r:id="rId5"/>
  </sheets>
  <definedNames>
    <definedName name="_xlnm._FilterDatabase" localSheetId="1" hidden="1">Z打鍵!$A$1:$BY$4</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186" i="8" l="1"/>
  <c r="Z185" i="8"/>
  <c r="AE164" i="8" l="1"/>
  <c r="AE165" i="8" s="1"/>
  <c r="AU188" i="8"/>
  <c r="AT188" i="8"/>
  <c r="AS188" i="8"/>
  <c r="AR188" i="8"/>
  <c r="AQ188" i="8"/>
  <c r="AP188" i="8"/>
  <c r="AO188" i="8"/>
  <c r="AN188" i="8"/>
  <c r="AM188" i="8"/>
  <c r="AL188" i="8"/>
  <c r="AK188" i="8"/>
  <c r="AJ188" i="8"/>
  <c r="AI188" i="8"/>
  <c r="AH188" i="8"/>
  <c r="AG188" i="8"/>
  <c r="AF188" i="8"/>
  <c r="AJ97" i="8"/>
  <c r="AI97" i="8"/>
  <c r="AH97" i="8"/>
  <c r="AG97" i="8"/>
  <c r="AF97" i="8"/>
  <c r="AE97" i="8"/>
  <c r="AD97" i="8"/>
  <c r="AC97" i="8"/>
  <c r="AB97" i="8"/>
  <c r="AA97" i="8"/>
  <c r="Z97" i="8"/>
  <c r="Y97" i="8"/>
  <c r="X97" i="8"/>
  <c r="W97" i="8"/>
  <c r="V97" i="8"/>
  <c r="U97" i="8"/>
  <c r="AJ81" i="8"/>
  <c r="AI81" i="8"/>
  <c r="AH81" i="8"/>
  <c r="AG81" i="8"/>
  <c r="AF81" i="8"/>
  <c r="AE81" i="8"/>
  <c r="AD81" i="8"/>
  <c r="AC81" i="8"/>
  <c r="AB81" i="8"/>
  <c r="AA81" i="8"/>
  <c r="Z81" i="8"/>
  <c r="Y81" i="8"/>
  <c r="X81" i="8"/>
  <c r="W81" i="8"/>
  <c r="V81" i="8"/>
  <c r="U81" i="8"/>
  <c r="AE166" i="8" l="1"/>
  <c r="AE172" i="8"/>
  <c r="AE179" i="8" s="1"/>
  <c r="AE193" i="8" s="1"/>
  <c r="AE171" i="8"/>
  <c r="AE178" i="8" s="1"/>
  <c r="AE192" i="8" s="1"/>
  <c r="G2" i="6"/>
  <c r="B60" i="2"/>
  <c r="B61" i="2" s="1"/>
  <c r="B62" i="2" s="1"/>
  <c r="B63" i="2" s="1"/>
  <c r="B64" i="2" s="1"/>
  <c r="B65" i="2" s="1"/>
  <c r="B66" i="2" s="1"/>
  <c r="B67" i="2" s="1"/>
  <c r="X29" i="8"/>
  <c r="X28" i="8"/>
  <c r="AE167" i="8" l="1"/>
  <c r="AE173" i="8"/>
  <c r="AE180" i="8" s="1"/>
  <c r="AE194" i="8" s="1"/>
  <c r="AE174" i="8" l="1"/>
  <c r="AE181" i="8" s="1"/>
  <c r="AE195" i="8" s="1"/>
  <c r="AE168" i="8"/>
  <c r="AE175" i="8" s="1"/>
  <c r="AE182" i="8" s="1"/>
  <c r="AE196" i="8" s="1"/>
  <c r="AE108" i="8" l="1"/>
  <c r="AE109" i="8" s="1"/>
  <c r="AE110" i="8" s="1"/>
  <c r="AE111" i="8" s="1"/>
  <c r="AE112" i="8" s="1"/>
  <c r="AE113" i="8" s="1"/>
  <c r="AE114" i="8" s="1"/>
  <c r="AE115" i="8" s="1"/>
  <c r="AE116" i="8" s="1"/>
  <c r="AE117" i="8" s="1"/>
  <c r="AE118" i="8" s="1"/>
  <c r="AE119" i="8" s="1"/>
  <c r="AE120" i="8" s="1"/>
  <c r="AE121" i="8" s="1"/>
  <c r="AE122" i="8" s="1"/>
  <c r="AE123" i="8" s="1"/>
  <c r="AE124" i="8" s="1"/>
  <c r="AE125" i="8" s="1"/>
  <c r="AE126" i="8" s="1"/>
  <c r="AE127" i="8" s="1"/>
  <c r="AE128" i="8" s="1"/>
  <c r="AE129" i="8" s="1"/>
  <c r="AE130" i="8" s="1"/>
  <c r="Z108" i="8"/>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Z137" i="8" s="1"/>
  <c r="Z138" i="8" s="1"/>
  <c r="Z139" i="8" s="1"/>
  <c r="Z140" i="8" s="1"/>
  <c r="Z141" i="8" s="1"/>
  <c r="Z142" i="8" s="1"/>
  <c r="Z143" i="8" s="1"/>
  <c r="Z144" i="8" s="1"/>
  <c r="Z145" i="8" s="1"/>
  <c r="Z146" i="8" s="1"/>
  <c r="Z147" i="8" s="1"/>
  <c r="Z148" i="8" s="1"/>
  <c r="Z149" i="8" s="1"/>
  <c r="Z150" i="8" s="1"/>
  <c r="Z151" i="8" s="1"/>
  <c r="Z152" i="8" s="1"/>
  <c r="Z153" i="8" s="1"/>
  <c r="Z154" i="8" s="1"/>
  <c r="Z155" i="8" s="1"/>
  <c r="Z156" i="8" s="1"/>
  <c r="Z157" i="8" s="1"/>
  <c r="Z158" i="8" s="1"/>
  <c r="Z159" i="8" s="1"/>
  <c r="Z160" i="8" s="1"/>
  <c r="Z161" i="8" s="1"/>
  <c r="Z162" i="8" s="1"/>
  <c r="Z163" i="8" s="1"/>
  <c r="Z164" i="8" s="1"/>
  <c r="Z165" i="8" s="1"/>
  <c r="Z166" i="8" s="1"/>
  <c r="Z167" i="8" s="1"/>
  <c r="Z168" i="8" s="1"/>
  <c r="Z169" i="8" s="1"/>
  <c r="Z170" i="8" s="1"/>
  <c r="Z171" i="8" s="1"/>
  <c r="Z172" i="8" s="1"/>
  <c r="Z173" i="8" s="1"/>
  <c r="Z174" i="8" s="1"/>
  <c r="Z175" i="8" s="1"/>
  <c r="Z176" i="8" s="1"/>
  <c r="Z177" i="8" s="1"/>
  <c r="Z178" i="8" s="1"/>
  <c r="Z179" i="8" s="1"/>
  <c r="Z180" i="8" s="1"/>
  <c r="Z181" i="8" s="1"/>
  <c r="Z182" i="8" s="1"/>
  <c r="Z184" i="8" s="1"/>
  <c r="AE131" i="8" l="1"/>
  <c r="AE132" i="8" s="1"/>
  <c r="AE133" i="8" s="1"/>
  <c r="AE134" i="8" s="1"/>
  <c r="AE135" i="8" s="1"/>
  <c r="AE136" i="8" s="1"/>
  <c r="AE137" i="8" s="1"/>
  <c r="AE138" i="8" s="1"/>
  <c r="AE139" i="8" s="1"/>
  <c r="AE140" i="8" s="1"/>
  <c r="AE141" i="8" s="1"/>
  <c r="AE142" i="8" s="1"/>
  <c r="AE143" i="8" s="1"/>
  <c r="AE144" i="8" s="1"/>
  <c r="AE145" i="8" s="1"/>
  <c r="AE146" i="8" s="1"/>
  <c r="AE147" i="8" s="1"/>
  <c r="AE148" i="8" s="1"/>
  <c r="AE150" i="8" s="1"/>
  <c r="AE151" i="8" s="1"/>
  <c r="AE152" i="8" s="1"/>
  <c r="AE153" i="8" s="1"/>
  <c r="AE154" i="8" s="1"/>
  <c r="AE155" i="8" s="1"/>
  <c r="AE156" i="8" s="1"/>
  <c r="AE157" i="8" s="1"/>
  <c r="AE158" i="8" s="1"/>
  <c r="AE159" i="8" s="1"/>
  <c r="Z187" i="8" l="1"/>
  <c r="Z188" i="8" l="1"/>
  <c r="Z189" i="8" l="1"/>
  <c r="Z190" i="8" l="1"/>
  <c r="Z191" i="8" l="1"/>
  <c r="Z192" i="8" l="1"/>
  <c r="AK2" i="6"/>
  <c r="Z193" i="8" l="1"/>
  <c r="Z194" i="8" l="1"/>
  <c r="Z195" i="8" l="1"/>
  <c r="AM2" i="6"/>
  <c r="Z196" i="8" l="1"/>
  <c r="Z197" i="8" l="1"/>
  <c r="Z198" i="8" l="1"/>
  <c r="Z199" i="8" l="1"/>
  <c r="K63" i="3" l="1"/>
  <c r="K53" i="3"/>
  <c r="K54" i="3" s="1"/>
  <c r="K55" i="3" s="1"/>
  <c r="K56" i="3" s="1"/>
  <c r="K57" i="3" s="1"/>
  <c r="K58" i="3" s="1"/>
  <c r="K59" i="3" s="1"/>
  <c r="K60" i="3" s="1"/>
  <c r="K61" i="3" s="1"/>
  <c r="K62" i="3" s="1"/>
  <c r="K11" i="3"/>
  <c r="K10" i="3" s="1"/>
  <c r="K9" i="3" s="1"/>
  <c r="K8" i="3" s="1"/>
  <c r="K7" i="3" s="1"/>
  <c r="K6" i="3" s="1"/>
  <c r="K5" i="3" s="1"/>
  <c r="K4" i="3" s="1"/>
  <c r="K3" i="3" s="1"/>
  <c r="K12" i="3"/>
  <c r="AJ100" i="8" l="1"/>
  <c r="AJ101" i="8" s="1"/>
  <c r="AI100" i="8"/>
  <c r="AI101" i="8" s="1"/>
  <c r="AH100" i="8"/>
  <c r="AH101" i="8" s="1"/>
  <c r="AG100" i="8"/>
  <c r="AG101" i="8" s="1"/>
  <c r="AF100" i="8"/>
  <c r="AF101" i="8" s="1"/>
  <c r="AE100" i="8"/>
  <c r="AE101" i="8" s="1"/>
  <c r="AD100" i="8"/>
  <c r="AD101" i="8" s="1"/>
  <c r="AC100" i="8"/>
  <c r="AC101" i="8" s="1"/>
  <c r="AB100" i="8"/>
  <c r="AB101" i="8" s="1"/>
  <c r="AA100" i="8"/>
  <c r="AA101" i="8" s="1"/>
  <c r="Z100" i="8"/>
  <c r="Z101" i="8" s="1"/>
  <c r="Y100" i="8"/>
  <c r="Y101" i="8" s="1"/>
  <c r="X100" i="8"/>
  <c r="X101" i="8" s="1"/>
  <c r="W100" i="8"/>
  <c r="W101" i="8" s="1"/>
  <c r="V100" i="8"/>
  <c r="V101" i="8" s="1"/>
  <c r="U100" i="8"/>
  <c r="U101" i="8" s="1"/>
  <c r="AJ84" i="8"/>
  <c r="AJ85" i="8" s="1"/>
  <c r="AI84" i="8"/>
  <c r="AI85" i="8" s="1"/>
  <c r="AH84" i="8"/>
  <c r="AH85" i="8" s="1"/>
  <c r="AG84" i="8"/>
  <c r="AG85" i="8" s="1"/>
  <c r="AF84" i="8"/>
  <c r="AF85" i="8" s="1"/>
  <c r="AE84" i="8"/>
  <c r="AE85" i="8" s="1"/>
  <c r="AD84" i="8"/>
  <c r="AD85" i="8" s="1"/>
  <c r="AC84" i="8"/>
  <c r="AC85" i="8" s="1"/>
  <c r="AB84" i="8"/>
  <c r="AB85" i="8" s="1"/>
  <c r="AA84" i="8"/>
  <c r="AA85" i="8" s="1"/>
  <c r="Z84" i="8"/>
  <c r="Z85" i="8" s="1"/>
  <c r="Y84" i="8"/>
  <c r="Y85" i="8" s="1"/>
  <c r="X84" i="8"/>
  <c r="X85" i="8" s="1"/>
  <c r="W84" i="8"/>
  <c r="W85" i="8" s="1"/>
  <c r="V84" i="8"/>
  <c r="V85" i="8" s="1"/>
  <c r="U84" i="8"/>
  <c r="U85" i="8" s="1"/>
  <c r="L13" i="3" l="1"/>
  <c r="K14" i="3"/>
  <c r="K15" i="3" s="1"/>
  <c r="K16" i="3" s="1"/>
  <c r="K17" i="3" s="1"/>
  <c r="K18" i="3" s="1"/>
  <c r="K19" i="3" s="1"/>
  <c r="K20" i="3" s="1"/>
  <c r="K21" i="3" s="1"/>
  <c r="K22" i="3" s="1"/>
  <c r="K23" i="3" s="1"/>
  <c r="K24" i="3" s="1"/>
  <c r="K25" i="3" s="1"/>
  <c r="K26" i="3" s="1"/>
  <c r="K27" i="3" s="1"/>
  <c r="K28" i="3" s="1"/>
  <c r="K29" i="3" s="1"/>
  <c r="K30" i="3" s="1"/>
  <c r="K31" i="3" s="1"/>
  <c r="K32" i="3" s="1"/>
  <c r="K33" i="3" s="1"/>
  <c r="K34" i="3" s="1"/>
  <c r="K35" i="3" s="1"/>
  <c r="K36" i="3" s="1"/>
  <c r="K37" i="3" s="1"/>
  <c r="K38" i="3" s="1"/>
  <c r="K39" i="3" s="1"/>
  <c r="K40" i="3" s="1"/>
  <c r="K41" i="3" s="1"/>
  <c r="K42" i="3" s="1"/>
  <c r="K43" i="3" s="1"/>
  <c r="K44" i="3" s="1"/>
  <c r="K45" i="3" s="1"/>
  <c r="K46" i="3" s="1"/>
  <c r="K47" i="3" s="1"/>
  <c r="K48" i="3" s="1"/>
  <c r="K49" i="3" s="1"/>
  <c r="K50" i="3" s="1"/>
  <c r="K51" i="3" s="1"/>
  <c r="K52" i="3" s="1"/>
  <c r="L14" i="3" l="1"/>
  <c r="L15" i="3" s="1"/>
  <c r="L16" i="3" s="1"/>
  <c r="L12" i="3"/>
  <c r="L11" i="3" l="1"/>
  <c r="L10" i="3" s="1"/>
  <c r="L9" i="3" s="1"/>
  <c r="L17" i="3"/>
  <c r="L18" i="3" s="1"/>
  <c r="L19" i="3" s="1"/>
  <c r="L8" i="3" l="1"/>
  <c r="L20" i="3"/>
  <c r="L21" i="3" s="1"/>
  <c r="L22" i="3" s="1"/>
  <c r="B68" i="2"/>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B158" i="2" s="1"/>
  <c r="B159" i="2" s="1"/>
  <c r="B160" i="2" s="1"/>
  <c r="B161" i="2" s="1"/>
  <c r="B162" i="2" s="1"/>
  <c r="B163" i="2" s="1"/>
  <c r="B164" i="2" s="1"/>
  <c r="B165" i="2" s="1"/>
  <c r="B166" i="2" s="1"/>
  <c r="L23" i="3" l="1"/>
  <c r="L7" i="3"/>
  <c r="L6" i="3" s="1"/>
  <c r="W22" i="8"/>
  <c r="X22" i="8" s="1"/>
  <c r="X31" i="8"/>
  <c r="X32" i="8" s="1"/>
  <c r="W31" i="8"/>
  <c r="W32" i="8" s="1"/>
  <c r="V31" i="8"/>
  <c r="V32" i="8" s="1"/>
  <c r="U31" i="8"/>
  <c r="U32" i="8" s="1"/>
  <c r="L5" i="3" l="1"/>
  <c r="L4" i="3" s="1"/>
  <c r="L24" i="3"/>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AN2" i="6"/>
  <c r="L54" i="3" l="1"/>
  <c r="L55" i="3" s="1"/>
  <c r="L56" i="3" s="1"/>
  <c r="L57" i="3" s="1"/>
  <c r="L58" i="3" s="1"/>
  <c r="L59" i="3" s="1"/>
  <c r="L60" i="3" s="1"/>
  <c r="L61" i="3" s="1"/>
  <c r="L62" i="3" s="1"/>
  <c r="L63" i="3" s="1"/>
  <c r="L3" i="3"/>
  <c r="H4" i="3"/>
  <c r="H5" i="3" s="1"/>
  <c r="H6" i="3" s="1"/>
  <c r="H7" i="3" s="1"/>
  <c r="H8" i="3" s="1"/>
  <c r="H9" i="3" s="1"/>
  <c r="H10" i="3" s="1"/>
  <c r="H11" i="3" s="1"/>
  <c r="H12" i="3" s="1"/>
  <c r="H13" i="3" s="1"/>
  <c r="H14" i="3" s="1"/>
  <c r="H15" i="3" s="1"/>
  <c r="H16" i="3" s="1"/>
  <c r="H17" i="3" s="1"/>
  <c r="H18" i="3" s="1"/>
  <c r="H19" i="3" s="1"/>
  <c r="H20" i="3" s="1"/>
  <c r="H21" i="3" s="1"/>
  <c r="H22" i="3" s="1"/>
  <c r="H23" i="3" s="1"/>
  <c r="H24" i="3" s="1"/>
  <c r="H25" i="3" s="1"/>
  <c r="H26" i="3" s="1"/>
  <c r="H27" i="3" s="1"/>
  <c r="H28" i="3" s="1"/>
  <c r="H29" i="3" s="1"/>
  <c r="H30" i="3" s="1"/>
  <c r="H31" i="3" s="1"/>
  <c r="H32" i="3" s="1"/>
  <c r="H33" i="3" s="1"/>
  <c r="H34" i="3" s="1"/>
  <c r="H35" i="3" s="1"/>
  <c r="H36" i="3" s="1"/>
  <c r="H37" i="3" s="1"/>
  <c r="H38" i="3" s="1"/>
  <c r="H39" i="3" s="1"/>
  <c r="H40" i="3" s="1"/>
  <c r="H41" i="3" s="1"/>
  <c r="H42" i="3" s="1"/>
  <c r="J2" i="6" l="1"/>
  <c r="AP2" i="6" l="1"/>
  <c r="AL2" i="6" l="1"/>
  <c r="AJ2" i="6"/>
  <c r="AI2" i="6"/>
  <c r="AH2" i="6"/>
  <c r="AG2" i="6"/>
  <c r="AF2" i="6"/>
  <c r="AE2" i="6"/>
  <c r="AD2" i="6"/>
  <c r="AC2" i="6"/>
  <c r="AB2" i="6"/>
  <c r="AA2" i="6"/>
  <c r="Z2" i="6"/>
  <c r="Y2" i="6"/>
  <c r="X2" i="6"/>
  <c r="W2" i="6"/>
  <c r="V2" i="6"/>
  <c r="U2" i="6"/>
  <c r="T2" i="6"/>
  <c r="S2" i="6"/>
  <c r="R2" i="6"/>
  <c r="P2" i="6"/>
  <c r="O2" i="6"/>
  <c r="N2" i="6"/>
  <c r="M2" i="6"/>
  <c r="L2" i="6"/>
  <c r="I2" i="6"/>
  <c r="H2" i="6"/>
  <c r="F2" i="6"/>
  <c r="E2" i="6"/>
  <c r="D2" i="6"/>
  <c r="C2" i="6"/>
  <c r="B2" i="6"/>
  <c r="A2" i="6"/>
  <c r="AI1" i="6"/>
  <c r="AH1" i="6"/>
  <c r="AG1" i="6"/>
  <c r="AF1" i="6"/>
  <c r="AE1" i="6"/>
  <c r="AD1" i="6"/>
  <c r="AC1" i="6"/>
  <c r="AB1" i="6"/>
  <c r="AA1" i="6"/>
  <c r="Z1" i="6"/>
  <c r="Y1" i="6"/>
  <c r="W1" i="6"/>
  <c r="V1" i="6"/>
  <c r="U1" i="6"/>
  <c r="T1" i="6"/>
  <c r="S1" i="6"/>
  <c r="R1" i="6"/>
  <c r="Q1" i="6"/>
  <c r="P1" i="6"/>
  <c r="O1" i="6"/>
  <c r="N1" i="6"/>
  <c r="M1" i="6"/>
  <c r="L1" i="6"/>
  <c r="K1" i="6"/>
  <c r="I1" i="6"/>
  <c r="H1" i="6"/>
  <c r="G1" i="6"/>
  <c r="F1" i="6"/>
  <c r="E1" i="6"/>
  <c r="D1" i="6"/>
  <c r="C1" i="6"/>
  <c r="B1" i="6"/>
  <c r="A1" i="6"/>
  <c r="E15" i="3"/>
  <c r="E14" i="3"/>
  <c r="E13" i="3"/>
  <c r="E12" i="3"/>
  <c r="E11" i="3"/>
  <c r="E10" i="3"/>
  <c r="E9" i="3"/>
  <c r="I3" i="3" s="1"/>
  <c r="I4" i="3" l="1"/>
  <c r="I5" i="3" l="1"/>
  <c r="I6" i="3" l="1"/>
  <c r="I7" i="3" l="1"/>
  <c r="AK1" i="1"/>
  <c r="AJ1" i="1"/>
  <c r="I8" i="3" l="1"/>
  <c r="E28" i="2"/>
  <c r="I9" i="3" l="1"/>
  <c r="E29" i="2"/>
  <c r="E30" i="2" s="1"/>
  <c r="E31" i="2" s="1"/>
  <c r="E32" i="2" s="1"/>
  <c r="E33" i="2" s="1"/>
  <c r="E34" i="2" s="1"/>
  <c r="E35" i="2" s="1"/>
  <c r="E36" i="2" s="1"/>
  <c r="E37" i="2" s="1"/>
  <c r="E38" i="2" s="1"/>
  <c r="E39" i="2" s="1"/>
  <c r="E40" i="2" s="1"/>
  <c r="E41" i="2" s="1"/>
  <c r="E42" i="2" s="1"/>
  <c r="E43" i="2" s="1"/>
  <c r="E44" i="2" s="1"/>
  <c r="E45" i="2" s="1"/>
  <c r="E46" i="2" s="1"/>
  <c r="E47" i="2" s="1"/>
  <c r="E48" i="2" s="1"/>
  <c r="E49" i="2" s="1"/>
  <c r="E50" i="2" s="1"/>
  <c r="E51" i="2" s="1"/>
  <c r="E52" i="2" s="1"/>
  <c r="E53" i="2" s="1"/>
  <c r="E54" i="2" s="1"/>
  <c r="E55" i="2" s="1"/>
  <c r="E56" i="2" s="1"/>
  <c r="AL1" i="1"/>
  <c r="AM1" i="1"/>
  <c r="I10" i="3" l="1"/>
  <c r="Q2" i="6"/>
  <c r="AN1" i="1"/>
  <c r="I11" i="3" l="1"/>
  <c r="AO1" i="1"/>
  <c r="I12" i="3" l="1"/>
  <c r="AP1" i="1"/>
  <c r="I13" i="3" l="1"/>
  <c r="AQ1" i="1"/>
  <c r="I14" i="3" l="1"/>
  <c r="AR1" i="1"/>
  <c r="K2" i="6" l="1"/>
  <c r="I15" i="3"/>
  <c r="AT1" i="1"/>
  <c r="I16" i="3" l="1"/>
  <c r="AU1" i="1"/>
  <c r="I17" i="3" l="1"/>
  <c r="AV1" i="1"/>
  <c r="I18" i="3" l="1"/>
  <c r="AW1" i="1"/>
  <c r="I19" i="3" l="1"/>
  <c r="AX1" i="1"/>
  <c r="I20" i="3" l="1"/>
  <c r="AY1" i="1"/>
  <c r="I21" i="3" l="1"/>
  <c r="AZ1" i="1"/>
  <c r="I22" i="3" l="1"/>
  <c r="BA1" i="1"/>
  <c r="I23" i="3" l="1"/>
  <c r="BB1" i="1"/>
  <c r="I24" i="3" l="1"/>
  <c r="BC1" i="1"/>
  <c r="I25" i="3" l="1"/>
  <c r="BD1" i="1"/>
  <c r="I26" i="3" l="1"/>
  <c r="BE1" i="1"/>
  <c r="I27" i="3" l="1"/>
  <c r="BF1" i="1"/>
  <c r="I28" i="3" l="1"/>
  <c r="BH1" i="1"/>
  <c r="I29" i="3" l="1"/>
  <c r="BI1" i="1"/>
  <c r="I30" i="3" l="1"/>
  <c r="BJ1" i="1"/>
  <c r="I31" i="3" l="1"/>
  <c r="BK1" i="1"/>
  <c r="I32" i="3" l="1"/>
  <c r="BL1" i="1"/>
  <c r="I33" i="3" l="1"/>
  <c r="BM1" i="1"/>
  <c r="I34" i="3" l="1"/>
  <c r="BN1" i="1"/>
  <c r="I35" i="3" l="1"/>
  <c r="BO1" i="1"/>
  <c r="I36" i="3" l="1"/>
  <c r="BP1" i="1"/>
  <c r="I37" i="3" l="1"/>
  <c r="BQ1" i="1"/>
  <c r="I38" i="3" l="1"/>
  <c r="BR1" i="1"/>
  <c r="I39" i="3" l="1"/>
  <c r="I40" i="3" l="1"/>
  <c r="I41" i="3" l="1"/>
  <c r="I42" i="3" l="1"/>
</calcChain>
</file>

<file path=xl/sharedStrings.xml><?xml version="1.0" encoding="utf-8"?>
<sst xmlns="http://schemas.openxmlformats.org/spreadsheetml/2006/main" count="2172" uniqueCount="558">
  <si>
    <t>総件数</t>
    <rPh sb="0" eb="3">
      <t>ソウケンスウ</t>
    </rPh>
    <phoneticPr fontId="1"/>
  </si>
  <si>
    <t>現件数</t>
    <rPh sb="0" eb="1">
      <t>ゲン</t>
    </rPh>
    <rPh sb="1" eb="3">
      <t>ケンスウ</t>
    </rPh>
    <phoneticPr fontId="1"/>
  </si>
  <si>
    <t>西暦変換</t>
    <rPh sb="0" eb="2">
      <t>セイレキ</t>
    </rPh>
    <rPh sb="2" eb="4">
      <t>ヘンカン</t>
    </rPh>
    <phoneticPr fontId="1"/>
  </si>
  <si>
    <t>変換</t>
    <rPh sb="0" eb="2">
      <t>ヘンカン</t>
    </rPh>
    <phoneticPr fontId="1"/>
  </si>
  <si>
    <t>月変換</t>
    <rPh sb="0" eb="1">
      <t>ツキ</t>
    </rPh>
    <rPh sb="1" eb="3">
      <t>ヘンカン</t>
    </rPh>
    <phoneticPr fontId="1"/>
  </si>
  <si>
    <t>日変換</t>
    <rPh sb="0" eb="1">
      <t>ヒ</t>
    </rPh>
    <rPh sb="1" eb="3">
      <t>ヘンカン</t>
    </rPh>
    <phoneticPr fontId="1"/>
  </si>
  <si>
    <t>01</t>
    <phoneticPr fontId="1"/>
  </si>
  <si>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</si>
  <si>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</si>
  <si>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</si>
  <si>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</si>
  <si>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</si>
  <si>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</si>
  <si>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</si>
  <si>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</si>
  <si>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</si>
  <si>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</si>
  <si>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</si>
  <si>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</si>
  <si>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</si>
  <si>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</si>
  <si>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</si>
  <si>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</si>
  <si>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</si>
  <si>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</si>
  <si>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</si>
  <si>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</si>
  <si>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</si>
  <si>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</si>
  <si>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</si>
  <si>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</si>
  <si>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</si>
  <si>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</si>
  <si>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</si>
  <si>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</si>
  <si>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</si>
  <si>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</si>
  <si>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等級</t>
    <rPh sb="0" eb="2">
      <t>トウキュウ</t>
    </rPh>
    <phoneticPr fontId="1"/>
  </si>
  <si>
    <t>6S</t>
    <phoneticPr fontId="1"/>
  </si>
  <si>
    <t>7S</t>
    <phoneticPr fontId="1"/>
  </si>
  <si>
    <t>なし</t>
    <phoneticPr fontId="1"/>
  </si>
  <si>
    <t>走行距離</t>
    <rPh sb="0" eb="2">
      <t>ソウコウ</t>
    </rPh>
    <rPh sb="2" eb="4">
      <t>キョリ</t>
    </rPh>
    <phoneticPr fontId="1"/>
  </si>
  <si>
    <t>バリュー</t>
    <phoneticPr fontId="1"/>
  </si>
  <si>
    <t>地域</t>
    <rPh sb="0" eb="2">
      <t>チイキ</t>
    </rPh>
    <phoneticPr fontId="1"/>
  </si>
  <si>
    <t>北海道</t>
    <rPh sb="0" eb="3">
      <t>ホッカイドウ</t>
    </rPh>
    <phoneticPr fontId="1"/>
  </si>
  <si>
    <t>東北</t>
    <rPh sb="0" eb="2">
      <t>トウホク</t>
    </rPh>
    <phoneticPr fontId="1"/>
  </si>
  <si>
    <t>九州</t>
    <rPh sb="0" eb="2">
      <t>キュウシュウ</t>
    </rPh>
    <phoneticPr fontId="1"/>
  </si>
  <si>
    <t>四国</t>
    <rPh sb="0" eb="2">
      <t>シコク</t>
    </rPh>
    <phoneticPr fontId="1"/>
  </si>
  <si>
    <t>関東</t>
    <rPh sb="0" eb="2">
      <t>カントウ</t>
    </rPh>
    <phoneticPr fontId="1"/>
  </si>
  <si>
    <t>近畿</t>
    <rPh sb="0" eb="2">
      <t>キンキ</t>
    </rPh>
    <phoneticPr fontId="1"/>
  </si>
  <si>
    <t>中部</t>
    <rPh sb="0" eb="2">
      <t>チュウブ</t>
    </rPh>
    <phoneticPr fontId="1"/>
  </si>
  <si>
    <t>本人</t>
    <rPh sb="0" eb="2">
      <t>ホンニン</t>
    </rPh>
    <phoneticPr fontId="1"/>
  </si>
  <si>
    <t>本配</t>
    <rPh sb="0" eb="2">
      <t>ホンハイ</t>
    </rPh>
    <phoneticPr fontId="1"/>
  </si>
  <si>
    <t>家族</t>
    <rPh sb="0" eb="2">
      <t>カゾク</t>
    </rPh>
    <phoneticPr fontId="1"/>
  </si>
  <si>
    <t>限定なし</t>
    <rPh sb="0" eb="2">
      <t>ゲンテイ</t>
    </rPh>
    <phoneticPr fontId="1"/>
  </si>
  <si>
    <t>年齢</t>
    <rPh sb="0" eb="2">
      <t>ネンレイ</t>
    </rPh>
    <phoneticPr fontId="1"/>
  </si>
  <si>
    <t>バリュー</t>
    <phoneticPr fontId="1"/>
  </si>
  <si>
    <t>30歳以上</t>
    <rPh sb="2" eb="5">
      <t>サイイジョウ</t>
    </rPh>
    <phoneticPr fontId="1"/>
  </si>
  <si>
    <t>26歳以上</t>
    <rPh sb="2" eb="5">
      <t>サイイジョウ</t>
    </rPh>
    <phoneticPr fontId="1"/>
  </si>
  <si>
    <t>21歳以上</t>
    <rPh sb="2" eb="5">
      <t>サイイジョウ</t>
    </rPh>
    <phoneticPr fontId="1"/>
  </si>
  <si>
    <t>全年齢</t>
    <rPh sb="0" eb="3">
      <t>ゼンネンレイ</t>
    </rPh>
    <phoneticPr fontId="1"/>
  </si>
  <si>
    <t>連結2</t>
    <rPh sb="0" eb="2">
      <t>レンケツ</t>
    </rPh>
    <phoneticPr fontId="1"/>
  </si>
  <si>
    <t>連結3</t>
    <rPh sb="0" eb="2">
      <t>レンケツ</t>
    </rPh>
    <phoneticPr fontId="1"/>
  </si>
  <si>
    <t>運限変換</t>
    <rPh sb="0" eb="2">
      <t>ウンゲン</t>
    </rPh>
    <rPh sb="2" eb="4">
      <t>ヘンカン</t>
    </rPh>
    <phoneticPr fontId="1"/>
  </si>
  <si>
    <t>年限変換</t>
    <rPh sb="0" eb="2">
      <t>ネンゲン</t>
    </rPh>
    <rPh sb="2" eb="4">
      <t>ヘンカン</t>
    </rPh>
    <phoneticPr fontId="1"/>
  </si>
  <si>
    <t>車両免責</t>
    <rPh sb="0" eb="2">
      <t>シャリョウ</t>
    </rPh>
    <rPh sb="2" eb="4">
      <t>メンセキ</t>
    </rPh>
    <phoneticPr fontId="1"/>
  </si>
  <si>
    <t>あり</t>
    <phoneticPr fontId="1"/>
  </si>
  <si>
    <t>車両保険種類</t>
    <rPh sb="0" eb="2">
      <t>シャリョウ</t>
    </rPh>
    <rPh sb="2" eb="4">
      <t>ホケン</t>
    </rPh>
    <rPh sb="4" eb="6">
      <t>シュルイ</t>
    </rPh>
    <phoneticPr fontId="1"/>
  </si>
  <si>
    <t>あり</t>
  </si>
  <si>
    <t>対物AMT</t>
    <rPh sb="0" eb="2">
      <t>タイブツ</t>
    </rPh>
    <phoneticPr fontId="1"/>
  </si>
  <si>
    <t>無制限</t>
    <rPh sb="0" eb="3">
      <t>ムセイゲン</t>
    </rPh>
    <phoneticPr fontId="1"/>
  </si>
  <si>
    <t>対物変換</t>
    <rPh sb="0" eb="2">
      <t>タイブツ</t>
    </rPh>
    <rPh sb="2" eb="4">
      <t>ヘンカン</t>
    </rPh>
    <phoneticPr fontId="1"/>
  </si>
  <si>
    <t>搭傷AMT</t>
    <rPh sb="0" eb="2">
      <t>トウショウ</t>
    </rPh>
    <phoneticPr fontId="1"/>
  </si>
  <si>
    <t>搭傷変換</t>
    <rPh sb="0" eb="2">
      <t>トウショウ</t>
    </rPh>
    <rPh sb="2" eb="4">
      <t>ヘンカン</t>
    </rPh>
    <phoneticPr fontId="1"/>
  </si>
  <si>
    <t>人傷AMT</t>
    <rPh sb="0" eb="2">
      <t>ジンショウ</t>
    </rPh>
    <phoneticPr fontId="1"/>
  </si>
  <si>
    <t>人傷変換</t>
    <rPh sb="0" eb="2">
      <t>ジンショウ</t>
    </rPh>
    <rPh sb="2" eb="4">
      <t>ヘンカン</t>
    </rPh>
    <phoneticPr fontId="1"/>
  </si>
  <si>
    <t>車有P</t>
    <rPh sb="0" eb="1">
      <t>シャ</t>
    </rPh>
    <rPh sb="1" eb="2">
      <t>アリ</t>
    </rPh>
    <phoneticPr fontId="1"/>
  </si>
  <si>
    <t>車無P</t>
    <rPh sb="0" eb="1">
      <t>シャ</t>
    </rPh>
    <rPh sb="1" eb="2">
      <t>ナ</t>
    </rPh>
    <phoneticPr fontId="1"/>
  </si>
  <si>
    <t>純新規フラグ2</t>
    <rPh sb="0" eb="1">
      <t>ジュン</t>
    </rPh>
    <rPh sb="1" eb="3">
      <t>シンキ</t>
    </rPh>
    <phoneticPr fontId="1"/>
  </si>
  <si>
    <t>純新規フラグ3</t>
    <rPh sb="0" eb="1">
      <t>ジュン</t>
    </rPh>
    <rPh sb="1" eb="3">
      <t>シンキ</t>
    </rPh>
    <phoneticPr fontId="1"/>
  </si>
  <si>
    <t>2018(平成30)</t>
    <rPh sb="5" eb="7">
      <t>ヘイセイ</t>
    </rPh>
    <phoneticPr fontId="1"/>
  </si>
  <si>
    <t>西暦</t>
    <rPh sb="0" eb="2">
      <t>セイレキ</t>
    </rPh>
    <phoneticPr fontId="1"/>
  </si>
  <si>
    <t>月</t>
    <rPh sb="0" eb="1">
      <t>ツキ</t>
    </rPh>
    <phoneticPr fontId="1"/>
  </si>
  <si>
    <t>日</t>
    <rPh sb="0" eb="1">
      <t>ヒ</t>
    </rPh>
    <phoneticPr fontId="1"/>
  </si>
  <si>
    <t>NF</t>
    <phoneticPr fontId="1"/>
  </si>
  <si>
    <t>20 等級</t>
  </si>
  <si>
    <t>18 等級</t>
  </si>
  <si>
    <t>17 等級</t>
  </si>
  <si>
    <t>16 等級</t>
  </si>
  <si>
    <t>15 等級</t>
  </si>
  <si>
    <t>14 等級</t>
  </si>
  <si>
    <t>13 等級</t>
  </si>
  <si>
    <t>12 等級</t>
  </si>
  <si>
    <t>11 等級</t>
  </si>
  <si>
    <t>10 等級</t>
  </si>
  <si>
    <t>9 等級</t>
  </si>
  <si>
    <t>8 等級</t>
  </si>
  <si>
    <t>7F 等級</t>
  </si>
  <si>
    <t>6F 等級</t>
  </si>
  <si>
    <t>5 等級</t>
  </si>
  <si>
    <t>4 等級</t>
  </si>
  <si>
    <t>3 等級</t>
  </si>
  <si>
    <t>2 等級</t>
  </si>
  <si>
    <t>1 等級</t>
  </si>
  <si>
    <t>背番号</t>
    <rPh sb="0" eb="3">
      <t>セバンゴウ</t>
    </rPh>
    <phoneticPr fontId="1"/>
  </si>
  <si>
    <t>21歳以上補償</t>
    <rPh sb="2" eb="3">
      <t>サイ</t>
    </rPh>
    <rPh sb="3" eb="5">
      <t>イジョウ</t>
    </rPh>
    <rPh sb="5" eb="7">
      <t>ホショウ</t>
    </rPh>
    <phoneticPr fontId="1"/>
  </si>
  <si>
    <t>26歳以上補償</t>
    <rPh sb="2" eb="3">
      <t>サイ</t>
    </rPh>
    <rPh sb="3" eb="5">
      <t>イジョウ</t>
    </rPh>
    <rPh sb="5" eb="7">
      <t>ホショウ</t>
    </rPh>
    <phoneticPr fontId="1"/>
  </si>
  <si>
    <t>35歳以上補償</t>
    <rPh sb="2" eb="3">
      <t>サイ</t>
    </rPh>
    <rPh sb="3" eb="5">
      <t>イジョウ</t>
    </rPh>
    <rPh sb="5" eb="7">
      <t>ホショウ</t>
    </rPh>
    <phoneticPr fontId="1"/>
  </si>
  <si>
    <t>年齢限定</t>
    <rPh sb="0" eb="2">
      <t>ネンレイ</t>
    </rPh>
    <rPh sb="2" eb="4">
      <t>ゲンテイ</t>
    </rPh>
    <phoneticPr fontId="1"/>
  </si>
  <si>
    <t>初度年</t>
    <rPh sb="0" eb="2">
      <t>ショド</t>
    </rPh>
    <rPh sb="2" eb="3">
      <t>ネン</t>
    </rPh>
    <phoneticPr fontId="1"/>
  </si>
  <si>
    <t>初度月</t>
    <rPh sb="0" eb="2">
      <t>ショド</t>
    </rPh>
    <rPh sb="2" eb="3">
      <t>ツキ</t>
    </rPh>
    <phoneticPr fontId="1"/>
  </si>
  <si>
    <t>2018(平成30)</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</si>
  <si>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</si>
  <si>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</si>
  <si>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</si>
  <si>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</si>
  <si>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</si>
  <si>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</si>
  <si>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</si>
  <si>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</si>
  <si>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</si>
  <si>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</si>
  <si>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</si>
  <si>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</si>
  <si>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</si>
  <si>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</si>
  <si>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</si>
  <si>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</si>
  <si>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</si>
  <si>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</si>
  <si>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</si>
  <si>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</si>
  <si>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</si>
  <si>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</si>
  <si>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</si>
  <si>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</si>
  <si>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1993(平成05)</t>
  </si>
  <si>
    <t>1992(平成04)</t>
  </si>
  <si>
    <t>1991(平成03)</t>
  </si>
  <si>
    <t>1990(平成02)</t>
  </si>
  <si>
    <t>1987(昭和62)</t>
  </si>
  <si>
    <t>1986(昭和61)</t>
  </si>
  <si>
    <t>1985(昭和60)</t>
  </si>
  <si>
    <t>1984(昭和59)</t>
  </si>
  <si>
    <t>1983(昭和58)</t>
  </si>
  <si>
    <t>1982(昭和57)</t>
  </si>
  <si>
    <t>1981(昭和56)</t>
  </si>
  <si>
    <t>1980(昭和55)</t>
  </si>
  <si>
    <t>1979(昭和54)</t>
  </si>
  <si>
    <t>1978(昭和53)</t>
  </si>
  <si>
    <t>1977(昭和52)</t>
  </si>
  <si>
    <t>1976(昭和51)</t>
  </si>
  <si>
    <t>1975(昭和50)</t>
  </si>
  <si>
    <t>1974(昭和49)</t>
  </si>
  <si>
    <t>1973(昭和48)</t>
  </si>
  <si>
    <t>1972(昭和47)</t>
  </si>
  <si>
    <t>1971(昭和46)</t>
  </si>
  <si>
    <t>1970(昭和45)</t>
  </si>
  <si>
    <t>1969(昭和44)</t>
  </si>
  <si>
    <t>1968(昭和43)</t>
  </si>
  <si>
    <t>1967(昭和42)</t>
  </si>
  <si>
    <t>1966(昭和41)</t>
  </si>
  <si>
    <t>1965(昭和40)</t>
  </si>
  <si>
    <t>1964(昭和39)</t>
  </si>
  <si>
    <t>1963(昭和38)</t>
  </si>
  <si>
    <t>1962(昭和37)</t>
  </si>
  <si>
    <t>1961(昭和36)</t>
  </si>
  <si>
    <t>1960(昭和35)</t>
  </si>
  <si>
    <t>1959(昭和34)</t>
  </si>
  <si>
    <t>1958(昭和33)</t>
  </si>
  <si>
    <t>1957(昭和32)</t>
  </si>
  <si>
    <t>1956(昭和31)</t>
  </si>
  <si>
    <t>1955(昭和30)</t>
  </si>
  <si>
    <t>1954(昭和29)</t>
  </si>
  <si>
    <t>1953(昭和28)</t>
  </si>
  <si>
    <t>1952(昭和27)</t>
  </si>
  <si>
    <t>1951(昭和26)</t>
  </si>
  <si>
    <t>1950(昭和25)</t>
  </si>
  <si>
    <t>1949(昭和24)</t>
  </si>
  <si>
    <t>型式</t>
    <rPh sb="0" eb="2">
      <t>カタシキ</t>
    </rPh>
    <phoneticPr fontId="1"/>
  </si>
  <si>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</si>
  <si>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</si>
  <si>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</si>
  <si>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</si>
  <si>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</si>
  <si>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</si>
  <si>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</si>
  <si>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</si>
  <si>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</si>
  <si>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</si>
  <si>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</si>
  <si>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</si>
  <si>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</si>
  <si>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</si>
  <si>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</si>
  <si>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</si>
  <si>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</si>
  <si>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</si>
  <si>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</si>
  <si>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</si>
  <si>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</si>
  <si>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</si>
  <si>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</si>
  <si>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</si>
  <si>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</si>
  <si>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</si>
  <si>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</si>
  <si>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</si>
  <si>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</si>
  <si>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</si>
  <si>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生年</t>
    <rPh sb="0" eb="2">
      <t>セイネン</t>
    </rPh>
    <phoneticPr fontId="1"/>
  </si>
  <si>
    <t>生まれ月</t>
    <rPh sb="0" eb="1">
      <t>ウ</t>
    </rPh>
    <rPh sb="3" eb="4">
      <t>ヅキ</t>
    </rPh>
    <phoneticPr fontId="1"/>
  </si>
  <si>
    <t>生まれ日</t>
    <rPh sb="0" eb="1">
      <t>ウ</t>
    </rPh>
    <rPh sb="3" eb="4">
      <t>ビ</t>
    </rPh>
    <phoneticPr fontId="1"/>
  </si>
  <si>
    <t>地域</t>
    <rPh sb="0" eb="2">
      <t>チイキ</t>
    </rPh>
    <phoneticPr fontId="1"/>
  </si>
  <si>
    <t>宮城</t>
    <rPh sb="0" eb="2">
      <t>ミヤギ</t>
    </rPh>
    <phoneticPr fontId="1"/>
  </si>
  <si>
    <t>東京</t>
    <rPh sb="0" eb="2">
      <t>トウキョウ</t>
    </rPh>
    <phoneticPr fontId="1"/>
  </si>
  <si>
    <t>愛知</t>
    <rPh sb="0" eb="2">
      <t>アイチ</t>
    </rPh>
    <phoneticPr fontId="1"/>
  </si>
  <si>
    <t>大阪</t>
    <rPh sb="0" eb="2">
      <t>オオサカ</t>
    </rPh>
    <phoneticPr fontId="1"/>
  </si>
  <si>
    <t>愛媛</t>
    <rPh sb="0" eb="2">
      <t>エヒメ</t>
    </rPh>
    <phoneticPr fontId="1"/>
  </si>
  <si>
    <t>福岡</t>
    <rPh sb="0" eb="2">
      <t>フクオカ</t>
    </rPh>
    <phoneticPr fontId="1"/>
  </si>
  <si>
    <t>免許</t>
    <rPh sb="0" eb="2">
      <t>メンキョ</t>
    </rPh>
    <phoneticPr fontId="1"/>
  </si>
  <si>
    <t>ゴールド</t>
  </si>
  <si>
    <t>使用目的</t>
    <rPh sb="0" eb="2">
      <t>シヨウ</t>
    </rPh>
    <rPh sb="2" eb="4">
      <t>モクテキ</t>
    </rPh>
    <phoneticPr fontId="1"/>
  </si>
  <si>
    <t>走行距離</t>
    <rPh sb="0" eb="2">
      <t>ソウコウ</t>
    </rPh>
    <rPh sb="2" eb="4">
      <t>キョリ</t>
    </rPh>
    <phoneticPr fontId="1"/>
  </si>
  <si>
    <t>日常</t>
  </si>
  <si>
    <t>日常</t>
    <rPh sb="0" eb="2">
      <t>ニチジョウ</t>
    </rPh>
    <phoneticPr fontId="1"/>
  </si>
  <si>
    <t>年齢限定修正</t>
    <rPh sb="0" eb="2">
      <t>ネンレイ</t>
    </rPh>
    <rPh sb="2" eb="4">
      <t>ゲンテイ</t>
    </rPh>
    <rPh sb="4" eb="6">
      <t>シュウセイ</t>
    </rPh>
    <phoneticPr fontId="1"/>
  </si>
  <si>
    <t>運限修正</t>
    <rPh sb="0" eb="2">
      <t>ウンゲン</t>
    </rPh>
    <rPh sb="2" eb="4">
      <t>シュウセイ</t>
    </rPh>
    <phoneticPr fontId="1"/>
  </si>
  <si>
    <t>対物AMT</t>
    <rPh sb="0" eb="2">
      <t>タイブツ</t>
    </rPh>
    <phoneticPr fontId="1"/>
  </si>
  <si>
    <t>500万円</t>
    <rPh sb="3" eb="5">
      <t>マンエン</t>
    </rPh>
    <phoneticPr fontId="1"/>
  </si>
  <si>
    <t>1,000万円</t>
    <rPh sb="5" eb="7">
      <t>マンエン</t>
    </rPh>
    <phoneticPr fontId="1"/>
  </si>
  <si>
    <t>2,000万円</t>
    <rPh sb="5" eb="7">
      <t>マンエン</t>
    </rPh>
    <phoneticPr fontId="1"/>
  </si>
  <si>
    <t>3,000万円</t>
    <rPh sb="5" eb="7">
      <t>マンエン</t>
    </rPh>
    <phoneticPr fontId="1"/>
  </si>
  <si>
    <t>5,000万円</t>
    <rPh sb="5" eb="7">
      <t>マンエン</t>
    </rPh>
    <phoneticPr fontId="1"/>
  </si>
  <si>
    <t>対物LL種類</t>
    <rPh sb="0" eb="2">
      <t>タイブツ</t>
    </rPh>
    <rPh sb="4" eb="6">
      <t>シュルイ</t>
    </rPh>
    <phoneticPr fontId="1"/>
  </si>
  <si>
    <t>LL変換</t>
    <rPh sb="2" eb="4">
      <t>ヘンカン</t>
    </rPh>
    <phoneticPr fontId="1"/>
  </si>
  <si>
    <t>なし</t>
  </si>
  <si>
    <t>50万円</t>
    <rPh sb="2" eb="4">
      <t>マンエン</t>
    </rPh>
    <phoneticPr fontId="1"/>
  </si>
  <si>
    <t>対物LL</t>
    <rPh sb="0" eb="2">
      <t>タイブツ</t>
    </rPh>
    <phoneticPr fontId="1"/>
  </si>
  <si>
    <t>搭乗者</t>
    <rPh sb="0" eb="3">
      <t>トウジョウシャ</t>
    </rPh>
    <phoneticPr fontId="1"/>
  </si>
  <si>
    <t>人傷種類</t>
    <rPh sb="0" eb="2">
      <t>ジンショウ</t>
    </rPh>
    <rPh sb="2" eb="4">
      <t>シュルイ</t>
    </rPh>
    <phoneticPr fontId="1"/>
  </si>
  <si>
    <t>車内外</t>
    <rPh sb="0" eb="2">
      <t>シャナイ</t>
    </rPh>
    <rPh sb="2" eb="3">
      <t>ガイ</t>
    </rPh>
    <phoneticPr fontId="1"/>
  </si>
  <si>
    <t>1億円</t>
    <rPh sb="1" eb="2">
      <t>オク</t>
    </rPh>
    <phoneticPr fontId="1"/>
  </si>
  <si>
    <t>4,000万円</t>
    <rPh sb="5" eb="7">
      <t>マンエン</t>
    </rPh>
    <phoneticPr fontId="1"/>
  </si>
  <si>
    <t>6,000万円</t>
    <rPh sb="5" eb="7">
      <t>マンエン</t>
    </rPh>
    <phoneticPr fontId="1"/>
  </si>
  <si>
    <t>7,000万円</t>
    <rPh sb="5" eb="7">
      <t>マンエン</t>
    </rPh>
    <phoneticPr fontId="1"/>
  </si>
  <si>
    <t>8,000万円</t>
    <rPh sb="5" eb="7">
      <t>マンエン</t>
    </rPh>
    <phoneticPr fontId="1"/>
  </si>
  <si>
    <t>9,000万円</t>
    <rPh sb="5" eb="7">
      <t>マンエン</t>
    </rPh>
    <phoneticPr fontId="1"/>
  </si>
  <si>
    <t>車両保険種類</t>
    <rPh sb="0" eb="2">
      <t>シャリョウ</t>
    </rPh>
    <rPh sb="2" eb="4">
      <t>ホケン</t>
    </rPh>
    <rPh sb="4" eb="6">
      <t>シュルイ</t>
    </rPh>
    <phoneticPr fontId="1"/>
  </si>
  <si>
    <t>車両AMT</t>
    <rPh sb="0" eb="2">
      <t>シャリョウ</t>
    </rPh>
    <phoneticPr fontId="1"/>
  </si>
  <si>
    <t>車両身の回り品</t>
    <rPh sb="0" eb="2">
      <t>シャリョウ</t>
    </rPh>
    <rPh sb="2" eb="3">
      <t>ミ</t>
    </rPh>
    <rPh sb="4" eb="5">
      <t>マワ</t>
    </rPh>
    <rPh sb="6" eb="7">
      <t>シナ</t>
    </rPh>
    <phoneticPr fontId="1"/>
  </si>
  <si>
    <t>5万円</t>
    <rPh sb="1" eb="3">
      <t>マンエン</t>
    </rPh>
    <phoneticPr fontId="1"/>
  </si>
  <si>
    <t>10万円</t>
    <rPh sb="2" eb="4">
      <t>マンエン</t>
    </rPh>
    <phoneticPr fontId="1"/>
  </si>
  <si>
    <t>15万円</t>
    <rPh sb="2" eb="4">
      <t>マンエン</t>
    </rPh>
    <phoneticPr fontId="1"/>
  </si>
  <si>
    <t>20万円</t>
    <rPh sb="2" eb="4">
      <t>マンエン</t>
    </rPh>
    <phoneticPr fontId="1"/>
  </si>
  <si>
    <t>25万円</t>
    <rPh sb="2" eb="4">
      <t>マンエン</t>
    </rPh>
    <phoneticPr fontId="1"/>
  </si>
  <si>
    <t>30万円</t>
    <rPh sb="2" eb="4">
      <t>マンエン</t>
    </rPh>
    <phoneticPr fontId="1"/>
  </si>
  <si>
    <t>車両免責</t>
    <rPh sb="0" eb="2">
      <t>シャリョウ</t>
    </rPh>
    <rPh sb="2" eb="4">
      <t>メンセキ</t>
    </rPh>
    <phoneticPr fontId="1"/>
  </si>
  <si>
    <t>積載動産</t>
    <rPh sb="0" eb="2">
      <t>セキサイ</t>
    </rPh>
    <rPh sb="2" eb="4">
      <t>ドウサン</t>
    </rPh>
    <phoneticPr fontId="1"/>
  </si>
  <si>
    <t>代車費用</t>
    <rPh sb="0" eb="2">
      <t>ダイシャ</t>
    </rPh>
    <rPh sb="2" eb="4">
      <t>ヒヨウ</t>
    </rPh>
    <phoneticPr fontId="1"/>
  </si>
  <si>
    <t>地噴津</t>
    <rPh sb="0" eb="1">
      <t>チ</t>
    </rPh>
    <rPh sb="1" eb="2">
      <t>フン</t>
    </rPh>
    <rPh sb="2" eb="3">
      <t>ツ</t>
    </rPh>
    <phoneticPr fontId="1"/>
  </si>
  <si>
    <t>弁特</t>
    <rPh sb="0" eb="1">
      <t>ベン</t>
    </rPh>
    <rPh sb="1" eb="2">
      <t>トク</t>
    </rPh>
    <phoneticPr fontId="1"/>
  </si>
  <si>
    <t>原付</t>
    <rPh sb="0" eb="2">
      <t>ゲンツキ</t>
    </rPh>
    <phoneticPr fontId="1"/>
  </si>
  <si>
    <t>個賠</t>
    <rPh sb="0" eb="2">
      <t>コバイ</t>
    </rPh>
    <phoneticPr fontId="1"/>
  </si>
  <si>
    <t>傷害</t>
    <rPh sb="0" eb="2">
      <t>ショウガイ</t>
    </rPh>
    <phoneticPr fontId="1"/>
  </si>
  <si>
    <t>地噴津死亡傷害</t>
    <rPh sb="0" eb="1">
      <t>チ</t>
    </rPh>
    <rPh sb="1" eb="2">
      <t>フン</t>
    </rPh>
    <rPh sb="2" eb="3">
      <t>ツ</t>
    </rPh>
    <rPh sb="3" eb="5">
      <t>シボウ</t>
    </rPh>
    <rPh sb="5" eb="7">
      <t>ショウガイ</t>
    </rPh>
    <phoneticPr fontId="1"/>
  </si>
  <si>
    <t>本人と配偶者</t>
    <rPh sb="0" eb="2">
      <t>ホンニン</t>
    </rPh>
    <rPh sb="3" eb="6">
      <t>ハイグウシャ</t>
    </rPh>
    <phoneticPr fontId="1"/>
  </si>
  <si>
    <t>限定しない</t>
    <rPh sb="0" eb="2">
      <t>ゲンテイ</t>
    </rPh>
    <phoneticPr fontId="1"/>
  </si>
  <si>
    <t>年限変換２</t>
    <rPh sb="0" eb="2">
      <t>ネンゲン</t>
    </rPh>
    <rPh sb="2" eb="4">
      <t>ヘンカン</t>
    </rPh>
    <phoneticPr fontId="1"/>
  </si>
  <si>
    <t>30歳以上補償</t>
    <rPh sb="2" eb="3">
      <t>サイ</t>
    </rPh>
    <rPh sb="3" eb="5">
      <t>イジョウ</t>
    </rPh>
    <rPh sb="5" eb="7">
      <t>ホショウ</t>
    </rPh>
    <phoneticPr fontId="1"/>
  </si>
  <si>
    <t>個賠</t>
    <rPh sb="0" eb="2">
      <t>コバイ</t>
    </rPh>
    <phoneticPr fontId="1"/>
  </si>
  <si>
    <t>個賠変換</t>
    <rPh sb="0" eb="2">
      <t>コバイ</t>
    </rPh>
    <rPh sb="2" eb="4">
      <t>ヘンカン</t>
    </rPh>
    <phoneticPr fontId="1"/>
  </si>
  <si>
    <t>1億円</t>
    <rPh sb="1" eb="2">
      <t>オク</t>
    </rPh>
    <rPh sb="2" eb="3">
      <t>エン</t>
    </rPh>
    <phoneticPr fontId="1"/>
  </si>
  <si>
    <t>夫婦</t>
    <rPh sb="0" eb="2">
      <t>フウフ</t>
    </rPh>
    <phoneticPr fontId="1"/>
  </si>
  <si>
    <t>本人のみ補償型</t>
    <rPh sb="0" eb="2">
      <t>ホンニン</t>
    </rPh>
    <rPh sb="4" eb="6">
      <t>ホショウ</t>
    </rPh>
    <rPh sb="6" eb="7">
      <t>ガタ</t>
    </rPh>
    <phoneticPr fontId="1"/>
  </si>
  <si>
    <t>夫婦のみ補償型</t>
    <rPh sb="0" eb="2">
      <t>フウフ</t>
    </rPh>
    <rPh sb="4" eb="6">
      <t>ホショウ</t>
    </rPh>
    <rPh sb="6" eb="7">
      <t>ガタ</t>
    </rPh>
    <phoneticPr fontId="1"/>
  </si>
  <si>
    <t>家族補償型</t>
    <rPh sb="0" eb="2">
      <t>カゾク</t>
    </rPh>
    <rPh sb="2" eb="4">
      <t>ホショウ</t>
    </rPh>
    <rPh sb="4" eb="5">
      <t>ガタ</t>
    </rPh>
    <phoneticPr fontId="1"/>
  </si>
  <si>
    <t>傷害特約・地震死亡</t>
    <rPh sb="0" eb="2">
      <t>ショウガイ</t>
    </rPh>
    <rPh sb="2" eb="4">
      <t>トクヤク</t>
    </rPh>
    <rPh sb="5" eb="7">
      <t>ジシン</t>
    </rPh>
    <rPh sb="7" eb="9">
      <t>シボウ</t>
    </rPh>
    <phoneticPr fontId="1"/>
  </si>
  <si>
    <t>一般</t>
    <rPh sb="0" eb="2">
      <t>イッパン</t>
    </rPh>
    <phoneticPr fontId="1"/>
  </si>
  <si>
    <t>一般</t>
    <rPh sb="0" eb="2">
      <t>イッパン</t>
    </rPh>
    <phoneticPr fontId="1"/>
  </si>
  <si>
    <t>エコノミー</t>
    <phoneticPr fontId="1"/>
  </si>
  <si>
    <t>全損のみ</t>
    <rPh sb="0" eb="2">
      <t>ゼンソン</t>
    </rPh>
    <phoneticPr fontId="1"/>
  </si>
  <si>
    <t>車両変換</t>
    <rPh sb="0" eb="2">
      <t>シャリョウ</t>
    </rPh>
    <rPh sb="2" eb="4">
      <t>ヘンカン</t>
    </rPh>
    <phoneticPr fontId="1"/>
  </si>
  <si>
    <t>ワイドカバー型（一般条件）</t>
    <phoneticPr fontId="1"/>
  </si>
  <si>
    <t>限定カバー型</t>
    <phoneticPr fontId="1"/>
  </si>
  <si>
    <t>全損のみカバー型</t>
    <phoneticPr fontId="1"/>
  </si>
  <si>
    <t>車対車事故のみ</t>
    <rPh sb="0" eb="3">
      <t>シャタイシャ</t>
    </rPh>
    <rPh sb="3" eb="5">
      <t>ジコ</t>
    </rPh>
    <phoneticPr fontId="1"/>
  </si>
  <si>
    <t>免責金額なし</t>
    <rPh sb="0" eb="2">
      <t>メンセキ</t>
    </rPh>
    <rPh sb="2" eb="4">
      <t>キンガク</t>
    </rPh>
    <phoneticPr fontId="1"/>
  </si>
  <si>
    <t>免責金額あり</t>
    <rPh sb="0" eb="2">
      <t>メンセキ</t>
    </rPh>
    <rPh sb="2" eb="4">
      <t>キンガク</t>
    </rPh>
    <phoneticPr fontId="1"/>
  </si>
  <si>
    <t>人傷AMT</t>
    <rPh sb="0" eb="2">
      <t>ジンショウ</t>
    </rPh>
    <phoneticPr fontId="1"/>
  </si>
  <si>
    <t>人傷AMT2</t>
    <rPh sb="0" eb="2">
      <t>ジンショウ</t>
    </rPh>
    <phoneticPr fontId="1"/>
  </si>
  <si>
    <t>人傷AMT3</t>
    <rPh sb="0" eb="2">
      <t>ジンショウ</t>
    </rPh>
    <phoneticPr fontId="1"/>
  </si>
  <si>
    <t>早割</t>
    <rPh sb="0" eb="2">
      <t>ハヤワリ</t>
    </rPh>
    <phoneticPr fontId="1"/>
  </si>
  <si>
    <t>イ割車有</t>
    <rPh sb="1" eb="2">
      <t>ワ</t>
    </rPh>
    <rPh sb="2" eb="3">
      <t>シャ</t>
    </rPh>
    <rPh sb="3" eb="4">
      <t>アリ</t>
    </rPh>
    <phoneticPr fontId="1"/>
  </si>
  <si>
    <t>イ割車無</t>
    <rPh sb="1" eb="2">
      <t>ワ</t>
    </rPh>
    <rPh sb="2" eb="3">
      <t>シャ</t>
    </rPh>
    <rPh sb="3" eb="4">
      <t>ナシ</t>
    </rPh>
    <phoneticPr fontId="1"/>
  </si>
  <si>
    <t>通勤</t>
    <rPh sb="0" eb="2">
      <t>ツウキン</t>
    </rPh>
    <phoneticPr fontId="1"/>
  </si>
  <si>
    <t>1989(平成01)</t>
    <phoneticPr fontId="1"/>
  </si>
  <si>
    <t>データクリアマクロ</t>
    <phoneticPr fontId="1"/>
  </si>
  <si>
    <t>以下、このファイルの使用方法について記載する。</t>
    <rPh sb="0" eb="2">
      <t>イカ</t>
    </rPh>
    <rPh sb="10" eb="12">
      <t>シヨウ</t>
    </rPh>
    <rPh sb="12" eb="14">
      <t>ホウホウ</t>
    </rPh>
    <rPh sb="18" eb="20">
      <t>キサイ</t>
    </rPh>
    <phoneticPr fontId="1"/>
  </si>
  <si>
    <t>①</t>
    <phoneticPr fontId="1"/>
  </si>
  <si>
    <t>打鍵条件の設定</t>
    <rPh sb="0" eb="2">
      <t>ダケン</t>
    </rPh>
    <rPh sb="2" eb="4">
      <t>ジョウケン</t>
    </rPh>
    <rPh sb="5" eb="7">
      <t>セッテイ</t>
    </rPh>
    <phoneticPr fontId="1"/>
  </si>
  <si>
    <t>なお、その際のお約束・コツは以下のとおり。</t>
    <rPh sb="5" eb="6">
      <t>サイ</t>
    </rPh>
    <rPh sb="8" eb="10">
      <t>ヤクソク</t>
    </rPh>
    <rPh sb="14" eb="16">
      <t>イカ</t>
    </rPh>
    <phoneticPr fontId="1"/>
  </si>
  <si>
    <t>・</t>
    <phoneticPr fontId="1"/>
  </si>
  <si>
    <t>条件設定は、一番上のカラムが「黄色」「緑」の列まで行う。</t>
    <rPh sb="0" eb="2">
      <t>ジョウケン</t>
    </rPh>
    <rPh sb="2" eb="4">
      <t>セッテイ</t>
    </rPh>
    <rPh sb="6" eb="8">
      <t>イチバン</t>
    </rPh>
    <rPh sb="8" eb="9">
      <t>ウエ</t>
    </rPh>
    <rPh sb="15" eb="17">
      <t>キイロ</t>
    </rPh>
    <rPh sb="19" eb="20">
      <t>ミドリ</t>
    </rPh>
    <rPh sb="22" eb="23">
      <t>レツ</t>
    </rPh>
    <rPh sb="25" eb="26">
      <t>オコナ</t>
    </rPh>
    <phoneticPr fontId="1"/>
  </si>
  <si>
    <r>
      <t>※</t>
    </r>
    <r>
      <rPr>
        <b/>
        <sz val="11"/>
        <color rgb="FF00B0F0"/>
        <rFont val="ＭＳ Ｐゴシック"/>
        <family val="3"/>
        <charset val="128"/>
        <scheme val="minor"/>
      </rPr>
      <t>「青」</t>
    </r>
    <r>
      <rPr>
        <sz val="11"/>
        <rFont val="ＭＳ Ｐゴシック"/>
        <family val="3"/>
        <charset val="128"/>
        <scheme val="minor"/>
      </rPr>
      <t>のカラム</t>
    </r>
    <r>
      <rPr>
        <sz val="11"/>
        <color theme="1"/>
        <rFont val="ＭＳ Ｐゴシック"/>
        <family val="2"/>
        <charset val="128"/>
        <scheme val="minor"/>
      </rPr>
      <t>については、関数を走らせるので設定不要！</t>
    </r>
    <rPh sb="2" eb="3">
      <t>アオ</t>
    </rPh>
    <rPh sb="14" eb="16">
      <t>カンスウ</t>
    </rPh>
    <rPh sb="17" eb="18">
      <t>ハシ</t>
    </rPh>
    <rPh sb="23" eb="25">
      <t>セッテイ</t>
    </rPh>
    <rPh sb="25" eb="27">
      <t>フヨウ</t>
    </rPh>
    <phoneticPr fontId="1"/>
  </si>
  <si>
    <t>P打鍵用ランダマイザー</t>
    <rPh sb="1" eb="3">
      <t>ダケン</t>
    </rPh>
    <rPh sb="3" eb="4">
      <t>ヨウ</t>
    </rPh>
    <phoneticPr fontId="1"/>
  </si>
  <si>
    <t>設定の際は、「黄色」のカラムを変えずに「緑」のカラムのみを変えるように設定すると</t>
    <rPh sb="0" eb="2">
      <t>セッテイ</t>
    </rPh>
    <rPh sb="3" eb="4">
      <t>サイ</t>
    </rPh>
    <rPh sb="7" eb="9">
      <t>キイロ</t>
    </rPh>
    <rPh sb="15" eb="16">
      <t>カ</t>
    </rPh>
    <rPh sb="20" eb="21">
      <t>ミドリ</t>
    </rPh>
    <rPh sb="29" eb="30">
      <t>カ</t>
    </rPh>
    <rPh sb="35" eb="37">
      <t>セッテイ</t>
    </rPh>
    <phoneticPr fontId="1"/>
  </si>
  <si>
    <t>効率的に打鍵可能。（つまり、年齢は出来る限り変えないように打鍵条件を設定し、人傷AMTなどから先に替えるように設定する。）</t>
    <rPh sb="0" eb="3">
      <t>コウリツテキ</t>
    </rPh>
    <rPh sb="4" eb="6">
      <t>ダケン</t>
    </rPh>
    <rPh sb="6" eb="8">
      <t>カノウ</t>
    </rPh>
    <rPh sb="14" eb="16">
      <t>ネンレイ</t>
    </rPh>
    <rPh sb="17" eb="19">
      <t>デキ</t>
    </rPh>
    <rPh sb="20" eb="21">
      <t>カギ</t>
    </rPh>
    <rPh sb="22" eb="23">
      <t>カ</t>
    </rPh>
    <rPh sb="29" eb="31">
      <t>ダケン</t>
    </rPh>
    <rPh sb="31" eb="33">
      <t>ジョウケン</t>
    </rPh>
    <rPh sb="34" eb="36">
      <t>セッテイ</t>
    </rPh>
    <rPh sb="38" eb="40">
      <t>ジンショウ</t>
    </rPh>
    <rPh sb="47" eb="48">
      <t>サキ</t>
    </rPh>
    <rPh sb="49" eb="50">
      <t>カ</t>
    </rPh>
    <rPh sb="55" eb="57">
      <t>セッテイ</t>
    </rPh>
    <phoneticPr fontId="1"/>
  </si>
  <si>
    <t>⇒数学的にいうと、辞書式配列を行うイメージ。</t>
    <rPh sb="1" eb="4">
      <t>スウガクテキ</t>
    </rPh>
    <rPh sb="9" eb="11">
      <t>ジショ</t>
    </rPh>
    <rPh sb="11" eb="12">
      <t>シキ</t>
    </rPh>
    <rPh sb="12" eb="14">
      <t>ハイレツ</t>
    </rPh>
    <rPh sb="15" eb="16">
      <t>オコナ</t>
    </rPh>
    <phoneticPr fontId="1"/>
  </si>
  <si>
    <t>毎月の保険料チェックに使用するデータを作成するマクロ。</t>
    <rPh sb="0" eb="2">
      <t>マイツキ</t>
    </rPh>
    <rPh sb="3" eb="6">
      <t>ホケンリョウ</t>
    </rPh>
    <rPh sb="11" eb="13">
      <t>シヨウ</t>
    </rPh>
    <rPh sb="19" eb="21">
      <t>サクセイ</t>
    </rPh>
    <phoneticPr fontId="1"/>
  </si>
  <si>
    <t>下記年月を入力してマクロを回す。</t>
    <rPh sb="0" eb="2">
      <t>カキ</t>
    </rPh>
    <rPh sb="2" eb="4">
      <t>ネンゲツ</t>
    </rPh>
    <rPh sb="5" eb="7">
      <t>ニュウリョク</t>
    </rPh>
    <rPh sb="13" eb="14">
      <t>マワ</t>
    </rPh>
    <phoneticPr fontId="1"/>
  </si>
  <si>
    <t>「型式」「初度年月」「車両AMT」には注意すること。打鍵出来ない条件になっている可能性がある。</t>
    <rPh sb="1" eb="3">
      <t>カタシキ</t>
    </rPh>
    <rPh sb="5" eb="7">
      <t>ショド</t>
    </rPh>
    <rPh sb="7" eb="8">
      <t>ネン</t>
    </rPh>
    <rPh sb="8" eb="9">
      <t>ツキ</t>
    </rPh>
    <rPh sb="11" eb="13">
      <t>シャリョウ</t>
    </rPh>
    <rPh sb="19" eb="21">
      <t>チュウイ</t>
    </rPh>
    <rPh sb="26" eb="28">
      <t>ダケン</t>
    </rPh>
    <rPh sb="28" eb="30">
      <t>デキ</t>
    </rPh>
    <rPh sb="32" eb="34">
      <t>ジョウケン</t>
    </rPh>
    <rPh sb="40" eb="43">
      <t>カノウセイ</t>
    </rPh>
    <phoneticPr fontId="1"/>
  </si>
  <si>
    <t>＜和暦変換演算子＞</t>
    <rPh sb="1" eb="3">
      <t>ワレキ</t>
    </rPh>
    <rPh sb="3" eb="5">
      <t>ヘンカン</t>
    </rPh>
    <rPh sb="5" eb="8">
      <t>エンザンシ</t>
    </rPh>
    <phoneticPr fontId="1"/>
  </si>
  <si>
    <t>※打鍵出来ない場合でもRPAは止まらないように出来ているが、打鍵効率が落ちる。</t>
    <rPh sb="1" eb="3">
      <t>ダケン</t>
    </rPh>
    <rPh sb="3" eb="5">
      <t>デキ</t>
    </rPh>
    <rPh sb="7" eb="9">
      <t>バアイ</t>
    </rPh>
    <rPh sb="15" eb="16">
      <t>ト</t>
    </rPh>
    <rPh sb="23" eb="25">
      <t>デキ</t>
    </rPh>
    <rPh sb="30" eb="32">
      <t>ダケン</t>
    </rPh>
    <rPh sb="32" eb="34">
      <t>コウリツ</t>
    </rPh>
    <rPh sb="35" eb="36">
      <t>オ</t>
    </rPh>
    <phoneticPr fontId="1"/>
  </si>
  <si>
    <t>打鍵年</t>
    <rPh sb="0" eb="2">
      <t>ダケン</t>
    </rPh>
    <rPh sb="2" eb="3">
      <t>ネン</t>
    </rPh>
    <phoneticPr fontId="1"/>
  </si>
  <si>
    <t>打鍵月</t>
    <rPh sb="0" eb="2">
      <t>ダケン</t>
    </rPh>
    <rPh sb="2" eb="3">
      <t>ツキ</t>
    </rPh>
    <phoneticPr fontId="1"/>
  </si>
  <si>
    <t>②</t>
    <phoneticPr fontId="1"/>
  </si>
  <si>
    <t>関数のセット</t>
    <rPh sb="0" eb="2">
      <t>カンスウ</t>
    </rPh>
    <phoneticPr fontId="1"/>
  </si>
  <si>
    <t>打鍵日</t>
    <rPh sb="0" eb="2">
      <t>ダケン</t>
    </rPh>
    <rPh sb="2" eb="3">
      <t>ビ</t>
    </rPh>
    <phoneticPr fontId="1"/>
  </si>
  <si>
    <t>※要するに、青色カラムを埋める作業である。</t>
    <rPh sb="1" eb="2">
      <t>ヨウ</t>
    </rPh>
    <rPh sb="6" eb="8">
      <t>アオイロ</t>
    </rPh>
    <rPh sb="12" eb="13">
      <t>ウ</t>
    </rPh>
    <rPh sb="15" eb="17">
      <t>サギョウ</t>
    </rPh>
    <phoneticPr fontId="1"/>
  </si>
  <si>
    <t>自乗</t>
    <rPh sb="0" eb="2">
      <t>ジジョウ</t>
    </rPh>
    <phoneticPr fontId="1"/>
  </si>
  <si>
    <t>軽四</t>
    <rPh sb="0" eb="2">
      <t>ケイヨン</t>
    </rPh>
    <phoneticPr fontId="1"/>
  </si>
  <si>
    <t>強みゾーン</t>
    <rPh sb="0" eb="1">
      <t>ツヨ</t>
    </rPh>
    <phoneticPr fontId="1"/>
  </si>
  <si>
    <t>新車</t>
    <rPh sb="0" eb="2">
      <t>シンシャ</t>
    </rPh>
    <phoneticPr fontId="1"/>
  </si>
  <si>
    <t>初度年変換1</t>
    <rPh sb="0" eb="2">
      <t>ショド</t>
    </rPh>
    <rPh sb="2" eb="3">
      <t>ネン</t>
    </rPh>
    <rPh sb="3" eb="5">
      <t>ヘンカン</t>
    </rPh>
    <phoneticPr fontId="1"/>
  </si>
  <si>
    <t>③</t>
    <phoneticPr fontId="1"/>
  </si>
  <si>
    <t>RPAを使用する</t>
    <rPh sb="4" eb="6">
      <t>シヨウ</t>
    </rPh>
    <phoneticPr fontId="1"/>
  </si>
  <si>
    <t>初度年変換2</t>
    <rPh sb="0" eb="2">
      <t>ショド</t>
    </rPh>
    <rPh sb="2" eb="3">
      <t>ネン</t>
    </rPh>
    <rPh sb="3" eb="5">
      <t>ヘンカン</t>
    </rPh>
    <phoneticPr fontId="1"/>
  </si>
  <si>
    <t>設定ファイルは既に出来ているので、RPAを回して打鍵を行う。</t>
    <rPh sb="0" eb="2">
      <t>セッテイ</t>
    </rPh>
    <rPh sb="7" eb="8">
      <t>スデ</t>
    </rPh>
    <rPh sb="9" eb="11">
      <t>デキ</t>
    </rPh>
    <rPh sb="21" eb="22">
      <t>マワ</t>
    </rPh>
    <rPh sb="24" eb="26">
      <t>ダケン</t>
    </rPh>
    <rPh sb="27" eb="28">
      <t>オコナ</t>
    </rPh>
    <phoneticPr fontId="1"/>
  </si>
  <si>
    <t>④</t>
    <phoneticPr fontId="1"/>
  </si>
  <si>
    <t>留意点</t>
    <rPh sb="0" eb="3">
      <t>リュウイテン</t>
    </rPh>
    <phoneticPr fontId="1"/>
  </si>
  <si>
    <t>このRPAは他社ＷＥＢページの改定の影響を100%受けるものであるため、</t>
    <rPh sb="6" eb="8">
      <t>タシャ</t>
    </rPh>
    <rPh sb="15" eb="17">
      <t>カイテイ</t>
    </rPh>
    <rPh sb="18" eb="20">
      <t>エイキョウ</t>
    </rPh>
    <rPh sb="25" eb="26">
      <t>ウ</t>
    </rPh>
    <phoneticPr fontId="1"/>
  </si>
  <si>
    <t>打鍵の前に念のためWEBが改定されていないか確認を行うべきである。</t>
    <rPh sb="0" eb="2">
      <t>ダケン</t>
    </rPh>
    <rPh sb="3" eb="4">
      <t>マエ</t>
    </rPh>
    <rPh sb="5" eb="6">
      <t>ネン</t>
    </rPh>
    <rPh sb="13" eb="15">
      <t>カイテイ</t>
    </rPh>
    <rPh sb="22" eb="24">
      <t>カクニン</t>
    </rPh>
    <rPh sb="25" eb="26">
      <t>オコナ</t>
    </rPh>
    <phoneticPr fontId="1"/>
  </si>
  <si>
    <t>また、RPAの改築が必要な場合は、このファイルおよびマクロも改築が必要になることに留意されたい。</t>
    <rPh sb="7" eb="9">
      <t>カイチク</t>
    </rPh>
    <rPh sb="10" eb="12">
      <t>ヒツヨウ</t>
    </rPh>
    <rPh sb="13" eb="15">
      <t>バアイ</t>
    </rPh>
    <rPh sb="30" eb="32">
      <t>カイチク</t>
    </rPh>
    <rPh sb="33" eb="35">
      <t>ヒツヨウ</t>
    </rPh>
    <rPh sb="41" eb="43">
      <t>リュウイ</t>
    </rPh>
    <phoneticPr fontId="1"/>
  </si>
  <si>
    <t>P打鍵用フル打鍵</t>
    <rPh sb="1" eb="3">
      <t>ダケン</t>
    </rPh>
    <rPh sb="3" eb="4">
      <t>ヨウ</t>
    </rPh>
    <rPh sb="6" eb="8">
      <t>ダケン</t>
    </rPh>
    <phoneticPr fontId="1"/>
  </si>
  <si>
    <t>保険料改定があった場合に、定期Ｐ打鍵全量を入力するマクロ。</t>
    <rPh sb="0" eb="3">
      <t>ホケンリョウ</t>
    </rPh>
    <rPh sb="3" eb="5">
      <t>カイテイ</t>
    </rPh>
    <rPh sb="9" eb="11">
      <t>バアイ</t>
    </rPh>
    <rPh sb="13" eb="15">
      <t>テイキ</t>
    </rPh>
    <rPh sb="16" eb="18">
      <t>ダケン</t>
    </rPh>
    <rPh sb="18" eb="20">
      <t>ゼンリョウ</t>
    </rPh>
    <rPh sb="21" eb="23">
      <t>ニュウリョク</t>
    </rPh>
    <phoneticPr fontId="1"/>
  </si>
  <si>
    <t>Z打鍵ファイル</t>
    <rPh sb="1" eb="3">
      <t>ダケン</t>
    </rPh>
    <phoneticPr fontId="1"/>
  </si>
  <si>
    <t>このファイルは、RPAを用いてZ社の保険料を調査することを目的とするファイルである。</t>
    <rPh sb="12" eb="13">
      <t>モチ</t>
    </rPh>
    <rPh sb="16" eb="17">
      <t>シャ</t>
    </rPh>
    <rPh sb="18" eb="21">
      <t>ホケンリョウ</t>
    </rPh>
    <rPh sb="22" eb="24">
      <t>チョウサ</t>
    </rPh>
    <rPh sb="29" eb="31">
      <t>モクテキ</t>
    </rPh>
    <phoneticPr fontId="1"/>
  </si>
  <si>
    <t>「Z打鍵」シートのデータを全て消すマクロ。</t>
    <rPh sb="2" eb="4">
      <t>ダケン</t>
    </rPh>
    <rPh sb="13" eb="14">
      <t>スベ</t>
    </rPh>
    <rPh sb="15" eb="16">
      <t>ケ</t>
    </rPh>
    <phoneticPr fontId="1"/>
  </si>
  <si>
    <t>赤色の「Z打鍵」シートに条件を設定する。設定はコツコツ手動でやる以外に、右のマクロを使う方法もある。</t>
    <rPh sb="0" eb="2">
      <t>アカイロ</t>
    </rPh>
    <rPh sb="5" eb="7">
      <t>ダケン</t>
    </rPh>
    <rPh sb="12" eb="14">
      <t>ジョウケン</t>
    </rPh>
    <rPh sb="15" eb="17">
      <t>セッテイ</t>
    </rPh>
    <rPh sb="20" eb="22">
      <t>セッテイ</t>
    </rPh>
    <rPh sb="27" eb="29">
      <t>シュドウ</t>
    </rPh>
    <rPh sb="32" eb="34">
      <t>イガイ</t>
    </rPh>
    <rPh sb="36" eb="37">
      <t>ミギ</t>
    </rPh>
    <rPh sb="42" eb="43">
      <t>ツカ</t>
    </rPh>
    <rPh sb="44" eb="46">
      <t>ホウホウ</t>
    </rPh>
    <phoneticPr fontId="1"/>
  </si>
  <si>
    <t>車内</t>
    <rPh sb="0" eb="2">
      <t>シャナイ</t>
    </rPh>
    <phoneticPr fontId="1"/>
  </si>
  <si>
    <t>生年初度変換</t>
    <rPh sb="0" eb="2">
      <t>セイネン</t>
    </rPh>
    <rPh sb="2" eb="4">
      <t>ショド</t>
    </rPh>
    <rPh sb="4" eb="6">
      <t>ヘンカン</t>
    </rPh>
    <phoneticPr fontId="1"/>
  </si>
  <si>
    <t>1988(昭和63)</t>
    <phoneticPr fontId="1"/>
  </si>
  <si>
    <t>現数字件数</t>
    <rPh sb="0" eb="1">
      <t>ゲン</t>
    </rPh>
    <rPh sb="1" eb="3">
      <t>スウジ</t>
    </rPh>
    <rPh sb="3" eb="5">
      <t>ケンスウ</t>
    </rPh>
    <phoneticPr fontId="1"/>
  </si>
  <si>
    <t>保存数字件数</t>
    <rPh sb="0" eb="2">
      <t>ホゾン</t>
    </rPh>
    <rPh sb="2" eb="4">
      <t>スウジ</t>
    </rPh>
    <rPh sb="4" eb="6">
      <t>ケンスウ</t>
    </rPh>
    <phoneticPr fontId="1"/>
  </si>
  <si>
    <t>打鍵数</t>
    <rPh sb="0" eb="2">
      <t>ダケン</t>
    </rPh>
    <rPh sb="2" eb="3">
      <t>スウ</t>
    </rPh>
    <phoneticPr fontId="1"/>
  </si>
  <si>
    <t>⑤</t>
    <phoneticPr fontId="1"/>
  </si>
  <si>
    <t>お役立ちアイテム</t>
    <rPh sb="1" eb="3">
      <t>ヤクダ</t>
    </rPh>
    <phoneticPr fontId="1"/>
  </si>
  <si>
    <t>データファイルを連番付けて作成するマクロ。</t>
    <rPh sb="8" eb="10">
      <t>レンバン</t>
    </rPh>
    <rPh sb="10" eb="11">
      <t>ツ</t>
    </rPh>
    <rPh sb="13" eb="15">
      <t>サクセイ</t>
    </rPh>
    <phoneticPr fontId="1"/>
  </si>
  <si>
    <t>作成数</t>
    <rPh sb="0" eb="2">
      <t>サクセイ</t>
    </rPh>
    <rPh sb="2" eb="3">
      <t>カズ</t>
    </rPh>
    <phoneticPr fontId="1"/>
  </si>
  <si>
    <t>ASV3</t>
    <phoneticPr fontId="1"/>
  </si>
  <si>
    <t>ASV</t>
    <phoneticPr fontId="1"/>
  </si>
  <si>
    <t>ASV2</t>
    <phoneticPr fontId="1"/>
  </si>
  <si>
    <t>RATE BOOK（全量版）</t>
    <rPh sb="10" eb="12">
      <t>ゼンリョウ</t>
    </rPh>
    <rPh sb="12" eb="13">
      <t>バン</t>
    </rPh>
    <phoneticPr fontId="1"/>
  </si>
  <si>
    <t>RATEBOOK用の打鍵を行うためのデータを入力するマクロ。</t>
    <rPh sb="8" eb="9">
      <t>ヨウ</t>
    </rPh>
    <rPh sb="10" eb="12">
      <t>ダケン</t>
    </rPh>
    <rPh sb="13" eb="14">
      <t>オコナ</t>
    </rPh>
    <rPh sb="22" eb="24">
      <t>ニュウリョク</t>
    </rPh>
    <phoneticPr fontId="1"/>
  </si>
  <si>
    <t>なお、Zは年齢・使用目的・走行距離全て細分化しているのでショートカットはない。</t>
    <rPh sb="5" eb="7">
      <t>ネンレイ</t>
    </rPh>
    <rPh sb="8" eb="10">
      <t>シヨウ</t>
    </rPh>
    <rPh sb="10" eb="12">
      <t>モクテキ</t>
    </rPh>
    <rPh sb="13" eb="15">
      <t>ソウコウ</t>
    </rPh>
    <rPh sb="15" eb="17">
      <t>キョリ</t>
    </rPh>
    <rPh sb="17" eb="18">
      <t>スベ</t>
    </rPh>
    <rPh sb="19" eb="22">
      <t>サイブンカ</t>
    </rPh>
    <phoneticPr fontId="1"/>
  </si>
  <si>
    <t>以下のマクロを回して関数をセッティングする。左は完全スタート時、打鍵途中から設定修正の場合は右を押す。</t>
    <rPh sb="0" eb="2">
      <t>イカ</t>
    </rPh>
    <rPh sb="7" eb="8">
      <t>マワ</t>
    </rPh>
    <rPh sb="10" eb="12">
      <t>カンスウ</t>
    </rPh>
    <rPh sb="22" eb="23">
      <t>ヒダリ</t>
    </rPh>
    <rPh sb="24" eb="26">
      <t>カンゼン</t>
    </rPh>
    <rPh sb="30" eb="31">
      <t>ジ</t>
    </rPh>
    <rPh sb="32" eb="34">
      <t>ダケン</t>
    </rPh>
    <rPh sb="34" eb="36">
      <t>トチュウ</t>
    </rPh>
    <rPh sb="38" eb="40">
      <t>セッテイ</t>
    </rPh>
    <rPh sb="40" eb="42">
      <t>シュウセイ</t>
    </rPh>
    <rPh sb="43" eb="45">
      <t>バアイ</t>
    </rPh>
    <rPh sb="46" eb="47">
      <t>ミギ</t>
    </rPh>
    <rPh sb="48" eb="49">
      <t>オ</t>
    </rPh>
    <phoneticPr fontId="1"/>
  </si>
  <si>
    <t>件数が多いため、２分割（実行機２台あるので）を許容する。（こっそり三分割も作成）</t>
    <rPh sb="0" eb="2">
      <t>ケンスウ</t>
    </rPh>
    <rPh sb="3" eb="4">
      <t>オオ</t>
    </rPh>
    <rPh sb="9" eb="11">
      <t>ブンカツ</t>
    </rPh>
    <rPh sb="12" eb="14">
      <t>ジッコウ</t>
    </rPh>
    <rPh sb="14" eb="15">
      <t>キ</t>
    </rPh>
    <rPh sb="16" eb="17">
      <t>ダイ</t>
    </rPh>
    <rPh sb="23" eb="25">
      <t>キョヨウ</t>
    </rPh>
    <rPh sb="33" eb="34">
      <t>サン</t>
    </rPh>
    <rPh sb="34" eb="36">
      <t>ブンカツ</t>
    </rPh>
    <rPh sb="37" eb="39">
      <t>サクセイ</t>
    </rPh>
    <phoneticPr fontId="1"/>
  </si>
  <si>
    <t>2019(令和01)</t>
    <rPh sb="5" eb="6">
      <t>レイ</t>
    </rPh>
    <rPh sb="6" eb="7">
      <t>ワ</t>
    </rPh>
    <phoneticPr fontId="1"/>
  </si>
  <si>
    <t>2020(令和02)</t>
    <rPh sb="5" eb="6">
      <t>レイ</t>
    </rPh>
    <rPh sb="6" eb="7">
      <t>ワ</t>
    </rPh>
    <phoneticPr fontId="1"/>
  </si>
  <si>
    <t>2021(令和03)</t>
    <rPh sb="5" eb="6">
      <t>レイ</t>
    </rPh>
    <rPh sb="6" eb="7">
      <t>ワ</t>
    </rPh>
    <phoneticPr fontId="1"/>
  </si>
  <si>
    <t>2022(令和04)</t>
    <rPh sb="5" eb="6">
      <t>レイ</t>
    </rPh>
    <rPh sb="6" eb="7">
      <t>ワ</t>
    </rPh>
    <phoneticPr fontId="1"/>
  </si>
  <si>
    <t>2023(令和05)</t>
    <rPh sb="5" eb="6">
      <t>レイ</t>
    </rPh>
    <rPh sb="6" eb="7">
      <t>ワ</t>
    </rPh>
    <phoneticPr fontId="1"/>
  </si>
  <si>
    <t>2024(令和06)</t>
    <rPh sb="5" eb="6">
      <t>レイ</t>
    </rPh>
    <rPh sb="6" eb="7">
      <t>ワ</t>
    </rPh>
    <phoneticPr fontId="1"/>
  </si>
  <si>
    <t>作成番号</t>
    <rPh sb="0" eb="2">
      <t>サクセイ</t>
    </rPh>
    <rPh sb="2" eb="4">
      <t>バンゴウ</t>
    </rPh>
    <phoneticPr fontId="1"/>
  </si>
  <si>
    <t>※上から詰めて記入</t>
    <rPh sb="1" eb="2">
      <t>ウエ</t>
    </rPh>
    <rPh sb="4" eb="5">
      <t>ツ</t>
    </rPh>
    <rPh sb="7" eb="9">
      <t>キニュウ</t>
    </rPh>
    <phoneticPr fontId="1"/>
  </si>
  <si>
    <t>2019(令和01)</t>
    <rPh sb="5" eb="7">
      <t>レイワ</t>
    </rPh>
    <phoneticPr fontId="1"/>
  </si>
  <si>
    <t>2020(令和02)</t>
    <rPh sb="5" eb="7">
      <t>レイワ</t>
    </rPh>
    <phoneticPr fontId="1"/>
  </si>
  <si>
    <t>B11W</t>
    <phoneticPr fontId="1"/>
  </si>
  <si>
    <t>計算シート作成</t>
    <rPh sb="0" eb="2">
      <t>ケイサン</t>
    </rPh>
    <rPh sb="5" eb="7">
      <t>サクセイ</t>
    </rPh>
    <phoneticPr fontId="1"/>
  </si>
  <si>
    <t>計算シート作成用のマクロ。研究中。</t>
    <rPh sb="0" eb="2">
      <t>ケイサン</t>
    </rPh>
    <rPh sb="5" eb="8">
      <t>サクセイヨウ</t>
    </rPh>
    <rPh sb="13" eb="16">
      <t>ケンキュウチュウ</t>
    </rPh>
    <phoneticPr fontId="1"/>
  </si>
  <si>
    <t>計算シート作成用(新車ASV用_ノーマル)</t>
    <rPh sb="0" eb="2">
      <t>ケイサン</t>
    </rPh>
    <rPh sb="5" eb="7">
      <t>サクセイ</t>
    </rPh>
    <rPh sb="7" eb="8">
      <t>ヨウ</t>
    </rPh>
    <rPh sb="9" eb="11">
      <t>シンシャ</t>
    </rPh>
    <rPh sb="14" eb="15">
      <t>ヨウ</t>
    </rPh>
    <phoneticPr fontId="1"/>
  </si>
  <si>
    <t>用途</t>
    <rPh sb="0" eb="2">
      <t>ヨウト</t>
    </rPh>
    <phoneticPr fontId="1"/>
  </si>
  <si>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</si>
  <si>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</si>
  <si>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</si>
  <si>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</si>
  <si>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</si>
  <si>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</si>
  <si>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</si>
  <si>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</si>
  <si>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</si>
  <si>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</si>
  <si>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</si>
  <si>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</si>
  <si>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</si>
  <si>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</si>
  <si>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</si>
  <si>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</si>
  <si>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rPh sb="0" eb="2">
      <t>タイジン</t>
    </rPh>
    <phoneticPr fontId="1"/>
  </si>
  <si>
    <t>対物</t>
    <rPh sb="0" eb="2">
      <t>タイブツ</t>
    </rPh>
    <phoneticPr fontId="1"/>
  </si>
  <si>
    <t>搭傷</t>
    <rPh sb="0" eb="2">
      <t>トウショウ</t>
    </rPh>
    <phoneticPr fontId="1"/>
  </si>
  <si>
    <t>車両</t>
    <rPh sb="0" eb="2">
      <t>シャリョウ</t>
    </rPh>
    <phoneticPr fontId="1"/>
  </si>
  <si>
    <t>Z12</t>
    <phoneticPr fontId="1"/>
  </si>
  <si>
    <t>S321G</t>
    <phoneticPr fontId="1"/>
  </si>
  <si>
    <t>設定AMT</t>
    <rPh sb="0" eb="2">
      <t>セッテイ</t>
    </rPh>
    <phoneticPr fontId="1"/>
  </si>
  <si>
    <t>新車AMT</t>
    <rPh sb="0" eb="2">
      <t>シンシャ</t>
    </rPh>
    <phoneticPr fontId="1"/>
  </si>
  <si>
    <t>車名</t>
    <rPh sb="0" eb="2">
      <t>シャメイ</t>
    </rPh>
    <phoneticPr fontId="1"/>
  </si>
  <si>
    <t>計算シート作成用(新車ASV用_新車)</t>
    <rPh sb="0" eb="2">
      <t>ケイサン</t>
    </rPh>
    <rPh sb="5" eb="7">
      <t>サクセイ</t>
    </rPh>
    <rPh sb="7" eb="8">
      <t>ヨウ</t>
    </rPh>
    <rPh sb="9" eb="11">
      <t>シンシャ</t>
    </rPh>
    <rPh sb="14" eb="15">
      <t>ヨウ</t>
    </rPh>
    <rPh sb="16" eb="18">
      <t>シンシャ</t>
    </rPh>
    <phoneticPr fontId="1"/>
  </si>
  <si>
    <t>対象始期</t>
    <rPh sb="0" eb="2">
      <t>タイショウ</t>
    </rPh>
    <rPh sb="2" eb="4">
      <t>シキ</t>
    </rPh>
    <phoneticPr fontId="1"/>
  </si>
  <si>
    <t>年</t>
    <rPh sb="0" eb="1">
      <t>ネン</t>
    </rPh>
    <phoneticPr fontId="1"/>
  </si>
  <si>
    <t>設定シート</t>
    <rPh sb="0" eb="2">
      <t>セッテイ</t>
    </rPh>
    <phoneticPr fontId="1"/>
  </si>
  <si>
    <t>【計算シート用】</t>
    <rPh sb="1" eb="3">
      <t>ケイサン</t>
    </rPh>
    <rPh sb="6" eb="7">
      <t>ヨウ</t>
    </rPh>
    <phoneticPr fontId="1"/>
  </si>
  <si>
    <t>【打鍵用】</t>
    <rPh sb="1" eb="3">
      <t>ダケン</t>
    </rPh>
    <rPh sb="3" eb="4">
      <t>ヨウ</t>
    </rPh>
    <phoneticPr fontId="1"/>
  </si>
  <si>
    <t>車種</t>
    <rPh sb="0" eb="2">
      <t>シャシュ</t>
    </rPh>
    <phoneticPr fontId="1"/>
  </si>
  <si>
    <t>自小乗</t>
    <rPh sb="0" eb="1">
      <t>ジ</t>
    </rPh>
    <rPh sb="1" eb="3">
      <t>ショウジョウ</t>
    </rPh>
    <phoneticPr fontId="1"/>
  </si>
  <si>
    <t>自普乗</t>
    <rPh sb="0" eb="1">
      <t>ジ</t>
    </rPh>
    <rPh sb="1" eb="2">
      <t>フ</t>
    </rPh>
    <rPh sb="2" eb="3">
      <t>ジョウ</t>
    </rPh>
    <phoneticPr fontId="1"/>
  </si>
  <si>
    <t>自軽四乗</t>
    <rPh sb="0" eb="1">
      <t>ジ</t>
    </rPh>
    <rPh sb="1" eb="2">
      <t>ケイ</t>
    </rPh>
    <rPh sb="2" eb="3">
      <t>ヨン</t>
    </rPh>
    <rPh sb="3" eb="4">
      <t>ジョウ</t>
    </rPh>
    <phoneticPr fontId="1"/>
  </si>
  <si>
    <t>キューブ</t>
    <phoneticPr fontId="1"/>
  </si>
  <si>
    <t>アトレー</t>
    <phoneticPr fontId="1"/>
  </si>
  <si>
    <t>タウンボックス</t>
    <phoneticPr fontId="1"/>
  </si>
  <si>
    <t>ヤリスクロス</t>
    <phoneticPr fontId="1"/>
  </si>
  <si>
    <t>GSR50W</t>
    <phoneticPr fontId="1"/>
  </si>
  <si>
    <t>MH34S</t>
    <phoneticPr fontId="1"/>
  </si>
  <si>
    <t>年齢を問わず補償</t>
    <rPh sb="0" eb="2">
      <t>ネンレイ</t>
    </rPh>
    <rPh sb="3" eb="4">
      <t>ト</t>
    </rPh>
    <rPh sb="6" eb="8">
      <t>ホショウ</t>
    </rPh>
    <phoneticPr fontId="1"/>
  </si>
  <si>
    <t>全年齢補償</t>
    <rPh sb="0" eb="3">
      <t>ゼンネンレイ</t>
    </rPh>
    <rPh sb="3" eb="5">
      <t>ホショウ</t>
    </rPh>
    <phoneticPr fontId="1"/>
  </si>
  <si>
    <t>無制限</t>
  </si>
  <si>
    <t>ワイドカバー型（一般条件）</t>
  </si>
  <si>
    <t>自乗</t>
    <rPh sb="0" eb="2">
      <t>ジジョウ</t>
    </rPh>
    <phoneticPr fontId="1"/>
  </si>
  <si>
    <t>HY51</t>
    <phoneticPr fontId="1"/>
  </si>
  <si>
    <t>型式</t>
    <rPh sb="0" eb="2">
      <t>カタシキ</t>
    </rPh>
    <phoneticPr fontId="1"/>
  </si>
  <si>
    <t>初度年</t>
    <rPh sb="0" eb="2">
      <t>ショド</t>
    </rPh>
    <rPh sb="2" eb="3">
      <t>ネン</t>
    </rPh>
    <phoneticPr fontId="1"/>
  </si>
  <si>
    <t>初度月</t>
    <rPh sb="0" eb="2">
      <t>ショド</t>
    </rPh>
    <rPh sb="2" eb="3">
      <t>ツキ</t>
    </rPh>
    <phoneticPr fontId="1"/>
  </si>
  <si>
    <t>Z12</t>
    <phoneticPr fontId="1"/>
  </si>
  <si>
    <t>軽四</t>
    <rPh sb="0" eb="2">
      <t>ケイヨン</t>
    </rPh>
    <phoneticPr fontId="1"/>
  </si>
  <si>
    <t>JW5</t>
    <phoneticPr fontId="1"/>
  </si>
  <si>
    <t>JG1</t>
    <phoneticPr fontId="1"/>
  </si>
  <si>
    <t>L285S</t>
    <phoneticPr fontId="1"/>
  </si>
  <si>
    <t>本人と配偶者</t>
  </si>
  <si>
    <t>東京</t>
  </si>
  <si>
    <t>3,000万円</t>
  </si>
  <si>
    <t>S321G</t>
  </si>
  <si>
    <t>Z12</t>
  </si>
  <si>
    <t>エスティマ</t>
    <phoneticPr fontId="1"/>
  </si>
  <si>
    <t>30歳以上補償</t>
  </si>
  <si>
    <t>純新規以外</t>
  </si>
  <si>
    <t>GSR50W</t>
  </si>
  <si>
    <t>MH34S</t>
  </si>
  <si>
    <t>1,000万円</t>
  </si>
  <si>
    <t>ZVW40W</t>
    <phoneticPr fontId="1"/>
  </si>
  <si>
    <t>KG2P</t>
    <phoneticPr fontId="1"/>
  </si>
  <si>
    <t>DJ5FS</t>
    <phoneticPr fontId="1"/>
  </si>
  <si>
    <t>2021(令和03)</t>
    <rPh sb="5" eb="7">
      <t>レイワ</t>
    </rPh>
    <phoneticPr fontId="1"/>
  </si>
  <si>
    <t>2022(令和04)</t>
    <rPh sb="5" eb="7">
      <t>レイワ</t>
    </rPh>
    <phoneticPr fontId="1"/>
  </si>
  <si>
    <t>2023(令和05)</t>
    <rPh sb="5" eb="7">
      <t>レイワ</t>
    </rPh>
    <phoneticPr fontId="1"/>
  </si>
  <si>
    <t>2024(令和06)</t>
    <rPh sb="5" eb="7">
      <t>レイワ</t>
    </rPh>
    <phoneticPr fontId="1"/>
  </si>
  <si>
    <t>2025(令和07)</t>
    <rPh sb="5" eb="7">
      <t>レイワ</t>
    </rPh>
    <phoneticPr fontId="1"/>
  </si>
  <si>
    <t>2026(令和08)</t>
    <rPh sb="5" eb="7">
      <t>レイワ</t>
    </rPh>
    <phoneticPr fontId="1"/>
  </si>
  <si>
    <t>BM2AP</t>
    <phoneticPr fontId="1"/>
  </si>
  <si>
    <t>CWEAWN</t>
    <phoneticPr fontId="1"/>
  </si>
  <si>
    <t>LA700S</t>
    <phoneticPr fontId="1"/>
  </si>
  <si>
    <t>LA300S</t>
    <phoneticPr fontId="1"/>
  </si>
  <si>
    <t>DS17W</t>
    <phoneticPr fontId="1"/>
  </si>
  <si>
    <t>アクセラ</t>
    <phoneticPr fontId="1"/>
  </si>
  <si>
    <t>ラフェスタ</t>
    <phoneticPr fontId="1"/>
  </si>
  <si>
    <t>デミオ</t>
    <phoneticPr fontId="1"/>
  </si>
  <si>
    <t>ワゴンR</t>
    <phoneticPr fontId="1"/>
  </si>
  <si>
    <t>ウェイク</t>
    <phoneticPr fontId="1"/>
  </si>
  <si>
    <t>ミラ</t>
    <phoneticPr fontId="1"/>
  </si>
  <si>
    <t>MXPJ10</t>
    <phoneticPr fontId="1"/>
  </si>
  <si>
    <t>AXUH80</t>
    <phoneticPr fontId="1"/>
  </si>
  <si>
    <t>ZSG10</t>
    <phoneticPr fontId="1"/>
  </si>
  <si>
    <t>MXPB15</t>
    <phoneticPr fontId="1"/>
  </si>
  <si>
    <t>GL3W</t>
    <phoneticPr fontId="1"/>
  </si>
  <si>
    <t>ZWE213H</t>
    <phoneticPr fontId="1"/>
  </si>
  <si>
    <t>MX81S</t>
    <phoneticPr fontId="1"/>
  </si>
  <si>
    <t>JH3</t>
    <phoneticPr fontId="1"/>
  </si>
  <si>
    <t>LA650S</t>
    <phoneticPr fontId="1"/>
  </si>
  <si>
    <t>MH95S</t>
    <phoneticPr fontId="1"/>
  </si>
  <si>
    <t>MJ95S</t>
    <phoneticPr fontId="1"/>
  </si>
  <si>
    <t>ハリアー</t>
    <phoneticPr fontId="1"/>
  </si>
  <si>
    <t>カローラクロス</t>
    <phoneticPr fontId="1"/>
  </si>
  <si>
    <t>エクリプスクロス</t>
    <phoneticPr fontId="1"/>
  </si>
  <si>
    <t>カローラスポーツ</t>
    <phoneticPr fontId="1"/>
  </si>
  <si>
    <t>ワゴンRスマイル</t>
    <phoneticPr fontId="1"/>
  </si>
  <si>
    <t>N-WGN</t>
    <phoneticPr fontId="1"/>
  </si>
  <si>
    <t>タント</t>
    <phoneticPr fontId="1"/>
  </si>
  <si>
    <t>フレア</t>
    <phoneticPr fontId="1"/>
  </si>
  <si>
    <t>新車割引率の推定打鍵</t>
    <rPh sb="0" eb="4">
      <t>シンシャワリビキ</t>
    </rPh>
    <rPh sb="4" eb="5">
      <t>リツ</t>
    </rPh>
    <rPh sb="6" eb="8">
      <t>スイテイ</t>
    </rPh>
    <rPh sb="8" eb="10">
      <t>ダケン</t>
    </rPh>
    <phoneticPr fontId="1"/>
  </si>
  <si>
    <t>NRE161G</t>
    <phoneticPr fontId="1"/>
  </si>
  <si>
    <t>GB6</t>
    <phoneticPr fontId="1"/>
  </si>
  <si>
    <t>M700A</t>
    <phoneticPr fontId="1"/>
  </si>
  <si>
    <t>SGC27</t>
    <phoneticPr fontId="1"/>
  </si>
  <si>
    <t>GP8</t>
    <phoneticPr fontId="1"/>
  </si>
  <si>
    <t>LA360S</t>
    <phoneticPr fontId="1"/>
  </si>
  <si>
    <t>DA17W</t>
    <phoneticPr fontId="1"/>
  </si>
  <si>
    <t>保険金額範囲</t>
    <rPh sb="0" eb="2">
      <t>ホケン</t>
    </rPh>
    <rPh sb="2" eb="4">
      <t>キンガク</t>
    </rPh>
    <rPh sb="4" eb="6">
      <t>ハンイ</t>
    </rPh>
    <phoneticPr fontId="1"/>
  </si>
  <si>
    <t>120-180</t>
    <phoneticPr fontId="1"/>
  </si>
  <si>
    <t>195-255</t>
    <phoneticPr fontId="1"/>
  </si>
  <si>
    <t>120-160</t>
    <phoneticPr fontId="1"/>
  </si>
  <si>
    <t>215-280</t>
    <phoneticPr fontId="1"/>
  </si>
  <si>
    <t>90-120</t>
    <phoneticPr fontId="1"/>
  </si>
  <si>
    <t>135-180</t>
    <phoneticPr fontId="1"/>
  </si>
  <si>
    <t>110-175</t>
    <phoneticPr fontId="1"/>
  </si>
  <si>
    <t>185-245</t>
    <phoneticPr fontId="1"/>
  </si>
  <si>
    <t>110-145</t>
    <phoneticPr fontId="1"/>
  </si>
  <si>
    <t>180-235</t>
    <phoneticPr fontId="1"/>
  </si>
  <si>
    <t>115-150</t>
    <phoneticPr fontId="1"/>
  </si>
  <si>
    <t>85-115</t>
    <phoneticPr fontId="1"/>
  </si>
  <si>
    <t>130-170</t>
    <phoneticPr fontId="1"/>
  </si>
  <si>
    <t>110-145</t>
  </si>
  <si>
    <t>100-130</t>
    <phoneticPr fontId="1"/>
  </si>
  <si>
    <t>160-210</t>
    <phoneticPr fontId="1"/>
  </si>
  <si>
    <t>105-140</t>
    <phoneticPr fontId="1"/>
  </si>
  <si>
    <t>80-105</t>
    <phoneticPr fontId="1"/>
  </si>
  <si>
    <t>100-130</t>
  </si>
  <si>
    <t>150-195</t>
    <phoneticPr fontId="1"/>
  </si>
  <si>
    <t>170-225</t>
    <phoneticPr fontId="1"/>
  </si>
  <si>
    <t>140-185</t>
    <phoneticPr fontId="1"/>
  </si>
  <si>
    <t>75-100</t>
    <phoneticPr fontId="1"/>
  </si>
  <si>
    <t>85-115</t>
  </si>
  <si>
    <t>155-205</t>
    <phoneticPr fontId="1"/>
  </si>
  <si>
    <t>95-125</t>
    <phoneticPr fontId="1"/>
  </si>
  <si>
    <t>70-95</t>
    <phoneticPr fontId="1"/>
  </si>
  <si>
    <t>保険金額設定</t>
    <rPh sb="0" eb="2">
      <t>ホケン</t>
    </rPh>
    <rPh sb="2" eb="4">
      <t>キンガク</t>
    </rPh>
    <rPh sb="4" eb="6">
      <t>セッテイ</t>
    </rPh>
    <phoneticPr fontId="1"/>
  </si>
  <si>
    <t>用途車種</t>
    <rPh sb="0" eb="2">
      <t>ヨウト</t>
    </rPh>
    <rPh sb="2" eb="4">
      <t>シャシュ</t>
    </rPh>
    <phoneticPr fontId="1"/>
  </si>
  <si>
    <t>自小乗</t>
    <rPh sb="0" eb="1">
      <t>ジ</t>
    </rPh>
    <rPh sb="1" eb="2">
      <t>ショウ</t>
    </rPh>
    <rPh sb="2" eb="3">
      <t>ジョウ</t>
    </rPh>
    <phoneticPr fontId="1"/>
  </si>
  <si>
    <t>Z特殊</t>
    <rPh sb="1" eb="3">
      <t>トクシュ</t>
    </rPh>
    <phoneticPr fontId="1"/>
  </si>
  <si>
    <t>自乗基準対物</t>
    <phoneticPr fontId="1"/>
  </si>
  <si>
    <t>車両AMTチェック用(新車割引が車両保険に適用されないなら初度年を気にする必要は無し）</t>
    <rPh sb="0" eb="2">
      <t>シャリョウ</t>
    </rPh>
    <rPh sb="9" eb="10">
      <t>ヨウ</t>
    </rPh>
    <rPh sb="11" eb="15">
      <t>シンシャワリビキ</t>
    </rPh>
    <rPh sb="16" eb="20">
      <t>シャリョウホケン</t>
    </rPh>
    <rPh sb="21" eb="23">
      <t>テキヨウ</t>
    </rPh>
    <rPh sb="29" eb="32">
      <t>ショドネン</t>
    </rPh>
    <rPh sb="33" eb="34">
      <t>キ</t>
    </rPh>
    <rPh sb="37" eb="39">
      <t>ヒツヨウ</t>
    </rPh>
    <rPh sb="40" eb="41">
      <t>ナ</t>
    </rPh>
    <phoneticPr fontId="1"/>
  </si>
  <si>
    <t>2022(令和04)</t>
  </si>
  <si>
    <t>110万円</t>
  </si>
  <si>
    <t>50万円</t>
  </si>
  <si>
    <t>BM2AP</t>
  </si>
  <si>
    <t>CWEAWN</t>
  </si>
  <si>
    <t>LA700S</t>
  </si>
  <si>
    <t>LA300S</t>
  </si>
  <si>
    <t>DJ5FS</t>
  </si>
  <si>
    <t>免責金額なし</t>
  </si>
  <si>
    <t>35歳以上補償</t>
  </si>
  <si>
    <t>車内外</t>
  </si>
  <si>
    <t>180万円</t>
  </si>
  <si>
    <t>事前チェッカー</t>
  </si>
  <si>
    <t>DS17W</t>
  </si>
  <si>
    <t>MXPJ10</t>
  </si>
  <si>
    <t>AXUH80</t>
  </si>
  <si>
    <t>ZSG10</t>
  </si>
  <si>
    <t>MXPB15</t>
  </si>
  <si>
    <t>GL3W</t>
  </si>
  <si>
    <t>ZWE213H</t>
  </si>
  <si>
    <t>MX81S</t>
  </si>
  <si>
    <t>JH3</t>
  </si>
  <si>
    <t>LA650S</t>
  </si>
  <si>
    <t>MH95S</t>
  </si>
  <si>
    <t>MJ95S</t>
  </si>
  <si>
    <t>85万円</t>
  </si>
  <si>
    <t>160万円</t>
  </si>
  <si>
    <t>100万円</t>
  </si>
  <si>
    <t>60万円</t>
  </si>
  <si>
    <t>90万円</t>
  </si>
  <si>
    <t>2021(令和03)</t>
  </si>
  <si>
    <t>260万円</t>
  </si>
  <si>
    <t>480万円</t>
  </si>
  <si>
    <t>270万円</t>
  </si>
  <si>
    <t>240万円</t>
  </si>
  <si>
    <t>460万円</t>
  </si>
  <si>
    <t>145万円</t>
  </si>
  <si>
    <t>170万円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</si>
</sst>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sz val="16"/>
      <color rgb="FF000000"/>
      <name val="ＭＳ Ｐゴシック"/>
      <family val="3"/>
      <charset val="128"/>
    </font>
    <font>
      <sz val="11"/>
      <color rgb="FF000000"/>
      <name val="ＭＳ Ｐゴシック"/>
      <family val="3"/>
      <charset val="128"/>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b/>
      <sz val="11"/>
      <color rgb="FF00B0F0"/>
      <name val="ＭＳ Ｐゴシック"/>
      <family val="3"/>
      <charset val="128"/>
      <scheme val="minor"/>
    </font>
    <font>
      <sz val="11"/>
      <name val="ＭＳ Ｐゴシック"/>
      <family val="3"/>
      <charset val="128"/>
      <scheme val="minor"/>
    </font>
    <font>
      <sz val="20"/>
      <color rgb="FF000000"/>
      <name val="ＭＳ Ｐゴシック"/>
      <family val="3"/>
      <charset val="128"/>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alignment vertical="center"/>
    </xf>
    <xf numFmtId="38" fontId="2" fillId="0" borderId="0" applyFont="0" applyFill="0" applyBorder="0" applyAlignment="0" applyProtection="0">
      <alignment vertical="center"/>
    </xf>
  </cellStyleXfs>
  <cellXfs count="68">
    <xf numFmtId="0" fontId="0" fillId="0" borderId="0" xfId="0">
      <alignment vertical="center"/>
    </xf>
    <xf numFmtId="0" fontId="0" fillId="0" borderId="1" xfId="0" applyBorder="1">
      <alignment vertical="center"/>
    </xf>
    <xf numFmtId="0" fontId="0" fillId="0" borderId="1" xfId="0" applyFill="1" applyBorder="1">
      <alignment vertical="center"/>
    </xf>
    <xf numFmtId="0" fontId="3" fillId="6" borderId="0" xfId="0" applyFont="1" applyFill="1" applyAlignment="1">
      <alignment horizontal="center" vertical="center"/>
    </xf>
    <xf numFmtId="38" fontId="0" fillId="0" borderId="0" xfId="0" applyNumberFormat="1">
      <alignment vertical="center"/>
    </xf>
    <xf numFmtId="0" fontId="0" fillId="2" borderId="1" xfId="0" applyFill="1" applyBorder="1" applyAlignment="1">
      <alignment horizontal="center" vertical="center"/>
    </xf>
    <xf numFmtId="0" fontId="0" fillId="0" borderId="0" xfId="0" applyAlignment="1">
      <alignment horizontal="center" vertical="center"/>
    </xf>
    <xf numFmtId="0" fontId="3" fillId="5" borderId="1" xfId="0" applyFont="1" applyFill="1" applyBorder="1" applyAlignment="1">
      <alignment horizontal="center" vertical="center"/>
    </xf>
    <xf numFmtId="0" fontId="0" fillId="0" borderId="0" xfId="0" applyAlignment="1">
      <alignment horizontal="right" vertical="center"/>
    </xf>
    <xf numFmtId="0" fontId="3" fillId="4" borderId="0" xfId="0" applyFont="1" applyFill="1" applyBorder="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applyBorder="1" applyAlignment="1">
      <alignment horizontal="right" vertical="center"/>
    </xf>
    <xf numFmtId="0" fontId="0" fillId="0" borderId="1" xfId="0" quotePrefix="1" applyBorder="1" applyAlignment="1">
      <alignment horizontal="right" vertical="center"/>
    </xf>
    <xf numFmtId="0" fontId="0" fillId="7" borderId="1" xfId="0" applyFill="1" applyBorder="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lignment vertical="center"/>
    </xf>
    <xf numFmtId="0" fontId="0" fillId="2" borderId="2" xfId="0" applyFill="1" applyBorder="1" applyAlignment="1">
      <alignment horizontal="center" vertical="center"/>
    </xf>
    <xf numFmtId="0" fontId="0" fillId="0" borderId="0" xfId="0" applyAlignment="1">
      <alignment horizontal="left" vertical="center"/>
    </xf>
    <xf numFmtId="0" fontId="0" fillId="11" borderId="0" xfId="0" applyFill="1">
      <alignment vertical="center"/>
    </xf>
    <xf numFmtId="0" fontId="8" fillId="0" borderId="0" xfId="0" applyFont="1" applyAlignment="1">
      <alignment horizontal="center" vertical="center"/>
    </xf>
    <xf numFmtId="0" fontId="8" fillId="0" borderId="0" xfId="0" applyFont="1" applyAlignment="1">
      <alignment horizontal="left" vertical="center"/>
    </xf>
    <xf numFmtId="0" fontId="8" fillId="0" borderId="0" xfId="0" applyFo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1" xfId="0" applyBorder="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2"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lignment vertical="center"/>
    </xf>
    <xf numFmtId="0" fontId="0" fillId="12" borderId="1" xfId="0" applyFill="1" applyBorder="1" applyAlignment="1">
      <alignment horizontal="center" vertical="center"/>
    </xf>
    <xf numFmtId="0" fontId="0" fillId="0" borderId="1" xfId="0"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3" xfId="0" applyFill="1" applyBorder="1">
      <alignment vertical="center"/>
    </xf>
    <xf numFmtId="0" fontId="0" fillId="0" borderId="1" xfId="0" applyFill="1" applyBorder="1" applyAlignment="1">
      <alignment horizontal="center" vertical="center"/>
    </xf>
    <xf numFmtId="0" fontId="0" fillId="0" borderId="0" xfId="0" applyFill="1">
      <alignment vertical="center"/>
    </xf>
    <xf numFmtId="0" fontId="0" fillId="0" borderId="1" xfId="0" applyFill="1"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7" fillId="10" borderId="3" xfId="0" applyFont="1" applyFill="1" applyBorder="1" applyAlignment="1">
      <alignment horizontal="center" vertical="center"/>
    </xf>
    <xf numFmtId="0" fontId="7" fillId="10" borderId="4" xfId="0" applyFont="1" applyFill="1" applyBorder="1" applyAlignment="1">
      <alignment horizontal="center" vertical="center"/>
    </xf>
    <xf numFmtId="0" fontId="7" fillId="10" borderId="5" xfId="0" applyFont="1" applyFill="1" applyBorder="1" applyAlignment="1">
      <alignment horizontal="center" vertical="center"/>
    </xf>
    <xf numFmtId="0" fontId="7" fillId="10" borderId="6" xfId="0" applyFont="1" applyFill="1" applyBorder="1" applyAlignment="1">
      <alignment horizontal="center" vertical="center"/>
    </xf>
    <xf numFmtId="0" fontId="7" fillId="10" borderId="0" xfId="0" applyFont="1" applyFill="1" applyAlignment="1">
      <alignment horizontal="center" vertical="center"/>
    </xf>
    <xf numFmtId="0" fontId="7" fillId="10" borderId="7" xfId="0" applyFont="1" applyFill="1" applyBorder="1" applyAlignment="1">
      <alignment horizontal="center" vertical="center"/>
    </xf>
    <xf numFmtId="0" fontId="7" fillId="10" borderId="8" xfId="0" applyFont="1" applyFill="1" applyBorder="1" applyAlignment="1">
      <alignment horizontal="center" vertical="center"/>
    </xf>
    <xf numFmtId="0" fontId="7" fillId="10" borderId="9" xfId="0" applyFont="1" applyFill="1" applyBorder="1" applyAlignment="1">
      <alignment horizontal="center" vertical="center"/>
    </xf>
    <xf numFmtId="0" fontId="7" fillId="10" borderId="10" xfId="0" applyFont="1" applyFill="1" applyBorder="1" applyAlignment="1">
      <alignment horizontal="center" vertical="center"/>
    </xf>
    <xf numFmtId="0" fontId="0" fillId="14" borderId="1" xfId="0" applyFill="1" applyBorder="1" applyAlignment="1">
      <alignment horizontal="center" vertical="center"/>
    </xf>
    <xf numFmtId="0" fontId="6" fillId="12" borderId="3" xfId="0" applyFont="1" applyFill="1" applyBorder="1" applyAlignment="1">
      <alignment horizontal="center" vertical="center"/>
    </xf>
    <xf numFmtId="0" fontId="6" fillId="12" borderId="4" xfId="0" applyFont="1" applyFill="1" applyBorder="1" applyAlignment="1">
      <alignment horizontal="center" vertical="center"/>
    </xf>
    <xf numFmtId="0" fontId="6" fillId="12" borderId="5" xfId="0" applyFont="1" applyFill="1" applyBorder="1" applyAlignment="1">
      <alignment horizontal="center" vertical="center"/>
    </xf>
    <xf numFmtId="0" fontId="6" fillId="12" borderId="6" xfId="0" applyFont="1" applyFill="1" applyBorder="1" applyAlignment="1">
      <alignment horizontal="center" vertical="center"/>
    </xf>
    <xf numFmtId="0" fontId="6" fillId="12" borderId="0" xfId="0" applyFont="1" applyFill="1" applyBorder="1" applyAlignment="1">
      <alignment horizontal="center" vertical="center"/>
    </xf>
    <xf numFmtId="0" fontId="6" fillId="12" borderId="7" xfId="0" applyFont="1" applyFill="1" applyBorder="1" applyAlignment="1">
      <alignment horizontal="center" vertical="center"/>
    </xf>
    <xf numFmtId="0" fontId="6" fillId="12" borderId="8" xfId="0" applyFont="1" applyFill="1" applyBorder="1" applyAlignment="1">
      <alignment horizontal="center" vertical="center"/>
    </xf>
    <xf numFmtId="0" fontId="6" fillId="12" borderId="9" xfId="0" applyFont="1" applyFill="1" applyBorder="1" applyAlignment="1">
      <alignment horizontal="center" vertical="center"/>
    </xf>
    <xf numFmtId="0" fontId="6" fillId="12" borderId="10" xfId="0" applyFont="1" applyFill="1" applyBorder="1" applyAlignment="1">
      <alignment horizontal="center" vertical="center"/>
    </xf>
    <xf numFmtId="0" fontId="7" fillId="10" borderId="0" xfId="0" applyFont="1" applyFill="1" applyBorder="1" applyAlignment="1">
      <alignment horizontal="center" vertical="center"/>
    </xf>
    <xf numFmtId="0" fontId="0" fillId="13" borderId="1" xfId="0" applyFill="1" applyBorder="1" applyAlignment="1">
      <alignment horizontal="center" vertical="center"/>
    </xf>
  </cellXfs>
  <cellStyles count="2">
    <cellStyle name="桁区切り" xfId="1" builtinId="6"/>
    <cellStyle name="標準" xfId="0" builtinId="0"/>
  </cellStyles>
  <dxfs count="0"/>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19050</xdr:colOff>
          <xdr:row>8</xdr:row>
          <xdr:rowOff>0</xdr:rowOff>
        </xdr:from>
        <xdr:to>
          <xdr:col>22</xdr:col>
          <xdr:colOff>19050</xdr:colOff>
          <xdr:row>11</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600" b="0" i="0" u="none" strike="noStrike" baseline="0">
                  <a:solidFill>
                    <a:srgbClr val="000000"/>
                  </a:solidFill>
                  <a:latin typeface="ＭＳ Ｐゴシック"/>
                  <a:ea typeface="ＭＳ Ｐゴシック"/>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9525</xdr:rowOff>
        </xdr:from>
        <xdr:to>
          <xdr:col>22</xdr:col>
          <xdr:colOff>0</xdr:colOff>
          <xdr:row>47</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27</xdr:row>
          <xdr:rowOff>9525</xdr:rowOff>
        </xdr:from>
        <xdr:to>
          <xdr:col>7</xdr:col>
          <xdr:colOff>9525</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関数ローディング</a:t>
              </a:r>
            </a:p>
            <a:p>
              <a:pPr algn="ctr" rtl="0">
                <a:defRPr sz="1000"/>
              </a:pPr>
              <a:r>
                <a:rPr lang="ja-JP" altLang="en-US" sz="1100" b="0" i="0" u="none" strike="noStrike" baseline="0">
                  <a:solidFill>
                    <a:srgbClr val="000000"/>
                  </a:solidFill>
                  <a:latin typeface="ＭＳ Ｐゴシック"/>
                  <a:ea typeface="ＭＳ Ｐゴシック"/>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52</xdr:row>
          <xdr:rowOff>142875</xdr:rowOff>
        </xdr:from>
        <xdr:to>
          <xdr:col>7</xdr:col>
          <xdr:colOff>9525</xdr:colOff>
          <xdr:row>55</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ファイル作成</a:t>
              </a:r>
            </a:p>
          </xdr:txBody>
        </xdr:sp>
        <xdr:clientData fPrintsWithSheet="0"/>
      </xdr:twoCellAnchor>
    </mc:Choice>
    <mc:Fallback/>
  </mc:AlternateContent>
  <xdr:twoCellAnchor>
    <xdr:from>
      <xdr:col>23</xdr:col>
      <xdr:colOff>0</xdr:colOff>
      <xdr:row>2</xdr:row>
      <xdr:rowOff>0</xdr:rowOff>
    </xdr:from>
    <xdr:to>
      <xdr:col>26</xdr:col>
      <xdr:colOff>217714</xdr:colOff>
      <xdr:row>7</xdr:row>
      <xdr:rowOff>122465</xdr:rowOff>
    </xdr:to>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14219464" y="353786"/>
          <a:ext cx="3986893" cy="1006929"/>
        </a:xfrm>
        <a:prstGeom prst="rect">
          <a:avLst/>
        </a:prstGeom>
        <a:solidFill>
          <a:srgbClr val="FFFFCC"/>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ja-JP" altLang="en-US" sz="1400">
              <a:solidFill>
                <a:sysClr val="windowText" lastClr="000000"/>
              </a:solidFill>
            </a:rPr>
            <a:t>定型打鍵データ作成マクロ。</a:t>
          </a:r>
          <a:endParaRPr kumimoji="1" lang="en-US" altLang="ja-JP" sz="1400">
            <a:solidFill>
              <a:sysClr val="windowText" lastClr="000000"/>
            </a:solidFill>
          </a:endParaRPr>
        </a:p>
        <a:p>
          <a:r>
            <a:rPr kumimoji="1" lang="ja-JP" altLang="en-US" sz="1400">
              <a:solidFill>
                <a:sysClr val="windowText" lastClr="000000"/>
              </a:solidFill>
            </a:rPr>
            <a:t>毎度作り直すと日が暮れるので</a:t>
          </a:r>
          <a:endParaRPr kumimoji="1" lang="en-US" altLang="ja-JP" sz="1400">
            <a:solidFill>
              <a:sysClr val="windowText" lastClr="000000"/>
            </a:solidFill>
          </a:endParaRPr>
        </a:p>
        <a:p>
          <a:r>
            <a:rPr kumimoji="1" lang="ja-JP" altLang="en-US" sz="1400">
              <a:solidFill>
                <a:sysClr val="windowText" lastClr="000000"/>
              </a:solidFill>
            </a:rPr>
            <a:t>ある程度型を準備しておく。</a:t>
          </a:r>
        </a:p>
      </xdr:txBody>
    </xdr:sp>
    <xdr:clientData/>
  </xdr:twoCellAnchor>
  <mc:AlternateContent xmlns:mc="http://schemas.openxmlformats.org/markup-compatibility/2006">
    <mc:Choice xmlns:a14="http://schemas.microsoft.com/office/drawing/2010/main" Requires="a14">
      <xdr:twoCellAnchor>
        <xdr:from>
          <xdr:col>8</xdr:col>
          <xdr:colOff>9525</xdr:colOff>
          <xdr:row>27</xdr:row>
          <xdr:rowOff>9525</xdr:rowOff>
        </xdr:from>
        <xdr:to>
          <xdr:col>11</xdr:col>
          <xdr:colOff>247650</xdr:colOff>
          <xdr:row>29</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314325</xdr:colOff>
          <xdr:row>104</xdr:row>
          <xdr:rowOff>9525</xdr:rowOff>
        </xdr:from>
        <xdr:to>
          <xdr:col>23</xdr:col>
          <xdr:colOff>847725</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2000" b="0" i="0" u="none" strike="noStrike" baseline="0">
                  <a:solidFill>
                    <a:srgbClr val="000000"/>
                  </a:solidFill>
                  <a:latin typeface="ＭＳ Ｐゴシック"/>
                  <a:ea typeface="ＭＳ Ｐゴシック"/>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7030A0"/>
  </sheetPr>
  <dimension ref="A1:AU199"/>
  <sheetViews>
    <sheetView tabSelected="1" topLeftCell="A28" zoomScaleNormal="100" workbookViewId="0">
      <selection activeCell="U109" sqref="U109"/>
    </sheetView>
  </sheetViews>
  <sheetFormatPr defaultRowHeight="13.5" x14ac:dyDescent="0.15"/>
  <cols>
    <col min="1" max="3" width="3.125" style="6" customWidth="1"/>
    <col min="4" max="4" width="3.125" style="21" customWidth="1"/>
    <col min="16" max="16" width="2.75" customWidth="1"/>
    <col min="17" max="17" width="2.75" style="22" customWidth="1"/>
    <col min="18" max="19" width="3.25" customWidth="1"/>
    <col min="20" max="20" width="12.625" customWidth="1"/>
    <col min="21" max="21" width="16.25" bestFit="1" customWidth="1"/>
    <col min="22" max="22" width="13.375" bestFit="1" customWidth="1"/>
    <col min="23" max="23" width="13.5" customWidth="1"/>
    <col min="24" max="30" width="13.375" bestFit="1" customWidth="1"/>
    <col min="31" max="47" width="14.125" customWidth="1"/>
  </cols>
  <sheetData>
    <row r="1" spans="2:22" ht="14.25" thickBot="1" x14ac:dyDescent="0.2"/>
    <row r="2" spans="2:22" ht="13.5" customHeight="1" thickBot="1" x14ac:dyDescent="0.2">
      <c r="B2" s="57" t="s">
        <v>336</v>
      </c>
      <c r="C2" s="58"/>
      <c r="D2" s="58"/>
      <c r="E2" s="58"/>
      <c r="F2" s="58"/>
      <c r="G2" s="58"/>
      <c r="H2" s="59"/>
    </row>
    <row r="3" spans="2:22" ht="13.5" customHeight="1" x14ac:dyDescent="0.15">
      <c r="B3" s="60"/>
      <c r="C3" s="61"/>
      <c r="D3" s="61"/>
      <c r="E3" s="61"/>
      <c r="F3" s="61"/>
      <c r="G3" s="61"/>
      <c r="H3" s="62"/>
      <c r="S3" s="47" t="s">
        <v>297</v>
      </c>
      <c r="T3" s="48"/>
      <c r="U3" s="48"/>
      <c r="V3" s="49"/>
    </row>
    <row r="4" spans="2:22" ht="13.5" customHeight="1" x14ac:dyDescent="0.15">
      <c r="B4" s="60"/>
      <c r="C4" s="61"/>
      <c r="D4" s="61"/>
      <c r="E4" s="61"/>
      <c r="F4" s="61"/>
      <c r="G4" s="61"/>
      <c r="H4" s="62"/>
      <c r="S4" s="50"/>
      <c r="T4" s="66"/>
      <c r="U4" s="66"/>
      <c r="V4" s="52"/>
    </row>
    <row r="5" spans="2:22" ht="14.25" customHeight="1" thickBot="1" x14ac:dyDescent="0.2">
      <c r="B5" s="63"/>
      <c r="C5" s="64"/>
      <c r="D5" s="64"/>
      <c r="E5" s="64"/>
      <c r="F5" s="64"/>
      <c r="G5" s="64"/>
      <c r="H5" s="65"/>
      <c r="S5" s="53"/>
      <c r="T5" s="54"/>
      <c r="U5" s="54"/>
      <c r="V5" s="55"/>
    </row>
    <row r="7" spans="2:22" x14ac:dyDescent="0.15">
      <c r="C7" s="21" t="s">
        <v>337</v>
      </c>
      <c r="E7" s="21"/>
      <c r="F7" s="21"/>
      <c r="G7" s="21"/>
      <c r="T7" t="s">
        <v>338</v>
      </c>
    </row>
    <row r="8" spans="2:22" x14ac:dyDescent="0.15">
      <c r="C8" s="21" t="s">
        <v>298</v>
      </c>
      <c r="E8" s="21"/>
      <c r="F8" s="21"/>
      <c r="G8" s="21"/>
    </row>
    <row r="10" spans="2:22" x14ac:dyDescent="0.15">
      <c r="C10" s="23" t="s">
        <v>299</v>
      </c>
      <c r="D10" s="24" t="s">
        <v>300</v>
      </c>
    </row>
    <row r="11" spans="2:22" x14ac:dyDescent="0.15">
      <c r="D11" s="21" t="s">
        <v>339</v>
      </c>
    </row>
    <row r="12" spans="2:22" x14ac:dyDescent="0.15">
      <c r="D12" s="21" t="s">
        <v>301</v>
      </c>
    </row>
    <row r="14" spans="2:22" ht="14.25" thickBot="1" x14ac:dyDescent="0.2">
      <c r="D14" s="6" t="s">
        <v>302</v>
      </c>
      <c r="E14" t="s">
        <v>303</v>
      </c>
    </row>
    <row r="15" spans="2:22" x14ac:dyDescent="0.15">
      <c r="D15" s="6"/>
      <c r="E15" t="s">
        <v>304</v>
      </c>
      <c r="S15" s="47" t="s">
        <v>305</v>
      </c>
      <c r="T15" s="48"/>
      <c r="U15" s="48"/>
      <c r="V15" s="49"/>
    </row>
    <row r="16" spans="2:22" x14ac:dyDescent="0.15">
      <c r="D16" s="6"/>
      <c r="S16" s="50"/>
      <c r="T16" s="66"/>
      <c r="U16" s="66"/>
      <c r="V16" s="52"/>
    </row>
    <row r="17" spans="3:24" ht="14.25" thickBot="1" x14ac:dyDescent="0.2">
      <c r="D17" s="6" t="s">
        <v>302</v>
      </c>
      <c r="E17" t="s">
        <v>306</v>
      </c>
      <c r="S17" s="53"/>
      <c r="T17" s="54"/>
      <c r="U17" s="54"/>
      <c r="V17" s="55"/>
    </row>
    <row r="18" spans="3:24" x14ac:dyDescent="0.15">
      <c r="D18" s="6"/>
      <c r="E18" t="s">
        <v>307</v>
      </c>
    </row>
    <row r="19" spans="3:24" x14ac:dyDescent="0.15">
      <c r="E19" t="s">
        <v>308</v>
      </c>
      <c r="T19" t="s">
        <v>309</v>
      </c>
    </row>
    <row r="20" spans="3:24" x14ac:dyDescent="0.15">
      <c r="T20" t="s">
        <v>310</v>
      </c>
    </row>
    <row r="21" spans="3:24" x14ac:dyDescent="0.15">
      <c r="D21" s="6" t="s">
        <v>302</v>
      </c>
      <c r="E21" t="s">
        <v>311</v>
      </c>
      <c r="W21" s="25" t="s">
        <v>312</v>
      </c>
    </row>
    <row r="22" spans="3:24" x14ac:dyDescent="0.15">
      <c r="E22" t="s">
        <v>313</v>
      </c>
      <c r="T22" s="26" t="s">
        <v>314</v>
      </c>
      <c r="U22" s="1">
        <v>2022</v>
      </c>
      <c r="W22" s="27" t="str">
        <f>IF($U$22*10000+$U$23*100+$U$24&gt;=19890108,IF($U$22*10000+$U$23*100+$U$24&gt;=20190501,"令和","平成"),"昭和")</f>
        <v>令和</v>
      </c>
      <c r="X22" s="28">
        <f>IF($W$22="令和",$U$22-2018,IF($W$22="平成",$U22-1988,$U22-1989+64))</f>
        <v>4</v>
      </c>
    </row>
    <row r="23" spans="3:24" x14ac:dyDescent="0.15">
      <c r="T23" s="26" t="s">
        <v>315</v>
      </c>
      <c r="U23" s="1">
        <v>12</v>
      </c>
    </row>
    <row r="24" spans="3:24" x14ac:dyDescent="0.15">
      <c r="C24" s="23" t="s">
        <v>316</v>
      </c>
      <c r="D24" s="24" t="s">
        <v>317</v>
      </c>
      <c r="T24" s="26" t="s">
        <v>318</v>
      </c>
      <c r="U24" s="1">
        <v>1</v>
      </c>
    </row>
    <row r="25" spans="3:24" x14ac:dyDescent="0.15">
      <c r="D25" s="21" t="s">
        <v>356</v>
      </c>
    </row>
    <row r="26" spans="3:24" x14ac:dyDescent="0.15">
      <c r="D26" s="21" t="s">
        <v>319</v>
      </c>
      <c r="U26" s="29" t="s">
        <v>320</v>
      </c>
      <c r="V26" s="29" t="s">
        <v>321</v>
      </c>
      <c r="W26" s="29" t="s">
        <v>322</v>
      </c>
      <c r="X26" s="29" t="s">
        <v>323</v>
      </c>
    </row>
    <row r="27" spans="3:24" x14ac:dyDescent="0.15">
      <c r="T27" s="26" t="s">
        <v>179</v>
      </c>
      <c r="U27" s="12" t="s">
        <v>441</v>
      </c>
      <c r="V27" s="12" t="s">
        <v>368</v>
      </c>
      <c r="W27" s="12" t="s">
        <v>439</v>
      </c>
      <c r="X27" s="12" t="s">
        <v>440</v>
      </c>
    </row>
    <row r="28" spans="3:24" x14ac:dyDescent="0.15">
      <c r="T28" s="26" t="s">
        <v>109</v>
      </c>
      <c r="U28" s="12">
        <v>2017</v>
      </c>
      <c r="V28" s="12">
        <v>2016</v>
      </c>
      <c r="W28" s="12">
        <v>2017</v>
      </c>
      <c r="X28" s="12">
        <f>IF($U$23&lt;=3,$U$22-1,$U$22)</f>
        <v>2022</v>
      </c>
    </row>
    <row r="29" spans="3:24" x14ac:dyDescent="0.15">
      <c r="T29" s="26" t="s">
        <v>110</v>
      </c>
      <c r="U29" s="12">
        <v>12</v>
      </c>
      <c r="V29" s="12">
        <v>12</v>
      </c>
      <c r="W29" s="12">
        <v>12</v>
      </c>
      <c r="X29" s="12">
        <f>IF($U$23&lt;=3,9+$U$23,$U$23-1)</f>
        <v>11</v>
      </c>
    </row>
    <row r="30" spans="3:24" x14ac:dyDescent="0.15">
      <c r="T30" s="26" t="s">
        <v>249</v>
      </c>
      <c r="U30" s="12">
        <v>110</v>
      </c>
      <c r="V30" s="12">
        <v>80</v>
      </c>
      <c r="W30" s="12">
        <v>180</v>
      </c>
      <c r="X30" s="12">
        <v>470</v>
      </c>
    </row>
    <row r="31" spans="3:24" x14ac:dyDescent="0.15">
      <c r="T31" s="26" t="s">
        <v>324</v>
      </c>
      <c r="U31" s="27" t="str">
        <f>IF(U$28*100+U$29&gt;=198901,IF(U$28*100+U$29&gt;=201905,"令和","平成"),"昭和")</f>
        <v>平成</v>
      </c>
      <c r="V31" s="27" t="str">
        <f>IF(V$28*100+V$29&gt;=198901,IF(V$28*100+V$29&gt;=201905,"令和","平成"),"昭和")</f>
        <v>平成</v>
      </c>
      <c r="W31" s="27" t="str">
        <f>IF(W$28*100+W$29&gt;=198901,IF(W$28*100+W$29&gt;=201905,"令和","平成"),"昭和")</f>
        <v>平成</v>
      </c>
      <c r="X31" s="27" t="str">
        <f>IF(X$28*100+X$29&gt;=198901,IF(X$28*100+X$29&gt;=201905,"令和","平成"),"昭和")</f>
        <v>令和</v>
      </c>
    </row>
    <row r="32" spans="3:24" x14ac:dyDescent="0.15">
      <c r="C32" s="23" t="s">
        <v>325</v>
      </c>
      <c r="D32" s="24" t="s">
        <v>326</v>
      </c>
      <c r="E32" s="25"/>
      <c r="T32" s="26" t="s">
        <v>327</v>
      </c>
      <c r="U32" s="28">
        <f>IF(U$31="令和",U$28-2018,IF(U$31="平成",U$28-1988,U$28-1989+64))</f>
        <v>29</v>
      </c>
      <c r="V32" s="28">
        <f t="shared" ref="V32:X32" si="0">IF(V$31="令和",V$28-2018,IF(V$31="平成",V$28-1988,V$28-1989+64))</f>
        <v>28</v>
      </c>
      <c r="W32" s="28">
        <f t="shared" si="0"/>
        <v>29</v>
      </c>
      <c r="X32" s="28">
        <f t="shared" si="0"/>
        <v>4</v>
      </c>
    </row>
    <row r="33" spans="3:22" x14ac:dyDescent="0.15">
      <c r="D33" s="21" t="s">
        <v>328</v>
      </c>
    </row>
    <row r="35" spans="3:22" x14ac:dyDescent="0.15">
      <c r="C35" s="23" t="s">
        <v>329</v>
      </c>
      <c r="D35" s="24" t="s">
        <v>330</v>
      </c>
    </row>
    <row r="36" spans="3:22" x14ac:dyDescent="0.15">
      <c r="D36" s="21" t="s">
        <v>331</v>
      </c>
    </row>
    <row r="37" spans="3:22" ht="14.25" thickBot="1" x14ac:dyDescent="0.2">
      <c r="D37" s="21" t="s">
        <v>332</v>
      </c>
    </row>
    <row r="38" spans="3:22" x14ac:dyDescent="0.15">
      <c r="D38" s="21" t="s">
        <v>333</v>
      </c>
      <c r="S38" s="47" t="s">
        <v>334</v>
      </c>
      <c r="T38" s="48"/>
      <c r="U38" s="48"/>
      <c r="V38" s="49"/>
    </row>
    <row r="39" spans="3:22" x14ac:dyDescent="0.15">
      <c r="S39" s="50"/>
      <c r="T39" s="66"/>
      <c r="U39" s="66"/>
      <c r="V39" s="52"/>
    </row>
    <row r="40" spans="3:22" ht="14.25" thickBot="1" x14ac:dyDescent="0.2">
      <c r="C40" s="23" t="s">
        <v>346</v>
      </c>
      <c r="D40" s="24" t="s">
        <v>347</v>
      </c>
      <c r="S40" s="53"/>
      <c r="T40" s="54"/>
      <c r="U40" s="54"/>
      <c r="V40" s="55"/>
    </row>
    <row r="41" spans="3:22" x14ac:dyDescent="0.15">
      <c r="D41" s="21" t="s">
        <v>348</v>
      </c>
    </row>
    <row r="42" spans="3:22" x14ac:dyDescent="0.15">
      <c r="T42" t="s">
        <v>335</v>
      </c>
    </row>
    <row r="43" spans="3:22" x14ac:dyDescent="0.15">
      <c r="E43" s="26" t="s">
        <v>349</v>
      </c>
      <c r="F43" s="32">
        <v>1</v>
      </c>
    </row>
    <row r="44" spans="3:22" x14ac:dyDescent="0.15">
      <c r="E44" s="67" t="s">
        <v>364</v>
      </c>
      <c r="F44" s="31">
        <v>2</v>
      </c>
      <c r="G44" t="s">
        <v>365</v>
      </c>
    </row>
    <row r="45" spans="3:22" x14ac:dyDescent="0.15">
      <c r="E45" s="67"/>
      <c r="F45" s="31">
        <v>2</v>
      </c>
    </row>
    <row r="46" spans="3:22" x14ac:dyDescent="0.15">
      <c r="E46" s="67"/>
      <c r="F46" s="31">
        <v>3</v>
      </c>
    </row>
    <row r="47" spans="3:22" x14ac:dyDescent="0.15">
      <c r="E47" s="67"/>
      <c r="F47" s="31">
        <v>4</v>
      </c>
    </row>
    <row r="48" spans="3:22" ht="14.25" thickBot="1" x14ac:dyDescent="0.2">
      <c r="E48" s="67"/>
      <c r="F48" s="31">
        <v>5</v>
      </c>
    </row>
    <row r="49" spans="5:22" x14ac:dyDescent="0.15">
      <c r="E49" s="67"/>
      <c r="F49" s="31">
        <v>6</v>
      </c>
      <c r="S49" s="47" t="s">
        <v>353</v>
      </c>
      <c r="T49" s="48"/>
      <c r="U49" s="48"/>
      <c r="V49" s="49"/>
    </row>
    <row r="50" spans="5:22" x14ac:dyDescent="0.15">
      <c r="E50" s="67"/>
      <c r="F50" s="31">
        <v>7</v>
      </c>
      <c r="S50" s="50"/>
      <c r="T50" s="66"/>
      <c r="U50" s="66"/>
      <c r="V50" s="52"/>
    </row>
    <row r="51" spans="5:22" ht="14.25" thickBot="1" x14ac:dyDescent="0.2">
      <c r="E51" s="67"/>
      <c r="F51" s="1">
        <v>8</v>
      </c>
      <c r="S51" s="53"/>
      <c r="T51" s="54"/>
      <c r="U51" s="54"/>
      <c r="V51" s="55"/>
    </row>
    <row r="52" spans="5:22" x14ac:dyDescent="0.15">
      <c r="E52" s="67"/>
      <c r="F52" s="1">
        <v>9</v>
      </c>
    </row>
    <row r="53" spans="5:22" x14ac:dyDescent="0.15">
      <c r="T53" t="s">
        <v>354</v>
      </c>
    </row>
    <row r="54" spans="5:22" x14ac:dyDescent="0.15">
      <c r="T54" t="s">
        <v>357</v>
      </c>
    </row>
    <row r="55" spans="5:22" x14ac:dyDescent="0.15">
      <c r="T55" t="s">
        <v>355</v>
      </c>
    </row>
    <row r="64" spans="5:22" ht="14.25" thickBot="1" x14ac:dyDescent="0.2"/>
    <row r="65" spans="19:36" x14ac:dyDescent="0.15">
      <c r="S65" s="47" t="s">
        <v>369</v>
      </c>
      <c r="T65" s="48"/>
      <c r="U65" s="48"/>
      <c r="V65" s="49"/>
    </row>
    <row r="66" spans="19:36" x14ac:dyDescent="0.15">
      <c r="S66" s="50"/>
      <c r="T66" s="51"/>
      <c r="U66" s="51"/>
      <c r="V66" s="52"/>
    </row>
    <row r="67" spans="19:36" ht="14.25" thickBot="1" x14ac:dyDescent="0.2">
      <c r="S67" s="53"/>
      <c r="T67" s="54"/>
      <c r="U67" s="54"/>
      <c r="V67" s="55"/>
    </row>
    <row r="69" spans="19:36" x14ac:dyDescent="0.15">
      <c r="T69" t="s">
        <v>370</v>
      </c>
    </row>
    <row r="71" spans="19:36" x14ac:dyDescent="0.15">
      <c r="U71" s="56" t="s">
        <v>371</v>
      </c>
      <c r="V71" s="56"/>
      <c r="W71" s="56"/>
      <c r="X71" s="56"/>
      <c r="Y71" s="56"/>
      <c r="Z71" s="56"/>
      <c r="AA71" s="56"/>
      <c r="AB71" s="56"/>
      <c r="AC71" s="56"/>
      <c r="AD71" s="56"/>
      <c r="AE71" s="56"/>
      <c r="AF71" s="56"/>
      <c r="AG71" s="56"/>
      <c r="AH71" s="56"/>
      <c r="AI71" s="56"/>
      <c r="AJ71" s="56"/>
    </row>
    <row r="72" spans="19:36" x14ac:dyDescent="0.15">
      <c r="T72" s="33" t="s">
        <v>372</v>
      </c>
      <c r="U72" s="34" t="s">
        <v>373</v>
      </c>
      <c r="V72" s="34" t="s">
        <v>374</v>
      </c>
      <c r="W72" s="34" t="s">
        <v>375</v>
      </c>
      <c r="X72" s="34" t="s">
        <v>376</v>
      </c>
      <c r="Y72" s="34" t="s">
        <v>377</v>
      </c>
      <c r="Z72" s="34" t="s">
        <v>378</v>
      </c>
      <c r="AA72" s="34" t="s">
        <v>379</v>
      </c>
      <c r="AB72" s="34" t="s">
        <v>380</v>
      </c>
      <c r="AC72" s="34" t="s">
        <v>381</v>
      </c>
      <c r="AD72" s="34" t="s">
        <v>382</v>
      </c>
      <c r="AE72" s="34" t="s">
        <v>383</v>
      </c>
      <c r="AF72" s="34" t="s">
        <v>384</v>
      </c>
      <c r="AG72" s="34" t="s">
        <v>385</v>
      </c>
      <c r="AH72" s="34" t="s">
        <v>386</v>
      </c>
      <c r="AI72" s="34" t="s">
        <v>387</v>
      </c>
      <c r="AJ72" s="34" t="s">
        <v>388</v>
      </c>
    </row>
    <row r="73" spans="19:36" x14ac:dyDescent="0.15">
      <c r="T73" s="33" t="s">
        <v>389</v>
      </c>
      <c r="U73" s="34">
        <v>7</v>
      </c>
      <c r="V73" s="34">
        <v>7</v>
      </c>
      <c r="W73" s="34">
        <v>7</v>
      </c>
      <c r="X73" s="34">
        <v>7</v>
      </c>
      <c r="Y73" s="34">
        <v>8</v>
      </c>
      <c r="Z73" s="34">
        <v>7</v>
      </c>
      <c r="AA73" s="34">
        <v>7</v>
      </c>
      <c r="AB73" s="34">
        <v>7</v>
      </c>
      <c r="AC73" s="34">
        <v>3</v>
      </c>
      <c r="AD73" s="34">
        <v>3</v>
      </c>
      <c r="AE73" s="34">
        <v>3</v>
      </c>
      <c r="AF73" s="34">
        <v>3</v>
      </c>
      <c r="AG73" s="34">
        <v>2</v>
      </c>
      <c r="AH73" s="34">
        <v>3</v>
      </c>
      <c r="AI73" s="34">
        <v>3</v>
      </c>
      <c r="AJ73" s="34">
        <v>3</v>
      </c>
    </row>
    <row r="74" spans="19:36" x14ac:dyDescent="0.15">
      <c r="T74" s="33" t="s">
        <v>390</v>
      </c>
      <c r="U74" s="34">
        <v>7</v>
      </c>
      <c r="V74" s="34">
        <v>7</v>
      </c>
      <c r="W74" s="34">
        <v>7</v>
      </c>
      <c r="X74" s="34">
        <v>7</v>
      </c>
      <c r="Y74" s="34">
        <v>7</v>
      </c>
      <c r="Z74" s="34">
        <v>6</v>
      </c>
      <c r="AA74" s="34">
        <v>7</v>
      </c>
      <c r="AB74" s="34">
        <v>7</v>
      </c>
      <c r="AC74" s="34">
        <v>3</v>
      </c>
      <c r="AD74" s="34">
        <v>3</v>
      </c>
      <c r="AE74" s="34">
        <v>3</v>
      </c>
      <c r="AF74" s="34">
        <v>3</v>
      </c>
      <c r="AG74" s="34">
        <v>3</v>
      </c>
      <c r="AH74" s="34">
        <v>1</v>
      </c>
      <c r="AI74" s="34">
        <v>3</v>
      </c>
      <c r="AJ74" s="34">
        <v>3</v>
      </c>
    </row>
    <row r="75" spans="19:36" x14ac:dyDescent="0.15">
      <c r="T75" s="33" t="s">
        <v>391</v>
      </c>
      <c r="U75" s="34">
        <v>7</v>
      </c>
      <c r="V75" s="34">
        <v>7</v>
      </c>
      <c r="W75" s="34">
        <v>7</v>
      </c>
      <c r="X75" s="34">
        <v>7</v>
      </c>
      <c r="Y75" s="34">
        <v>7</v>
      </c>
      <c r="Z75" s="34">
        <v>7</v>
      </c>
      <c r="AA75" s="34">
        <v>6</v>
      </c>
      <c r="AB75" s="34">
        <v>7</v>
      </c>
      <c r="AC75" s="34">
        <v>2</v>
      </c>
      <c r="AD75" s="34">
        <v>2</v>
      </c>
      <c r="AE75" s="34">
        <v>2</v>
      </c>
      <c r="AF75" s="34">
        <v>2</v>
      </c>
      <c r="AG75" s="34">
        <v>2</v>
      </c>
      <c r="AH75" s="34">
        <v>2</v>
      </c>
      <c r="AI75" s="34">
        <v>3</v>
      </c>
      <c r="AJ75" s="34">
        <v>2</v>
      </c>
    </row>
    <row r="76" spans="19:36" x14ac:dyDescent="0.15">
      <c r="T76" s="33" t="s">
        <v>392</v>
      </c>
      <c r="U76" s="34">
        <v>6</v>
      </c>
      <c r="V76" s="34">
        <v>6</v>
      </c>
      <c r="W76" s="34">
        <v>6</v>
      </c>
      <c r="X76" s="34">
        <v>6</v>
      </c>
      <c r="Y76" s="34">
        <v>8</v>
      </c>
      <c r="Z76" s="34">
        <v>9</v>
      </c>
      <c r="AA76" s="34">
        <v>7</v>
      </c>
      <c r="AB76" s="34">
        <v>7</v>
      </c>
      <c r="AC76" s="34">
        <v>1</v>
      </c>
      <c r="AD76" s="34">
        <v>1</v>
      </c>
      <c r="AE76" s="34">
        <v>1</v>
      </c>
      <c r="AF76" s="34">
        <v>1</v>
      </c>
      <c r="AG76" s="34">
        <v>3</v>
      </c>
      <c r="AH76" s="34">
        <v>2</v>
      </c>
      <c r="AI76" s="34">
        <v>2</v>
      </c>
      <c r="AJ76" s="34">
        <v>3</v>
      </c>
    </row>
    <row r="77" spans="19:36" x14ac:dyDescent="0.15">
      <c r="T77" s="33" t="s">
        <v>179</v>
      </c>
      <c r="U77" s="44" t="s">
        <v>393</v>
      </c>
      <c r="V77" s="44" t="s">
        <v>393</v>
      </c>
      <c r="W77" s="44" t="s">
        <v>393</v>
      </c>
      <c r="X77" s="44" t="s">
        <v>393</v>
      </c>
      <c r="Y77" s="44" t="s">
        <v>412</v>
      </c>
      <c r="Z77" s="44" t="s">
        <v>448</v>
      </c>
      <c r="AA77" s="44" t="s">
        <v>449</v>
      </c>
      <c r="AB77" s="44" t="s">
        <v>441</v>
      </c>
      <c r="AC77" s="44" t="s">
        <v>394</v>
      </c>
      <c r="AD77" s="44" t="s">
        <v>394</v>
      </c>
      <c r="AE77" s="44" t="s">
        <v>394</v>
      </c>
      <c r="AF77" s="44" t="s">
        <v>394</v>
      </c>
      <c r="AG77" s="44" t="s">
        <v>413</v>
      </c>
      <c r="AH77" s="44" t="s">
        <v>450</v>
      </c>
      <c r="AI77" s="44" t="s">
        <v>451</v>
      </c>
      <c r="AJ77" s="44" t="s">
        <v>452</v>
      </c>
    </row>
    <row r="78" spans="19:36" x14ac:dyDescent="0.15">
      <c r="T78" s="33" t="s">
        <v>109</v>
      </c>
      <c r="U78" s="44">
        <v>2016</v>
      </c>
      <c r="V78" s="44">
        <v>2016</v>
      </c>
      <c r="W78" s="44">
        <v>2016</v>
      </c>
      <c r="X78" s="44">
        <v>2016</v>
      </c>
      <c r="Y78" s="44">
        <v>2016</v>
      </c>
      <c r="Z78" s="44">
        <v>2016</v>
      </c>
      <c r="AA78" s="44">
        <v>2016</v>
      </c>
      <c r="AB78" s="44">
        <v>2016</v>
      </c>
      <c r="AC78" s="44">
        <v>2016</v>
      </c>
      <c r="AD78" s="44">
        <v>2016</v>
      </c>
      <c r="AE78" s="44">
        <v>2016</v>
      </c>
      <c r="AF78" s="44">
        <v>2016</v>
      </c>
      <c r="AG78" s="44">
        <v>2016</v>
      </c>
      <c r="AH78" s="44">
        <v>2016</v>
      </c>
      <c r="AI78" s="44">
        <v>2016</v>
      </c>
      <c r="AJ78" s="44">
        <v>2016</v>
      </c>
    </row>
    <row r="79" spans="19:36" x14ac:dyDescent="0.15">
      <c r="T79" s="33" t="s">
        <v>110</v>
      </c>
      <c r="U79" s="12">
        <v>12</v>
      </c>
      <c r="V79" s="12">
        <v>12</v>
      </c>
      <c r="W79" s="12">
        <v>12</v>
      </c>
      <c r="X79" s="12">
        <v>12</v>
      </c>
      <c r="Y79" s="12">
        <v>12</v>
      </c>
      <c r="Z79" s="12">
        <v>12</v>
      </c>
      <c r="AA79" s="12">
        <v>12</v>
      </c>
      <c r="AB79" s="12">
        <v>12</v>
      </c>
      <c r="AC79" s="12">
        <v>12</v>
      </c>
      <c r="AD79" s="12">
        <v>12</v>
      </c>
      <c r="AE79" s="12">
        <v>12</v>
      </c>
      <c r="AF79" s="12">
        <v>12</v>
      </c>
      <c r="AG79" s="12">
        <v>12</v>
      </c>
      <c r="AH79" s="12">
        <v>12</v>
      </c>
      <c r="AI79" s="12">
        <v>12</v>
      </c>
      <c r="AJ79" s="12">
        <v>12</v>
      </c>
    </row>
    <row r="80" spans="19:36" x14ac:dyDescent="0.15">
      <c r="T80" s="33" t="s">
        <v>395</v>
      </c>
      <c r="U80" s="12">
        <v>85</v>
      </c>
      <c r="V80" s="12">
        <v>85</v>
      </c>
      <c r="W80" s="12">
        <v>85</v>
      </c>
      <c r="X80" s="12">
        <v>85</v>
      </c>
      <c r="Y80" s="12">
        <v>160</v>
      </c>
      <c r="Z80" s="12">
        <v>160</v>
      </c>
      <c r="AA80" s="1">
        <v>110</v>
      </c>
      <c r="AB80" s="1">
        <v>85</v>
      </c>
      <c r="AC80" s="1">
        <v>100</v>
      </c>
      <c r="AD80" s="1">
        <v>100</v>
      </c>
      <c r="AE80" s="1">
        <v>100</v>
      </c>
      <c r="AF80" s="1">
        <v>100</v>
      </c>
      <c r="AG80" s="1">
        <v>60</v>
      </c>
      <c r="AH80" s="1">
        <v>90</v>
      </c>
      <c r="AI80" s="1">
        <v>50</v>
      </c>
      <c r="AJ80" s="1">
        <v>100</v>
      </c>
    </row>
    <row r="81" spans="20:36" x14ac:dyDescent="0.15">
      <c r="T81" s="33" t="s">
        <v>396</v>
      </c>
      <c r="U81" s="35">
        <f>U80</f>
        <v>85</v>
      </c>
      <c r="V81" s="35">
        <f t="shared" ref="V81:AJ81" si="1">V80</f>
        <v>85</v>
      </c>
      <c r="W81" s="35">
        <f t="shared" si="1"/>
        <v>85</v>
      </c>
      <c r="X81" s="35">
        <f t="shared" si="1"/>
        <v>85</v>
      </c>
      <c r="Y81" s="35">
        <f t="shared" si="1"/>
        <v>160</v>
      </c>
      <c r="Z81" s="35">
        <f t="shared" si="1"/>
        <v>160</v>
      </c>
      <c r="AA81" s="36">
        <f t="shared" si="1"/>
        <v>110</v>
      </c>
      <c r="AB81" s="36">
        <f t="shared" si="1"/>
        <v>85</v>
      </c>
      <c r="AC81" s="36">
        <f t="shared" si="1"/>
        <v>100</v>
      </c>
      <c r="AD81" s="36">
        <f t="shared" si="1"/>
        <v>100</v>
      </c>
      <c r="AE81" s="36">
        <f t="shared" si="1"/>
        <v>100</v>
      </c>
      <c r="AF81" s="36">
        <f t="shared" si="1"/>
        <v>100</v>
      </c>
      <c r="AG81" s="36">
        <f t="shared" si="1"/>
        <v>60</v>
      </c>
      <c r="AH81" s="36">
        <f t="shared" si="1"/>
        <v>90</v>
      </c>
      <c r="AI81" s="36">
        <f t="shared" si="1"/>
        <v>50</v>
      </c>
      <c r="AJ81" s="36">
        <f t="shared" si="1"/>
        <v>100</v>
      </c>
    </row>
    <row r="82" spans="20:36" x14ac:dyDescent="0.15">
      <c r="T82" s="33" t="s">
        <v>404</v>
      </c>
      <c r="U82" s="39" t="s">
        <v>405</v>
      </c>
      <c r="V82" s="39" t="s">
        <v>405</v>
      </c>
      <c r="W82" s="39" t="s">
        <v>405</v>
      </c>
      <c r="X82" s="39" t="s">
        <v>405</v>
      </c>
      <c r="Y82" s="39" t="s">
        <v>406</v>
      </c>
      <c r="Z82" s="39" t="s">
        <v>406</v>
      </c>
      <c r="AA82" s="39" t="s">
        <v>406</v>
      </c>
      <c r="AB82" s="39" t="s">
        <v>405</v>
      </c>
      <c r="AC82" s="39" t="s">
        <v>407</v>
      </c>
      <c r="AD82" s="39" t="s">
        <v>407</v>
      </c>
      <c r="AE82" s="39" t="s">
        <v>407</v>
      </c>
      <c r="AF82" s="39" t="s">
        <v>407</v>
      </c>
      <c r="AG82" s="39" t="s">
        <v>407</v>
      </c>
      <c r="AH82" s="39" t="s">
        <v>407</v>
      </c>
      <c r="AI82" s="39" t="s">
        <v>407</v>
      </c>
      <c r="AJ82" s="39" t="s">
        <v>407</v>
      </c>
    </row>
    <row r="83" spans="20:36" x14ac:dyDescent="0.15">
      <c r="T83" s="33" t="s">
        <v>397</v>
      </c>
      <c r="U83" s="12" t="s">
        <v>408</v>
      </c>
      <c r="V83" s="12" t="s">
        <v>408</v>
      </c>
      <c r="W83" s="12" t="s">
        <v>408</v>
      </c>
      <c r="X83" s="12" t="s">
        <v>408</v>
      </c>
      <c r="Y83" s="12" t="s">
        <v>433</v>
      </c>
      <c r="Z83" s="12" t="s">
        <v>453</v>
      </c>
      <c r="AA83" s="12" t="s">
        <v>454</v>
      </c>
      <c r="AB83" s="12" t="s">
        <v>455</v>
      </c>
      <c r="AC83" s="12" t="s">
        <v>409</v>
      </c>
      <c r="AD83" s="12" t="s">
        <v>409</v>
      </c>
      <c r="AE83" s="12" t="s">
        <v>409</v>
      </c>
      <c r="AF83" s="12" t="s">
        <v>409</v>
      </c>
      <c r="AG83" s="12" t="s">
        <v>456</v>
      </c>
      <c r="AH83" s="12" t="s">
        <v>457</v>
      </c>
      <c r="AI83" s="12" t="s">
        <v>458</v>
      </c>
      <c r="AJ83" s="12" t="s">
        <v>410</v>
      </c>
    </row>
    <row r="84" spans="20:36" x14ac:dyDescent="0.15">
      <c r="U84" s="27" t="str">
        <f>IF(U$78*100+U$79&gt;=201905,"令和",IF(U$78*100+U$79&gt;=198901,"平成","昭和"))</f>
        <v>平成</v>
      </c>
      <c r="V84" s="27" t="str">
        <f t="shared" ref="V84:AJ84" si="2">IF(V$78*100+V$79&gt;=201905,"令和",IF(V$78*100+V$79&gt;=198901,"平成","昭和"))</f>
        <v>平成</v>
      </c>
      <c r="W84" s="27" t="str">
        <f t="shared" si="2"/>
        <v>平成</v>
      </c>
      <c r="X84" s="27" t="str">
        <f t="shared" si="2"/>
        <v>平成</v>
      </c>
      <c r="Y84" s="27" t="str">
        <f t="shared" si="2"/>
        <v>平成</v>
      </c>
      <c r="Z84" s="27" t="str">
        <f t="shared" si="2"/>
        <v>平成</v>
      </c>
      <c r="AA84" s="27" t="str">
        <f t="shared" si="2"/>
        <v>平成</v>
      </c>
      <c r="AB84" s="27" t="str">
        <f t="shared" si="2"/>
        <v>平成</v>
      </c>
      <c r="AC84" s="27" t="str">
        <f t="shared" si="2"/>
        <v>平成</v>
      </c>
      <c r="AD84" s="27" t="str">
        <f t="shared" si="2"/>
        <v>平成</v>
      </c>
      <c r="AE84" s="27" t="str">
        <f t="shared" si="2"/>
        <v>平成</v>
      </c>
      <c r="AF84" s="27" t="str">
        <f t="shared" si="2"/>
        <v>平成</v>
      </c>
      <c r="AG84" s="27" t="str">
        <f t="shared" si="2"/>
        <v>平成</v>
      </c>
      <c r="AH84" s="27" t="str">
        <f t="shared" si="2"/>
        <v>平成</v>
      </c>
      <c r="AI84" s="27" t="str">
        <f t="shared" si="2"/>
        <v>平成</v>
      </c>
      <c r="AJ84" s="27" t="str">
        <f t="shared" si="2"/>
        <v>平成</v>
      </c>
    </row>
    <row r="85" spans="20:36" x14ac:dyDescent="0.15">
      <c r="U85" s="28">
        <f>IF(U$84="令和",U$78-2018,IF(U$84="平成",U$78-1988,U$78-1989+64))</f>
        <v>28</v>
      </c>
      <c r="V85" s="28">
        <f t="shared" ref="V85:AJ85" si="3">IF(V$84="令和",V$78-2018,IF(V$84="平成",V$78-1988,V$78-1989+64))</f>
        <v>28</v>
      </c>
      <c r="W85" s="28">
        <f t="shared" si="3"/>
        <v>28</v>
      </c>
      <c r="X85" s="28">
        <f t="shared" si="3"/>
        <v>28</v>
      </c>
      <c r="Y85" s="28">
        <f t="shared" si="3"/>
        <v>28</v>
      </c>
      <c r="Z85" s="28">
        <f t="shared" si="3"/>
        <v>28</v>
      </c>
      <c r="AA85" s="28">
        <f t="shared" si="3"/>
        <v>28</v>
      </c>
      <c r="AB85" s="28">
        <f t="shared" si="3"/>
        <v>28</v>
      </c>
      <c r="AC85" s="28">
        <f t="shared" si="3"/>
        <v>28</v>
      </c>
      <c r="AD85" s="28">
        <f t="shared" si="3"/>
        <v>28</v>
      </c>
      <c r="AE85" s="28">
        <f t="shared" si="3"/>
        <v>28</v>
      </c>
      <c r="AF85" s="28">
        <f t="shared" si="3"/>
        <v>28</v>
      </c>
      <c r="AG85" s="28">
        <f t="shared" si="3"/>
        <v>28</v>
      </c>
      <c r="AH85" s="28">
        <f t="shared" si="3"/>
        <v>28</v>
      </c>
      <c r="AI85" s="28">
        <f t="shared" si="3"/>
        <v>28</v>
      </c>
      <c r="AJ85" s="28">
        <f t="shared" si="3"/>
        <v>28</v>
      </c>
    </row>
    <row r="87" spans="20:36" x14ac:dyDescent="0.15">
      <c r="U87" s="56" t="s">
        <v>398</v>
      </c>
      <c r="V87" s="56"/>
      <c r="W87" s="56"/>
      <c r="X87" s="56"/>
      <c r="Y87" s="56"/>
      <c r="Z87" s="56"/>
      <c r="AA87" s="56"/>
      <c r="AB87" s="56"/>
      <c r="AC87" s="56"/>
      <c r="AD87" s="56"/>
      <c r="AE87" s="56"/>
      <c r="AF87" s="56"/>
      <c r="AG87" s="56"/>
      <c r="AH87" s="56"/>
      <c r="AI87" s="56"/>
      <c r="AJ87" s="56"/>
    </row>
    <row r="88" spans="20:36" x14ac:dyDescent="0.15">
      <c r="T88" s="33" t="s">
        <v>372</v>
      </c>
      <c r="U88" s="34" t="s">
        <v>373</v>
      </c>
      <c r="V88" s="34" t="s">
        <v>374</v>
      </c>
      <c r="W88" s="34" t="s">
        <v>375</v>
      </c>
      <c r="X88" s="34" t="s">
        <v>376</v>
      </c>
      <c r="Y88" s="34" t="s">
        <v>377</v>
      </c>
      <c r="Z88" s="34" t="s">
        <v>378</v>
      </c>
      <c r="AA88" s="34" t="s">
        <v>379</v>
      </c>
      <c r="AB88" s="34" t="s">
        <v>380</v>
      </c>
      <c r="AC88" s="34" t="s">
        <v>381</v>
      </c>
      <c r="AD88" s="34" t="s">
        <v>382</v>
      </c>
      <c r="AE88" s="34" t="s">
        <v>383</v>
      </c>
      <c r="AF88" s="34" t="s">
        <v>384</v>
      </c>
      <c r="AG88" s="34" t="s">
        <v>385</v>
      </c>
      <c r="AH88" s="34" t="s">
        <v>386</v>
      </c>
      <c r="AI88" s="34" t="s">
        <v>387</v>
      </c>
      <c r="AJ88" s="34" t="s">
        <v>388</v>
      </c>
    </row>
    <row r="89" spans="20:36" x14ac:dyDescent="0.15">
      <c r="T89" s="33" t="s">
        <v>389</v>
      </c>
      <c r="U89" s="34">
        <v>6</v>
      </c>
      <c r="V89" s="34">
        <v>6</v>
      </c>
      <c r="W89" s="34">
        <v>9</v>
      </c>
      <c r="X89" s="34">
        <v>6</v>
      </c>
      <c r="Y89" s="34">
        <v>7</v>
      </c>
      <c r="Z89" s="34">
        <v>6</v>
      </c>
      <c r="AA89" s="34">
        <v>9</v>
      </c>
      <c r="AB89" s="34">
        <v>6</v>
      </c>
      <c r="AC89" s="34">
        <v>2</v>
      </c>
      <c r="AD89" s="34">
        <v>2</v>
      </c>
      <c r="AE89" s="34">
        <v>1</v>
      </c>
      <c r="AF89" s="34">
        <v>2</v>
      </c>
      <c r="AG89" s="34">
        <v>1</v>
      </c>
      <c r="AH89" s="34">
        <v>2</v>
      </c>
      <c r="AI89" s="34">
        <v>1</v>
      </c>
      <c r="AJ89" s="34">
        <v>2</v>
      </c>
    </row>
    <row r="90" spans="20:36" x14ac:dyDescent="0.15">
      <c r="T90" s="33" t="s">
        <v>390</v>
      </c>
      <c r="U90" s="34">
        <v>7</v>
      </c>
      <c r="V90" s="34">
        <v>7</v>
      </c>
      <c r="W90" s="34">
        <v>7</v>
      </c>
      <c r="X90" s="34">
        <v>7</v>
      </c>
      <c r="Y90" s="34">
        <v>7</v>
      </c>
      <c r="Z90" s="34">
        <v>5</v>
      </c>
      <c r="AA90" s="34">
        <v>7</v>
      </c>
      <c r="AB90" s="34">
        <v>7</v>
      </c>
      <c r="AC90" s="34">
        <v>2</v>
      </c>
      <c r="AD90" s="34">
        <v>2</v>
      </c>
      <c r="AE90" s="34">
        <v>2</v>
      </c>
      <c r="AF90" s="34">
        <v>2</v>
      </c>
      <c r="AG90" s="34">
        <v>2</v>
      </c>
      <c r="AH90" s="34">
        <v>1</v>
      </c>
      <c r="AI90" s="34">
        <v>2</v>
      </c>
      <c r="AJ90" s="34">
        <v>2</v>
      </c>
    </row>
    <row r="91" spans="20:36" x14ac:dyDescent="0.15">
      <c r="T91" s="33" t="s">
        <v>391</v>
      </c>
      <c r="U91" s="34">
        <v>7</v>
      </c>
      <c r="V91" s="34">
        <v>7</v>
      </c>
      <c r="W91" s="34">
        <v>9</v>
      </c>
      <c r="X91" s="34">
        <v>7</v>
      </c>
      <c r="Y91" s="34">
        <v>7</v>
      </c>
      <c r="Z91" s="34">
        <v>7</v>
      </c>
      <c r="AA91" s="34">
        <v>7</v>
      </c>
      <c r="AB91" s="34">
        <v>7</v>
      </c>
      <c r="AC91" s="34">
        <v>2</v>
      </c>
      <c r="AD91" s="34">
        <v>2</v>
      </c>
      <c r="AE91" s="34">
        <v>2</v>
      </c>
      <c r="AF91" s="34">
        <v>2</v>
      </c>
      <c r="AG91" s="34">
        <v>2</v>
      </c>
      <c r="AH91" s="34">
        <v>2</v>
      </c>
      <c r="AI91" s="34">
        <v>3</v>
      </c>
      <c r="AJ91" s="34">
        <v>2</v>
      </c>
    </row>
    <row r="92" spans="20:36" x14ac:dyDescent="0.15">
      <c r="T92" s="33" t="s">
        <v>392</v>
      </c>
      <c r="U92" s="34">
        <v>7</v>
      </c>
      <c r="V92" s="34">
        <v>7</v>
      </c>
      <c r="W92" s="34">
        <v>9</v>
      </c>
      <c r="X92" s="34">
        <v>7</v>
      </c>
      <c r="Y92" s="34">
        <v>9</v>
      </c>
      <c r="Z92" s="34">
        <v>7</v>
      </c>
      <c r="AA92" s="34">
        <v>10</v>
      </c>
      <c r="AB92" s="34">
        <v>8</v>
      </c>
      <c r="AC92" s="34">
        <v>2</v>
      </c>
      <c r="AD92" s="34">
        <v>2</v>
      </c>
      <c r="AE92" s="34">
        <v>3</v>
      </c>
      <c r="AF92" s="34">
        <v>2</v>
      </c>
      <c r="AG92" s="34">
        <v>3</v>
      </c>
      <c r="AH92" s="34">
        <v>2</v>
      </c>
      <c r="AI92" s="34">
        <v>3</v>
      </c>
      <c r="AJ92" s="34">
        <v>3</v>
      </c>
    </row>
    <row r="93" spans="20:36" x14ac:dyDescent="0.15">
      <c r="T93" s="33" t="s">
        <v>179</v>
      </c>
      <c r="U93" s="44" t="s">
        <v>459</v>
      </c>
      <c r="V93" s="44" t="s">
        <v>459</v>
      </c>
      <c r="W93" s="44" t="s">
        <v>460</v>
      </c>
      <c r="X93" s="44" t="s">
        <v>459</v>
      </c>
      <c r="Y93" s="44" t="s">
        <v>461</v>
      </c>
      <c r="Z93" s="44" t="s">
        <v>462</v>
      </c>
      <c r="AA93" s="44" t="s">
        <v>463</v>
      </c>
      <c r="AB93" s="44" t="s">
        <v>464</v>
      </c>
      <c r="AC93" s="44" t="s">
        <v>465</v>
      </c>
      <c r="AD93" s="44" t="s">
        <v>465</v>
      </c>
      <c r="AE93" s="44" t="s">
        <v>466</v>
      </c>
      <c r="AF93" s="44" t="s">
        <v>465</v>
      </c>
      <c r="AG93" s="44" t="s">
        <v>466</v>
      </c>
      <c r="AH93" s="44" t="s">
        <v>467</v>
      </c>
      <c r="AI93" s="44" t="s">
        <v>468</v>
      </c>
      <c r="AJ93" s="12" t="s">
        <v>469</v>
      </c>
    </row>
    <row r="94" spans="20:36" x14ac:dyDescent="0.15">
      <c r="T94" s="33" t="s">
        <v>109</v>
      </c>
      <c r="U94" s="12">
        <v>2021</v>
      </c>
      <c r="V94" s="12">
        <v>2021</v>
      </c>
      <c r="W94" s="12">
        <v>2021</v>
      </c>
      <c r="X94" s="12">
        <v>2021</v>
      </c>
      <c r="Y94" s="12">
        <v>2021</v>
      </c>
      <c r="Z94" s="12">
        <v>2021</v>
      </c>
      <c r="AA94" s="12">
        <v>2021</v>
      </c>
      <c r="AB94" s="12">
        <v>2021</v>
      </c>
      <c r="AC94" s="12">
        <v>2021</v>
      </c>
      <c r="AD94" s="12">
        <v>2021</v>
      </c>
      <c r="AE94" s="12">
        <v>2021</v>
      </c>
      <c r="AF94" s="12">
        <v>2021</v>
      </c>
      <c r="AG94" s="12">
        <v>2021</v>
      </c>
      <c r="AH94" s="12">
        <v>2021</v>
      </c>
      <c r="AI94" s="12">
        <v>2021</v>
      </c>
      <c r="AJ94" s="12">
        <v>2021</v>
      </c>
    </row>
    <row r="95" spans="20:36" x14ac:dyDescent="0.15">
      <c r="T95" s="33" t="s">
        <v>110</v>
      </c>
      <c r="U95" s="12">
        <v>10</v>
      </c>
      <c r="V95" s="12">
        <v>10</v>
      </c>
      <c r="W95" s="12">
        <v>10</v>
      </c>
      <c r="X95" s="12">
        <v>10</v>
      </c>
      <c r="Y95" s="12">
        <v>10</v>
      </c>
      <c r="Z95" s="12">
        <v>10</v>
      </c>
      <c r="AA95" s="12">
        <v>10</v>
      </c>
      <c r="AB95" s="12">
        <v>10</v>
      </c>
      <c r="AC95" s="12">
        <v>10</v>
      </c>
      <c r="AD95" s="12">
        <v>10</v>
      </c>
      <c r="AE95" s="12">
        <v>10</v>
      </c>
      <c r="AF95" s="12">
        <v>10</v>
      </c>
      <c r="AG95" s="12">
        <v>10</v>
      </c>
      <c r="AH95" s="12">
        <v>10</v>
      </c>
      <c r="AI95" s="12">
        <v>10</v>
      </c>
      <c r="AJ95" s="12">
        <v>10</v>
      </c>
    </row>
    <row r="96" spans="20:36" x14ac:dyDescent="0.15">
      <c r="T96" s="33" t="s">
        <v>395</v>
      </c>
      <c r="U96" s="12">
        <v>260</v>
      </c>
      <c r="V96" s="12">
        <v>260</v>
      </c>
      <c r="W96" s="12">
        <v>480</v>
      </c>
      <c r="X96" s="12">
        <v>260</v>
      </c>
      <c r="Y96" s="12">
        <v>270</v>
      </c>
      <c r="Z96" s="12">
        <v>240</v>
      </c>
      <c r="AA96" s="1">
        <v>460</v>
      </c>
      <c r="AB96" s="1">
        <v>260</v>
      </c>
      <c r="AC96" s="1">
        <v>145</v>
      </c>
      <c r="AD96" s="1">
        <v>145</v>
      </c>
      <c r="AE96" s="1">
        <v>170</v>
      </c>
      <c r="AF96" s="1">
        <v>145</v>
      </c>
      <c r="AG96" s="1">
        <v>170</v>
      </c>
      <c r="AH96" s="1">
        <v>180</v>
      </c>
      <c r="AI96" s="1">
        <v>180</v>
      </c>
      <c r="AJ96" s="1">
        <v>145</v>
      </c>
    </row>
    <row r="97" spans="20:36" x14ac:dyDescent="0.15">
      <c r="T97" s="33" t="s">
        <v>396</v>
      </c>
      <c r="U97" s="12">
        <f>U96</f>
        <v>260</v>
      </c>
      <c r="V97" s="12">
        <f t="shared" ref="V97:AJ97" si="4">V96</f>
        <v>260</v>
      </c>
      <c r="W97" s="12">
        <f t="shared" si="4"/>
        <v>480</v>
      </c>
      <c r="X97" s="12">
        <f t="shared" si="4"/>
        <v>260</v>
      </c>
      <c r="Y97" s="12">
        <f t="shared" si="4"/>
        <v>270</v>
      </c>
      <c r="Z97" s="12">
        <f t="shared" si="4"/>
        <v>240</v>
      </c>
      <c r="AA97" s="12">
        <f t="shared" si="4"/>
        <v>460</v>
      </c>
      <c r="AB97" s="12">
        <f t="shared" si="4"/>
        <v>260</v>
      </c>
      <c r="AC97" s="12">
        <f t="shared" si="4"/>
        <v>145</v>
      </c>
      <c r="AD97" s="12">
        <f t="shared" si="4"/>
        <v>145</v>
      </c>
      <c r="AE97" s="12">
        <f t="shared" si="4"/>
        <v>170</v>
      </c>
      <c r="AF97" s="12">
        <f t="shared" si="4"/>
        <v>145</v>
      </c>
      <c r="AG97" s="12">
        <f t="shared" si="4"/>
        <v>170</v>
      </c>
      <c r="AH97" s="12">
        <f t="shared" si="4"/>
        <v>180</v>
      </c>
      <c r="AI97" s="12">
        <f t="shared" si="4"/>
        <v>180</v>
      </c>
      <c r="AJ97" s="12">
        <f t="shared" si="4"/>
        <v>145</v>
      </c>
    </row>
    <row r="98" spans="20:36" x14ac:dyDescent="0.15">
      <c r="T98" s="33" t="s">
        <v>404</v>
      </c>
      <c r="U98" s="39" t="s">
        <v>406</v>
      </c>
      <c r="V98" s="39" t="s">
        <v>406</v>
      </c>
      <c r="W98" s="39" t="s">
        <v>406</v>
      </c>
      <c r="X98" s="39" t="s">
        <v>406</v>
      </c>
      <c r="Y98" s="39" t="s">
        <v>406</v>
      </c>
      <c r="Z98" s="39" t="s">
        <v>406</v>
      </c>
      <c r="AA98" s="39" t="s">
        <v>406</v>
      </c>
      <c r="AB98" s="39" t="s">
        <v>406</v>
      </c>
      <c r="AC98" s="39" t="s">
        <v>407</v>
      </c>
      <c r="AD98" s="39" t="s">
        <v>407</v>
      </c>
      <c r="AE98" s="39" t="s">
        <v>407</v>
      </c>
      <c r="AF98" s="39" t="s">
        <v>407</v>
      </c>
      <c r="AG98" s="39" t="s">
        <v>407</v>
      </c>
      <c r="AH98" s="39" t="s">
        <v>407</v>
      </c>
      <c r="AI98" s="39" t="s">
        <v>407</v>
      </c>
      <c r="AJ98" s="39" t="s">
        <v>407</v>
      </c>
    </row>
    <row r="99" spans="20:36" x14ac:dyDescent="0.15">
      <c r="T99" s="33" t="s">
        <v>397</v>
      </c>
      <c r="U99" s="12" t="s">
        <v>411</v>
      </c>
      <c r="V99" s="12" t="s">
        <v>411</v>
      </c>
      <c r="W99" s="12" t="s">
        <v>470</v>
      </c>
      <c r="X99" s="12" t="s">
        <v>411</v>
      </c>
      <c r="Y99" s="12" t="s">
        <v>471</v>
      </c>
      <c r="Z99" s="12" t="s">
        <v>411</v>
      </c>
      <c r="AA99" s="12" t="s">
        <v>472</v>
      </c>
      <c r="AB99" s="12" t="s">
        <v>473</v>
      </c>
      <c r="AC99" s="12" t="s">
        <v>474</v>
      </c>
      <c r="AD99" s="12" t="s">
        <v>474</v>
      </c>
      <c r="AE99" s="12" t="s">
        <v>475</v>
      </c>
      <c r="AF99" s="12" t="s">
        <v>474</v>
      </c>
      <c r="AG99" s="12" t="s">
        <v>475</v>
      </c>
      <c r="AH99" s="12" t="s">
        <v>476</v>
      </c>
      <c r="AI99" s="12" t="s">
        <v>456</v>
      </c>
      <c r="AJ99" s="12" t="s">
        <v>477</v>
      </c>
    </row>
    <row r="100" spans="20:36" x14ac:dyDescent="0.15">
      <c r="U100" s="27" t="str">
        <f>IF(U$94*100+U$95&gt;=201905,"令和",IF(U$94*100+U$95&gt;=198901,"平成","昭和"))</f>
        <v>令和</v>
      </c>
      <c r="V100" s="27" t="str">
        <f t="shared" ref="V100:AJ100" si="5">IF(V$94*100+V$95&gt;=201905,"令和",IF(V$94*100+V$95&gt;=198901,"平成","昭和"))</f>
        <v>令和</v>
      </c>
      <c r="W100" s="27" t="str">
        <f t="shared" si="5"/>
        <v>令和</v>
      </c>
      <c r="X100" s="27" t="str">
        <f t="shared" si="5"/>
        <v>令和</v>
      </c>
      <c r="Y100" s="27" t="str">
        <f t="shared" si="5"/>
        <v>令和</v>
      </c>
      <c r="Z100" s="27" t="str">
        <f t="shared" si="5"/>
        <v>令和</v>
      </c>
      <c r="AA100" s="27" t="str">
        <f t="shared" si="5"/>
        <v>令和</v>
      </c>
      <c r="AB100" s="27" t="str">
        <f t="shared" si="5"/>
        <v>令和</v>
      </c>
      <c r="AC100" s="27" t="str">
        <f t="shared" si="5"/>
        <v>令和</v>
      </c>
      <c r="AD100" s="27" t="str">
        <f t="shared" si="5"/>
        <v>令和</v>
      </c>
      <c r="AE100" s="27" t="str">
        <f t="shared" si="5"/>
        <v>令和</v>
      </c>
      <c r="AF100" s="27" t="str">
        <f t="shared" si="5"/>
        <v>令和</v>
      </c>
      <c r="AG100" s="27" t="str">
        <f t="shared" si="5"/>
        <v>令和</v>
      </c>
      <c r="AH100" s="27" t="str">
        <f t="shared" si="5"/>
        <v>令和</v>
      </c>
      <c r="AI100" s="27" t="str">
        <f t="shared" si="5"/>
        <v>令和</v>
      </c>
      <c r="AJ100" s="27" t="str">
        <f t="shared" si="5"/>
        <v>令和</v>
      </c>
    </row>
    <row r="101" spans="20:36" x14ac:dyDescent="0.15">
      <c r="U101" s="28">
        <f>IF(U$100="令和",U$94-2018,IF(U$100="平成",U$94-1988,U$94-1989+64))</f>
        <v>3</v>
      </c>
      <c r="V101" s="28">
        <f t="shared" ref="V101:AJ101" si="6">IF(V$100="令和",V$94-2018,IF(V$100="平成",V$94-1988,V$94-1989+64))</f>
        <v>3</v>
      </c>
      <c r="W101" s="28">
        <f t="shared" si="6"/>
        <v>3</v>
      </c>
      <c r="X101" s="28">
        <f t="shared" si="6"/>
        <v>3</v>
      </c>
      <c r="Y101" s="28">
        <f t="shared" si="6"/>
        <v>3</v>
      </c>
      <c r="Z101" s="28">
        <f t="shared" si="6"/>
        <v>3</v>
      </c>
      <c r="AA101" s="28">
        <f t="shared" si="6"/>
        <v>3</v>
      </c>
      <c r="AB101" s="28">
        <f t="shared" si="6"/>
        <v>3</v>
      </c>
      <c r="AC101" s="28">
        <f t="shared" si="6"/>
        <v>3</v>
      </c>
      <c r="AD101" s="28">
        <f t="shared" si="6"/>
        <v>3</v>
      </c>
      <c r="AE101" s="28">
        <f t="shared" si="6"/>
        <v>3</v>
      </c>
      <c r="AF101" s="28">
        <f t="shared" si="6"/>
        <v>3</v>
      </c>
      <c r="AG101" s="28">
        <f t="shared" si="6"/>
        <v>3</v>
      </c>
      <c r="AH101" s="28">
        <f t="shared" si="6"/>
        <v>3</v>
      </c>
      <c r="AI101" s="28">
        <f t="shared" si="6"/>
        <v>3</v>
      </c>
      <c r="AJ101" s="28">
        <f t="shared" si="6"/>
        <v>3</v>
      </c>
    </row>
    <row r="103" spans="20:36" x14ac:dyDescent="0.15">
      <c r="T103" s="37" t="s">
        <v>399</v>
      </c>
    </row>
    <row r="104" spans="20:36" x14ac:dyDescent="0.15">
      <c r="T104" s="33" t="s">
        <v>400</v>
      </c>
      <c r="U104" s="1">
        <v>2022</v>
      </c>
    </row>
    <row r="105" spans="20:36" x14ac:dyDescent="0.15">
      <c r="T105" s="33" t="s">
        <v>82</v>
      </c>
      <c r="U105" s="1">
        <v>12</v>
      </c>
      <c r="Z105" t="s">
        <v>519</v>
      </c>
    </row>
    <row r="106" spans="20:36" x14ac:dyDescent="0.15">
      <c r="T106" s="33" t="s">
        <v>83</v>
      </c>
      <c r="U106" s="1">
        <v>1</v>
      </c>
      <c r="Z106" s="40" t="s">
        <v>418</v>
      </c>
      <c r="AA106" s="5" t="s">
        <v>420</v>
      </c>
      <c r="AB106" s="5" t="s">
        <v>421</v>
      </c>
      <c r="AC106" s="5" t="s">
        <v>422</v>
      </c>
      <c r="AE106" s="40" t="s">
        <v>424</v>
      </c>
      <c r="AF106" s="5" t="s">
        <v>420</v>
      </c>
      <c r="AG106" s="5" t="s">
        <v>421</v>
      </c>
      <c r="AH106" s="5" t="s">
        <v>422</v>
      </c>
    </row>
    <row r="107" spans="20:36" x14ac:dyDescent="0.15">
      <c r="Z107" s="14">
        <v>480</v>
      </c>
      <c r="AA107" s="38" t="s">
        <v>419</v>
      </c>
      <c r="AB107" s="1">
        <v>2019</v>
      </c>
      <c r="AC107" s="1">
        <v>1</v>
      </c>
      <c r="AE107" s="14">
        <v>270</v>
      </c>
      <c r="AF107" s="38" t="s">
        <v>425</v>
      </c>
      <c r="AG107" s="1">
        <v>2021</v>
      </c>
      <c r="AH107" s="1">
        <v>11</v>
      </c>
    </row>
    <row r="108" spans="20:36" x14ac:dyDescent="0.15">
      <c r="Z108" s="14">
        <f t="shared" ref="Z108" si="7">Z107-5</f>
        <v>475</v>
      </c>
      <c r="AA108" s="38" t="s">
        <v>419</v>
      </c>
      <c r="AB108" s="1">
        <v>2019</v>
      </c>
      <c r="AC108" s="1">
        <v>1</v>
      </c>
      <c r="AE108" s="14">
        <f t="shared" ref="AE108:AE118" si="8">AE107-5</f>
        <v>265</v>
      </c>
      <c r="AF108" s="38" t="s">
        <v>425</v>
      </c>
      <c r="AG108" s="1">
        <v>2021</v>
      </c>
      <c r="AH108" s="1">
        <v>11</v>
      </c>
    </row>
    <row r="109" spans="20:36" x14ac:dyDescent="0.15">
      <c r="T109" s="10" t="s">
        <v>401</v>
      </c>
      <c r="U109" s="38" t="s">
        <v>532</v>
      </c>
      <c r="Z109" s="14">
        <f t="shared" ref="Z109:Z172" si="9">Z108-5</f>
        <v>470</v>
      </c>
      <c r="AA109" s="38" t="s">
        <v>419</v>
      </c>
      <c r="AB109" s="1">
        <v>2019</v>
      </c>
      <c r="AC109" s="1">
        <v>1</v>
      </c>
      <c r="AE109" s="14">
        <f t="shared" si="8"/>
        <v>260</v>
      </c>
      <c r="AF109" s="38" t="s">
        <v>425</v>
      </c>
      <c r="AG109" s="1">
        <v>2021</v>
      </c>
      <c r="AH109" s="1">
        <v>11</v>
      </c>
    </row>
    <row r="110" spans="20:36" x14ac:dyDescent="0.15">
      <c r="Z110" s="14">
        <f t="shared" si="9"/>
        <v>465</v>
      </c>
      <c r="AA110" s="38" t="s">
        <v>419</v>
      </c>
      <c r="AB110" s="1">
        <v>2019</v>
      </c>
      <c r="AC110" s="1">
        <v>1</v>
      </c>
      <c r="AE110" s="14">
        <f t="shared" si="8"/>
        <v>255</v>
      </c>
      <c r="AF110" s="38" t="s">
        <v>425</v>
      </c>
      <c r="AG110" s="1">
        <v>2021</v>
      </c>
      <c r="AH110" s="1">
        <v>11</v>
      </c>
    </row>
    <row r="111" spans="20:36" x14ac:dyDescent="0.15">
      <c r="Z111" s="14">
        <f t="shared" si="9"/>
        <v>460</v>
      </c>
      <c r="AA111" s="38" t="s">
        <v>419</v>
      </c>
      <c r="AB111" s="1">
        <v>2019</v>
      </c>
      <c r="AC111" s="1">
        <v>1</v>
      </c>
      <c r="AE111" s="14">
        <f t="shared" si="8"/>
        <v>250</v>
      </c>
      <c r="AF111" s="38" t="s">
        <v>425</v>
      </c>
      <c r="AG111" s="1">
        <v>2021</v>
      </c>
      <c r="AH111" s="1">
        <v>11</v>
      </c>
    </row>
    <row r="112" spans="20:36" x14ac:dyDescent="0.15">
      <c r="Z112" s="14">
        <f t="shared" si="9"/>
        <v>455</v>
      </c>
      <c r="AA112" s="38" t="s">
        <v>419</v>
      </c>
      <c r="AB112" s="1">
        <v>2019</v>
      </c>
      <c r="AC112" s="1">
        <v>1</v>
      </c>
      <c r="AE112" s="14">
        <f t="shared" si="8"/>
        <v>245</v>
      </c>
      <c r="AF112" s="38" t="s">
        <v>425</v>
      </c>
      <c r="AG112" s="1">
        <v>2021</v>
      </c>
      <c r="AH112" s="1">
        <v>11</v>
      </c>
    </row>
    <row r="113" spans="26:34" x14ac:dyDescent="0.15">
      <c r="Z113" s="14">
        <f t="shared" si="9"/>
        <v>450</v>
      </c>
      <c r="AA113" s="38" t="s">
        <v>419</v>
      </c>
      <c r="AB113" s="1">
        <v>2019</v>
      </c>
      <c r="AC113" s="1">
        <v>1</v>
      </c>
      <c r="AE113" s="14">
        <f t="shared" si="8"/>
        <v>240</v>
      </c>
      <c r="AF113" s="38" t="s">
        <v>425</v>
      </c>
      <c r="AG113" s="1">
        <v>2021</v>
      </c>
      <c r="AH113" s="1">
        <v>11</v>
      </c>
    </row>
    <row r="114" spans="26:34" x14ac:dyDescent="0.15">
      <c r="Z114" s="14">
        <f t="shared" si="9"/>
        <v>445</v>
      </c>
      <c r="AA114" s="38" t="s">
        <v>419</v>
      </c>
      <c r="AB114" s="1">
        <v>2019</v>
      </c>
      <c r="AC114" s="1">
        <v>1</v>
      </c>
      <c r="AE114" s="14">
        <f t="shared" si="8"/>
        <v>235</v>
      </c>
      <c r="AF114" s="38" t="s">
        <v>425</v>
      </c>
      <c r="AG114" s="1">
        <v>2021</v>
      </c>
      <c r="AH114" s="1">
        <v>11</v>
      </c>
    </row>
    <row r="115" spans="26:34" x14ac:dyDescent="0.15">
      <c r="Z115" s="14">
        <f t="shared" si="9"/>
        <v>440</v>
      </c>
      <c r="AA115" s="38" t="s">
        <v>419</v>
      </c>
      <c r="AB115" s="1">
        <v>2019</v>
      </c>
      <c r="AC115" s="1">
        <v>1</v>
      </c>
      <c r="AE115" s="14">
        <f t="shared" si="8"/>
        <v>230</v>
      </c>
      <c r="AF115" s="38" t="s">
        <v>425</v>
      </c>
      <c r="AG115" s="1">
        <v>2021</v>
      </c>
      <c r="AH115" s="1">
        <v>11</v>
      </c>
    </row>
    <row r="116" spans="26:34" x14ac:dyDescent="0.15">
      <c r="Z116" s="14">
        <f t="shared" si="9"/>
        <v>435</v>
      </c>
      <c r="AA116" s="38" t="s">
        <v>419</v>
      </c>
      <c r="AB116" s="1">
        <v>2019</v>
      </c>
      <c r="AC116" s="1">
        <v>1</v>
      </c>
      <c r="AE116" s="14">
        <f t="shared" si="8"/>
        <v>225</v>
      </c>
      <c r="AF116" s="38" t="s">
        <v>425</v>
      </c>
      <c r="AG116" s="1">
        <v>2021</v>
      </c>
      <c r="AH116" s="1">
        <v>11</v>
      </c>
    </row>
    <row r="117" spans="26:34" x14ac:dyDescent="0.15">
      <c r="Z117" s="14">
        <f t="shared" si="9"/>
        <v>430</v>
      </c>
      <c r="AA117" s="38" t="s">
        <v>419</v>
      </c>
      <c r="AB117" s="1">
        <v>2019</v>
      </c>
      <c r="AC117" s="1">
        <v>1</v>
      </c>
      <c r="AE117" s="14">
        <f t="shared" si="8"/>
        <v>220</v>
      </c>
      <c r="AF117" s="38" t="s">
        <v>425</v>
      </c>
      <c r="AG117" s="1">
        <v>2021</v>
      </c>
      <c r="AH117" s="1">
        <v>11</v>
      </c>
    </row>
    <row r="118" spans="26:34" x14ac:dyDescent="0.15">
      <c r="Z118" s="14">
        <f t="shared" si="9"/>
        <v>425</v>
      </c>
      <c r="AA118" s="38" t="s">
        <v>419</v>
      </c>
      <c r="AB118" s="1">
        <v>2019</v>
      </c>
      <c r="AC118" s="1">
        <v>1</v>
      </c>
      <c r="AE118" s="14">
        <f t="shared" si="8"/>
        <v>215</v>
      </c>
      <c r="AF118" s="38" t="s">
        <v>425</v>
      </c>
      <c r="AG118" s="1">
        <v>2021</v>
      </c>
      <c r="AH118" s="1">
        <v>11</v>
      </c>
    </row>
    <row r="119" spans="26:34" x14ac:dyDescent="0.15">
      <c r="Z119" s="14">
        <f t="shared" si="9"/>
        <v>420</v>
      </c>
      <c r="AA119" s="38" t="s">
        <v>419</v>
      </c>
      <c r="AB119" s="1">
        <v>2019</v>
      </c>
      <c r="AC119" s="1">
        <v>1</v>
      </c>
      <c r="AE119" s="14">
        <f t="shared" ref="AE119:AE120" si="10">AE118-5</f>
        <v>210</v>
      </c>
      <c r="AF119" s="38" t="s">
        <v>425</v>
      </c>
      <c r="AG119" s="1">
        <v>2021</v>
      </c>
      <c r="AH119" s="1">
        <v>11</v>
      </c>
    </row>
    <row r="120" spans="26:34" x14ac:dyDescent="0.15">
      <c r="Z120" s="14">
        <f t="shared" si="9"/>
        <v>415</v>
      </c>
      <c r="AA120" s="38" t="s">
        <v>419</v>
      </c>
      <c r="AB120" s="1">
        <v>2019</v>
      </c>
      <c r="AC120" s="1">
        <v>1</v>
      </c>
      <c r="AE120" s="14">
        <f t="shared" si="10"/>
        <v>205</v>
      </c>
      <c r="AF120" s="38" t="s">
        <v>425</v>
      </c>
      <c r="AG120" s="1">
        <v>2021</v>
      </c>
      <c r="AH120" s="1">
        <v>11</v>
      </c>
    </row>
    <row r="121" spans="26:34" x14ac:dyDescent="0.15">
      <c r="Z121" s="14">
        <f t="shared" si="9"/>
        <v>410</v>
      </c>
      <c r="AA121" s="38" t="s">
        <v>419</v>
      </c>
      <c r="AB121" s="1">
        <v>2019</v>
      </c>
      <c r="AC121" s="1">
        <v>1</v>
      </c>
      <c r="AE121" s="14">
        <f t="shared" ref="AE121:AE159" si="11">AE120-5</f>
        <v>200</v>
      </c>
      <c r="AF121" s="38" t="s">
        <v>425</v>
      </c>
      <c r="AG121" s="1">
        <v>2021</v>
      </c>
      <c r="AH121" s="1">
        <v>1</v>
      </c>
    </row>
    <row r="122" spans="26:34" x14ac:dyDescent="0.15">
      <c r="Z122" s="14">
        <f t="shared" si="9"/>
        <v>405</v>
      </c>
      <c r="AA122" s="38" t="s">
        <v>419</v>
      </c>
      <c r="AB122" s="1">
        <v>2019</v>
      </c>
      <c r="AC122" s="1">
        <v>1</v>
      </c>
      <c r="AE122" s="14">
        <f t="shared" si="11"/>
        <v>195</v>
      </c>
      <c r="AF122" s="38" t="s">
        <v>425</v>
      </c>
      <c r="AG122" s="1">
        <v>2021</v>
      </c>
      <c r="AH122" s="1">
        <v>1</v>
      </c>
    </row>
    <row r="123" spans="26:34" x14ac:dyDescent="0.15">
      <c r="Z123" s="14">
        <f t="shared" si="9"/>
        <v>400</v>
      </c>
      <c r="AA123" s="38" t="s">
        <v>419</v>
      </c>
      <c r="AB123" s="1">
        <v>2019</v>
      </c>
      <c r="AC123" s="1">
        <v>1</v>
      </c>
      <c r="AE123" s="14">
        <f t="shared" si="11"/>
        <v>190</v>
      </c>
      <c r="AF123" s="38" t="s">
        <v>425</v>
      </c>
      <c r="AG123" s="1">
        <v>2021</v>
      </c>
      <c r="AH123" s="1">
        <v>1</v>
      </c>
    </row>
    <row r="124" spans="26:34" x14ac:dyDescent="0.15">
      <c r="Z124" s="14">
        <f t="shared" si="9"/>
        <v>395</v>
      </c>
      <c r="AA124" s="38" t="s">
        <v>419</v>
      </c>
      <c r="AB124" s="1">
        <v>2018</v>
      </c>
      <c r="AC124" s="1">
        <v>1</v>
      </c>
      <c r="AE124" s="14">
        <f t="shared" si="11"/>
        <v>185</v>
      </c>
      <c r="AF124" s="38" t="s">
        <v>425</v>
      </c>
      <c r="AG124" s="1">
        <v>2021</v>
      </c>
      <c r="AH124" s="1">
        <v>1</v>
      </c>
    </row>
    <row r="125" spans="26:34" x14ac:dyDescent="0.15">
      <c r="Z125" s="14">
        <f t="shared" si="9"/>
        <v>390</v>
      </c>
      <c r="AA125" s="38" t="s">
        <v>419</v>
      </c>
      <c r="AB125" s="1">
        <v>2018</v>
      </c>
      <c r="AC125" s="1">
        <v>1</v>
      </c>
      <c r="AE125" s="14">
        <f t="shared" si="11"/>
        <v>180</v>
      </c>
      <c r="AF125" s="38" t="s">
        <v>425</v>
      </c>
      <c r="AG125" s="1">
        <v>2021</v>
      </c>
      <c r="AH125" s="1">
        <v>1</v>
      </c>
    </row>
    <row r="126" spans="26:34" x14ac:dyDescent="0.15">
      <c r="Z126" s="14">
        <f t="shared" si="9"/>
        <v>385</v>
      </c>
      <c r="AA126" s="38" t="s">
        <v>419</v>
      </c>
      <c r="AB126" s="1">
        <v>2018</v>
      </c>
      <c r="AC126" s="1">
        <v>1</v>
      </c>
      <c r="AE126" s="14">
        <f t="shared" si="11"/>
        <v>175</v>
      </c>
      <c r="AF126" s="38" t="s">
        <v>425</v>
      </c>
      <c r="AG126" s="1">
        <v>2021</v>
      </c>
      <c r="AH126" s="1">
        <v>1</v>
      </c>
    </row>
    <row r="127" spans="26:34" x14ac:dyDescent="0.15">
      <c r="Z127" s="14">
        <f t="shared" si="9"/>
        <v>380</v>
      </c>
      <c r="AA127" s="38" t="s">
        <v>419</v>
      </c>
      <c r="AB127" s="1">
        <v>2018</v>
      </c>
      <c r="AC127" s="1">
        <v>1</v>
      </c>
      <c r="AE127" s="14">
        <f t="shared" si="11"/>
        <v>170</v>
      </c>
      <c r="AF127" s="38" t="s">
        <v>425</v>
      </c>
      <c r="AG127" s="1">
        <v>2021</v>
      </c>
      <c r="AH127" s="1">
        <v>1</v>
      </c>
    </row>
    <row r="128" spans="26:34" x14ac:dyDescent="0.15">
      <c r="Z128" s="14">
        <f t="shared" si="9"/>
        <v>375</v>
      </c>
      <c r="AA128" s="38" t="s">
        <v>419</v>
      </c>
      <c r="AB128" s="1">
        <v>2018</v>
      </c>
      <c r="AC128" s="1">
        <v>1</v>
      </c>
      <c r="AE128" s="14">
        <f t="shared" si="11"/>
        <v>165</v>
      </c>
      <c r="AF128" s="38" t="s">
        <v>425</v>
      </c>
      <c r="AG128" s="1">
        <v>2021</v>
      </c>
      <c r="AH128" s="1">
        <v>1</v>
      </c>
    </row>
    <row r="129" spans="26:34" x14ac:dyDescent="0.15">
      <c r="Z129" s="14">
        <f t="shared" si="9"/>
        <v>370</v>
      </c>
      <c r="AA129" s="38" t="s">
        <v>419</v>
      </c>
      <c r="AB129" s="1">
        <v>2018</v>
      </c>
      <c r="AC129" s="1">
        <v>1</v>
      </c>
      <c r="AE129" s="14">
        <f t="shared" si="11"/>
        <v>160</v>
      </c>
      <c r="AF129" s="38" t="s">
        <v>425</v>
      </c>
      <c r="AG129" s="1">
        <v>2021</v>
      </c>
      <c r="AH129" s="1">
        <v>1</v>
      </c>
    </row>
    <row r="130" spans="26:34" x14ac:dyDescent="0.15">
      <c r="Z130" s="14">
        <f t="shared" si="9"/>
        <v>365</v>
      </c>
      <c r="AA130" s="38" t="s">
        <v>419</v>
      </c>
      <c r="AB130" s="1">
        <v>2018</v>
      </c>
      <c r="AC130" s="1">
        <v>1</v>
      </c>
      <c r="AE130" s="14">
        <f t="shared" si="11"/>
        <v>155</v>
      </c>
      <c r="AF130" s="38" t="s">
        <v>425</v>
      </c>
      <c r="AG130" s="2">
        <v>2018</v>
      </c>
      <c r="AH130" s="2">
        <v>1</v>
      </c>
    </row>
    <row r="131" spans="26:34" x14ac:dyDescent="0.15">
      <c r="Z131" s="14">
        <f t="shared" si="9"/>
        <v>360</v>
      </c>
      <c r="AA131" s="38" t="s">
        <v>419</v>
      </c>
      <c r="AB131" s="1">
        <v>2018</v>
      </c>
      <c r="AC131" s="1">
        <v>1</v>
      </c>
      <c r="AE131" s="14">
        <f t="shared" si="11"/>
        <v>150</v>
      </c>
      <c r="AF131" s="38" t="s">
        <v>425</v>
      </c>
      <c r="AG131" s="2">
        <v>2018</v>
      </c>
      <c r="AH131" s="2">
        <v>1</v>
      </c>
    </row>
    <row r="132" spans="26:34" x14ac:dyDescent="0.15">
      <c r="Z132" s="14">
        <f t="shared" si="9"/>
        <v>355</v>
      </c>
      <c r="AA132" s="38" t="s">
        <v>419</v>
      </c>
      <c r="AB132" s="1">
        <v>2018</v>
      </c>
      <c r="AC132" s="1">
        <v>1</v>
      </c>
      <c r="AE132" s="14">
        <f t="shared" si="11"/>
        <v>145</v>
      </c>
      <c r="AF132" s="38" t="s">
        <v>425</v>
      </c>
      <c r="AG132" s="2">
        <v>2018</v>
      </c>
      <c r="AH132" s="2">
        <v>1</v>
      </c>
    </row>
    <row r="133" spans="26:34" x14ac:dyDescent="0.15">
      <c r="Z133" s="14">
        <f t="shared" si="9"/>
        <v>350</v>
      </c>
      <c r="AA133" s="38" t="s">
        <v>419</v>
      </c>
      <c r="AB133" s="1">
        <v>2017</v>
      </c>
      <c r="AC133" s="1">
        <v>1</v>
      </c>
      <c r="AE133" s="41">
        <f>AE132</f>
        <v>145</v>
      </c>
      <c r="AF133" s="42" t="s">
        <v>426</v>
      </c>
      <c r="AG133" s="2">
        <v>2019</v>
      </c>
      <c r="AH133" s="2">
        <v>1</v>
      </c>
    </row>
    <row r="134" spans="26:34" x14ac:dyDescent="0.15">
      <c r="Z134" s="14">
        <f t="shared" si="9"/>
        <v>345</v>
      </c>
      <c r="AA134" s="38" t="s">
        <v>419</v>
      </c>
      <c r="AB134" s="1">
        <v>2017</v>
      </c>
      <c r="AC134" s="1">
        <v>1</v>
      </c>
      <c r="AE134" s="14">
        <f t="shared" si="11"/>
        <v>140</v>
      </c>
      <c r="AF134" s="42" t="s">
        <v>426</v>
      </c>
      <c r="AG134" s="2">
        <v>2019</v>
      </c>
      <c r="AH134" s="2">
        <v>1</v>
      </c>
    </row>
    <row r="135" spans="26:34" x14ac:dyDescent="0.15">
      <c r="Z135" s="14">
        <f t="shared" si="9"/>
        <v>340</v>
      </c>
      <c r="AA135" s="38" t="s">
        <v>419</v>
      </c>
      <c r="AB135" s="1">
        <v>2017</v>
      </c>
      <c r="AC135" s="1">
        <v>1</v>
      </c>
      <c r="AE135" s="14">
        <f t="shared" si="11"/>
        <v>135</v>
      </c>
      <c r="AF135" s="42" t="s">
        <v>426</v>
      </c>
      <c r="AG135" s="2">
        <v>2019</v>
      </c>
      <c r="AH135" s="2">
        <v>1</v>
      </c>
    </row>
    <row r="136" spans="26:34" x14ac:dyDescent="0.15">
      <c r="Z136" s="14">
        <f t="shared" si="9"/>
        <v>335</v>
      </c>
      <c r="AA136" s="38" t="s">
        <v>419</v>
      </c>
      <c r="AB136" s="1">
        <v>2017</v>
      </c>
      <c r="AC136" s="1">
        <v>1</v>
      </c>
      <c r="AE136" s="14">
        <f t="shared" si="11"/>
        <v>130</v>
      </c>
      <c r="AF136" s="42" t="s">
        <v>426</v>
      </c>
      <c r="AG136" s="2">
        <v>2019</v>
      </c>
      <c r="AH136" s="2">
        <v>1</v>
      </c>
    </row>
    <row r="137" spans="26:34" x14ac:dyDescent="0.15">
      <c r="Z137" s="14">
        <f t="shared" si="9"/>
        <v>330</v>
      </c>
      <c r="AA137" s="38" t="s">
        <v>419</v>
      </c>
      <c r="AB137" s="1">
        <v>2017</v>
      </c>
      <c r="AC137" s="1">
        <v>1</v>
      </c>
      <c r="AE137" s="14">
        <f t="shared" si="11"/>
        <v>125</v>
      </c>
      <c r="AF137" s="42" t="s">
        <v>426</v>
      </c>
      <c r="AG137" s="2">
        <v>2019</v>
      </c>
      <c r="AH137" s="2">
        <v>1</v>
      </c>
    </row>
    <row r="138" spans="26:34" x14ac:dyDescent="0.15">
      <c r="Z138" s="14">
        <f t="shared" si="9"/>
        <v>325</v>
      </c>
      <c r="AA138" s="38" t="s">
        <v>419</v>
      </c>
      <c r="AB138" s="1">
        <v>2017</v>
      </c>
      <c r="AC138" s="1">
        <v>1</v>
      </c>
      <c r="AE138" s="14">
        <f t="shared" si="11"/>
        <v>120</v>
      </c>
      <c r="AF138" s="42" t="s">
        <v>426</v>
      </c>
      <c r="AG138" s="2">
        <v>2019</v>
      </c>
      <c r="AH138" s="2">
        <v>1</v>
      </c>
    </row>
    <row r="139" spans="26:34" x14ac:dyDescent="0.15">
      <c r="Z139" s="14">
        <f t="shared" si="9"/>
        <v>320</v>
      </c>
      <c r="AA139" s="38" t="s">
        <v>419</v>
      </c>
      <c r="AB139" s="1">
        <v>2017</v>
      </c>
      <c r="AC139" s="1">
        <v>1</v>
      </c>
      <c r="AE139" s="14">
        <f t="shared" si="11"/>
        <v>115</v>
      </c>
      <c r="AF139" s="42" t="s">
        <v>426</v>
      </c>
      <c r="AG139" s="2">
        <v>2015</v>
      </c>
      <c r="AH139" s="2">
        <v>1</v>
      </c>
    </row>
    <row r="140" spans="26:34" x14ac:dyDescent="0.15">
      <c r="Z140" s="14">
        <f t="shared" si="9"/>
        <v>315</v>
      </c>
      <c r="AA140" s="38" t="s">
        <v>419</v>
      </c>
      <c r="AB140" s="1">
        <v>2017</v>
      </c>
      <c r="AC140" s="1">
        <v>1</v>
      </c>
      <c r="AE140" s="14">
        <f t="shared" si="11"/>
        <v>110</v>
      </c>
      <c r="AF140" s="42" t="s">
        <v>426</v>
      </c>
      <c r="AG140" s="2">
        <v>2015</v>
      </c>
      <c r="AH140" s="2">
        <v>1</v>
      </c>
    </row>
    <row r="141" spans="26:34" x14ac:dyDescent="0.15">
      <c r="Z141" s="14">
        <f t="shared" si="9"/>
        <v>310</v>
      </c>
      <c r="AA141" s="38" t="s">
        <v>419</v>
      </c>
      <c r="AB141" s="1">
        <v>2017</v>
      </c>
      <c r="AC141" s="1">
        <v>1</v>
      </c>
      <c r="AE141" s="14">
        <f t="shared" si="11"/>
        <v>105</v>
      </c>
      <c r="AF141" s="42" t="s">
        <v>426</v>
      </c>
      <c r="AG141" s="2">
        <v>2015</v>
      </c>
      <c r="AH141" s="2">
        <v>1</v>
      </c>
    </row>
    <row r="142" spans="26:34" x14ac:dyDescent="0.15">
      <c r="Z142" s="14">
        <f t="shared" si="9"/>
        <v>305</v>
      </c>
      <c r="AA142" s="38" t="s">
        <v>419</v>
      </c>
      <c r="AB142" s="1">
        <v>2017</v>
      </c>
      <c r="AC142" s="1">
        <v>1</v>
      </c>
      <c r="AE142" s="14">
        <f t="shared" si="11"/>
        <v>100</v>
      </c>
      <c r="AF142" s="42" t="s">
        <v>426</v>
      </c>
      <c r="AG142" s="2">
        <v>2015</v>
      </c>
      <c r="AH142" s="2">
        <v>1</v>
      </c>
    </row>
    <row r="143" spans="26:34" x14ac:dyDescent="0.15">
      <c r="Z143" s="14">
        <f t="shared" si="9"/>
        <v>300</v>
      </c>
      <c r="AA143" s="38" t="s">
        <v>419</v>
      </c>
      <c r="AB143" s="1">
        <v>2017</v>
      </c>
      <c r="AC143" s="1">
        <v>1</v>
      </c>
      <c r="AE143" s="14">
        <f t="shared" si="11"/>
        <v>95</v>
      </c>
      <c r="AF143" s="42" t="s">
        <v>426</v>
      </c>
      <c r="AG143" s="2">
        <v>2015</v>
      </c>
      <c r="AH143" s="2">
        <v>1</v>
      </c>
    </row>
    <row r="144" spans="26:34" x14ac:dyDescent="0.15">
      <c r="Z144" s="14">
        <f t="shared" si="9"/>
        <v>295</v>
      </c>
      <c r="AA144" s="38" t="s">
        <v>419</v>
      </c>
      <c r="AB144" s="1">
        <v>2016</v>
      </c>
      <c r="AC144" s="1">
        <v>1</v>
      </c>
      <c r="AE144" s="14">
        <f t="shared" si="11"/>
        <v>90</v>
      </c>
      <c r="AF144" s="42" t="s">
        <v>426</v>
      </c>
      <c r="AG144" s="2">
        <v>2015</v>
      </c>
      <c r="AH144" s="2">
        <v>1</v>
      </c>
    </row>
    <row r="145" spans="26:34" x14ac:dyDescent="0.15">
      <c r="Z145" s="14">
        <f t="shared" si="9"/>
        <v>290</v>
      </c>
      <c r="AA145" s="38" t="s">
        <v>419</v>
      </c>
      <c r="AB145" s="1">
        <v>2016</v>
      </c>
      <c r="AC145" s="1">
        <v>1</v>
      </c>
      <c r="AE145" s="14">
        <f t="shared" si="11"/>
        <v>85</v>
      </c>
      <c r="AF145" s="42" t="s">
        <v>426</v>
      </c>
      <c r="AG145" s="2">
        <v>2013</v>
      </c>
      <c r="AH145" s="2">
        <v>1</v>
      </c>
    </row>
    <row r="146" spans="26:34" x14ac:dyDescent="0.15">
      <c r="Z146" s="14">
        <f t="shared" si="9"/>
        <v>285</v>
      </c>
      <c r="AA146" s="38" t="s">
        <v>419</v>
      </c>
      <c r="AB146" s="1">
        <v>2016</v>
      </c>
      <c r="AC146" s="1">
        <v>1</v>
      </c>
      <c r="AE146" s="14">
        <f t="shared" si="11"/>
        <v>80</v>
      </c>
      <c r="AF146" s="42" t="s">
        <v>426</v>
      </c>
      <c r="AG146" s="2">
        <v>2013</v>
      </c>
      <c r="AH146" s="2">
        <v>1</v>
      </c>
    </row>
    <row r="147" spans="26:34" x14ac:dyDescent="0.15">
      <c r="Z147" s="14">
        <f t="shared" si="9"/>
        <v>280</v>
      </c>
      <c r="AA147" s="38" t="s">
        <v>419</v>
      </c>
      <c r="AB147" s="1">
        <v>2016</v>
      </c>
      <c r="AC147" s="1">
        <v>1</v>
      </c>
      <c r="AE147" s="14">
        <f t="shared" si="11"/>
        <v>75</v>
      </c>
      <c r="AF147" s="42" t="s">
        <v>426</v>
      </c>
      <c r="AG147" s="2">
        <v>2013</v>
      </c>
      <c r="AH147" s="2">
        <v>1</v>
      </c>
    </row>
    <row r="148" spans="26:34" x14ac:dyDescent="0.15">
      <c r="Z148" s="14">
        <f t="shared" si="9"/>
        <v>275</v>
      </c>
      <c r="AA148" s="38" t="s">
        <v>419</v>
      </c>
      <c r="AB148" s="1">
        <v>2016</v>
      </c>
      <c r="AC148" s="1">
        <v>1</v>
      </c>
      <c r="AE148" s="14">
        <f t="shared" si="11"/>
        <v>70</v>
      </c>
      <c r="AF148" s="42" t="s">
        <v>426</v>
      </c>
      <c r="AG148" s="2">
        <v>2013</v>
      </c>
      <c r="AH148" s="2">
        <v>1</v>
      </c>
    </row>
    <row r="149" spans="26:34" x14ac:dyDescent="0.15">
      <c r="Z149" s="14">
        <f t="shared" si="9"/>
        <v>270</v>
      </c>
      <c r="AA149" s="38" t="s">
        <v>419</v>
      </c>
      <c r="AB149" s="1">
        <v>2016</v>
      </c>
      <c r="AC149" s="1">
        <v>1</v>
      </c>
      <c r="AE149" s="14">
        <v>70</v>
      </c>
      <c r="AF149" s="38" t="s">
        <v>427</v>
      </c>
      <c r="AG149" s="2">
        <v>2018</v>
      </c>
      <c r="AH149" s="2">
        <v>1</v>
      </c>
    </row>
    <row r="150" spans="26:34" x14ac:dyDescent="0.15">
      <c r="Z150" s="14">
        <f t="shared" si="9"/>
        <v>265</v>
      </c>
      <c r="AA150" s="38" t="s">
        <v>419</v>
      </c>
      <c r="AB150" s="1">
        <v>2016</v>
      </c>
      <c r="AC150" s="1">
        <v>1</v>
      </c>
      <c r="AE150" s="14">
        <f>AE148-5</f>
        <v>65</v>
      </c>
      <c r="AF150" s="38" t="s">
        <v>427</v>
      </c>
      <c r="AG150" s="2">
        <v>2018</v>
      </c>
      <c r="AH150" s="2">
        <v>1</v>
      </c>
    </row>
    <row r="151" spans="26:34" x14ac:dyDescent="0.15">
      <c r="Z151" s="14">
        <f t="shared" si="9"/>
        <v>260</v>
      </c>
      <c r="AA151" s="38" t="s">
        <v>419</v>
      </c>
      <c r="AB151" s="1">
        <v>2016</v>
      </c>
      <c r="AC151" s="1">
        <v>1</v>
      </c>
      <c r="AE151" s="14">
        <f t="shared" si="11"/>
        <v>60</v>
      </c>
      <c r="AF151" s="38" t="s">
        <v>427</v>
      </c>
      <c r="AG151" s="2">
        <v>2018</v>
      </c>
      <c r="AH151" s="2">
        <v>1</v>
      </c>
    </row>
    <row r="152" spans="26:34" x14ac:dyDescent="0.15">
      <c r="Z152" s="14">
        <f t="shared" si="9"/>
        <v>255</v>
      </c>
      <c r="AA152" s="38" t="s">
        <v>419</v>
      </c>
      <c r="AB152" s="1">
        <v>2016</v>
      </c>
      <c r="AC152" s="1">
        <v>1</v>
      </c>
      <c r="AE152" s="14">
        <f t="shared" si="11"/>
        <v>55</v>
      </c>
      <c r="AF152" s="38" t="s">
        <v>427</v>
      </c>
      <c r="AG152" s="2">
        <v>2018</v>
      </c>
      <c r="AH152" s="2">
        <v>1</v>
      </c>
    </row>
    <row r="153" spans="26:34" x14ac:dyDescent="0.15">
      <c r="Z153" s="14">
        <f t="shared" si="9"/>
        <v>250</v>
      </c>
      <c r="AA153" s="38" t="s">
        <v>419</v>
      </c>
      <c r="AB153" s="1">
        <v>2016</v>
      </c>
      <c r="AC153" s="1">
        <v>1</v>
      </c>
      <c r="AE153" s="14">
        <f t="shared" si="11"/>
        <v>50</v>
      </c>
      <c r="AF153" s="38" t="s">
        <v>427</v>
      </c>
      <c r="AG153" s="2">
        <v>2018</v>
      </c>
      <c r="AH153" s="2">
        <v>1</v>
      </c>
    </row>
    <row r="154" spans="26:34" x14ac:dyDescent="0.15">
      <c r="Z154" s="14">
        <f t="shared" si="9"/>
        <v>245</v>
      </c>
      <c r="AA154" s="38" t="s">
        <v>419</v>
      </c>
      <c r="AB154" s="1">
        <v>2015</v>
      </c>
      <c r="AC154" s="1">
        <v>1</v>
      </c>
      <c r="AE154" s="14">
        <f t="shared" si="11"/>
        <v>45</v>
      </c>
      <c r="AF154" s="38" t="s">
        <v>427</v>
      </c>
      <c r="AG154" s="2">
        <v>2016</v>
      </c>
      <c r="AH154" s="2">
        <v>1</v>
      </c>
    </row>
    <row r="155" spans="26:34" x14ac:dyDescent="0.15">
      <c r="Z155" s="14">
        <f t="shared" si="9"/>
        <v>240</v>
      </c>
      <c r="AA155" s="38" t="s">
        <v>419</v>
      </c>
      <c r="AB155" s="1">
        <v>2015</v>
      </c>
      <c r="AC155" s="1">
        <v>1</v>
      </c>
      <c r="AE155" s="14">
        <f t="shared" si="11"/>
        <v>40</v>
      </c>
      <c r="AF155" s="38" t="s">
        <v>427</v>
      </c>
      <c r="AG155" s="2">
        <v>2016</v>
      </c>
      <c r="AH155" s="2">
        <v>1</v>
      </c>
    </row>
    <row r="156" spans="26:34" x14ac:dyDescent="0.15">
      <c r="Z156" s="14">
        <f t="shared" si="9"/>
        <v>235</v>
      </c>
      <c r="AA156" s="38" t="s">
        <v>419</v>
      </c>
      <c r="AB156" s="1">
        <v>2015</v>
      </c>
      <c r="AC156" s="1">
        <v>1</v>
      </c>
      <c r="AE156" s="14">
        <f t="shared" si="11"/>
        <v>35</v>
      </c>
      <c r="AF156" s="38" t="s">
        <v>427</v>
      </c>
      <c r="AG156" s="2">
        <v>2012</v>
      </c>
      <c r="AH156" s="2">
        <v>1</v>
      </c>
    </row>
    <row r="157" spans="26:34" x14ac:dyDescent="0.15">
      <c r="Z157" s="14">
        <f t="shared" si="9"/>
        <v>230</v>
      </c>
      <c r="AA157" s="38" t="s">
        <v>419</v>
      </c>
      <c r="AB157" s="1">
        <v>2015</v>
      </c>
      <c r="AC157" s="1">
        <v>1</v>
      </c>
      <c r="AE157" s="14">
        <f t="shared" si="11"/>
        <v>30</v>
      </c>
      <c r="AF157" s="38" t="s">
        <v>427</v>
      </c>
      <c r="AG157" s="2">
        <v>2012</v>
      </c>
      <c r="AH157" s="2">
        <v>1</v>
      </c>
    </row>
    <row r="158" spans="26:34" x14ac:dyDescent="0.15">
      <c r="Z158" s="14">
        <f t="shared" si="9"/>
        <v>225</v>
      </c>
      <c r="AA158" s="38" t="s">
        <v>419</v>
      </c>
      <c r="AB158" s="1">
        <v>2015</v>
      </c>
      <c r="AC158" s="1">
        <v>1</v>
      </c>
      <c r="AE158" s="14">
        <f t="shared" si="11"/>
        <v>25</v>
      </c>
      <c r="AF158" s="38" t="s">
        <v>427</v>
      </c>
      <c r="AG158" s="2">
        <v>2012</v>
      </c>
      <c r="AH158" s="2">
        <v>1</v>
      </c>
    </row>
    <row r="159" spans="26:34" x14ac:dyDescent="0.15">
      <c r="Z159" s="14">
        <f t="shared" si="9"/>
        <v>220</v>
      </c>
      <c r="AA159" s="38" t="s">
        <v>419</v>
      </c>
      <c r="AB159" s="1">
        <v>2015</v>
      </c>
      <c r="AC159" s="1">
        <v>1</v>
      </c>
      <c r="AE159" s="14">
        <f t="shared" si="11"/>
        <v>20</v>
      </c>
      <c r="AF159" s="38" t="s">
        <v>427</v>
      </c>
      <c r="AG159" s="2">
        <v>2012</v>
      </c>
      <c r="AH159" s="2">
        <v>1</v>
      </c>
    </row>
    <row r="160" spans="26:34" x14ac:dyDescent="0.15">
      <c r="Z160" s="14">
        <f t="shared" si="9"/>
        <v>215</v>
      </c>
      <c r="AA160" s="38" t="s">
        <v>419</v>
      </c>
      <c r="AB160" s="1">
        <v>2015</v>
      </c>
      <c r="AC160" s="1">
        <v>1</v>
      </c>
    </row>
    <row r="161" spans="26:47" x14ac:dyDescent="0.15">
      <c r="Z161" s="14">
        <f t="shared" si="9"/>
        <v>210</v>
      </c>
      <c r="AA161" s="38" t="s">
        <v>419</v>
      </c>
      <c r="AB161" s="1">
        <v>2015</v>
      </c>
      <c r="AC161" s="1">
        <v>1</v>
      </c>
      <c r="AE161" s="10" t="s">
        <v>517</v>
      </c>
      <c r="AF161" t="s">
        <v>478</v>
      </c>
    </row>
    <row r="162" spans="26:47" x14ac:dyDescent="0.15">
      <c r="Z162" s="14">
        <f t="shared" si="9"/>
        <v>205</v>
      </c>
      <c r="AA162" s="38" t="s">
        <v>419</v>
      </c>
      <c r="AB162" s="1">
        <v>2015</v>
      </c>
      <c r="AC162" s="1">
        <v>1</v>
      </c>
    </row>
    <row r="163" spans="26:47" x14ac:dyDescent="0.15">
      <c r="Z163" s="14">
        <f t="shared" si="9"/>
        <v>200</v>
      </c>
      <c r="AA163" s="38" t="s">
        <v>419</v>
      </c>
      <c r="AB163" s="1">
        <v>2015</v>
      </c>
      <c r="AC163" s="1">
        <v>1</v>
      </c>
      <c r="AE163" s="45" t="s">
        <v>179</v>
      </c>
      <c r="AF163" s="46" t="s">
        <v>373</v>
      </c>
      <c r="AG163" s="46" t="s">
        <v>374</v>
      </c>
      <c r="AH163" s="46" t="s">
        <v>375</v>
      </c>
      <c r="AI163" s="46" t="s">
        <v>376</v>
      </c>
      <c r="AJ163" s="46" t="s">
        <v>377</v>
      </c>
      <c r="AK163" s="46" t="s">
        <v>378</v>
      </c>
      <c r="AL163" s="46" t="s">
        <v>379</v>
      </c>
      <c r="AM163" s="46" t="s">
        <v>380</v>
      </c>
      <c r="AN163" s="46" t="s">
        <v>381</v>
      </c>
      <c r="AO163" s="46" t="s">
        <v>382</v>
      </c>
      <c r="AP163" s="46" t="s">
        <v>383</v>
      </c>
      <c r="AQ163" s="46" t="s">
        <v>384</v>
      </c>
      <c r="AR163" s="46" t="s">
        <v>385</v>
      </c>
      <c r="AS163" s="46" t="s">
        <v>386</v>
      </c>
      <c r="AT163" s="46" t="s">
        <v>387</v>
      </c>
      <c r="AU163" s="46" t="s">
        <v>388</v>
      </c>
    </row>
    <row r="164" spans="26:47" x14ac:dyDescent="0.15">
      <c r="Z164" s="14">
        <f t="shared" si="9"/>
        <v>195</v>
      </c>
      <c r="AA164" s="38" t="s">
        <v>419</v>
      </c>
      <c r="AB164" s="1">
        <v>2014</v>
      </c>
      <c r="AC164" s="1">
        <v>1</v>
      </c>
      <c r="AE164" s="33">
        <f>U104-1</f>
        <v>2021</v>
      </c>
      <c r="AF164" s="38" t="s">
        <v>479</v>
      </c>
      <c r="AG164" s="38" t="s">
        <v>479</v>
      </c>
      <c r="AH164" s="38" t="s">
        <v>479</v>
      </c>
      <c r="AI164" s="38" t="s">
        <v>480</v>
      </c>
      <c r="AJ164" s="38" t="s">
        <v>480</v>
      </c>
      <c r="AK164" s="38" t="s">
        <v>481</v>
      </c>
      <c r="AL164" s="38" t="s">
        <v>482</v>
      </c>
      <c r="AM164" s="38" t="s">
        <v>483</v>
      </c>
      <c r="AN164" s="38" t="s">
        <v>394</v>
      </c>
      <c r="AO164" s="38" t="s">
        <v>394</v>
      </c>
      <c r="AP164" s="38" t="s">
        <v>450</v>
      </c>
      <c r="AQ164" s="38" t="s">
        <v>394</v>
      </c>
      <c r="AR164" s="38" t="s">
        <v>484</v>
      </c>
      <c r="AS164" s="38" t="s">
        <v>450</v>
      </c>
      <c r="AT164" s="38" t="s">
        <v>485</v>
      </c>
      <c r="AU164" s="38" t="s">
        <v>452</v>
      </c>
    </row>
    <row r="165" spans="26:47" x14ac:dyDescent="0.15">
      <c r="Z165" s="14">
        <f t="shared" si="9"/>
        <v>190</v>
      </c>
      <c r="AA165" s="38" t="s">
        <v>419</v>
      </c>
      <c r="AB165" s="1">
        <v>2014</v>
      </c>
      <c r="AC165" s="1">
        <v>1</v>
      </c>
      <c r="AE165" s="33">
        <f>AE164-1</f>
        <v>2020</v>
      </c>
      <c r="AF165" s="38" t="s">
        <v>479</v>
      </c>
      <c r="AG165" s="38" t="s">
        <v>479</v>
      </c>
      <c r="AH165" s="38" t="s">
        <v>479</v>
      </c>
      <c r="AI165" s="38" t="s">
        <v>480</v>
      </c>
      <c r="AJ165" s="38" t="s">
        <v>480</v>
      </c>
      <c r="AK165" s="38" t="s">
        <v>481</v>
      </c>
      <c r="AL165" s="38" t="s">
        <v>482</v>
      </c>
      <c r="AM165" s="38" t="s">
        <v>483</v>
      </c>
      <c r="AN165" s="38" t="s">
        <v>394</v>
      </c>
      <c r="AO165" s="38" t="s">
        <v>394</v>
      </c>
      <c r="AP165" s="38" t="s">
        <v>450</v>
      </c>
      <c r="AQ165" s="38" t="s">
        <v>394</v>
      </c>
      <c r="AR165" s="38" t="s">
        <v>484</v>
      </c>
      <c r="AS165" s="38" t="s">
        <v>450</v>
      </c>
      <c r="AT165" s="38" t="s">
        <v>485</v>
      </c>
      <c r="AU165" s="38" t="s">
        <v>452</v>
      </c>
    </row>
    <row r="166" spans="26:47" x14ac:dyDescent="0.15">
      <c r="Z166" s="14">
        <f t="shared" si="9"/>
        <v>185</v>
      </c>
      <c r="AA166" s="38" t="s">
        <v>419</v>
      </c>
      <c r="AB166" s="1">
        <v>2014</v>
      </c>
      <c r="AC166" s="1">
        <v>1</v>
      </c>
      <c r="AE166" s="33">
        <f t="shared" ref="AE166:AE168" si="12">AE165-1</f>
        <v>2019</v>
      </c>
      <c r="AF166" s="38" t="s">
        <v>479</v>
      </c>
      <c r="AG166" s="38" t="s">
        <v>479</v>
      </c>
      <c r="AH166" s="38" t="s">
        <v>479</v>
      </c>
      <c r="AI166" s="38" t="s">
        <v>480</v>
      </c>
      <c r="AJ166" s="38" t="s">
        <v>480</v>
      </c>
      <c r="AK166" s="38" t="s">
        <v>481</v>
      </c>
      <c r="AL166" s="38" t="s">
        <v>482</v>
      </c>
      <c r="AM166" s="38" t="s">
        <v>483</v>
      </c>
      <c r="AN166" s="38" t="s">
        <v>394</v>
      </c>
      <c r="AO166" s="38" t="s">
        <v>394</v>
      </c>
      <c r="AP166" s="38" t="s">
        <v>450</v>
      </c>
      <c r="AQ166" s="38" t="s">
        <v>394</v>
      </c>
      <c r="AR166" s="38" t="s">
        <v>484</v>
      </c>
      <c r="AS166" s="38" t="s">
        <v>450</v>
      </c>
      <c r="AT166" s="38" t="s">
        <v>485</v>
      </c>
      <c r="AU166" s="38" t="s">
        <v>452</v>
      </c>
    </row>
    <row r="167" spans="26:47" x14ac:dyDescent="0.15">
      <c r="Z167" s="14">
        <f t="shared" si="9"/>
        <v>180</v>
      </c>
      <c r="AA167" s="38" t="s">
        <v>419</v>
      </c>
      <c r="AB167" s="1">
        <v>2014</v>
      </c>
      <c r="AC167" s="1">
        <v>1</v>
      </c>
      <c r="AE167" s="33">
        <f t="shared" si="12"/>
        <v>2018</v>
      </c>
      <c r="AF167" s="38" t="s">
        <v>479</v>
      </c>
      <c r="AG167" s="38" t="s">
        <v>479</v>
      </c>
      <c r="AH167" s="38" t="s">
        <v>479</v>
      </c>
      <c r="AI167" s="38" t="s">
        <v>480</v>
      </c>
      <c r="AJ167" s="38" t="s">
        <v>480</v>
      </c>
      <c r="AK167" s="38" t="s">
        <v>481</v>
      </c>
      <c r="AL167" s="38" t="s">
        <v>482</v>
      </c>
      <c r="AM167" s="38" t="s">
        <v>483</v>
      </c>
      <c r="AN167" s="38" t="s">
        <v>394</v>
      </c>
      <c r="AO167" s="38" t="s">
        <v>394</v>
      </c>
      <c r="AP167" s="38" t="s">
        <v>450</v>
      </c>
      <c r="AQ167" s="38" t="s">
        <v>394</v>
      </c>
      <c r="AR167" s="38" t="s">
        <v>484</v>
      </c>
      <c r="AS167" s="38" t="s">
        <v>450</v>
      </c>
      <c r="AT167" s="38" t="s">
        <v>485</v>
      </c>
      <c r="AU167" s="38" t="s">
        <v>452</v>
      </c>
    </row>
    <row r="168" spans="26:47" x14ac:dyDescent="0.15">
      <c r="Z168" s="14">
        <f t="shared" si="9"/>
        <v>175</v>
      </c>
      <c r="AA168" s="38" t="s">
        <v>419</v>
      </c>
      <c r="AB168" s="1">
        <v>2014</v>
      </c>
      <c r="AC168" s="1">
        <v>1</v>
      </c>
      <c r="AE168" s="33">
        <f t="shared" si="12"/>
        <v>2017</v>
      </c>
      <c r="AF168" s="38" t="s">
        <v>479</v>
      </c>
      <c r="AG168" s="38" t="s">
        <v>479</v>
      </c>
      <c r="AH168" s="38" t="s">
        <v>479</v>
      </c>
      <c r="AI168" s="38" t="s">
        <v>480</v>
      </c>
      <c r="AJ168" s="38" t="s">
        <v>480</v>
      </c>
      <c r="AK168" s="38" t="s">
        <v>481</v>
      </c>
      <c r="AL168" s="38" t="s">
        <v>482</v>
      </c>
      <c r="AM168" s="38" t="s">
        <v>483</v>
      </c>
      <c r="AN168" s="38" t="s">
        <v>394</v>
      </c>
      <c r="AO168" s="38" t="s">
        <v>394</v>
      </c>
      <c r="AP168" s="38" t="s">
        <v>450</v>
      </c>
      <c r="AQ168" s="38" t="s">
        <v>394</v>
      </c>
      <c r="AR168" s="38" t="s">
        <v>484</v>
      </c>
      <c r="AS168" s="38" t="s">
        <v>450</v>
      </c>
      <c r="AT168" s="38" t="s">
        <v>485</v>
      </c>
      <c r="AU168" s="38" t="s">
        <v>452</v>
      </c>
    </row>
    <row r="169" spans="26:47" x14ac:dyDescent="0.15">
      <c r="Z169" s="14">
        <f t="shared" si="9"/>
        <v>170</v>
      </c>
      <c r="AA169" s="38" t="s">
        <v>419</v>
      </c>
      <c r="AB169" s="1">
        <v>2013</v>
      </c>
      <c r="AC169" s="1">
        <v>1</v>
      </c>
    </row>
    <row r="170" spans="26:47" x14ac:dyDescent="0.15">
      <c r="Z170" s="14">
        <f t="shared" si="9"/>
        <v>165</v>
      </c>
      <c r="AA170" s="38" t="s">
        <v>419</v>
      </c>
      <c r="AB170" s="1">
        <v>2013</v>
      </c>
      <c r="AC170" s="1">
        <v>1</v>
      </c>
      <c r="AE170" s="45" t="s">
        <v>486</v>
      </c>
      <c r="AF170" s="46" t="s">
        <v>373</v>
      </c>
      <c r="AG170" s="46" t="s">
        <v>374</v>
      </c>
      <c r="AH170" s="46" t="s">
        <v>375</v>
      </c>
      <c r="AI170" s="46" t="s">
        <v>376</v>
      </c>
      <c r="AJ170" s="46" t="s">
        <v>377</v>
      </c>
      <c r="AK170" s="46" t="s">
        <v>378</v>
      </c>
      <c r="AL170" s="46" t="s">
        <v>379</v>
      </c>
      <c r="AM170" s="46" t="s">
        <v>380</v>
      </c>
      <c r="AN170" s="46" t="s">
        <v>381</v>
      </c>
      <c r="AO170" s="46" t="s">
        <v>382</v>
      </c>
      <c r="AP170" s="46" t="s">
        <v>383</v>
      </c>
      <c r="AQ170" s="46" t="s">
        <v>384</v>
      </c>
      <c r="AR170" s="46" t="s">
        <v>385</v>
      </c>
      <c r="AS170" s="46" t="s">
        <v>386</v>
      </c>
      <c r="AT170" s="46" t="s">
        <v>387</v>
      </c>
      <c r="AU170" s="46" t="s">
        <v>388</v>
      </c>
    </row>
    <row r="171" spans="26:47" x14ac:dyDescent="0.15">
      <c r="Z171" s="14">
        <f t="shared" si="9"/>
        <v>160</v>
      </c>
      <c r="AA171" s="38" t="s">
        <v>419</v>
      </c>
      <c r="AB171" s="1">
        <v>2013</v>
      </c>
      <c r="AC171" s="1">
        <v>1</v>
      </c>
      <c r="AE171" s="33">
        <f>AE164</f>
        <v>2021</v>
      </c>
      <c r="AF171" s="38" t="s">
        <v>487</v>
      </c>
      <c r="AG171" s="38" t="s">
        <v>487</v>
      </c>
      <c r="AH171" s="38" t="s">
        <v>487</v>
      </c>
      <c r="AI171" s="38" t="s">
        <v>488</v>
      </c>
      <c r="AJ171" s="38" t="s">
        <v>488</v>
      </c>
      <c r="AK171" s="38" t="s">
        <v>489</v>
      </c>
      <c r="AL171" s="38" t="s">
        <v>490</v>
      </c>
      <c r="AM171" s="38" t="s">
        <v>488</v>
      </c>
      <c r="AN171" s="38" t="s">
        <v>489</v>
      </c>
      <c r="AO171" s="38" t="s">
        <v>489</v>
      </c>
      <c r="AP171" s="38" t="s">
        <v>489</v>
      </c>
      <c r="AQ171" s="38" t="s">
        <v>489</v>
      </c>
      <c r="AR171" s="38" t="s">
        <v>491</v>
      </c>
      <c r="AS171" s="38" t="s">
        <v>489</v>
      </c>
      <c r="AT171" s="38" t="s">
        <v>492</v>
      </c>
      <c r="AU171" s="38" t="s">
        <v>492</v>
      </c>
    </row>
    <row r="172" spans="26:47" x14ac:dyDescent="0.15">
      <c r="Z172" s="14">
        <f t="shared" si="9"/>
        <v>155</v>
      </c>
      <c r="AA172" s="38" t="s">
        <v>419</v>
      </c>
      <c r="AB172" s="1">
        <v>2013</v>
      </c>
      <c r="AC172" s="1">
        <v>1</v>
      </c>
      <c r="AE172" s="33">
        <f t="shared" ref="AE172:AE175" si="13">AE165</f>
        <v>2020</v>
      </c>
      <c r="AF172" s="38" t="s">
        <v>493</v>
      </c>
      <c r="AG172" s="38" t="s">
        <v>493</v>
      </c>
      <c r="AH172" s="38" t="s">
        <v>493</v>
      </c>
      <c r="AI172" s="38" t="s">
        <v>494</v>
      </c>
      <c r="AJ172" s="38" t="s">
        <v>494</v>
      </c>
      <c r="AK172" s="38" t="s">
        <v>495</v>
      </c>
      <c r="AL172" s="38" t="s">
        <v>488</v>
      </c>
      <c r="AM172" s="38" t="s">
        <v>496</v>
      </c>
      <c r="AN172" s="38" t="s">
        <v>495</v>
      </c>
      <c r="AO172" s="38" t="s">
        <v>495</v>
      </c>
      <c r="AP172" s="38" t="s">
        <v>497</v>
      </c>
      <c r="AQ172" s="38" t="s">
        <v>495</v>
      </c>
      <c r="AR172" s="38" t="s">
        <v>498</v>
      </c>
      <c r="AS172" s="38" t="s">
        <v>497</v>
      </c>
      <c r="AT172" s="38" t="s">
        <v>499</v>
      </c>
      <c r="AU172" s="38" t="s">
        <v>499</v>
      </c>
    </row>
    <row r="173" spans="26:47" x14ac:dyDescent="0.15">
      <c r="Z173" s="14">
        <f t="shared" ref="Z173:Z186" si="14">Z172-5</f>
        <v>150</v>
      </c>
      <c r="AA173" s="38" t="s">
        <v>419</v>
      </c>
      <c r="AB173" s="1">
        <v>2012</v>
      </c>
      <c r="AC173" s="1">
        <v>1</v>
      </c>
      <c r="AE173" s="33">
        <f t="shared" si="13"/>
        <v>2019</v>
      </c>
      <c r="AF173" s="38" t="s">
        <v>500</v>
      </c>
      <c r="AG173" s="38" t="s">
        <v>500</v>
      </c>
      <c r="AH173" s="38" t="s">
        <v>500</v>
      </c>
      <c r="AI173" s="38" t="s">
        <v>496</v>
      </c>
      <c r="AJ173" s="38" t="s">
        <v>496</v>
      </c>
      <c r="AK173" s="38" t="s">
        <v>501</v>
      </c>
      <c r="AL173" s="38" t="s">
        <v>494</v>
      </c>
      <c r="AM173" s="38" t="s">
        <v>502</v>
      </c>
      <c r="AN173" s="38" t="s">
        <v>503</v>
      </c>
      <c r="AO173" s="38" t="s">
        <v>503</v>
      </c>
      <c r="AP173" s="38" t="s">
        <v>495</v>
      </c>
      <c r="AQ173" s="38" t="s">
        <v>503</v>
      </c>
      <c r="AR173" s="38" t="s">
        <v>504</v>
      </c>
      <c r="AS173" s="38" t="s">
        <v>495</v>
      </c>
      <c r="AT173" s="38" t="s">
        <v>489</v>
      </c>
      <c r="AU173" s="38" t="s">
        <v>489</v>
      </c>
    </row>
    <row r="174" spans="26:47" x14ac:dyDescent="0.15">
      <c r="Z174" s="14">
        <f t="shared" si="14"/>
        <v>145</v>
      </c>
      <c r="AA174" s="38" t="s">
        <v>419</v>
      </c>
      <c r="AB174" s="1">
        <v>2012</v>
      </c>
      <c r="AC174" s="1">
        <v>1</v>
      </c>
      <c r="AE174" s="33">
        <f t="shared" si="13"/>
        <v>2018</v>
      </c>
      <c r="AF174" s="38" t="s">
        <v>505</v>
      </c>
      <c r="AG174" s="38" t="s">
        <v>505</v>
      </c>
      <c r="AH174" s="38" t="s">
        <v>505</v>
      </c>
      <c r="AI174" s="38" t="s">
        <v>506</v>
      </c>
      <c r="AJ174" s="38" t="s">
        <v>506</v>
      </c>
      <c r="AK174" s="38" t="s">
        <v>491</v>
      </c>
      <c r="AL174" s="38" t="s">
        <v>507</v>
      </c>
      <c r="AM174" s="38" t="s">
        <v>508</v>
      </c>
      <c r="AN174" s="38" t="s">
        <v>501</v>
      </c>
      <c r="AO174" s="38" t="s">
        <v>501</v>
      </c>
      <c r="AP174" s="38" t="s">
        <v>503</v>
      </c>
      <c r="AQ174" s="38" t="s">
        <v>501</v>
      </c>
      <c r="AR174" s="38" t="s">
        <v>509</v>
      </c>
      <c r="AS174" s="38" t="s">
        <v>503</v>
      </c>
      <c r="AT174" s="38" t="s">
        <v>497</v>
      </c>
      <c r="AU174" s="38" t="s">
        <v>497</v>
      </c>
    </row>
    <row r="175" spans="26:47" x14ac:dyDescent="0.15">
      <c r="Z175" s="14">
        <f t="shared" si="14"/>
        <v>140</v>
      </c>
      <c r="AA175" s="38" t="s">
        <v>419</v>
      </c>
      <c r="AB175" s="1">
        <v>2012</v>
      </c>
      <c r="AC175" s="1">
        <v>1</v>
      </c>
      <c r="AE175" s="33">
        <f t="shared" si="13"/>
        <v>2017</v>
      </c>
      <c r="AF175" s="38" t="s">
        <v>510</v>
      </c>
      <c r="AG175" s="38" t="s">
        <v>510</v>
      </c>
      <c r="AH175" s="38" t="s">
        <v>510</v>
      </c>
      <c r="AI175" s="38" t="s">
        <v>508</v>
      </c>
      <c r="AJ175" s="38" t="s">
        <v>508</v>
      </c>
      <c r="AK175" s="38" t="s">
        <v>504</v>
      </c>
      <c r="AL175" s="38" t="s">
        <v>511</v>
      </c>
      <c r="AM175" s="38" t="s">
        <v>499</v>
      </c>
      <c r="AN175" s="38" t="s">
        <v>512</v>
      </c>
      <c r="AO175" s="38" t="s">
        <v>512</v>
      </c>
      <c r="AP175" s="38" t="s">
        <v>512</v>
      </c>
      <c r="AQ175" s="38" t="s">
        <v>512</v>
      </c>
      <c r="AR175" s="38" t="s">
        <v>513</v>
      </c>
      <c r="AS175" s="38" t="s">
        <v>512</v>
      </c>
      <c r="AT175" s="38" t="s">
        <v>495</v>
      </c>
      <c r="AU175" s="38" t="s">
        <v>495</v>
      </c>
    </row>
    <row r="176" spans="26:47" x14ac:dyDescent="0.15">
      <c r="Z176" s="14">
        <f t="shared" si="14"/>
        <v>135</v>
      </c>
      <c r="AA176" s="38" t="s">
        <v>419</v>
      </c>
      <c r="AB176" s="1">
        <v>2012</v>
      </c>
      <c r="AC176" s="1">
        <v>1</v>
      </c>
    </row>
    <row r="177" spans="26:47" x14ac:dyDescent="0.15">
      <c r="Z177" s="14">
        <f t="shared" si="14"/>
        <v>130</v>
      </c>
      <c r="AA177" s="38" t="s">
        <v>419</v>
      </c>
      <c r="AB177" s="1">
        <v>2011</v>
      </c>
      <c r="AC177" s="1">
        <v>1</v>
      </c>
      <c r="AE177" s="45" t="s">
        <v>514</v>
      </c>
      <c r="AF177" s="46" t="s">
        <v>373</v>
      </c>
      <c r="AG177" s="46" t="s">
        <v>518</v>
      </c>
      <c r="AH177" s="46" t="s">
        <v>375</v>
      </c>
      <c r="AI177" s="46" t="s">
        <v>376</v>
      </c>
      <c r="AJ177" s="46" t="s">
        <v>377</v>
      </c>
      <c r="AK177" s="46" t="s">
        <v>378</v>
      </c>
      <c r="AL177" s="46" t="s">
        <v>379</v>
      </c>
      <c r="AM177" s="46" t="s">
        <v>380</v>
      </c>
      <c r="AN177" s="46" t="s">
        <v>381</v>
      </c>
      <c r="AO177" s="46" t="s">
        <v>382</v>
      </c>
      <c r="AP177" s="46" t="s">
        <v>383</v>
      </c>
      <c r="AQ177" s="46" t="s">
        <v>384</v>
      </c>
      <c r="AR177" s="46" t="s">
        <v>385</v>
      </c>
      <c r="AS177" s="46" t="s">
        <v>386</v>
      </c>
      <c r="AT177" s="46" t="s">
        <v>387</v>
      </c>
      <c r="AU177" s="46" t="s">
        <v>388</v>
      </c>
    </row>
    <row r="178" spans="26:47" x14ac:dyDescent="0.15">
      <c r="Z178" s="14">
        <f t="shared" si="14"/>
        <v>125</v>
      </c>
      <c r="AA178" s="38" t="s">
        <v>419</v>
      </c>
      <c r="AB178" s="1">
        <v>2011</v>
      </c>
      <c r="AC178" s="1">
        <v>1</v>
      </c>
      <c r="AE178" s="33">
        <f>AE171</f>
        <v>2021</v>
      </c>
      <c r="AF178" s="38">
        <v>150</v>
      </c>
      <c r="AG178" s="38">
        <v>150</v>
      </c>
      <c r="AH178" s="38">
        <v>150</v>
      </c>
      <c r="AI178" s="38">
        <v>220</v>
      </c>
      <c r="AJ178" s="38">
        <v>220</v>
      </c>
      <c r="AK178" s="38">
        <v>140</v>
      </c>
      <c r="AL178" s="38">
        <v>240</v>
      </c>
      <c r="AM178" s="38">
        <v>220</v>
      </c>
      <c r="AN178" s="38">
        <v>140</v>
      </c>
      <c r="AO178" s="38">
        <v>140</v>
      </c>
      <c r="AP178" s="38">
        <v>140</v>
      </c>
      <c r="AQ178" s="38">
        <v>140</v>
      </c>
      <c r="AR178" s="38">
        <v>110</v>
      </c>
      <c r="AS178" s="38">
        <v>140</v>
      </c>
      <c r="AT178" s="38">
        <v>160</v>
      </c>
      <c r="AU178" s="38">
        <v>140</v>
      </c>
    </row>
    <row r="179" spans="26:47" x14ac:dyDescent="0.15">
      <c r="Z179" s="14">
        <f t="shared" si="14"/>
        <v>120</v>
      </c>
      <c r="AA179" s="38" t="s">
        <v>419</v>
      </c>
      <c r="AB179" s="1">
        <v>2011</v>
      </c>
      <c r="AC179" s="1">
        <v>1</v>
      </c>
      <c r="AE179" s="33">
        <f t="shared" ref="AE179:AE182" si="15">AE172</f>
        <v>2020</v>
      </c>
      <c r="AF179" s="38">
        <v>150</v>
      </c>
      <c r="AG179" s="38">
        <v>150</v>
      </c>
      <c r="AH179" s="38">
        <v>150</v>
      </c>
      <c r="AI179" s="38">
        <v>210</v>
      </c>
      <c r="AJ179" s="38">
        <v>210</v>
      </c>
      <c r="AK179" s="38">
        <v>125</v>
      </c>
      <c r="AL179" s="38">
        <v>220</v>
      </c>
      <c r="AM179" s="38">
        <v>210</v>
      </c>
      <c r="AN179" s="38">
        <v>140</v>
      </c>
      <c r="AO179" s="38">
        <v>140</v>
      </c>
      <c r="AP179" s="38">
        <v>130</v>
      </c>
      <c r="AQ179" s="38">
        <v>140</v>
      </c>
      <c r="AR179" s="38">
        <v>100</v>
      </c>
      <c r="AS179" s="38">
        <v>130</v>
      </c>
      <c r="AT179" s="38">
        <v>150</v>
      </c>
      <c r="AU179" s="38">
        <v>140</v>
      </c>
    </row>
    <row r="180" spans="26:47" x14ac:dyDescent="0.15">
      <c r="Z180" s="14">
        <f t="shared" si="14"/>
        <v>115</v>
      </c>
      <c r="AA180" s="38" t="s">
        <v>419</v>
      </c>
      <c r="AB180" s="1">
        <v>2010</v>
      </c>
      <c r="AC180" s="1">
        <v>12</v>
      </c>
      <c r="AE180" s="33">
        <f t="shared" si="15"/>
        <v>2019</v>
      </c>
      <c r="AF180" s="38">
        <v>125</v>
      </c>
      <c r="AG180" s="38">
        <v>125</v>
      </c>
      <c r="AH180" s="38">
        <v>125</v>
      </c>
      <c r="AI180" s="38">
        <v>190</v>
      </c>
      <c r="AJ180" s="38">
        <v>190</v>
      </c>
      <c r="AK180" s="38">
        <v>115</v>
      </c>
      <c r="AL180" s="38">
        <v>200</v>
      </c>
      <c r="AM180" s="38">
        <v>190</v>
      </c>
      <c r="AN180" s="38">
        <v>130</v>
      </c>
      <c r="AO180" s="38">
        <v>130</v>
      </c>
      <c r="AP180" s="38">
        <v>120</v>
      </c>
      <c r="AQ180" s="38">
        <v>130</v>
      </c>
      <c r="AR180" s="38">
        <v>90</v>
      </c>
      <c r="AS180" s="38">
        <v>120</v>
      </c>
      <c r="AT180" s="38">
        <v>140</v>
      </c>
      <c r="AU180" s="38">
        <v>130</v>
      </c>
    </row>
    <row r="181" spans="26:47" x14ac:dyDescent="0.15">
      <c r="Z181" s="14">
        <f t="shared" si="14"/>
        <v>110</v>
      </c>
      <c r="AA181" s="38" t="s">
        <v>419</v>
      </c>
      <c r="AB181" s="1">
        <v>2010</v>
      </c>
      <c r="AC181" s="1">
        <v>12</v>
      </c>
      <c r="AE181" s="33">
        <f t="shared" si="15"/>
        <v>2018</v>
      </c>
      <c r="AF181" s="38">
        <v>115</v>
      </c>
      <c r="AG181" s="38">
        <v>115</v>
      </c>
      <c r="AH181" s="38">
        <v>115</v>
      </c>
      <c r="AI181" s="38">
        <v>160</v>
      </c>
      <c r="AJ181" s="38">
        <v>160</v>
      </c>
      <c r="AK181" s="38">
        <v>110</v>
      </c>
      <c r="AL181" s="38">
        <v>200</v>
      </c>
      <c r="AM181" s="38">
        <v>160</v>
      </c>
      <c r="AN181" s="38">
        <v>125</v>
      </c>
      <c r="AO181" s="38">
        <v>125</v>
      </c>
      <c r="AP181" s="38">
        <v>120</v>
      </c>
      <c r="AQ181" s="38">
        <v>125</v>
      </c>
      <c r="AR181" s="38">
        <v>85</v>
      </c>
      <c r="AS181" s="38">
        <v>120</v>
      </c>
      <c r="AT181" s="38">
        <v>130</v>
      </c>
      <c r="AU181" s="38">
        <v>125</v>
      </c>
    </row>
    <row r="182" spans="26:47" x14ac:dyDescent="0.15">
      <c r="Z182" s="14">
        <f t="shared" si="14"/>
        <v>105</v>
      </c>
      <c r="AA182" s="38" t="s">
        <v>419</v>
      </c>
      <c r="AB182" s="1">
        <v>2010</v>
      </c>
      <c r="AC182" s="1">
        <v>12</v>
      </c>
      <c r="AE182" s="33">
        <f t="shared" si="15"/>
        <v>2017</v>
      </c>
      <c r="AF182" s="38">
        <v>100</v>
      </c>
      <c r="AG182" s="38">
        <v>100</v>
      </c>
      <c r="AH182" s="38">
        <v>100</v>
      </c>
      <c r="AI182" s="38">
        <v>150</v>
      </c>
      <c r="AJ182" s="38">
        <v>150</v>
      </c>
      <c r="AK182" s="38">
        <v>95</v>
      </c>
      <c r="AL182" s="38">
        <v>180</v>
      </c>
      <c r="AM182" s="38">
        <v>150</v>
      </c>
      <c r="AN182" s="38">
        <v>115</v>
      </c>
      <c r="AO182" s="38">
        <v>115</v>
      </c>
      <c r="AP182" s="38">
        <v>110</v>
      </c>
      <c r="AQ182" s="38">
        <v>115</v>
      </c>
      <c r="AR182" s="38">
        <v>80</v>
      </c>
      <c r="AS182" s="38">
        <v>110</v>
      </c>
      <c r="AT182" s="38">
        <v>130</v>
      </c>
      <c r="AU182" s="38">
        <v>115</v>
      </c>
    </row>
    <row r="183" spans="26:47" x14ac:dyDescent="0.15">
      <c r="Z183" s="14">
        <v>105</v>
      </c>
      <c r="AA183" s="38" t="s">
        <v>393</v>
      </c>
      <c r="AB183" s="1">
        <v>2017</v>
      </c>
      <c r="AC183" s="1">
        <v>12</v>
      </c>
    </row>
    <row r="184" spans="26:47" x14ac:dyDescent="0.15">
      <c r="Z184" s="14">
        <f t="shared" si="14"/>
        <v>100</v>
      </c>
      <c r="AA184" s="38" t="s">
        <v>393</v>
      </c>
      <c r="AB184" s="1">
        <v>2017</v>
      </c>
      <c r="AC184" s="1">
        <v>12</v>
      </c>
      <c r="AE184" s="33" t="s">
        <v>389</v>
      </c>
      <c r="AF184" s="37">
        <v>7</v>
      </c>
      <c r="AG184" s="37">
        <v>7</v>
      </c>
      <c r="AH184" s="37">
        <v>7</v>
      </c>
      <c r="AI184" s="37">
        <v>5</v>
      </c>
      <c r="AJ184" s="37">
        <v>5</v>
      </c>
      <c r="AK184" s="37">
        <v>7</v>
      </c>
      <c r="AL184" s="37">
        <v>7</v>
      </c>
      <c r="AM184" s="37">
        <v>5</v>
      </c>
      <c r="AN184" s="37">
        <v>3</v>
      </c>
      <c r="AO184" s="37">
        <v>3</v>
      </c>
      <c r="AP184" s="37">
        <v>3</v>
      </c>
      <c r="AQ184" s="37">
        <v>3</v>
      </c>
      <c r="AR184" s="37">
        <v>2</v>
      </c>
      <c r="AS184" s="37">
        <v>3</v>
      </c>
      <c r="AT184" s="37">
        <v>3</v>
      </c>
      <c r="AU184" s="37">
        <v>3</v>
      </c>
    </row>
    <row r="185" spans="26:47" x14ac:dyDescent="0.15">
      <c r="Z185" s="14">
        <f t="shared" si="14"/>
        <v>95</v>
      </c>
      <c r="AA185" s="38" t="s">
        <v>393</v>
      </c>
      <c r="AB185" s="1">
        <v>2017</v>
      </c>
      <c r="AC185" s="1">
        <v>12</v>
      </c>
      <c r="AE185" s="33" t="s">
        <v>390</v>
      </c>
      <c r="AF185" s="37">
        <v>6</v>
      </c>
      <c r="AG185" s="37">
        <v>6</v>
      </c>
      <c r="AH185" s="37">
        <v>6</v>
      </c>
      <c r="AI185" s="37">
        <v>6</v>
      </c>
      <c r="AJ185" s="37">
        <v>6</v>
      </c>
      <c r="AK185" s="37">
        <v>7</v>
      </c>
      <c r="AL185" s="37">
        <v>6</v>
      </c>
      <c r="AM185" s="37">
        <v>6</v>
      </c>
      <c r="AN185" s="37">
        <v>3</v>
      </c>
      <c r="AO185" s="37">
        <v>3</v>
      </c>
      <c r="AP185" s="37">
        <v>1</v>
      </c>
      <c r="AQ185" s="37">
        <v>3</v>
      </c>
      <c r="AR185" s="37">
        <v>1</v>
      </c>
      <c r="AS185" s="37">
        <v>1</v>
      </c>
      <c r="AT185" s="37">
        <v>1</v>
      </c>
      <c r="AU185" s="37">
        <v>3</v>
      </c>
    </row>
    <row r="186" spans="26:47" x14ac:dyDescent="0.15">
      <c r="Z186" s="14">
        <f t="shared" si="14"/>
        <v>90</v>
      </c>
      <c r="AA186" s="38" t="s">
        <v>423</v>
      </c>
      <c r="AB186" s="1">
        <v>2017</v>
      </c>
      <c r="AC186" s="1">
        <v>12</v>
      </c>
      <c r="AE186" s="33" t="s">
        <v>391</v>
      </c>
      <c r="AF186" s="37">
        <v>6</v>
      </c>
      <c r="AG186" s="37">
        <v>6</v>
      </c>
      <c r="AH186" s="37">
        <v>6</v>
      </c>
      <c r="AI186" s="37">
        <v>6</v>
      </c>
      <c r="AJ186" s="37">
        <v>6</v>
      </c>
      <c r="AK186" s="37">
        <v>6</v>
      </c>
      <c r="AL186" s="37">
        <v>9</v>
      </c>
      <c r="AM186" s="37">
        <v>6</v>
      </c>
      <c r="AN186" s="37">
        <v>2</v>
      </c>
      <c r="AO186" s="37">
        <v>2</v>
      </c>
      <c r="AP186" s="37">
        <v>2</v>
      </c>
      <c r="AQ186" s="37">
        <v>2</v>
      </c>
      <c r="AR186" s="37">
        <v>2</v>
      </c>
      <c r="AS186" s="37">
        <v>2</v>
      </c>
      <c r="AT186" s="37">
        <v>3</v>
      </c>
      <c r="AU186" s="37">
        <v>2</v>
      </c>
    </row>
    <row r="187" spans="26:47" x14ac:dyDescent="0.15">
      <c r="Z187" s="14">
        <f t="shared" ref="Z187:Z199" si="16">Z186-5</f>
        <v>85</v>
      </c>
      <c r="AA187" s="38" t="s">
        <v>423</v>
      </c>
      <c r="AB187" s="1">
        <v>2017</v>
      </c>
      <c r="AC187" s="1">
        <v>12</v>
      </c>
      <c r="AE187" s="33" t="s">
        <v>392</v>
      </c>
      <c r="AF187" s="37">
        <v>5</v>
      </c>
      <c r="AG187" s="37">
        <v>5</v>
      </c>
      <c r="AH187" s="37">
        <v>5</v>
      </c>
      <c r="AI187" s="37">
        <v>6</v>
      </c>
      <c r="AJ187" s="37">
        <v>6</v>
      </c>
      <c r="AK187" s="37">
        <v>5</v>
      </c>
      <c r="AL187" s="37">
        <v>7</v>
      </c>
      <c r="AM187" s="37">
        <v>9</v>
      </c>
      <c r="AN187" s="37">
        <v>1</v>
      </c>
      <c r="AO187" s="37">
        <v>1</v>
      </c>
      <c r="AP187" s="37">
        <v>2</v>
      </c>
      <c r="AQ187" s="37">
        <v>1</v>
      </c>
      <c r="AR187" s="37">
        <v>2</v>
      </c>
      <c r="AS187" s="37">
        <v>2</v>
      </c>
      <c r="AT187" s="37">
        <v>3</v>
      </c>
      <c r="AU187" s="37">
        <v>3</v>
      </c>
    </row>
    <row r="188" spans="26:47" x14ac:dyDescent="0.15">
      <c r="Z188" s="14">
        <f t="shared" si="16"/>
        <v>80</v>
      </c>
      <c r="AA188" s="38" t="s">
        <v>423</v>
      </c>
      <c r="AB188" s="1">
        <v>2017</v>
      </c>
      <c r="AC188" s="1">
        <v>12</v>
      </c>
      <c r="AF188" s="38" t="str">
        <f>AF164</f>
        <v>NRE161G</v>
      </c>
      <c r="AG188" s="38" t="str">
        <f t="shared" ref="AG188:AU188" si="17">AG164</f>
        <v>NRE161G</v>
      </c>
      <c r="AH188" s="38" t="str">
        <f t="shared" si="17"/>
        <v>NRE161G</v>
      </c>
      <c r="AI188" s="38" t="str">
        <f t="shared" si="17"/>
        <v>GB6</v>
      </c>
      <c r="AJ188" s="38" t="str">
        <f t="shared" si="17"/>
        <v>GB6</v>
      </c>
      <c r="AK188" s="38" t="str">
        <f t="shared" si="17"/>
        <v>M700A</v>
      </c>
      <c r="AL188" s="38" t="str">
        <f t="shared" si="17"/>
        <v>SGC27</v>
      </c>
      <c r="AM188" s="38" t="str">
        <f t="shared" si="17"/>
        <v>GP8</v>
      </c>
      <c r="AN188" s="38" t="str">
        <f t="shared" si="17"/>
        <v>S321G</v>
      </c>
      <c r="AO188" s="38" t="str">
        <f t="shared" si="17"/>
        <v>S321G</v>
      </c>
      <c r="AP188" s="38" t="str">
        <f t="shared" si="17"/>
        <v>LA700S</v>
      </c>
      <c r="AQ188" s="38" t="str">
        <f t="shared" si="17"/>
        <v>S321G</v>
      </c>
      <c r="AR188" s="38" t="str">
        <f t="shared" si="17"/>
        <v>LA360S</v>
      </c>
      <c r="AS188" s="38" t="str">
        <f t="shared" si="17"/>
        <v>LA700S</v>
      </c>
      <c r="AT188" s="38" t="str">
        <f t="shared" si="17"/>
        <v>DA17W</v>
      </c>
      <c r="AU188" s="38" t="str">
        <f t="shared" si="17"/>
        <v>DS17W</v>
      </c>
    </row>
    <row r="189" spans="26:47" x14ac:dyDescent="0.15">
      <c r="Z189" s="14">
        <f t="shared" si="16"/>
        <v>75</v>
      </c>
      <c r="AA189" s="38" t="s">
        <v>423</v>
      </c>
      <c r="AB189" s="2">
        <v>2016</v>
      </c>
      <c r="AC189" s="1">
        <v>12</v>
      </c>
    </row>
    <row r="190" spans="26:47" x14ac:dyDescent="0.15">
      <c r="Z190" s="14">
        <f t="shared" si="16"/>
        <v>70</v>
      </c>
      <c r="AA190" s="38" t="s">
        <v>423</v>
      </c>
      <c r="AB190" s="2">
        <v>2016</v>
      </c>
      <c r="AC190" s="1">
        <v>12</v>
      </c>
    </row>
    <row r="191" spans="26:47" x14ac:dyDescent="0.15">
      <c r="Z191" s="14">
        <f t="shared" si="16"/>
        <v>65</v>
      </c>
      <c r="AA191" s="38" t="s">
        <v>423</v>
      </c>
      <c r="AB191" s="2">
        <v>2016</v>
      </c>
      <c r="AC191" s="1">
        <v>12</v>
      </c>
      <c r="AE191" s="45" t="s">
        <v>515</v>
      </c>
      <c r="AF191" s="46" t="s">
        <v>373</v>
      </c>
      <c r="AG191" s="46" t="s">
        <v>374</v>
      </c>
      <c r="AH191" s="46" t="s">
        <v>375</v>
      </c>
      <c r="AI191" s="46" t="s">
        <v>376</v>
      </c>
      <c r="AJ191" s="46" t="s">
        <v>377</v>
      </c>
      <c r="AK191" s="46" t="s">
        <v>378</v>
      </c>
      <c r="AL191" s="46" t="s">
        <v>379</v>
      </c>
      <c r="AM191" s="46" t="s">
        <v>380</v>
      </c>
      <c r="AN191" s="46" t="s">
        <v>381</v>
      </c>
      <c r="AO191" s="46" t="s">
        <v>382</v>
      </c>
      <c r="AP191" s="46" t="s">
        <v>383</v>
      </c>
      <c r="AQ191" s="46" t="s">
        <v>384</v>
      </c>
      <c r="AR191" s="46" t="s">
        <v>385</v>
      </c>
      <c r="AS191" s="46" t="s">
        <v>386</v>
      </c>
      <c r="AT191" s="46" t="s">
        <v>387</v>
      </c>
      <c r="AU191" s="46" t="s">
        <v>388</v>
      </c>
    </row>
    <row r="192" spans="26:47" x14ac:dyDescent="0.15">
      <c r="Z192" s="14">
        <f t="shared" si="16"/>
        <v>60</v>
      </c>
      <c r="AA192" s="38" t="s">
        <v>423</v>
      </c>
      <c r="AB192" s="1">
        <v>2015</v>
      </c>
      <c r="AC192" s="1">
        <v>12</v>
      </c>
      <c r="AE192" s="33">
        <f>AE178</f>
        <v>2021</v>
      </c>
      <c r="AF192" s="38" t="s">
        <v>516</v>
      </c>
      <c r="AG192" s="38" t="s">
        <v>516</v>
      </c>
      <c r="AH192" s="38" t="s">
        <v>516</v>
      </c>
      <c r="AI192" s="38" t="s">
        <v>516</v>
      </c>
      <c r="AJ192" s="38" t="s">
        <v>516</v>
      </c>
      <c r="AK192" s="38" t="s">
        <v>516</v>
      </c>
      <c r="AL192" s="38" t="s">
        <v>516</v>
      </c>
      <c r="AM192" s="38" t="s">
        <v>516</v>
      </c>
      <c r="AN192" s="38" t="s">
        <v>407</v>
      </c>
      <c r="AO192" s="38" t="s">
        <v>407</v>
      </c>
      <c r="AP192" s="38" t="s">
        <v>407</v>
      </c>
      <c r="AQ192" s="38" t="s">
        <v>407</v>
      </c>
      <c r="AR192" s="38" t="s">
        <v>407</v>
      </c>
      <c r="AS192" s="38" t="s">
        <v>407</v>
      </c>
      <c r="AT192" s="38" t="s">
        <v>407</v>
      </c>
      <c r="AU192" s="38" t="s">
        <v>407</v>
      </c>
    </row>
    <row r="193" spans="26:47" x14ac:dyDescent="0.15">
      <c r="Z193" s="14">
        <f t="shared" si="16"/>
        <v>55</v>
      </c>
      <c r="AA193" s="38" t="s">
        <v>423</v>
      </c>
      <c r="AB193" s="1">
        <v>2015</v>
      </c>
      <c r="AC193" s="1">
        <v>12</v>
      </c>
      <c r="AE193" s="33">
        <f t="shared" ref="AE193:AE196" si="18">AE179</f>
        <v>2020</v>
      </c>
      <c r="AF193" s="38" t="s">
        <v>516</v>
      </c>
      <c r="AG193" s="38" t="s">
        <v>516</v>
      </c>
      <c r="AH193" s="38" t="s">
        <v>516</v>
      </c>
      <c r="AI193" s="38" t="s">
        <v>516</v>
      </c>
      <c r="AJ193" s="38" t="s">
        <v>516</v>
      </c>
      <c r="AK193" s="38" t="s">
        <v>516</v>
      </c>
      <c r="AL193" s="38" t="s">
        <v>516</v>
      </c>
      <c r="AM193" s="38" t="s">
        <v>516</v>
      </c>
      <c r="AN193" s="38" t="s">
        <v>407</v>
      </c>
      <c r="AO193" s="38" t="s">
        <v>407</v>
      </c>
      <c r="AP193" s="38" t="s">
        <v>407</v>
      </c>
      <c r="AQ193" s="38" t="s">
        <v>407</v>
      </c>
      <c r="AR193" s="38" t="s">
        <v>407</v>
      </c>
      <c r="AS193" s="38" t="s">
        <v>407</v>
      </c>
      <c r="AT193" s="38" t="s">
        <v>407</v>
      </c>
      <c r="AU193" s="38" t="s">
        <v>407</v>
      </c>
    </row>
    <row r="194" spans="26:47" x14ac:dyDescent="0.15">
      <c r="Z194" s="14">
        <f t="shared" si="16"/>
        <v>50</v>
      </c>
      <c r="AA194" s="38" t="s">
        <v>423</v>
      </c>
      <c r="AB194" s="1">
        <v>2015</v>
      </c>
      <c r="AC194" s="1">
        <v>12</v>
      </c>
      <c r="AE194" s="33">
        <f t="shared" si="18"/>
        <v>2019</v>
      </c>
      <c r="AF194" s="38" t="s">
        <v>516</v>
      </c>
      <c r="AG194" s="38" t="s">
        <v>516</v>
      </c>
      <c r="AH194" s="38" t="s">
        <v>516</v>
      </c>
      <c r="AI194" s="38" t="s">
        <v>516</v>
      </c>
      <c r="AJ194" s="38" t="s">
        <v>516</v>
      </c>
      <c r="AK194" s="38" t="s">
        <v>516</v>
      </c>
      <c r="AL194" s="38" t="s">
        <v>516</v>
      </c>
      <c r="AM194" s="38" t="s">
        <v>516</v>
      </c>
      <c r="AN194" s="38" t="s">
        <v>407</v>
      </c>
      <c r="AO194" s="38" t="s">
        <v>407</v>
      </c>
      <c r="AP194" s="38" t="s">
        <v>407</v>
      </c>
      <c r="AQ194" s="38" t="s">
        <v>407</v>
      </c>
      <c r="AR194" s="38" t="s">
        <v>407</v>
      </c>
      <c r="AS194" s="38" t="s">
        <v>407</v>
      </c>
      <c r="AT194" s="38" t="s">
        <v>407</v>
      </c>
      <c r="AU194" s="38" t="s">
        <v>407</v>
      </c>
    </row>
    <row r="195" spans="26:47" x14ac:dyDescent="0.15">
      <c r="Z195" s="14">
        <f t="shared" si="16"/>
        <v>45</v>
      </c>
      <c r="AA195" s="38" t="s">
        <v>423</v>
      </c>
      <c r="AB195" s="1">
        <v>2014</v>
      </c>
      <c r="AC195" s="1">
        <v>12</v>
      </c>
      <c r="AE195" s="33">
        <f t="shared" si="18"/>
        <v>2018</v>
      </c>
      <c r="AF195" s="38" t="s">
        <v>516</v>
      </c>
      <c r="AG195" s="38" t="s">
        <v>516</v>
      </c>
      <c r="AH195" s="38" t="s">
        <v>516</v>
      </c>
      <c r="AI195" s="38" t="s">
        <v>516</v>
      </c>
      <c r="AJ195" s="38" t="s">
        <v>516</v>
      </c>
      <c r="AK195" s="38" t="s">
        <v>516</v>
      </c>
      <c r="AL195" s="38" t="s">
        <v>516</v>
      </c>
      <c r="AM195" s="38" t="s">
        <v>516</v>
      </c>
      <c r="AN195" s="38" t="s">
        <v>407</v>
      </c>
      <c r="AO195" s="38" t="s">
        <v>407</v>
      </c>
      <c r="AP195" s="38" t="s">
        <v>407</v>
      </c>
      <c r="AQ195" s="38" t="s">
        <v>407</v>
      </c>
      <c r="AR195" s="38" t="s">
        <v>407</v>
      </c>
      <c r="AS195" s="38" t="s">
        <v>407</v>
      </c>
      <c r="AT195" s="38" t="s">
        <v>407</v>
      </c>
      <c r="AU195" s="38" t="s">
        <v>407</v>
      </c>
    </row>
    <row r="196" spans="26:47" x14ac:dyDescent="0.15">
      <c r="Z196" s="14">
        <f t="shared" si="16"/>
        <v>40</v>
      </c>
      <c r="AA196" s="38" t="s">
        <v>423</v>
      </c>
      <c r="AB196" s="1">
        <v>2013</v>
      </c>
      <c r="AC196" s="1">
        <v>12</v>
      </c>
      <c r="AE196" s="33">
        <f t="shared" si="18"/>
        <v>2017</v>
      </c>
      <c r="AF196" s="38" t="s">
        <v>516</v>
      </c>
      <c r="AG196" s="38" t="s">
        <v>516</v>
      </c>
      <c r="AH196" s="38" t="s">
        <v>516</v>
      </c>
      <c r="AI196" s="38" t="s">
        <v>516</v>
      </c>
      <c r="AJ196" s="38" t="s">
        <v>516</v>
      </c>
      <c r="AK196" s="38" t="s">
        <v>516</v>
      </c>
      <c r="AL196" s="38" t="s">
        <v>516</v>
      </c>
      <c r="AM196" s="38" t="s">
        <v>516</v>
      </c>
      <c r="AN196" s="38" t="s">
        <v>407</v>
      </c>
      <c r="AO196" s="38" t="s">
        <v>407</v>
      </c>
      <c r="AP196" s="38" t="s">
        <v>407</v>
      </c>
      <c r="AQ196" s="38" t="s">
        <v>407</v>
      </c>
      <c r="AR196" s="38" t="s">
        <v>407</v>
      </c>
      <c r="AS196" s="38" t="s">
        <v>407</v>
      </c>
      <c r="AT196" s="38" t="s">
        <v>407</v>
      </c>
      <c r="AU196" s="38" t="s">
        <v>407</v>
      </c>
    </row>
    <row r="197" spans="26:47" x14ac:dyDescent="0.15">
      <c r="Z197" s="14">
        <f t="shared" si="16"/>
        <v>35</v>
      </c>
      <c r="AA197" s="38" t="s">
        <v>423</v>
      </c>
      <c r="AB197" s="1">
        <v>2011</v>
      </c>
      <c r="AC197" s="1">
        <v>12</v>
      </c>
    </row>
    <row r="198" spans="26:47" x14ac:dyDescent="0.15">
      <c r="Z198" s="14">
        <f t="shared" si="16"/>
        <v>30</v>
      </c>
      <c r="AA198" s="38" t="s">
        <v>423</v>
      </c>
      <c r="AB198" s="1">
        <v>2011</v>
      </c>
      <c r="AC198" s="1">
        <v>12</v>
      </c>
    </row>
    <row r="199" spans="26:47" x14ac:dyDescent="0.15">
      <c r="Z199" s="14">
        <f t="shared" si="16"/>
        <v>25</v>
      </c>
      <c r="AA199" s="38" t="s">
        <v>423</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データクリア">
                <anchor moveWithCells="1" sizeWithCells="1">
                  <from>
                    <xdr:col>19</xdr:col>
                    <xdr:colOff>19050</xdr:colOff>
                    <xdr:row>8</xdr:row>
                    <xdr:rowOff>0</xdr:rowOff>
                  </from>
                  <to>
                    <xdr:col>22</xdr:col>
                    <xdr:colOff>19050</xdr:colOff>
                    <xdr:row>11</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6" name="Button 3">
              <controlPr defaultSize="0" print="0" autoFill="0" autoPict="0" macro="[0]!定期P打鍵フル設定">
                <anchor moveWithCells="1" sizeWithCells="1">
                  <from>
                    <xdr:col>19</xdr:col>
                    <xdr:colOff>38100</xdr:colOff>
                    <xdr:row>44</xdr:row>
                    <xdr:rowOff>9525</xdr:rowOff>
                  </from>
                  <to>
                    <xdr:col>22</xdr:col>
                    <xdr:colOff>0</xdr:colOff>
                    <xdr:row>47</xdr:row>
                    <xdr:rowOff>9525</xdr:rowOff>
                  </to>
                </anchor>
              </controlPr>
            </control>
          </mc:Choice>
        </mc:AlternateContent>
        <mc:AlternateContent xmlns:mc="http://schemas.openxmlformats.org/markup-compatibility/2006">
          <mc:Choice Requires="x14">
            <control shapeId="1028" r:id="rId7" name="Button 4">
              <controlPr defaultSize="0" print="0" autoFill="0" autoPict="0" macro="[0]!関数設定">
                <anchor moveWithCells="1" sizeWithCells="1">
                  <from>
                    <xdr:col>3</xdr:col>
                    <xdr:colOff>9525</xdr:colOff>
                    <xdr:row>27</xdr:row>
                    <xdr:rowOff>9525</xdr:rowOff>
                  </from>
                  <to>
                    <xdr:col>7</xdr:col>
                    <xdr:colOff>9525</xdr:colOff>
                    <xdr:row>30</xdr:row>
                    <xdr:rowOff>0</xdr:rowOff>
                  </to>
                </anchor>
              </controlPr>
            </control>
          </mc:Choice>
        </mc:AlternateContent>
        <mc:AlternateContent xmlns:mc="http://schemas.openxmlformats.org/markup-compatibility/2006">
          <mc:Choice Requires="x14">
            <control shapeId="1029" r:id="rId8" name="Button 5">
              <controlPr defaultSize="0" print="0" autoFill="0" autoPict="0" macro="[0]!分身の術Z">
                <anchor moveWithCells="1" sizeWithCells="1">
                  <from>
                    <xdr:col>3</xdr:col>
                    <xdr:colOff>19050</xdr:colOff>
                    <xdr:row>52</xdr:row>
                    <xdr:rowOff>142875</xdr:rowOff>
                  </from>
                  <to>
                    <xdr:col>7</xdr:col>
                    <xdr:colOff>9525</xdr:colOff>
                    <xdr:row>55</xdr:row>
                    <xdr:rowOff>133350</xdr:rowOff>
                  </to>
                </anchor>
              </controlPr>
            </control>
          </mc:Choice>
        </mc:AlternateContent>
        <mc:AlternateContent xmlns:mc="http://schemas.openxmlformats.org/markup-compatibility/2006">
          <mc:Choice Requires="x14">
            <control shapeId="1034" r:id="rId9" name="Button 10">
              <controlPr defaultSize="0" print="0" autoFill="0" autoPict="0" macro="[0]!関数設定2">
                <anchor moveWithCells="1" sizeWithCells="1">
                  <from>
                    <xdr:col>8</xdr:col>
                    <xdr:colOff>9525</xdr:colOff>
                    <xdr:row>27</xdr:row>
                    <xdr:rowOff>9525</xdr:rowOff>
                  </from>
                  <to>
                    <xdr:col>11</xdr:col>
                    <xdr:colOff>247650</xdr:colOff>
                    <xdr:row>29</xdr:row>
                    <xdr:rowOff>171450</xdr:rowOff>
                  </to>
                </anchor>
              </controlPr>
            </control>
          </mc:Choice>
        </mc:AlternateContent>
        <mc:AlternateContent xmlns:mc="http://schemas.openxmlformats.org/markup-compatibility/2006">
          <mc:Choice Requires="x14">
            <control shapeId="1035" r:id="rId10" name="Button 11">
              <controlPr defaultSize="0" print="0" autoFill="0" autoPict="0" macro="[0]!計算シート設定">
                <anchor moveWithCells="1" sizeWithCells="1">
                  <from>
                    <xdr:col>21</xdr:col>
                    <xdr:colOff>314325</xdr:colOff>
                    <xdr:row>104</xdr:row>
                    <xdr:rowOff>9525</xdr:rowOff>
                  </from>
                  <to>
                    <xdr:col>23</xdr:col>
                    <xdr:colOff>847725</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BY49"/>
  <sheetViews>
    <sheetView zoomScale="70" zoomScaleNormal="70" workbookViewId="0">
      <pane ySplit="1" topLeftCell="A2" activePane="bottomLeft" state="frozen"/>
      <selection pane="bottomLeft"/>
    </sheetView>
  </sheetViews>
  <sheetFormatPr defaultRowHeight="13.5" x14ac:dyDescent="0.15"/>
  <cols>
    <col min="1" max="1" width="6.125" style="43" customWidth="1"/>
    <col min="2" max="11" width="9" style="8"/>
    <col min="12" max="12" width="9" style="17"/>
    <col min="13" max="26" width="9" style="8"/>
    <col min="27" max="27" width="14.25" style="8" customWidth="1"/>
    <col min="28" max="29" width="9" style="8"/>
    <col min="30" max="30" width="9" style="8" customWidth="1"/>
    <col min="31" max="35" width="9" style="8"/>
    <col min="76" max="76" width="9" customWidth="1"/>
  </cols>
  <sheetData>
    <row r="1" spans="1:77" s="6" customFormat="1" x14ac:dyDescent="0.15">
      <c r="A1" s="5" t="s">
        <v>81</v>
      </c>
      <c r="B1" s="5" t="s">
        <v>82</v>
      </c>
      <c r="C1" s="5" t="s">
        <v>83</v>
      </c>
      <c r="D1" s="5" t="s">
        <v>84</v>
      </c>
      <c r="E1" s="5" t="s">
        <v>104</v>
      </c>
      <c r="F1" s="5" t="s">
        <v>108</v>
      </c>
      <c r="G1" s="5" t="s">
        <v>109</v>
      </c>
      <c r="H1" s="5" t="s">
        <v>110</v>
      </c>
      <c r="I1" s="5" t="s">
        <v>179</v>
      </c>
      <c r="J1" s="5" t="s">
        <v>351</v>
      </c>
      <c r="K1" s="5" t="s">
        <v>210</v>
      </c>
      <c r="L1" s="15" t="s">
        <v>211</v>
      </c>
      <c r="M1" s="5" t="s">
        <v>212</v>
      </c>
      <c r="N1" s="5" t="s">
        <v>213</v>
      </c>
      <c r="O1" s="5" t="s">
        <v>220</v>
      </c>
      <c r="P1" s="5" t="s">
        <v>222</v>
      </c>
      <c r="Q1" s="5" t="s">
        <v>223</v>
      </c>
      <c r="R1" s="16" t="s">
        <v>226</v>
      </c>
      <c r="S1" s="16" t="s">
        <v>227</v>
      </c>
      <c r="T1" s="16" t="s">
        <v>228</v>
      </c>
      <c r="U1" s="16" t="s">
        <v>238</v>
      </c>
      <c r="V1" s="16" t="s">
        <v>239</v>
      </c>
      <c r="W1" s="16" t="s">
        <v>240</v>
      </c>
      <c r="X1" s="16" t="s">
        <v>289</v>
      </c>
      <c r="Y1" s="16" t="s">
        <v>248</v>
      </c>
      <c r="Z1" s="16" t="s">
        <v>249</v>
      </c>
      <c r="AA1" s="16" t="s">
        <v>257</v>
      </c>
      <c r="AB1" s="16" t="s">
        <v>258</v>
      </c>
      <c r="AC1" s="16" t="s">
        <v>259</v>
      </c>
      <c r="AD1" s="16" t="s">
        <v>260</v>
      </c>
      <c r="AE1" s="16" t="s">
        <v>261</v>
      </c>
      <c r="AF1" s="16" t="s">
        <v>262</v>
      </c>
      <c r="AG1" s="16" t="s">
        <v>263</v>
      </c>
      <c r="AH1" s="16" t="s">
        <v>264</v>
      </c>
      <c r="AI1" s="16" t="s">
        <v>265</v>
      </c>
      <c r="AJ1" s="7" t="str">
        <f t="shared" ref="AJ1:AR1" si="0">CONCATENATE(A1,"2")</f>
        <v>西暦2</v>
      </c>
      <c r="AK1" s="7" t="str">
        <f t="shared" si="0"/>
        <v>月2</v>
      </c>
      <c r="AL1" s="7" t="str">
        <f t="shared" si="0"/>
        <v>日2</v>
      </c>
      <c r="AM1" s="7" t="str">
        <f t="shared" si="0"/>
        <v>NF2</v>
      </c>
      <c r="AN1" s="7" t="str">
        <f t="shared" si="0"/>
        <v>背番号2</v>
      </c>
      <c r="AO1" s="7" t="str">
        <f t="shared" si="0"/>
        <v>年齢限定2</v>
      </c>
      <c r="AP1" s="7" t="str">
        <f t="shared" si="0"/>
        <v>初度年2</v>
      </c>
      <c r="AQ1" s="7" t="str">
        <f t="shared" si="0"/>
        <v>初度月2</v>
      </c>
      <c r="AR1" s="7" t="str">
        <f t="shared" si="0"/>
        <v>型式2</v>
      </c>
      <c r="AS1" s="7" t="s">
        <v>352</v>
      </c>
      <c r="AT1" s="7" t="str">
        <f t="shared" ref="AT1:BF1" si="1">CONCATENATE(K1,"2")</f>
        <v>生年2</v>
      </c>
      <c r="AU1" s="7" t="str">
        <f t="shared" si="1"/>
        <v>生まれ月2</v>
      </c>
      <c r="AV1" s="7" t="str">
        <f t="shared" si="1"/>
        <v>生まれ日2</v>
      </c>
      <c r="AW1" s="7" t="str">
        <f t="shared" si="1"/>
        <v>地域2</v>
      </c>
      <c r="AX1" s="7" t="str">
        <f t="shared" si="1"/>
        <v>免許2</v>
      </c>
      <c r="AY1" s="7" t="str">
        <f t="shared" si="1"/>
        <v>使用目的2</v>
      </c>
      <c r="AZ1" s="7" t="str">
        <f t="shared" si="1"/>
        <v>走行距離2</v>
      </c>
      <c r="BA1" s="7" t="str">
        <f t="shared" si="1"/>
        <v>年齢限定修正2</v>
      </c>
      <c r="BB1" s="7" t="str">
        <f t="shared" si="1"/>
        <v>運限修正2</v>
      </c>
      <c r="BC1" s="7" t="str">
        <f t="shared" si="1"/>
        <v>対物AMT2</v>
      </c>
      <c r="BD1" s="7" t="str">
        <f t="shared" si="1"/>
        <v>対物LL2</v>
      </c>
      <c r="BE1" s="7" t="str">
        <f t="shared" si="1"/>
        <v>搭乗者2</v>
      </c>
      <c r="BF1" s="7" t="str">
        <f t="shared" si="1"/>
        <v>人傷種類2</v>
      </c>
      <c r="BG1" s="7" t="s">
        <v>290</v>
      </c>
      <c r="BH1" s="7" t="str">
        <f t="shared" ref="BH1:BR1" si="2">CONCATENATE(Y1,"2")</f>
        <v>車両保険種類2</v>
      </c>
      <c r="BI1" s="7" t="str">
        <f t="shared" si="2"/>
        <v>車両AMT2</v>
      </c>
      <c r="BJ1" s="7" t="str">
        <f t="shared" si="2"/>
        <v>車両免責2</v>
      </c>
      <c r="BK1" s="7" t="str">
        <f t="shared" si="2"/>
        <v>積載動産2</v>
      </c>
      <c r="BL1" s="7" t="str">
        <f t="shared" si="2"/>
        <v>代車費用2</v>
      </c>
      <c r="BM1" s="7" t="str">
        <f t="shared" si="2"/>
        <v>地噴津2</v>
      </c>
      <c r="BN1" s="7" t="str">
        <f t="shared" si="2"/>
        <v>弁特2</v>
      </c>
      <c r="BO1" s="7" t="str">
        <f t="shared" si="2"/>
        <v>原付2</v>
      </c>
      <c r="BP1" s="7" t="str">
        <f t="shared" si="2"/>
        <v>個賠2</v>
      </c>
      <c r="BQ1" s="7" t="str">
        <f t="shared" si="2"/>
        <v>傷害2</v>
      </c>
      <c r="BR1" s="7" t="str">
        <f t="shared" si="2"/>
        <v>地噴津死亡傷害2</v>
      </c>
      <c r="BS1" s="7" t="s">
        <v>78</v>
      </c>
      <c r="BT1" s="7" t="s">
        <v>61</v>
      </c>
      <c r="BU1" s="9" t="s">
        <v>76</v>
      </c>
      <c r="BV1" s="9" t="s">
        <v>77</v>
      </c>
      <c r="BW1" s="9" t="s">
        <v>293</v>
      </c>
      <c r="BX1" s="9" t="s">
        <v>294</v>
      </c>
      <c r="BY1" s="9" t="s">
        <v>292</v>
      </c>
    </row>
    <row r="2" spans="1:77" x14ac:dyDescent="0.15">
      <c r="A2" s="43">
        <v>2022</v>
      </c>
      <c r="B2" s="43">
        <v>12</v>
      </c>
      <c r="C2" s="43">
        <v>1</v>
      </c>
      <c r="D2" s="43">
        <v>20</v>
      </c>
      <c r="E2" s="43" t="s">
        <v>236</v>
      </c>
      <c r="F2" s="43" t="s">
        <v>57</v>
      </c>
      <c r="G2" s="43">
        <v>2016</v>
      </c>
      <c r="H2" s="43">
        <v>12</v>
      </c>
      <c r="I2" s="43" t="s">
        <v>432</v>
      </c>
      <c r="J2" s="43" t="s">
        <v>236</v>
      </c>
      <c r="K2" s="43">
        <v>1982</v>
      </c>
      <c r="L2" s="43">
        <v>12</v>
      </c>
      <c r="M2" s="43">
        <v>1</v>
      </c>
      <c r="N2" s="43" t="s">
        <v>48</v>
      </c>
      <c r="O2" s="43" t="s">
        <v>221</v>
      </c>
      <c r="P2" s="43" t="s">
        <v>224</v>
      </c>
      <c r="Q2" s="43">
        <v>3000</v>
      </c>
      <c r="R2" s="43" t="s">
        <v>57</v>
      </c>
      <c r="S2" s="43" t="s">
        <v>52</v>
      </c>
      <c r="T2" s="43" t="s">
        <v>70</v>
      </c>
      <c r="U2" s="43" t="s">
        <v>236</v>
      </c>
      <c r="V2" s="43">
        <v>1000</v>
      </c>
      <c r="W2" s="43" t="s">
        <v>241</v>
      </c>
      <c r="X2" s="43">
        <v>3000</v>
      </c>
      <c r="Y2" s="43" t="s">
        <v>278</v>
      </c>
      <c r="Z2" s="43">
        <v>85</v>
      </c>
      <c r="AA2" s="43" t="s">
        <v>528</v>
      </c>
      <c r="AB2" s="43" t="s">
        <v>236</v>
      </c>
      <c r="AC2" s="43" t="s">
        <v>236</v>
      </c>
      <c r="AD2" s="43" t="s">
        <v>236</v>
      </c>
      <c r="AE2" s="43" t="s">
        <v>68</v>
      </c>
      <c r="AF2" s="43" t="s">
        <v>236</v>
      </c>
      <c r="AG2" s="43" t="s">
        <v>236</v>
      </c>
      <c r="AH2" s="43" t="s">
        <v>236</v>
      </c>
      <c r="AI2" s="43" t="s">
        <v>236</v>
      </c>
      <c r="AJ2" t="s">
        <v>520</v>
      </c>
      <c r="AK2">
        <v>12</v>
      </c>
      <c r="AL2">
        <v>1</v>
      </c>
      <c r="AM2" t="s">
        <v>85</v>
      </c>
      <c r="AN2" t="s">
        <v>236</v>
      </c>
      <c r="AO2" t="s">
        <v>529</v>
      </c>
      <c r="AP2" t="s">
        <v>113</v>
      </c>
      <c r="AQ2">
        <v>12</v>
      </c>
      <c r="AR2" t="s">
        <v>432</v>
      </c>
      <c r="AS2" t="s">
        <v>236</v>
      </c>
      <c r="AT2" t="s">
        <v>145</v>
      </c>
      <c r="AU2" s="4">
        <v>12</v>
      </c>
      <c r="AV2">
        <v>1</v>
      </c>
      <c r="AW2" t="s">
        <v>429</v>
      </c>
      <c r="AX2" t="s">
        <v>221</v>
      </c>
      <c r="AY2" t="s">
        <v>224</v>
      </c>
      <c r="AZ2">
        <v>1</v>
      </c>
      <c r="BA2" t="s">
        <v>434</v>
      </c>
      <c r="BB2" t="s">
        <v>428</v>
      </c>
      <c r="BC2" t="s">
        <v>416</v>
      </c>
      <c r="BD2" t="s">
        <v>236</v>
      </c>
      <c r="BE2" t="s">
        <v>438</v>
      </c>
      <c r="BF2" t="s">
        <v>530</v>
      </c>
      <c r="BG2" t="s">
        <v>430</v>
      </c>
      <c r="BH2" t="s">
        <v>417</v>
      </c>
      <c r="BI2" t="s">
        <v>545</v>
      </c>
      <c r="BJ2" t="s">
        <v>68</v>
      </c>
      <c r="BK2" t="s">
        <v>236</v>
      </c>
      <c r="BL2" t="s">
        <v>236</v>
      </c>
      <c r="BM2" t="s">
        <v>236</v>
      </c>
      <c r="BN2" t="s">
        <v>68</v>
      </c>
      <c r="BO2" t="s">
        <v>236</v>
      </c>
      <c r="BP2" t="s">
        <v>236</v>
      </c>
      <c r="BQ2" t="s">
        <v>236</v>
      </c>
      <c r="BR2" t="s">
        <v>236</v>
      </c>
      <c r="BS2" t="s">
        <v>435</v>
      </c>
      <c r="BT2">
        <v>0</v>
      </c>
      <c r="BU2" s="19"/>
      <c r="BV2" s="19"/>
      <c r="BW2" s="19"/>
      <c r="BX2" s="19"/>
    </row>
    <row r="3" spans="1:77" x14ac:dyDescent="0.15">
      <c r="A3" s="43">
        <v>2022</v>
      </c>
      <c r="B3" s="43">
        <v>12</v>
      </c>
      <c r="C3" s="43">
        <v>1</v>
      </c>
      <c r="D3" s="43">
        <v>20</v>
      </c>
      <c r="E3" s="43" t="s">
        <v>236</v>
      </c>
      <c r="F3" s="43" t="s">
        <v>57</v>
      </c>
      <c r="G3" s="43">
        <v>2016</v>
      </c>
      <c r="H3" s="43">
        <v>12</v>
      </c>
      <c r="I3" s="43" t="s">
        <v>436</v>
      </c>
      <c r="J3" s="43" t="s">
        <v>236</v>
      </c>
      <c r="K3" s="43">
        <v>1982</v>
      </c>
      <c r="L3" s="43">
        <v>12</v>
      </c>
      <c r="M3" s="43">
        <v>1</v>
      </c>
      <c r="N3" s="43" t="s">
        <v>48</v>
      </c>
      <c r="O3" s="43" t="s">
        <v>221</v>
      </c>
      <c r="P3" s="43" t="s">
        <v>224</v>
      </c>
      <c r="Q3" s="43">
        <v>3000</v>
      </c>
      <c r="R3" s="43" t="s">
        <v>57</v>
      </c>
      <c r="S3" s="43" t="s">
        <v>52</v>
      </c>
      <c r="T3" s="43" t="s">
        <v>70</v>
      </c>
      <c r="U3" s="43" t="s">
        <v>236</v>
      </c>
      <c r="V3" s="43">
        <v>1000</v>
      </c>
      <c r="W3" s="43" t="s">
        <v>241</v>
      </c>
      <c r="X3" s="43">
        <v>3000</v>
      </c>
      <c r="Y3" s="43" t="s">
        <v>278</v>
      </c>
      <c r="Z3" s="43">
        <v>160</v>
      </c>
      <c r="AA3" s="43" t="s">
        <v>528</v>
      </c>
      <c r="AB3" s="43" t="s">
        <v>236</v>
      </c>
      <c r="AC3" s="43" t="s">
        <v>236</v>
      </c>
      <c r="AD3" s="43" t="s">
        <v>236</v>
      </c>
      <c r="AE3" s="43" t="s">
        <v>68</v>
      </c>
      <c r="AF3" s="43" t="s">
        <v>236</v>
      </c>
      <c r="AG3" s="43" t="s">
        <v>236</v>
      </c>
      <c r="AH3" s="43" t="s">
        <v>236</v>
      </c>
      <c r="AI3" s="43" t="s">
        <v>236</v>
      </c>
      <c r="AJ3" t="s">
        <v>520</v>
      </c>
      <c r="AK3">
        <v>12</v>
      </c>
      <c r="AL3">
        <v>1</v>
      </c>
      <c r="AM3" t="s">
        <v>85</v>
      </c>
      <c r="AN3" t="s">
        <v>236</v>
      </c>
      <c r="AO3" t="s">
        <v>529</v>
      </c>
      <c r="AP3" t="s">
        <v>113</v>
      </c>
      <c r="AQ3">
        <v>12</v>
      </c>
      <c r="AR3" t="s">
        <v>436</v>
      </c>
      <c r="AS3" t="s">
        <v>236</v>
      </c>
      <c r="AT3" t="s">
        <v>145</v>
      </c>
      <c r="AU3" s="4">
        <v>12</v>
      </c>
      <c r="AV3">
        <v>1</v>
      </c>
      <c r="AW3" t="s">
        <v>429</v>
      </c>
      <c r="AX3" t="s">
        <v>221</v>
      </c>
      <c r="AY3" t="s">
        <v>224</v>
      </c>
      <c r="AZ3">
        <v>1</v>
      </c>
      <c r="BA3" t="s">
        <v>434</v>
      </c>
      <c r="BB3" t="s">
        <v>428</v>
      </c>
      <c r="BC3" t="s">
        <v>416</v>
      </c>
      <c r="BD3" t="s">
        <v>236</v>
      </c>
      <c r="BE3" t="s">
        <v>438</v>
      </c>
      <c r="BF3" t="s">
        <v>530</v>
      </c>
      <c r="BG3" t="s">
        <v>430</v>
      </c>
      <c r="BH3" t="s">
        <v>417</v>
      </c>
      <c r="BI3" t="s">
        <v>546</v>
      </c>
      <c r="BJ3" t="s">
        <v>68</v>
      </c>
      <c r="BK3" t="s">
        <v>236</v>
      </c>
      <c r="BL3" t="s">
        <v>236</v>
      </c>
      <c r="BM3" t="s">
        <v>236</v>
      </c>
      <c r="BN3" t="s">
        <v>68</v>
      </c>
      <c r="BO3" t="s">
        <v>236</v>
      </c>
      <c r="BP3" t="s">
        <v>236</v>
      </c>
      <c r="BQ3" t="s">
        <v>236</v>
      </c>
      <c r="BR3" t="s">
        <v>236</v>
      </c>
      <c r="BS3" t="s">
        <v>435</v>
      </c>
      <c r="BT3">
        <v>0</v>
      </c>
      <c r="BU3" s="19"/>
      <c r="BV3" s="19"/>
      <c r="BW3" s="19"/>
      <c r="BX3" s="19"/>
    </row>
    <row r="4" spans="1:77" x14ac:dyDescent="0.15">
      <c r="A4" s="43">
        <v>2022</v>
      </c>
      <c r="B4" s="43">
        <v>12</v>
      </c>
      <c r="C4" s="43">
        <v>1</v>
      </c>
      <c r="D4" s="43">
        <v>20</v>
      </c>
      <c r="E4" s="43" t="s">
        <v>236</v>
      </c>
      <c r="F4" s="43" t="s">
        <v>57</v>
      </c>
      <c r="G4" s="43">
        <v>2016</v>
      </c>
      <c r="H4" s="43">
        <v>12</v>
      </c>
      <c r="I4" s="43" t="s">
        <v>523</v>
      </c>
      <c r="J4" s="43" t="s">
        <v>236</v>
      </c>
      <c r="K4" s="43">
        <v>1982</v>
      </c>
      <c r="L4" s="43">
        <v>12</v>
      </c>
      <c r="M4" s="43">
        <v>1</v>
      </c>
      <c r="N4" s="43" t="s">
        <v>48</v>
      </c>
      <c r="O4" s="43" t="s">
        <v>221</v>
      </c>
      <c r="P4" s="43" t="s">
        <v>224</v>
      </c>
      <c r="Q4" s="43">
        <v>3000</v>
      </c>
      <c r="R4" s="43" t="s">
        <v>57</v>
      </c>
      <c r="S4" s="43" t="s">
        <v>52</v>
      </c>
      <c r="T4" s="43" t="s">
        <v>70</v>
      </c>
      <c r="U4" s="43" t="s">
        <v>236</v>
      </c>
      <c r="V4" s="43">
        <v>1000</v>
      </c>
      <c r="W4" s="43" t="s">
        <v>241</v>
      </c>
      <c r="X4" s="43">
        <v>3000</v>
      </c>
      <c r="Y4" s="43" t="s">
        <v>278</v>
      </c>
      <c r="Z4" s="43">
        <v>160</v>
      </c>
      <c r="AA4" s="43" t="s">
        <v>528</v>
      </c>
      <c r="AB4" s="43" t="s">
        <v>236</v>
      </c>
      <c r="AC4" s="43" t="s">
        <v>236</v>
      </c>
      <c r="AD4" s="43" t="s">
        <v>236</v>
      </c>
      <c r="AE4" s="43" t="s">
        <v>68</v>
      </c>
      <c r="AF4" s="43" t="s">
        <v>236</v>
      </c>
      <c r="AG4" s="43" t="s">
        <v>236</v>
      </c>
      <c r="AH4" s="43" t="s">
        <v>236</v>
      </c>
      <c r="AI4" s="43" t="s">
        <v>236</v>
      </c>
      <c r="AJ4" t="s">
        <v>520</v>
      </c>
      <c r="AK4">
        <v>12</v>
      </c>
      <c r="AL4">
        <v>1</v>
      </c>
      <c r="AM4" t="s">
        <v>85</v>
      </c>
      <c r="AN4" t="s">
        <v>236</v>
      </c>
      <c r="AO4" t="s">
        <v>529</v>
      </c>
      <c r="AP4" t="s">
        <v>113</v>
      </c>
      <c r="AQ4">
        <v>12</v>
      </c>
      <c r="AR4" t="s">
        <v>523</v>
      </c>
      <c r="AS4" t="s">
        <v>236</v>
      </c>
      <c r="AT4" t="s">
        <v>145</v>
      </c>
      <c r="AU4" s="4">
        <v>12</v>
      </c>
      <c r="AV4">
        <v>1</v>
      </c>
      <c r="AW4" t="s">
        <v>429</v>
      </c>
      <c r="AX4" t="s">
        <v>221</v>
      </c>
      <c r="AY4" t="s">
        <v>224</v>
      </c>
      <c r="AZ4">
        <v>1</v>
      </c>
      <c r="BA4" t="s">
        <v>434</v>
      </c>
      <c r="BB4" t="s">
        <v>428</v>
      </c>
      <c r="BC4" t="s">
        <v>416</v>
      </c>
      <c r="BD4" t="s">
        <v>236</v>
      </c>
      <c r="BE4" t="s">
        <v>438</v>
      </c>
      <c r="BF4" t="s">
        <v>530</v>
      </c>
      <c r="BG4" t="s">
        <v>430</v>
      </c>
      <c r="BH4" t="s">
        <v>417</v>
      </c>
      <c r="BI4" t="s">
        <v>546</v>
      </c>
      <c r="BJ4" t="s">
        <v>68</v>
      </c>
      <c r="BK4" t="s">
        <v>236</v>
      </c>
      <c r="BL4" t="s">
        <v>236</v>
      </c>
      <c r="BM4" t="s">
        <v>236</v>
      </c>
      <c r="BN4" t="s">
        <v>68</v>
      </c>
      <c r="BO4" t="s">
        <v>236</v>
      </c>
      <c r="BP4" t="s">
        <v>236</v>
      </c>
      <c r="BQ4" t="s">
        <v>236</v>
      </c>
      <c r="BR4" t="s">
        <v>236</v>
      </c>
      <c r="BS4" t="s">
        <v>435</v>
      </c>
      <c r="BT4">
        <v>0</v>
      </c>
      <c r="BU4" s="19"/>
      <c r="BV4" s="19"/>
      <c r="BW4" s="19"/>
      <c r="BX4" s="19"/>
    </row>
    <row r="5" spans="1:77" x14ac:dyDescent="0.15">
      <c r="A5" s="43">
        <v>2022</v>
      </c>
      <c r="B5" s="43">
        <v>12</v>
      </c>
      <c r="C5" s="43">
        <v>1</v>
      </c>
      <c r="D5" s="43">
        <v>20</v>
      </c>
      <c r="E5" s="43" t="s">
        <v>236</v>
      </c>
      <c r="F5" s="43" t="s">
        <v>57</v>
      </c>
      <c r="G5" s="43">
        <v>2016</v>
      </c>
      <c r="H5" s="43">
        <v>12</v>
      </c>
      <c r="I5" s="43" t="s">
        <v>524</v>
      </c>
      <c r="J5" s="43" t="s">
        <v>236</v>
      </c>
      <c r="K5" s="43">
        <v>1982</v>
      </c>
      <c r="L5" s="43">
        <v>12</v>
      </c>
      <c r="M5" s="43">
        <v>1</v>
      </c>
      <c r="N5" s="43" t="s">
        <v>48</v>
      </c>
      <c r="O5" s="43" t="s">
        <v>221</v>
      </c>
      <c r="P5" s="43" t="s">
        <v>224</v>
      </c>
      <c r="Q5" s="43">
        <v>3000</v>
      </c>
      <c r="R5" s="43" t="s">
        <v>57</v>
      </c>
      <c r="S5" s="43" t="s">
        <v>52</v>
      </c>
      <c r="T5" s="43" t="s">
        <v>70</v>
      </c>
      <c r="U5" s="43" t="s">
        <v>236</v>
      </c>
      <c r="V5" s="43">
        <v>1000</v>
      </c>
      <c r="W5" s="43" t="s">
        <v>241</v>
      </c>
      <c r="X5" s="43">
        <v>3000</v>
      </c>
      <c r="Y5" s="43" t="s">
        <v>278</v>
      </c>
      <c r="Z5" s="43">
        <v>110</v>
      </c>
      <c r="AA5" s="43" t="s">
        <v>528</v>
      </c>
      <c r="AB5" s="43" t="s">
        <v>236</v>
      </c>
      <c r="AC5" s="43" t="s">
        <v>236</v>
      </c>
      <c r="AD5" s="43" t="s">
        <v>236</v>
      </c>
      <c r="AE5" s="43" t="s">
        <v>68</v>
      </c>
      <c r="AF5" s="43" t="s">
        <v>236</v>
      </c>
      <c r="AG5" s="43" t="s">
        <v>236</v>
      </c>
      <c r="AH5" s="43" t="s">
        <v>236</v>
      </c>
      <c r="AI5" s="43" t="s">
        <v>236</v>
      </c>
      <c r="AJ5" t="s">
        <v>520</v>
      </c>
      <c r="AK5">
        <v>12</v>
      </c>
      <c r="AL5">
        <v>1</v>
      </c>
      <c r="AM5" t="s">
        <v>85</v>
      </c>
      <c r="AN5" t="s">
        <v>236</v>
      </c>
      <c r="AO5" t="s">
        <v>529</v>
      </c>
      <c r="AP5" t="s">
        <v>113</v>
      </c>
      <c r="AQ5">
        <v>12</v>
      </c>
      <c r="AR5" t="s">
        <v>524</v>
      </c>
      <c r="AS5" t="s">
        <v>236</v>
      </c>
      <c r="AT5" t="s">
        <v>145</v>
      </c>
      <c r="AU5" s="4">
        <v>12</v>
      </c>
      <c r="AV5">
        <v>1</v>
      </c>
      <c r="AW5" t="s">
        <v>429</v>
      </c>
      <c r="AX5" t="s">
        <v>221</v>
      </c>
      <c r="AY5" t="s">
        <v>224</v>
      </c>
      <c r="AZ5">
        <v>1</v>
      </c>
      <c r="BA5" t="s">
        <v>434</v>
      </c>
      <c r="BB5" t="s">
        <v>428</v>
      </c>
      <c r="BC5" t="s">
        <v>416</v>
      </c>
      <c r="BD5" t="s">
        <v>236</v>
      </c>
      <c r="BE5" t="s">
        <v>438</v>
      </c>
      <c r="BF5" t="s">
        <v>530</v>
      </c>
      <c r="BG5" t="s">
        <v>430</v>
      </c>
      <c r="BH5" t="s">
        <v>417</v>
      </c>
      <c r="BI5" t="s">
        <v>521</v>
      </c>
      <c r="BJ5" t="s">
        <v>68</v>
      </c>
      <c r="BK5" t="s">
        <v>236</v>
      </c>
      <c r="BL5" t="s">
        <v>236</v>
      </c>
      <c r="BM5" t="s">
        <v>236</v>
      </c>
      <c r="BN5" t="s">
        <v>68</v>
      </c>
      <c r="BO5" t="s">
        <v>236</v>
      </c>
      <c r="BP5" t="s">
        <v>236</v>
      </c>
      <c r="BQ5" t="s">
        <v>236</v>
      </c>
      <c r="BR5" t="s">
        <v>236</v>
      </c>
      <c r="BS5" t="s">
        <v>435</v>
      </c>
      <c r="BT5">
        <v>0</v>
      </c>
      <c r="BU5" s="19"/>
      <c r="BV5" s="19"/>
      <c r="BW5" s="19"/>
      <c r="BX5" s="19"/>
    </row>
    <row r="6" spans="1:77" x14ac:dyDescent="0.15">
      <c r="A6" s="43">
        <v>2022</v>
      </c>
      <c r="B6" s="43">
        <v>12</v>
      </c>
      <c r="C6" s="43">
        <v>1</v>
      </c>
      <c r="D6" s="43">
        <v>20</v>
      </c>
      <c r="E6" s="43" t="s">
        <v>236</v>
      </c>
      <c r="F6" s="43" t="s">
        <v>57</v>
      </c>
      <c r="G6" s="43">
        <v>2016</v>
      </c>
      <c r="H6" s="43">
        <v>12</v>
      </c>
      <c r="I6" s="43" t="s">
        <v>527</v>
      </c>
      <c r="J6" s="43" t="s">
        <v>236</v>
      </c>
      <c r="K6" s="43">
        <v>1982</v>
      </c>
      <c r="L6" s="43">
        <v>12</v>
      </c>
      <c r="M6" s="43">
        <v>1</v>
      </c>
      <c r="N6" s="43" t="s">
        <v>48</v>
      </c>
      <c r="O6" s="43" t="s">
        <v>221</v>
      </c>
      <c r="P6" s="43" t="s">
        <v>224</v>
      </c>
      <c r="Q6" s="43">
        <v>3000</v>
      </c>
      <c r="R6" s="43" t="s">
        <v>57</v>
      </c>
      <c r="S6" s="43" t="s">
        <v>52</v>
      </c>
      <c r="T6" s="43" t="s">
        <v>70</v>
      </c>
      <c r="U6" s="43" t="s">
        <v>236</v>
      </c>
      <c r="V6" s="43">
        <v>1000</v>
      </c>
      <c r="W6" s="43" t="s">
        <v>241</v>
      </c>
      <c r="X6" s="43">
        <v>3000</v>
      </c>
      <c r="Y6" s="43" t="s">
        <v>278</v>
      </c>
      <c r="Z6" s="43">
        <v>85</v>
      </c>
      <c r="AA6" s="43" t="s">
        <v>528</v>
      </c>
      <c r="AB6" s="43" t="s">
        <v>236</v>
      </c>
      <c r="AC6" s="43" t="s">
        <v>236</v>
      </c>
      <c r="AD6" s="43" t="s">
        <v>236</v>
      </c>
      <c r="AE6" s="43" t="s">
        <v>68</v>
      </c>
      <c r="AF6" s="43" t="s">
        <v>236</v>
      </c>
      <c r="AG6" s="43" t="s">
        <v>236</v>
      </c>
      <c r="AH6" s="43" t="s">
        <v>236</v>
      </c>
      <c r="AI6" s="43" t="s">
        <v>236</v>
      </c>
      <c r="AJ6" t="s">
        <v>520</v>
      </c>
      <c r="AK6">
        <v>12</v>
      </c>
      <c r="AL6">
        <v>1</v>
      </c>
      <c r="AM6" t="s">
        <v>85</v>
      </c>
      <c r="AN6" t="s">
        <v>236</v>
      </c>
      <c r="AO6" t="s">
        <v>529</v>
      </c>
      <c r="AP6" t="s">
        <v>113</v>
      </c>
      <c r="AQ6">
        <v>12</v>
      </c>
      <c r="AR6" t="s">
        <v>527</v>
      </c>
      <c r="AS6" t="s">
        <v>236</v>
      </c>
      <c r="AT6" t="s">
        <v>145</v>
      </c>
      <c r="AU6" s="4">
        <v>12</v>
      </c>
      <c r="AV6">
        <v>1</v>
      </c>
      <c r="AW6" t="s">
        <v>429</v>
      </c>
      <c r="AX6" t="s">
        <v>221</v>
      </c>
      <c r="AY6" t="s">
        <v>224</v>
      </c>
      <c r="AZ6">
        <v>1</v>
      </c>
      <c r="BA6" t="s">
        <v>434</v>
      </c>
      <c r="BB6" t="s">
        <v>428</v>
      </c>
      <c r="BC6" t="s">
        <v>416</v>
      </c>
      <c r="BD6" t="s">
        <v>236</v>
      </c>
      <c r="BE6" t="s">
        <v>438</v>
      </c>
      <c r="BF6" t="s">
        <v>530</v>
      </c>
      <c r="BG6" t="s">
        <v>430</v>
      </c>
      <c r="BH6" t="s">
        <v>417</v>
      </c>
      <c r="BI6" t="s">
        <v>545</v>
      </c>
      <c r="BJ6" t="s">
        <v>68</v>
      </c>
      <c r="BK6" t="s">
        <v>236</v>
      </c>
      <c r="BL6" t="s">
        <v>236</v>
      </c>
      <c r="BM6" t="s">
        <v>236</v>
      </c>
      <c r="BN6" t="s">
        <v>68</v>
      </c>
      <c r="BO6" t="s">
        <v>236</v>
      </c>
      <c r="BP6" t="s">
        <v>236</v>
      </c>
      <c r="BQ6" t="s">
        <v>236</v>
      </c>
      <c r="BR6" t="s">
        <v>236</v>
      </c>
      <c r="BS6" t="s">
        <v>435</v>
      </c>
      <c r="BT6">
        <v>0</v>
      </c>
      <c r="BU6" s="19"/>
      <c r="BV6" s="19"/>
      <c r="BW6" s="19"/>
      <c r="BX6" s="19"/>
    </row>
    <row r="7" spans="1:77" x14ac:dyDescent="0.15">
      <c r="A7" s="43">
        <v>2022</v>
      </c>
      <c r="B7" s="43">
        <v>12</v>
      </c>
      <c r="C7" s="43">
        <v>1</v>
      </c>
      <c r="D7" s="43">
        <v>20</v>
      </c>
      <c r="E7" s="43" t="s">
        <v>236</v>
      </c>
      <c r="F7" s="43" t="s">
        <v>57</v>
      </c>
      <c r="G7" s="43">
        <v>2016</v>
      </c>
      <c r="H7" s="43">
        <v>12</v>
      </c>
      <c r="I7" s="43" t="s">
        <v>431</v>
      </c>
      <c r="J7" s="43" t="s">
        <v>236</v>
      </c>
      <c r="K7" s="43">
        <v>1982</v>
      </c>
      <c r="L7" s="43">
        <v>12</v>
      </c>
      <c r="M7" s="43">
        <v>1</v>
      </c>
      <c r="N7" s="43" t="s">
        <v>48</v>
      </c>
      <c r="O7" s="43" t="s">
        <v>221</v>
      </c>
      <c r="P7" s="43" t="s">
        <v>224</v>
      </c>
      <c r="Q7" s="43">
        <v>3000</v>
      </c>
      <c r="R7" s="43" t="s">
        <v>57</v>
      </c>
      <c r="S7" s="43" t="s">
        <v>52</v>
      </c>
      <c r="T7" s="43" t="s">
        <v>70</v>
      </c>
      <c r="U7" s="43" t="s">
        <v>236</v>
      </c>
      <c r="V7" s="43">
        <v>1000</v>
      </c>
      <c r="W7" s="43" t="s">
        <v>241</v>
      </c>
      <c r="X7" s="43">
        <v>3000</v>
      </c>
      <c r="Y7" s="43" t="s">
        <v>278</v>
      </c>
      <c r="Z7" s="43">
        <v>100</v>
      </c>
      <c r="AA7" s="43" t="s">
        <v>528</v>
      </c>
      <c r="AB7" s="43" t="s">
        <v>236</v>
      </c>
      <c r="AC7" s="43" t="s">
        <v>236</v>
      </c>
      <c r="AD7" s="43" t="s">
        <v>236</v>
      </c>
      <c r="AE7" s="43" t="s">
        <v>68</v>
      </c>
      <c r="AF7" s="43" t="s">
        <v>236</v>
      </c>
      <c r="AG7" s="43" t="s">
        <v>236</v>
      </c>
      <c r="AH7" s="43" t="s">
        <v>236</v>
      </c>
      <c r="AI7" s="43" t="s">
        <v>236</v>
      </c>
      <c r="AJ7" t="s">
        <v>520</v>
      </c>
      <c r="AK7">
        <v>12</v>
      </c>
      <c r="AL7">
        <v>1</v>
      </c>
      <c r="AM7" t="s">
        <v>85</v>
      </c>
      <c r="AN7" t="s">
        <v>236</v>
      </c>
      <c r="AO7" t="s">
        <v>529</v>
      </c>
      <c r="AP7" t="s">
        <v>113</v>
      </c>
      <c r="AQ7">
        <v>12</v>
      </c>
      <c r="AR7" t="s">
        <v>431</v>
      </c>
      <c r="AS7" t="s">
        <v>236</v>
      </c>
      <c r="AT7" t="s">
        <v>145</v>
      </c>
      <c r="AU7" s="4">
        <v>12</v>
      </c>
      <c r="AV7">
        <v>1</v>
      </c>
      <c r="AW7" t="s">
        <v>429</v>
      </c>
      <c r="AX7" t="s">
        <v>221</v>
      </c>
      <c r="AY7" t="s">
        <v>224</v>
      </c>
      <c r="AZ7">
        <v>1</v>
      </c>
      <c r="BA7" t="s">
        <v>434</v>
      </c>
      <c r="BB7" t="s">
        <v>428</v>
      </c>
      <c r="BC7" t="s">
        <v>416</v>
      </c>
      <c r="BD7" t="s">
        <v>236</v>
      </c>
      <c r="BE7" t="s">
        <v>438</v>
      </c>
      <c r="BF7" t="s">
        <v>530</v>
      </c>
      <c r="BG7" t="s">
        <v>430</v>
      </c>
      <c r="BH7" t="s">
        <v>417</v>
      </c>
      <c r="BI7" t="s">
        <v>547</v>
      </c>
      <c r="BJ7" t="s">
        <v>68</v>
      </c>
      <c r="BK7" t="s">
        <v>236</v>
      </c>
      <c r="BL7" t="s">
        <v>236</v>
      </c>
      <c r="BM7" t="s">
        <v>236</v>
      </c>
      <c r="BN7" t="s">
        <v>68</v>
      </c>
      <c r="BO7" t="s">
        <v>236</v>
      </c>
      <c r="BP7" t="s">
        <v>236</v>
      </c>
      <c r="BQ7" t="s">
        <v>236</v>
      </c>
      <c r="BR7" t="s">
        <v>236</v>
      </c>
      <c r="BS7" t="s">
        <v>435</v>
      </c>
      <c r="BT7">
        <v>0</v>
      </c>
      <c r="BU7" s="19"/>
      <c r="BV7" s="19"/>
      <c r="BW7" s="19"/>
      <c r="BX7" s="19"/>
    </row>
    <row r="8" spans="1:77" x14ac:dyDescent="0.15">
      <c r="A8" s="43">
        <v>2022</v>
      </c>
      <c r="B8" s="43">
        <v>12</v>
      </c>
      <c r="C8" s="43">
        <v>1</v>
      </c>
      <c r="D8" s="43">
        <v>20</v>
      </c>
      <c r="E8" s="43" t="s">
        <v>236</v>
      </c>
      <c r="F8" s="43" t="s">
        <v>57</v>
      </c>
      <c r="G8" s="43">
        <v>2016</v>
      </c>
      <c r="H8" s="43">
        <v>12</v>
      </c>
      <c r="I8" s="43" t="s">
        <v>437</v>
      </c>
      <c r="J8" s="43" t="s">
        <v>236</v>
      </c>
      <c r="K8" s="43">
        <v>1982</v>
      </c>
      <c r="L8" s="43">
        <v>12</v>
      </c>
      <c r="M8" s="43">
        <v>1</v>
      </c>
      <c r="N8" s="43" t="s">
        <v>48</v>
      </c>
      <c r="O8" s="43" t="s">
        <v>221</v>
      </c>
      <c r="P8" s="43" t="s">
        <v>224</v>
      </c>
      <c r="Q8" s="43">
        <v>3000</v>
      </c>
      <c r="R8" s="43" t="s">
        <v>57</v>
      </c>
      <c r="S8" s="43" t="s">
        <v>52</v>
      </c>
      <c r="T8" s="43" t="s">
        <v>70</v>
      </c>
      <c r="U8" s="43" t="s">
        <v>236</v>
      </c>
      <c r="V8" s="43">
        <v>1000</v>
      </c>
      <c r="W8" s="43" t="s">
        <v>241</v>
      </c>
      <c r="X8" s="43">
        <v>3000</v>
      </c>
      <c r="Y8" s="43" t="s">
        <v>278</v>
      </c>
      <c r="Z8" s="43">
        <v>60</v>
      </c>
      <c r="AA8" s="43" t="s">
        <v>528</v>
      </c>
      <c r="AB8" s="43" t="s">
        <v>236</v>
      </c>
      <c r="AC8" s="43" t="s">
        <v>236</v>
      </c>
      <c r="AD8" s="43" t="s">
        <v>236</v>
      </c>
      <c r="AE8" s="43" t="s">
        <v>68</v>
      </c>
      <c r="AF8" s="43" t="s">
        <v>236</v>
      </c>
      <c r="AG8" s="43" t="s">
        <v>236</v>
      </c>
      <c r="AH8" s="43" t="s">
        <v>236</v>
      </c>
      <c r="AI8" s="43" t="s">
        <v>236</v>
      </c>
      <c r="AJ8" t="s">
        <v>520</v>
      </c>
      <c r="AK8">
        <v>12</v>
      </c>
      <c r="AL8">
        <v>1</v>
      </c>
      <c r="AM8" t="s">
        <v>85</v>
      </c>
      <c r="AN8" t="s">
        <v>236</v>
      </c>
      <c r="AO8" t="s">
        <v>529</v>
      </c>
      <c r="AP8" t="s">
        <v>113</v>
      </c>
      <c r="AQ8">
        <v>12</v>
      </c>
      <c r="AR8" t="s">
        <v>437</v>
      </c>
      <c r="AS8" t="s">
        <v>236</v>
      </c>
      <c r="AT8" t="s">
        <v>145</v>
      </c>
      <c r="AU8" s="4">
        <v>12</v>
      </c>
      <c r="AV8">
        <v>1</v>
      </c>
      <c r="AW8" t="s">
        <v>429</v>
      </c>
      <c r="AX8" t="s">
        <v>221</v>
      </c>
      <c r="AY8" t="s">
        <v>224</v>
      </c>
      <c r="AZ8">
        <v>1</v>
      </c>
      <c r="BA8" t="s">
        <v>434</v>
      </c>
      <c r="BB8" t="s">
        <v>428</v>
      </c>
      <c r="BC8" t="s">
        <v>416</v>
      </c>
      <c r="BD8" t="s">
        <v>236</v>
      </c>
      <c r="BE8" t="s">
        <v>438</v>
      </c>
      <c r="BF8" t="s">
        <v>530</v>
      </c>
      <c r="BG8" t="s">
        <v>430</v>
      </c>
      <c r="BH8" t="s">
        <v>417</v>
      </c>
      <c r="BI8" t="s">
        <v>548</v>
      </c>
      <c r="BJ8" t="s">
        <v>68</v>
      </c>
      <c r="BK8" t="s">
        <v>236</v>
      </c>
      <c r="BL8" t="s">
        <v>236</v>
      </c>
      <c r="BM8" t="s">
        <v>236</v>
      </c>
      <c r="BN8" t="s">
        <v>68</v>
      </c>
      <c r="BO8" t="s">
        <v>236</v>
      </c>
      <c r="BP8" t="s">
        <v>236</v>
      </c>
      <c r="BQ8" t="s">
        <v>236</v>
      </c>
      <c r="BR8" t="s">
        <v>236</v>
      </c>
      <c r="BS8" t="s">
        <v>435</v>
      </c>
      <c r="BT8">
        <v>0</v>
      </c>
      <c r="BU8" s="19"/>
      <c r="BV8" s="19"/>
      <c r="BW8" s="19"/>
      <c r="BX8" s="19"/>
    </row>
    <row r="9" spans="1:77" x14ac:dyDescent="0.15">
      <c r="A9" s="43">
        <v>2022</v>
      </c>
      <c r="B9" s="43">
        <v>12</v>
      </c>
      <c r="C9" s="43">
        <v>1</v>
      </c>
      <c r="D9" s="43">
        <v>20</v>
      </c>
      <c r="E9" s="43" t="s">
        <v>236</v>
      </c>
      <c r="F9" s="43" t="s">
        <v>57</v>
      </c>
      <c r="G9" s="43">
        <v>2016</v>
      </c>
      <c r="H9" s="43">
        <v>12</v>
      </c>
      <c r="I9" s="43" t="s">
        <v>525</v>
      </c>
      <c r="J9" s="43" t="s">
        <v>236</v>
      </c>
      <c r="K9" s="43">
        <v>1982</v>
      </c>
      <c r="L9" s="43">
        <v>12</v>
      </c>
      <c r="M9" s="43">
        <v>1</v>
      </c>
      <c r="N9" s="43" t="s">
        <v>48</v>
      </c>
      <c r="O9" s="43" t="s">
        <v>221</v>
      </c>
      <c r="P9" s="43" t="s">
        <v>224</v>
      </c>
      <c r="Q9" s="43">
        <v>3000</v>
      </c>
      <c r="R9" s="43" t="s">
        <v>57</v>
      </c>
      <c r="S9" s="43" t="s">
        <v>52</v>
      </c>
      <c r="T9" s="43" t="s">
        <v>70</v>
      </c>
      <c r="U9" s="43" t="s">
        <v>236</v>
      </c>
      <c r="V9" s="43">
        <v>1000</v>
      </c>
      <c r="W9" s="43" t="s">
        <v>241</v>
      </c>
      <c r="X9" s="43">
        <v>3000</v>
      </c>
      <c r="Y9" s="43" t="s">
        <v>278</v>
      </c>
      <c r="Z9" s="43">
        <v>90</v>
      </c>
      <c r="AA9" s="43" t="s">
        <v>528</v>
      </c>
      <c r="AB9" s="43" t="s">
        <v>236</v>
      </c>
      <c r="AC9" s="43" t="s">
        <v>236</v>
      </c>
      <c r="AD9" s="43" t="s">
        <v>236</v>
      </c>
      <c r="AE9" s="43" t="s">
        <v>68</v>
      </c>
      <c r="AF9" s="43" t="s">
        <v>236</v>
      </c>
      <c r="AG9" s="43" t="s">
        <v>236</v>
      </c>
      <c r="AH9" s="43" t="s">
        <v>236</v>
      </c>
      <c r="AI9" s="43" t="s">
        <v>236</v>
      </c>
      <c r="AJ9" t="s">
        <v>520</v>
      </c>
      <c r="AK9">
        <v>12</v>
      </c>
      <c r="AL9">
        <v>1</v>
      </c>
      <c r="AM9" t="s">
        <v>85</v>
      </c>
      <c r="AN9" t="s">
        <v>236</v>
      </c>
      <c r="AO9" t="s">
        <v>529</v>
      </c>
      <c r="AP9" t="s">
        <v>113</v>
      </c>
      <c r="AQ9">
        <v>12</v>
      </c>
      <c r="AR9" t="s">
        <v>525</v>
      </c>
      <c r="AS9" t="s">
        <v>236</v>
      </c>
      <c r="AT9" t="s">
        <v>145</v>
      </c>
      <c r="AU9">
        <v>12</v>
      </c>
      <c r="AV9">
        <v>1</v>
      </c>
      <c r="AW9" t="s">
        <v>429</v>
      </c>
      <c r="AX9" t="s">
        <v>221</v>
      </c>
      <c r="AY9" t="s">
        <v>224</v>
      </c>
      <c r="AZ9">
        <v>1</v>
      </c>
      <c r="BA9" t="s">
        <v>434</v>
      </c>
      <c r="BB9" t="s">
        <v>428</v>
      </c>
      <c r="BC9" t="s">
        <v>416</v>
      </c>
      <c r="BD9" t="s">
        <v>236</v>
      </c>
      <c r="BE9" t="s">
        <v>438</v>
      </c>
      <c r="BF9" t="s">
        <v>530</v>
      </c>
      <c r="BG9" t="s">
        <v>430</v>
      </c>
      <c r="BH9" t="s">
        <v>417</v>
      </c>
      <c r="BI9" t="s">
        <v>549</v>
      </c>
      <c r="BJ9" t="s">
        <v>68</v>
      </c>
      <c r="BK9" t="s">
        <v>236</v>
      </c>
      <c r="BL9" t="s">
        <v>236</v>
      </c>
      <c r="BM9" t="s">
        <v>236</v>
      </c>
      <c r="BN9" t="s">
        <v>68</v>
      </c>
      <c r="BO9" t="s">
        <v>236</v>
      </c>
      <c r="BP9" t="s">
        <v>236</v>
      </c>
      <c r="BQ9" t="s">
        <v>236</v>
      </c>
      <c r="BR9" t="s">
        <v>236</v>
      </c>
      <c r="BS9" t="s">
        <v>435</v>
      </c>
      <c r="BT9">
        <v>0</v>
      </c>
    </row>
    <row r="10" spans="1:77" x14ac:dyDescent="0.15">
      <c r="A10" s="43">
        <v>2022</v>
      </c>
      <c r="B10" s="43">
        <v>12</v>
      </c>
      <c r="C10" s="43">
        <v>1</v>
      </c>
      <c r="D10" s="43">
        <v>20</v>
      </c>
      <c r="E10" s="43" t="s">
        <v>236</v>
      </c>
      <c r="F10" s="43" t="s">
        <v>57</v>
      </c>
      <c r="G10" s="43">
        <v>2016</v>
      </c>
      <c r="H10" s="43">
        <v>12</v>
      </c>
      <c r="I10" s="43" t="s">
        <v>526</v>
      </c>
      <c r="J10" s="43" t="s">
        <v>236</v>
      </c>
      <c r="K10" s="43">
        <v>1982</v>
      </c>
      <c r="L10" s="43">
        <v>12</v>
      </c>
      <c r="M10" s="43">
        <v>1</v>
      </c>
      <c r="N10" s="43" t="s">
        <v>48</v>
      </c>
      <c r="O10" s="43" t="s">
        <v>221</v>
      </c>
      <c r="P10" s="43" t="s">
        <v>224</v>
      </c>
      <c r="Q10" s="43">
        <v>3000</v>
      </c>
      <c r="R10" s="43" t="s">
        <v>57</v>
      </c>
      <c r="S10" s="43" t="s">
        <v>52</v>
      </c>
      <c r="T10" s="43" t="s">
        <v>70</v>
      </c>
      <c r="U10" s="43" t="s">
        <v>236</v>
      </c>
      <c r="V10" s="43">
        <v>1000</v>
      </c>
      <c r="W10" s="43" t="s">
        <v>241</v>
      </c>
      <c r="X10" s="43">
        <v>3000</v>
      </c>
      <c r="Y10" s="43" t="s">
        <v>278</v>
      </c>
      <c r="Z10" s="43">
        <v>50</v>
      </c>
      <c r="AA10" s="43" t="s">
        <v>528</v>
      </c>
      <c r="AB10" s="43" t="s">
        <v>236</v>
      </c>
      <c r="AC10" s="43" t="s">
        <v>236</v>
      </c>
      <c r="AD10" s="43" t="s">
        <v>236</v>
      </c>
      <c r="AE10" s="43" t="s">
        <v>68</v>
      </c>
      <c r="AF10" s="43" t="s">
        <v>236</v>
      </c>
      <c r="AG10" s="43" t="s">
        <v>236</v>
      </c>
      <c r="AH10" s="43" t="s">
        <v>236</v>
      </c>
      <c r="AI10" s="43" t="s">
        <v>236</v>
      </c>
      <c r="AJ10" t="s">
        <v>520</v>
      </c>
      <c r="AK10">
        <v>12</v>
      </c>
      <c r="AL10">
        <v>1</v>
      </c>
      <c r="AM10" t="s">
        <v>85</v>
      </c>
      <c r="AN10" t="s">
        <v>236</v>
      </c>
      <c r="AO10" t="s">
        <v>529</v>
      </c>
      <c r="AP10" t="s">
        <v>113</v>
      </c>
      <c r="AQ10">
        <v>12</v>
      </c>
      <c r="AR10" t="s">
        <v>526</v>
      </c>
      <c r="AS10" t="s">
        <v>236</v>
      </c>
      <c r="AT10" t="s">
        <v>145</v>
      </c>
      <c r="AU10">
        <v>12</v>
      </c>
      <c r="AV10">
        <v>1</v>
      </c>
      <c r="AW10" t="s">
        <v>429</v>
      </c>
      <c r="AX10" t="s">
        <v>221</v>
      </c>
      <c r="AY10" t="s">
        <v>224</v>
      </c>
      <c r="AZ10">
        <v>1</v>
      </c>
      <c r="BA10" t="s">
        <v>434</v>
      </c>
      <c r="BB10" t="s">
        <v>428</v>
      </c>
      <c r="BC10" t="s">
        <v>416</v>
      </c>
      <c r="BD10" t="s">
        <v>236</v>
      </c>
      <c r="BE10" t="s">
        <v>438</v>
      </c>
      <c r="BF10" t="s">
        <v>530</v>
      </c>
      <c r="BG10" t="s">
        <v>430</v>
      </c>
      <c r="BH10" t="s">
        <v>417</v>
      </c>
      <c r="BI10" t="s">
        <v>522</v>
      </c>
      <c r="BJ10" t="s">
        <v>68</v>
      </c>
      <c r="BK10" t="s">
        <v>236</v>
      </c>
      <c r="BL10" t="s">
        <v>236</v>
      </c>
      <c r="BM10" t="s">
        <v>236</v>
      </c>
      <c r="BN10" t="s">
        <v>68</v>
      </c>
      <c r="BO10" t="s">
        <v>236</v>
      </c>
      <c r="BP10" t="s">
        <v>236</v>
      </c>
      <c r="BQ10" t="s">
        <v>236</v>
      </c>
      <c r="BR10" t="s">
        <v>236</v>
      </c>
      <c r="BS10" t="s">
        <v>435</v>
      </c>
      <c r="BT10">
        <v>0</v>
      </c>
    </row>
    <row r="11" spans="1:77" x14ac:dyDescent="0.15">
      <c r="A11" s="43">
        <v>2022</v>
      </c>
      <c r="B11" s="43">
        <v>12</v>
      </c>
      <c r="C11" s="43">
        <v>1</v>
      </c>
      <c r="D11" s="43">
        <v>20</v>
      </c>
      <c r="E11" s="43" t="s">
        <v>236</v>
      </c>
      <c r="F11" s="43" t="s">
        <v>57</v>
      </c>
      <c r="G11" s="43">
        <v>2016</v>
      </c>
      <c r="H11" s="43">
        <v>12</v>
      </c>
      <c r="I11" s="43" t="s">
        <v>533</v>
      </c>
      <c r="J11" s="43" t="s">
        <v>236</v>
      </c>
      <c r="K11" s="43">
        <v>1982</v>
      </c>
      <c r="L11" s="43">
        <v>12</v>
      </c>
      <c r="M11" s="43">
        <v>1</v>
      </c>
      <c r="N11" s="43" t="s">
        <v>48</v>
      </c>
      <c r="O11" s="43" t="s">
        <v>221</v>
      </c>
      <c r="P11" s="43" t="s">
        <v>224</v>
      </c>
      <c r="Q11" s="43">
        <v>3000</v>
      </c>
      <c r="R11" s="43" t="s">
        <v>57</v>
      </c>
      <c r="S11" s="43" t="s">
        <v>52</v>
      </c>
      <c r="T11" s="43" t="s">
        <v>70</v>
      </c>
      <c r="U11" s="43" t="s">
        <v>236</v>
      </c>
      <c r="V11" s="43">
        <v>1000</v>
      </c>
      <c r="W11" s="43" t="s">
        <v>241</v>
      </c>
      <c r="X11" s="43">
        <v>3000</v>
      </c>
      <c r="Y11" s="43" t="s">
        <v>278</v>
      </c>
      <c r="Z11" s="43">
        <v>100</v>
      </c>
      <c r="AA11" s="43" t="s">
        <v>528</v>
      </c>
      <c r="AB11" s="43" t="s">
        <v>236</v>
      </c>
      <c r="AC11" s="43" t="s">
        <v>236</v>
      </c>
      <c r="AD11" s="43" t="s">
        <v>236</v>
      </c>
      <c r="AE11" s="43" t="s">
        <v>68</v>
      </c>
      <c r="AF11" s="43" t="s">
        <v>236</v>
      </c>
      <c r="AG11" s="43" t="s">
        <v>236</v>
      </c>
      <c r="AH11" s="43" t="s">
        <v>236</v>
      </c>
      <c r="AI11" s="43" t="s">
        <v>236</v>
      </c>
      <c r="AJ11" t="s">
        <v>520</v>
      </c>
      <c r="AK11">
        <v>12</v>
      </c>
      <c r="AL11">
        <v>1</v>
      </c>
      <c r="AM11" t="s">
        <v>85</v>
      </c>
      <c r="AN11" t="s">
        <v>236</v>
      </c>
      <c r="AO11" t="s">
        <v>529</v>
      </c>
      <c r="AP11" t="s">
        <v>113</v>
      </c>
      <c r="AQ11">
        <v>12</v>
      </c>
      <c r="AR11" t="s">
        <v>533</v>
      </c>
      <c r="AS11" t="s">
        <v>236</v>
      </c>
      <c r="AT11" t="s">
        <v>145</v>
      </c>
      <c r="AU11">
        <v>12</v>
      </c>
      <c r="AV11">
        <v>1</v>
      </c>
      <c r="AW11" t="s">
        <v>429</v>
      </c>
      <c r="AX11" t="s">
        <v>221</v>
      </c>
      <c r="AY11" t="s">
        <v>224</v>
      </c>
      <c r="AZ11">
        <v>1</v>
      </c>
      <c r="BA11" t="s">
        <v>434</v>
      </c>
      <c r="BB11" t="s">
        <v>428</v>
      </c>
      <c r="BC11" t="s">
        <v>416</v>
      </c>
      <c r="BD11" t="s">
        <v>236</v>
      </c>
      <c r="BE11" t="s">
        <v>438</v>
      </c>
      <c r="BF11" t="s">
        <v>530</v>
      </c>
      <c r="BG11" t="s">
        <v>430</v>
      </c>
      <c r="BH11" t="s">
        <v>417</v>
      </c>
      <c r="BI11" t="s">
        <v>547</v>
      </c>
      <c r="BJ11" t="s">
        <v>68</v>
      </c>
      <c r="BK11" t="s">
        <v>236</v>
      </c>
      <c r="BL11" t="s">
        <v>236</v>
      </c>
      <c r="BM11" t="s">
        <v>236</v>
      </c>
      <c r="BN11" t="s">
        <v>68</v>
      </c>
      <c r="BO11" t="s">
        <v>236</v>
      </c>
      <c r="BP11" t="s">
        <v>236</v>
      </c>
      <c r="BQ11" t="s">
        <v>236</v>
      </c>
      <c r="BR11" t="s">
        <v>236</v>
      </c>
      <c r="BS11" t="s">
        <v>435</v>
      </c>
      <c r="BT11">
        <v>0</v>
      </c>
    </row>
    <row r="12" spans="1:77" x14ac:dyDescent="0.15">
      <c r="A12" s="43">
        <v>2022</v>
      </c>
      <c r="B12" s="43">
        <v>12</v>
      </c>
      <c r="C12" s="43">
        <v>1</v>
      </c>
      <c r="D12" s="43">
        <v>20</v>
      </c>
      <c r="E12" s="43" t="s">
        <v>236</v>
      </c>
      <c r="F12" s="43" t="s">
        <v>57</v>
      </c>
      <c r="G12" s="43">
        <v>2021</v>
      </c>
      <c r="H12" s="43">
        <v>10</v>
      </c>
      <c r="I12" s="43" t="s">
        <v>534</v>
      </c>
      <c r="J12" s="43" t="s">
        <v>236</v>
      </c>
      <c r="K12" s="43">
        <v>1982</v>
      </c>
      <c r="L12" s="43">
        <v>12</v>
      </c>
      <c r="M12" s="43">
        <v>1</v>
      </c>
      <c r="N12" s="43" t="s">
        <v>48</v>
      </c>
      <c r="O12" s="43" t="s">
        <v>221</v>
      </c>
      <c r="P12" s="43" t="s">
        <v>224</v>
      </c>
      <c r="Q12" s="43">
        <v>3000</v>
      </c>
      <c r="R12" s="43" t="s">
        <v>57</v>
      </c>
      <c r="S12" s="43" t="s">
        <v>52</v>
      </c>
      <c r="T12" s="43" t="s">
        <v>70</v>
      </c>
      <c r="U12" s="43" t="s">
        <v>236</v>
      </c>
      <c r="V12" s="43">
        <v>1000</v>
      </c>
      <c r="W12" s="43" t="s">
        <v>241</v>
      </c>
      <c r="X12" s="43">
        <v>3000</v>
      </c>
      <c r="Y12" s="43" t="s">
        <v>278</v>
      </c>
      <c r="Z12" s="43">
        <v>260</v>
      </c>
      <c r="AA12" s="43" t="s">
        <v>528</v>
      </c>
      <c r="AB12" s="43" t="s">
        <v>236</v>
      </c>
      <c r="AC12" s="43" t="s">
        <v>236</v>
      </c>
      <c r="AD12" s="43" t="s">
        <v>236</v>
      </c>
      <c r="AE12" s="43" t="s">
        <v>68</v>
      </c>
      <c r="AF12" s="43" t="s">
        <v>236</v>
      </c>
      <c r="AG12" s="43" t="s">
        <v>236</v>
      </c>
      <c r="AH12" s="43" t="s">
        <v>236</v>
      </c>
      <c r="AI12" s="43" t="s">
        <v>236</v>
      </c>
      <c r="AJ12" t="s">
        <v>520</v>
      </c>
      <c r="AK12">
        <v>12</v>
      </c>
      <c r="AL12">
        <v>1</v>
      </c>
      <c r="AM12" t="s">
        <v>85</v>
      </c>
      <c r="AN12" t="s">
        <v>236</v>
      </c>
      <c r="AO12" t="s">
        <v>529</v>
      </c>
      <c r="AP12" t="s">
        <v>550</v>
      </c>
      <c r="AQ12">
        <v>10</v>
      </c>
      <c r="AR12" t="s">
        <v>534</v>
      </c>
      <c r="AS12" t="s">
        <v>236</v>
      </c>
      <c r="AT12" t="s">
        <v>145</v>
      </c>
      <c r="AU12">
        <v>12</v>
      </c>
      <c r="AV12">
        <v>1</v>
      </c>
      <c r="AW12" t="s">
        <v>429</v>
      </c>
      <c r="AX12" t="s">
        <v>221</v>
      </c>
      <c r="AY12" t="s">
        <v>224</v>
      </c>
      <c r="AZ12">
        <v>1</v>
      </c>
      <c r="BA12" t="s">
        <v>434</v>
      </c>
      <c r="BB12" t="s">
        <v>428</v>
      </c>
      <c r="BC12" t="s">
        <v>416</v>
      </c>
      <c r="BD12" t="s">
        <v>236</v>
      </c>
      <c r="BE12" t="s">
        <v>438</v>
      </c>
      <c r="BF12" t="s">
        <v>530</v>
      </c>
      <c r="BG12" t="s">
        <v>430</v>
      </c>
      <c r="BH12" t="s">
        <v>417</v>
      </c>
      <c r="BI12" t="s">
        <v>551</v>
      </c>
      <c r="BJ12" t="s">
        <v>68</v>
      </c>
      <c r="BK12" t="s">
        <v>236</v>
      </c>
      <c r="BL12" t="s">
        <v>236</v>
      </c>
      <c r="BM12" t="s">
        <v>236</v>
      </c>
      <c r="BN12" t="s">
        <v>68</v>
      </c>
      <c r="BO12" t="s">
        <v>236</v>
      </c>
      <c r="BP12" t="s">
        <v>236</v>
      </c>
      <c r="BQ12" t="s">
        <v>236</v>
      </c>
      <c r="BR12" t="s">
        <v>236</v>
      </c>
      <c r="BS12" t="s">
        <v>435</v>
      </c>
      <c r="BT12">
        <v>0</v>
      </c>
    </row>
    <row r="13" spans="1:77" x14ac:dyDescent="0.15">
      <c r="A13" s="43">
        <v>2022</v>
      </c>
      <c r="B13" s="43">
        <v>12</v>
      </c>
      <c r="C13" s="43">
        <v>1</v>
      </c>
      <c r="D13" s="43">
        <v>20</v>
      </c>
      <c r="E13" s="43" t="s">
        <v>236</v>
      </c>
      <c r="F13" s="43" t="s">
        <v>57</v>
      </c>
      <c r="G13" s="43">
        <v>2021</v>
      </c>
      <c r="H13" s="43">
        <v>10</v>
      </c>
      <c r="I13" s="43" t="s">
        <v>535</v>
      </c>
      <c r="J13" s="43" t="s">
        <v>236</v>
      </c>
      <c r="K13" s="43">
        <v>1982</v>
      </c>
      <c r="L13" s="43">
        <v>12</v>
      </c>
      <c r="M13" s="43">
        <v>1</v>
      </c>
      <c r="N13" s="43" t="s">
        <v>48</v>
      </c>
      <c r="O13" s="43" t="s">
        <v>221</v>
      </c>
      <c r="P13" s="43" t="s">
        <v>224</v>
      </c>
      <c r="Q13" s="43">
        <v>3000</v>
      </c>
      <c r="R13" s="43" t="s">
        <v>57</v>
      </c>
      <c r="S13" s="43" t="s">
        <v>52</v>
      </c>
      <c r="T13" s="43" t="s">
        <v>70</v>
      </c>
      <c r="U13" s="43" t="s">
        <v>236</v>
      </c>
      <c r="V13" s="43">
        <v>1000</v>
      </c>
      <c r="W13" s="43" t="s">
        <v>241</v>
      </c>
      <c r="X13" s="43">
        <v>3000</v>
      </c>
      <c r="Y13" s="43" t="s">
        <v>278</v>
      </c>
      <c r="Z13" s="43">
        <v>480</v>
      </c>
      <c r="AA13" s="43" t="s">
        <v>528</v>
      </c>
      <c r="AB13" s="43" t="s">
        <v>236</v>
      </c>
      <c r="AC13" s="43" t="s">
        <v>236</v>
      </c>
      <c r="AD13" s="43" t="s">
        <v>236</v>
      </c>
      <c r="AE13" s="43" t="s">
        <v>68</v>
      </c>
      <c r="AF13" s="43" t="s">
        <v>236</v>
      </c>
      <c r="AG13" s="43" t="s">
        <v>236</v>
      </c>
      <c r="AH13" s="43" t="s">
        <v>236</v>
      </c>
      <c r="AI13" s="43" t="s">
        <v>236</v>
      </c>
      <c r="AJ13" t="s">
        <v>520</v>
      </c>
      <c r="AK13">
        <v>12</v>
      </c>
      <c r="AL13">
        <v>1</v>
      </c>
      <c r="AM13" t="s">
        <v>85</v>
      </c>
      <c r="AN13" t="s">
        <v>236</v>
      </c>
      <c r="AO13" t="s">
        <v>529</v>
      </c>
      <c r="AP13" t="s">
        <v>550</v>
      </c>
      <c r="AQ13">
        <v>10</v>
      </c>
      <c r="AR13" t="s">
        <v>535</v>
      </c>
      <c r="AS13" t="s">
        <v>236</v>
      </c>
      <c r="AT13" t="s">
        <v>145</v>
      </c>
      <c r="AU13">
        <v>12</v>
      </c>
      <c r="AV13">
        <v>1</v>
      </c>
      <c r="AW13" t="s">
        <v>429</v>
      </c>
      <c r="AX13" t="s">
        <v>221</v>
      </c>
      <c r="AY13" t="s">
        <v>224</v>
      </c>
      <c r="AZ13">
        <v>1</v>
      </c>
      <c r="BA13" t="s">
        <v>434</v>
      </c>
      <c r="BB13" t="s">
        <v>428</v>
      </c>
      <c r="BC13" t="s">
        <v>416</v>
      </c>
      <c r="BD13" t="s">
        <v>236</v>
      </c>
      <c r="BE13" t="s">
        <v>438</v>
      </c>
      <c r="BF13" t="s">
        <v>530</v>
      </c>
      <c r="BG13" t="s">
        <v>430</v>
      </c>
      <c r="BH13" t="s">
        <v>417</v>
      </c>
      <c r="BI13" t="s">
        <v>552</v>
      </c>
      <c r="BJ13" t="s">
        <v>68</v>
      </c>
      <c r="BK13" t="s">
        <v>236</v>
      </c>
      <c r="BL13" t="s">
        <v>236</v>
      </c>
      <c r="BM13" t="s">
        <v>236</v>
      </c>
      <c r="BN13" t="s">
        <v>68</v>
      </c>
      <c r="BO13" t="s">
        <v>236</v>
      </c>
      <c r="BP13" t="s">
        <v>236</v>
      </c>
      <c r="BQ13" t="s">
        <v>236</v>
      </c>
      <c r="BR13" t="s">
        <v>236</v>
      </c>
      <c r="BS13" t="s">
        <v>435</v>
      </c>
      <c r="BT13">
        <v>0</v>
      </c>
    </row>
    <row r="14" spans="1:77" x14ac:dyDescent="0.15">
      <c r="A14" s="43">
        <v>2022</v>
      </c>
      <c r="B14" s="43">
        <v>12</v>
      </c>
      <c r="C14" s="43">
        <v>1</v>
      </c>
      <c r="D14" s="43">
        <v>20</v>
      </c>
      <c r="E14" s="43" t="s">
        <v>236</v>
      </c>
      <c r="F14" s="43" t="s">
        <v>57</v>
      </c>
      <c r="G14" s="43">
        <v>2021</v>
      </c>
      <c r="H14" s="43">
        <v>10</v>
      </c>
      <c r="I14" s="43" t="s">
        <v>536</v>
      </c>
      <c r="J14" s="43" t="s">
        <v>236</v>
      </c>
      <c r="K14" s="43">
        <v>1982</v>
      </c>
      <c r="L14" s="43">
        <v>12</v>
      </c>
      <c r="M14" s="43">
        <v>1</v>
      </c>
      <c r="N14" s="43" t="s">
        <v>48</v>
      </c>
      <c r="O14" s="43" t="s">
        <v>221</v>
      </c>
      <c r="P14" s="43" t="s">
        <v>224</v>
      </c>
      <c r="Q14" s="43">
        <v>3000</v>
      </c>
      <c r="R14" s="43" t="s">
        <v>57</v>
      </c>
      <c r="S14" s="43" t="s">
        <v>52</v>
      </c>
      <c r="T14" s="43" t="s">
        <v>70</v>
      </c>
      <c r="U14" s="43" t="s">
        <v>236</v>
      </c>
      <c r="V14" s="43">
        <v>1000</v>
      </c>
      <c r="W14" s="43" t="s">
        <v>241</v>
      </c>
      <c r="X14" s="43">
        <v>3000</v>
      </c>
      <c r="Y14" s="43" t="s">
        <v>278</v>
      </c>
      <c r="Z14" s="43">
        <v>270</v>
      </c>
      <c r="AA14" s="43" t="s">
        <v>528</v>
      </c>
      <c r="AB14" s="43" t="s">
        <v>236</v>
      </c>
      <c r="AC14" s="43" t="s">
        <v>236</v>
      </c>
      <c r="AD14" s="43" t="s">
        <v>236</v>
      </c>
      <c r="AE14" s="43" t="s">
        <v>68</v>
      </c>
      <c r="AF14" s="43" t="s">
        <v>236</v>
      </c>
      <c r="AG14" s="43" t="s">
        <v>236</v>
      </c>
      <c r="AH14" s="43" t="s">
        <v>236</v>
      </c>
      <c r="AI14" s="43" t="s">
        <v>236</v>
      </c>
      <c r="AJ14" t="s">
        <v>520</v>
      </c>
      <c r="AK14">
        <v>12</v>
      </c>
      <c r="AL14">
        <v>1</v>
      </c>
      <c r="AM14" t="s">
        <v>85</v>
      </c>
      <c r="AN14" t="s">
        <v>236</v>
      </c>
      <c r="AO14" t="s">
        <v>529</v>
      </c>
      <c r="AP14" t="s">
        <v>550</v>
      </c>
      <c r="AQ14">
        <v>10</v>
      </c>
      <c r="AR14" t="s">
        <v>536</v>
      </c>
      <c r="AS14" t="s">
        <v>236</v>
      </c>
      <c r="AT14" t="s">
        <v>145</v>
      </c>
      <c r="AU14">
        <v>12</v>
      </c>
      <c r="AV14">
        <v>1</v>
      </c>
      <c r="AW14" t="s">
        <v>429</v>
      </c>
      <c r="AX14" t="s">
        <v>221</v>
      </c>
      <c r="AY14" t="s">
        <v>224</v>
      </c>
      <c r="AZ14">
        <v>1</v>
      </c>
      <c r="BA14" t="s">
        <v>434</v>
      </c>
      <c r="BB14" t="s">
        <v>428</v>
      </c>
      <c r="BC14" t="s">
        <v>416</v>
      </c>
      <c r="BD14" t="s">
        <v>236</v>
      </c>
      <c r="BE14" t="s">
        <v>438</v>
      </c>
      <c r="BF14" t="s">
        <v>530</v>
      </c>
      <c r="BG14" t="s">
        <v>430</v>
      </c>
      <c r="BH14" t="s">
        <v>417</v>
      </c>
      <c r="BI14" t="s">
        <v>553</v>
      </c>
      <c r="BJ14" t="s">
        <v>68</v>
      </c>
      <c r="BK14" t="s">
        <v>236</v>
      </c>
      <c r="BL14" t="s">
        <v>236</v>
      </c>
      <c r="BM14" t="s">
        <v>236</v>
      </c>
      <c r="BN14" t="s">
        <v>68</v>
      </c>
      <c r="BO14" t="s">
        <v>236</v>
      </c>
      <c r="BP14" t="s">
        <v>236</v>
      </c>
      <c r="BQ14" t="s">
        <v>236</v>
      </c>
      <c r="BR14" t="s">
        <v>236</v>
      </c>
      <c r="BS14" t="s">
        <v>435</v>
      </c>
      <c r="BT14">
        <v>0</v>
      </c>
    </row>
    <row r="15" spans="1:77" x14ac:dyDescent="0.15">
      <c r="A15" s="43">
        <v>2022</v>
      </c>
      <c r="B15" s="43">
        <v>12</v>
      </c>
      <c r="C15" s="43">
        <v>1</v>
      </c>
      <c r="D15" s="43">
        <v>20</v>
      </c>
      <c r="E15" s="43" t="s">
        <v>236</v>
      </c>
      <c r="F15" s="43" t="s">
        <v>57</v>
      </c>
      <c r="G15" s="43">
        <v>2021</v>
      </c>
      <c r="H15" s="43">
        <v>10</v>
      </c>
      <c r="I15" s="43" t="s">
        <v>537</v>
      </c>
      <c r="J15" s="43" t="s">
        <v>236</v>
      </c>
      <c r="K15" s="43">
        <v>1982</v>
      </c>
      <c r="L15" s="43">
        <v>12</v>
      </c>
      <c r="M15" s="43">
        <v>1</v>
      </c>
      <c r="N15" s="43" t="s">
        <v>48</v>
      </c>
      <c r="O15" s="43" t="s">
        <v>221</v>
      </c>
      <c r="P15" s="43" t="s">
        <v>224</v>
      </c>
      <c r="Q15" s="43">
        <v>3000</v>
      </c>
      <c r="R15" s="43" t="s">
        <v>57</v>
      </c>
      <c r="S15" s="43" t="s">
        <v>52</v>
      </c>
      <c r="T15" s="43" t="s">
        <v>70</v>
      </c>
      <c r="U15" s="43" t="s">
        <v>236</v>
      </c>
      <c r="V15" s="43">
        <v>1000</v>
      </c>
      <c r="W15" s="43" t="s">
        <v>241</v>
      </c>
      <c r="X15" s="43">
        <v>3000</v>
      </c>
      <c r="Y15" s="43" t="s">
        <v>278</v>
      </c>
      <c r="Z15" s="43">
        <v>240</v>
      </c>
      <c r="AA15" s="43" t="s">
        <v>528</v>
      </c>
      <c r="AB15" s="43" t="s">
        <v>236</v>
      </c>
      <c r="AC15" s="43" t="s">
        <v>236</v>
      </c>
      <c r="AD15" s="43" t="s">
        <v>236</v>
      </c>
      <c r="AE15" s="43" t="s">
        <v>68</v>
      </c>
      <c r="AF15" s="43" t="s">
        <v>236</v>
      </c>
      <c r="AG15" s="43" t="s">
        <v>236</v>
      </c>
      <c r="AH15" s="43" t="s">
        <v>236</v>
      </c>
      <c r="AI15" s="43" t="s">
        <v>236</v>
      </c>
      <c r="AJ15" t="s">
        <v>520</v>
      </c>
      <c r="AK15">
        <v>12</v>
      </c>
      <c r="AL15">
        <v>1</v>
      </c>
      <c r="AM15" t="s">
        <v>85</v>
      </c>
      <c r="AN15" t="s">
        <v>236</v>
      </c>
      <c r="AO15" t="s">
        <v>529</v>
      </c>
      <c r="AP15" t="s">
        <v>550</v>
      </c>
      <c r="AQ15">
        <v>10</v>
      </c>
      <c r="AR15" t="s">
        <v>537</v>
      </c>
      <c r="AS15" t="s">
        <v>236</v>
      </c>
      <c r="AT15" t="s">
        <v>145</v>
      </c>
      <c r="AU15">
        <v>12</v>
      </c>
      <c r="AV15">
        <v>1</v>
      </c>
      <c r="AW15" t="s">
        <v>429</v>
      </c>
      <c r="AX15" t="s">
        <v>221</v>
      </c>
      <c r="AY15" t="s">
        <v>224</v>
      </c>
      <c r="AZ15">
        <v>1</v>
      </c>
      <c r="BA15" t="s">
        <v>434</v>
      </c>
      <c r="BB15" t="s">
        <v>428</v>
      </c>
      <c r="BC15" t="s">
        <v>416</v>
      </c>
      <c r="BD15" t="s">
        <v>236</v>
      </c>
      <c r="BE15" t="s">
        <v>438</v>
      </c>
      <c r="BF15" t="s">
        <v>530</v>
      </c>
      <c r="BG15" t="s">
        <v>430</v>
      </c>
      <c r="BH15" t="s">
        <v>417</v>
      </c>
      <c r="BI15" t="s">
        <v>554</v>
      </c>
      <c r="BJ15" t="s">
        <v>68</v>
      </c>
      <c r="BK15" t="s">
        <v>236</v>
      </c>
      <c r="BL15" t="s">
        <v>236</v>
      </c>
      <c r="BM15" t="s">
        <v>236</v>
      </c>
      <c r="BN15" t="s">
        <v>68</v>
      </c>
      <c r="BO15" t="s">
        <v>236</v>
      </c>
      <c r="BP15" t="s">
        <v>236</v>
      </c>
      <c r="BQ15" t="s">
        <v>236</v>
      </c>
      <c r="BR15" t="s">
        <v>236</v>
      </c>
      <c r="BS15" t="s">
        <v>435</v>
      </c>
      <c r="BT15">
        <v>0</v>
      </c>
    </row>
    <row r="16" spans="1:77" x14ac:dyDescent="0.15">
      <c r="A16" s="43">
        <v>2022</v>
      </c>
      <c r="B16" s="43">
        <v>12</v>
      </c>
      <c r="C16" s="43">
        <v>1</v>
      </c>
      <c r="D16" s="43">
        <v>20</v>
      </c>
      <c r="E16" s="43" t="s">
        <v>236</v>
      </c>
      <c r="F16" s="43" t="s">
        <v>57</v>
      </c>
      <c r="G16" s="43">
        <v>2021</v>
      </c>
      <c r="H16" s="43">
        <v>10</v>
      </c>
      <c r="I16" s="43" t="s">
        <v>538</v>
      </c>
      <c r="J16" s="43" t="s">
        <v>236</v>
      </c>
      <c r="K16" s="43">
        <v>1982</v>
      </c>
      <c r="L16" s="43">
        <v>12</v>
      </c>
      <c r="M16" s="43">
        <v>1</v>
      </c>
      <c r="N16" s="43" t="s">
        <v>48</v>
      </c>
      <c r="O16" s="43" t="s">
        <v>221</v>
      </c>
      <c r="P16" s="43" t="s">
        <v>224</v>
      </c>
      <c r="Q16" s="43">
        <v>3000</v>
      </c>
      <c r="R16" s="43" t="s">
        <v>57</v>
      </c>
      <c r="S16" s="43" t="s">
        <v>52</v>
      </c>
      <c r="T16" s="43" t="s">
        <v>70</v>
      </c>
      <c r="U16" s="43" t="s">
        <v>236</v>
      </c>
      <c r="V16" s="43">
        <v>1000</v>
      </c>
      <c r="W16" s="43" t="s">
        <v>241</v>
      </c>
      <c r="X16" s="43">
        <v>3000</v>
      </c>
      <c r="Y16" s="43" t="s">
        <v>278</v>
      </c>
      <c r="Z16" s="43">
        <v>460</v>
      </c>
      <c r="AA16" s="43" t="s">
        <v>528</v>
      </c>
      <c r="AB16" s="43" t="s">
        <v>236</v>
      </c>
      <c r="AC16" s="43" t="s">
        <v>236</v>
      </c>
      <c r="AD16" s="43" t="s">
        <v>236</v>
      </c>
      <c r="AE16" s="43" t="s">
        <v>68</v>
      </c>
      <c r="AF16" s="43" t="s">
        <v>236</v>
      </c>
      <c r="AG16" s="43" t="s">
        <v>236</v>
      </c>
      <c r="AH16" s="43" t="s">
        <v>236</v>
      </c>
      <c r="AI16" s="43" t="s">
        <v>236</v>
      </c>
      <c r="AJ16" t="s">
        <v>520</v>
      </c>
      <c r="AK16">
        <v>12</v>
      </c>
      <c r="AL16">
        <v>1</v>
      </c>
      <c r="AM16" t="s">
        <v>85</v>
      </c>
      <c r="AN16" t="s">
        <v>236</v>
      </c>
      <c r="AO16" t="s">
        <v>529</v>
      </c>
      <c r="AP16" t="s">
        <v>550</v>
      </c>
      <c r="AQ16">
        <v>10</v>
      </c>
      <c r="AR16" t="s">
        <v>538</v>
      </c>
      <c r="AS16" t="s">
        <v>236</v>
      </c>
      <c r="AT16" t="s">
        <v>145</v>
      </c>
      <c r="AU16">
        <v>12</v>
      </c>
      <c r="AV16">
        <v>1</v>
      </c>
      <c r="AW16" t="s">
        <v>429</v>
      </c>
      <c r="AX16" t="s">
        <v>221</v>
      </c>
      <c r="AY16" t="s">
        <v>224</v>
      </c>
      <c r="AZ16">
        <v>1</v>
      </c>
      <c r="BA16" t="s">
        <v>434</v>
      </c>
      <c r="BB16" t="s">
        <v>428</v>
      </c>
      <c r="BC16" t="s">
        <v>416</v>
      </c>
      <c r="BD16" t="s">
        <v>236</v>
      </c>
      <c r="BE16" t="s">
        <v>438</v>
      </c>
      <c r="BF16" t="s">
        <v>530</v>
      </c>
      <c r="BG16" t="s">
        <v>430</v>
      </c>
      <c r="BH16" t="s">
        <v>417</v>
      </c>
      <c r="BI16" t="s">
        <v>555</v>
      </c>
      <c r="BJ16" t="s">
        <v>68</v>
      </c>
      <c r="BK16" t="s">
        <v>236</v>
      </c>
      <c r="BL16" t="s">
        <v>236</v>
      </c>
      <c r="BM16" t="s">
        <v>236</v>
      </c>
      <c r="BN16" t="s">
        <v>68</v>
      </c>
      <c r="BO16" t="s">
        <v>236</v>
      </c>
      <c r="BP16" t="s">
        <v>236</v>
      </c>
      <c r="BQ16" t="s">
        <v>236</v>
      </c>
      <c r="BR16" t="s">
        <v>236</v>
      </c>
      <c r="BS16" t="s">
        <v>435</v>
      </c>
      <c r="BT16">
        <v>0</v>
      </c>
    </row>
    <row r="17" spans="1:72" x14ac:dyDescent="0.15">
      <c r="A17" s="43">
        <v>2022</v>
      </c>
      <c r="B17" s="43">
        <v>12</v>
      </c>
      <c r="C17" s="43">
        <v>1</v>
      </c>
      <c r="D17" s="43">
        <v>20</v>
      </c>
      <c r="E17" s="43" t="s">
        <v>236</v>
      </c>
      <c r="F17" s="43" t="s">
        <v>57</v>
      </c>
      <c r="G17" s="43">
        <v>2021</v>
      </c>
      <c r="H17" s="43">
        <v>10</v>
      </c>
      <c r="I17" s="43" t="s">
        <v>539</v>
      </c>
      <c r="J17" s="43" t="s">
        <v>236</v>
      </c>
      <c r="K17" s="43">
        <v>1982</v>
      </c>
      <c r="L17" s="43">
        <v>12</v>
      </c>
      <c r="M17" s="43">
        <v>1</v>
      </c>
      <c r="N17" s="43" t="s">
        <v>48</v>
      </c>
      <c r="O17" s="43" t="s">
        <v>221</v>
      </c>
      <c r="P17" s="43" t="s">
        <v>224</v>
      </c>
      <c r="Q17" s="43">
        <v>3000</v>
      </c>
      <c r="R17" s="43" t="s">
        <v>57</v>
      </c>
      <c r="S17" s="43" t="s">
        <v>52</v>
      </c>
      <c r="T17" s="43" t="s">
        <v>70</v>
      </c>
      <c r="U17" s="43" t="s">
        <v>236</v>
      </c>
      <c r="V17" s="43">
        <v>1000</v>
      </c>
      <c r="W17" s="43" t="s">
        <v>241</v>
      </c>
      <c r="X17" s="43">
        <v>3000</v>
      </c>
      <c r="Y17" s="43" t="s">
        <v>278</v>
      </c>
      <c r="Z17" s="43">
        <v>260</v>
      </c>
      <c r="AA17" s="43" t="s">
        <v>528</v>
      </c>
      <c r="AB17" s="43" t="s">
        <v>236</v>
      </c>
      <c r="AC17" s="43" t="s">
        <v>236</v>
      </c>
      <c r="AD17" s="43" t="s">
        <v>236</v>
      </c>
      <c r="AE17" s="43" t="s">
        <v>68</v>
      </c>
      <c r="AF17" s="43" t="s">
        <v>236</v>
      </c>
      <c r="AG17" s="43" t="s">
        <v>236</v>
      </c>
      <c r="AH17" s="43" t="s">
        <v>236</v>
      </c>
      <c r="AI17" s="43" t="s">
        <v>236</v>
      </c>
      <c r="AJ17" t="s">
        <v>520</v>
      </c>
      <c r="AK17">
        <v>12</v>
      </c>
      <c r="AL17">
        <v>1</v>
      </c>
      <c r="AM17" t="s">
        <v>85</v>
      </c>
      <c r="AN17" t="s">
        <v>236</v>
      </c>
      <c r="AO17" t="s">
        <v>529</v>
      </c>
      <c r="AP17" t="s">
        <v>550</v>
      </c>
      <c r="AQ17">
        <v>10</v>
      </c>
      <c r="AR17" t="s">
        <v>539</v>
      </c>
      <c r="AS17" t="s">
        <v>236</v>
      </c>
      <c r="AT17" t="s">
        <v>145</v>
      </c>
      <c r="AU17">
        <v>12</v>
      </c>
      <c r="AV17">
        <v>1</v>
      </c>
      <c r="AW17" t="s">
        <v>429</v>
      </c>
      <c r="AX17" t="s">
        <v>221</v>
      </c>
      <c r="AY17" t="s">
        <v>224</v>
      </c>
      <c r="AZ17">
        <v>1</v>
      </c>
      <c r="BA17" t="s">
        <v>434</v>
      </c>
      <c r="BB17" t="s">
        <v>428</v>
      </c>
      <c r="BC17" t="s">
        <v>416</v>
      </c>
      <c r="BD17" t="s">
        <v>236</v>
      </c>
      <c r="BE17" t="s">
        <v>438</v>
      </c>
      <c r="BF17" t="s">
        <v>530</v>
      </c>
      <c r="BG17" t="s">
        <v>430</v>
      </c>
      <c r="BH17" t="s">
        <v>417</v>
      </c>
      <c r="BI17" t="s">
        <v>551</v>
      </c>
      <c r="BJ17" t="s">
        <v>68</v>
      </c>
      <c r="BK17" t="s">
        <v>236</v>
      </c>
      <c r="BL17" t="s">
        <v>236</v>
      </c>
      <c r="BM17" t="s">
        <v>236</v>
      </c>
      <c r="BN17" t="s">
        <v>68</v>
      </c>
      <c r="BO17" t="s">
        <v>236</v>
      </c>
      <c r="BP17" t="s">
        <v>236</v>
      </c>
      <c r="BQ17" t="s">
        <v>236</v>
      </c>
      <c r="BR17" t="s">
        <v>236</v>
      </c>
      <c r="BS17" t="s">
        <v>435</v>
      </c>
      <c r="BT17">
        <v>0</v>
      </c>
    </row>
    <row r="18" spans="1:72" x14ac:dyDescent="0.15">
      <c r="A18" s="43">
        <v>2022</v>
      </c>
      <c r="B18" s="43">
        <v>12</v>
      </c>
      <c r="C18" s="43">
        <v>1</v>
      </c>
      <c r="D18" s="43">
        <v>20</v>
      </c>
      <c r="E18" s="43" t="s">
        <v>236</v>
      </c>
      <c r="F18" s="43" t="s">
        <v>57</v>
      </c>
      <c r="G18" s="43">
        <v>2021</v>
      </c>
      <c r="H18" s="43">
        <v>10</v>
      </c>
      <c r="I18" s="43" t="s">
        <v>540</v>
      </c>
      <c r="J18" s="43" t="s">
        <v>236</v>
      </c>
      <c r="K18" s="43">
        <v>1982</v>
      </c>
      <c r="L18" s="43">
        <v>12</v>
      </c>
      <c r="M18" s="43">
        <v>1</v>
      </c>
      <c r="N18" s="43" t="s">
        <v>48</v>
      </c>
      <c r="O18" s="43" t="s">
        <v>221</v>
      </c>
      <c r="P18" s="43" t="s">
        <v>224</v>
      </c>
      <c r="Q18" s="43">
        <v>3000</v>
      </c>
      <c r="R18" s="43" t="s">
        <v>57</v>
      </c>
      <c r="S18" s="43" t="s">
        <v>52</v>
      </c>
      <c r="T18" s="43" t="s">
        <v>70</v>
      </c>
      <c r="U18" s="43" t="s">
        <v>236</v>
      </c>
      <c r="V18" s="43">
        <v>1000</v>
      </c>
      <c r="W18" s="43" t="s">
        <v>241</v>
      </c>
      <c r="X18" s="43">
        <v>3000</v>
      </c>
      <c r="Y18" s="43" t="s">
        <v>278</v>
      </c>
      <c r="Z18" s="43">
        <v>145</v>
      </c>
      <c r="AA18" s="43" t="s">
        <v>528</v>
      </c>
      <c r="AB18" s="43" t="s">
        <v>236</v>
      </c>
      <c r="AC18" s="43" t="s">
        <v>236</v>
      </c>
      <c r="AD18" s="43" t="s">
        <v>236</v>
      </c>
      <c r="AE18" s="43" t="s">
        <v>68</v>
      </c>
      <c r="AF18" s="43" t="s">
        <v>236</v>
      </c>
      <c r="AG18" s="43" t="s">
        <v>236</v>
      </c>
      <c r="AH18" s="43" t="s">
        <v>236</v>
      </c>
      <c r="AI18" s="43" t="s">
        <v>236</v>
      </c>
      <c r="AJ18" t="s">
        <v>520</v>
      </c>
      <c r="AK18">
        <v>12</v>
      </c>
      <c r="AL18">
        <v>1</v>
      </c>
      <c r="AM18" t="s">
        <v>85</v>
      </c>
      <c r="AN18" t="s">
        <v>236</v>
      </c>
      <c r="AO18" t="s">
        <v>529</v>
      </c>
      <c r="AP18" t="s">
        <v>550</v>
      </c>
      <c r="AQ18">
        <v>10</v>
      </c>
      <c r="AR18" t="s">
        <v>540</v>
      </c>
      <c r="AS18" t="s">
        <v>236</v>
      </c>
      <c r="AT18" t="s">
        <v>145</v>
      </c>
      <c r="AU18">
        <v>12</v>
      </c>
      <c r="AV18">
        <v>1</v>
      </c>
      <c r="AW18" t="s">
        <v>429</v>
      </c>
      <c r="AX18" t="s">
        <v>221</v>
      </c>
      <c r="AY18" t="s">
        <v>224</v>
      </c>
      <c r="AZ18">
        <v>1</v>
      </c>
      <c r="BA18" t="s">
        <v>434</v>
      </c>
      <c r="BB18" t="s">
        <v>428</v>
      </c>
      <c r="BC18" t="s">
        <v>416</v>
      </c>
      <c r="BD18" t="s">
        <v>236</v>
      </c>
      <c r="BE18" t="s">
        <v>438</v>
      </c>
      <c r="BF18" t="s">
        <v>530</v>
      </c>
      <c r="BG18" t="s">
        <v>430</v>
      </c>
      <c r="BH18" t="s">
        <v>417</v>
      </c>
      <c r="BI18" t="s">
        <v>556</v>
      </c>
      <c r="BJ18" t="s">
        <v>68</v>
      </c>
      <c r="BK18" t="s">
        <v>236</v>
      </c>
      <c r="BL18" t="s">
        <v>236</v>
      </c>
      <c r="BM18" t="s">
        <v>236</v>
      </c>
      <c r="BN18" t="s">
        <v>68</v>
      </c>
      <c r="BO18" t="s">
        <v>236</v>
      </c>
      <c r="BP18" t="s">
        <v>236</v>
      </c>
      <c r="BQ18" t="s">
        <v>236</v>
      </c>
      <c r="BR18" t="s">
        <v>236</v>
      </c>
      <c r="BS18" t="s">
        <v>435</v>
      </c>
      <c r="BT18">
        <v>0</v>
      </c>
    </row>
    <row r="19" spans="1:72" x14ac:dyDescent="0.15">
      <c r="A19" s="43">
        <v>2022</v>
      </c>
      <c r="B19" s="43">
        <v>12</v>
      </c>
      <c r="C19" s="43">
        <v>1</v>
      </c>
      <c r="D19" s="43">
        <v>20</v>
      </c>
      <c r="E19" s="43" t="s">
        <v>236</v>
      </c>
      <c r="F19" s="43" t="s">
        <v>57</v>
      </c>
      <c r="G19" s="43">
        <v>2021</v>
      </c>
      <c r="H19" s="43">
        <v>10</v>
      </c>
      <c r="I19" s="43" t="s">
        <v>541</v>
      </c>
      <c r="J19" s="43" t="s">
        <v>236</v>
      </c>
      <c r="K19" s="43">
        <v>1982</v>
      </c>
      <c r="L19" s="43">
        <v>12</v>
      </c>
      <c r="M19" s="43">
        <v>1</v>
      </c>
      <c r="N19" s="43" t="s">
        <v>48</v>
      </c>
      <c r="O19" s="43" t="s">
        <v>221</v>
      </c>
      <c r="P19" s="43" t="s">
        <v>224</v>
      </c>
      <c r="Q19" s="43">
        <v>3000</v>
      </c>
      <c r="R19" s="43" t="s">
        <v>57</v>
      </c>
      <c r="S19" s="43" t="s">
        <v>52</v>
      </c>
      <c r="T19" s="43" t="s">
        <v>70</v>
      </c>
      <c r="U19" s="43" t="s">
        <v>236</v>
      </c>
      <c r="V19" s="43">
        <v>1000</v>
      </c>
      <c r="W19" s="43" t="s">
        <v>241</v>
      </c>
      <c r="X19" s="43">
        <v>3000</v>
      </c>
      <c r="Y19" s="43" t="s">
        <v>278</v>
      </c>
      <c r="Z19" s="43">
        <v>170</v>
      </c>
      <c r="AA19" s="43" t="s">
        <v>528</v>
      </c>
      <c r="AB19" s="43" t="s">
        <v>236</v>
      </c>
      <c r="AC19" s="43" t="s">
        <v>236</v>
      </c>
      <c r="AD19" s="43" t="s">
        <v>236</v>
      </c>
      <c r="AE19" s="43" t="s">
        <v>68</v>
      </c>
      <c r="AF19" s="43" t="s">
        <v>236</v>
      </c>
      <c r="AG19" s="43" t="s">
        <v>236</v>
      </c>
      <c r="AH19" s="43" t="s">
        <v>236</v>
      </c>
      <c r="AI19" s="43" t="s">
        <v>236</v>
      </c>
      <c r="AJ19" t="s">
        <v>520</v>
      </c>
      <c r="AK19">
        <v>12</v>
      </c>
      <c r="AL19">
        <v>1</v>
      </c>
      <c r="AM19" t="s">
        <v>85</v>
      </c>
      <c r="AN19" t="s">
        <v>236</v>
      </c>
      <c r="AO19" t="s">
        <v>529</v>
      </c>
      <c r="AP19" t="s">
        <v>550</v>
      </c>
      <c r="AQ19">
        <v>10</v>
      </c>
      <c r="AR19" t="s">
        <v>541</v>
      </c>
      <c r="AS19" t="s">
        <v>236</v>
      </c>
      <c r="AT19" t="s">
        <v>145</v>
      </c>
      <c r="AU19">
        <v>12</v>
      </c>
      <c r="AV19">
        <v>1</v>
      </c>
      <c r="AW19" t="s">
        <v>429</v>
      </c>
      <c r="AX19" t="s">
        <v>221</v>
      </c>
      <c r="AY19" t="s">
        <v>224</v>
      </c>
      <c r="AZ19">
        <v>1</v>
      </c>
      <c r="BA19" t="s">
        <v>434</v>
      </c>
      <c r="BB19" t="s">
        <v>428</v>
      </c>
      <c r="BC19" t="s">
        <v>416</v>
      </c>
      <c r="BD19" t="s">
        <v>236</v>
      </c>
      <c r="BE19" t="s">
        <v>438</v>
      </c>
      <c r="BF19" t="s">
        <v>530</v>
      </c>
      <c r="BG19" t="s">
        <v>430</v>
      </c>
      <c r="BH19" t="s">
        <v>417</v>
      </c>
      <c r="BI19" t="s">
        <v>557</v>
      </c>
      <c r="BJ19" t="s">
        <v>68</v>
      </c>
      <c r="BK19" t="s">
        <v>236</v>
      </c>
      <c r="BL19" t="s">
        <v>236</v>
      </c>
      <c r="BM19" t="s">
        <v>236</v>
      </c>
      <c r="BN19" t="s">
        <v>68</v>
      </c>
      <c r="BO19" t="s">
        <v>236</v>
      </c>
      <c r="BP19" t="s">
        <v>236</v>
      </c>
      <c r="BQ19" t="s">
        <v>236</v>
      </c>
      <c r="BR19" t="s">
        <v>236</v>
      </c>
      <c r="BS19" t="s">
        <v>435</v>
      </c>
      <c r="BT19">
        <v>0</v>
      </c>
    </row>
    <row r="20" spans="1:72" x14ac:dyDescent="0.15">
      <c r="A20" s="43">
        <v>2022</v>
      </c>
      <c r="B20" s="43">
        <v>12</v>
      </c>
      <c r="C20" s="43">
        <v>1</v>
      </c>
      <c r="D20" s="43">
        <v>20</v>
      </c>
      <c r="E20" s="43" t="s">
        <v>236</v>
      </c>
      <c r="F20" s="43" t="s">
        <v>57</v>
      </c>
      <c r="G20" s="43">
        <v>2021</v>
      </c>
      <c r="H20" s="43">
        <v>10</v>
      </c>
      <c r="I20" s="43" t="s">
        <v>542</v>
      </c>
      <c r="J20" s="43" t="s">
        <v>236</v>
      </c>
      <c r="K20" s="43">
        <v>1982</v>
      </c>
      <c r="L20" s="43">
        <v>12</v>
      </c>
      <c r="M20" s="43">
        <v>1</v>
      </c>
      <c r="N20" s="43" t="s">
        <v>48</v>
      </c>
      <c r="O20" s="43" t="s">
        <v>221</v>
      </c>
      <c r="P20" s="43" t="s">
        <v>224</v>
      </c>
      <c r="Q20" s="43">
        <v>3000</v>
      </c>
      <c r="R20" s="43" t="s">
        <v>57</v>
      </c>
      <c r="S20" s="43" t="s">
        <v>52</v>
      </c>
      <c r="T20" s="43" t="s">
        <v>70</v>
      </c>
      <c r="U20" s="43" t="s">
        <v>236</v>
      </c>
      <c r="V20" s="43">
        <v>1000</v>
      </c>
      <c r="W20" s="43" t="s">
        <v>241</v>
      </c>
      <c r="X20" s="43">
        <v>3000</v>
      </c>
      <c r="Y20" s="43" t="s">
        <v>278</v>
      </c>
      <c r="Z20" s="43">
        <v>180</v>
      </c>
      <c r="AA20" s="43" t="s">
        <v>528</v>
      </c>
      <c r="AB20" s="43" t="s">
        <v>236</v>
      </c>
      <c r="AC20" s="43" t="s">
        <v>236</v>
      </c>
      <c r="AD20" s="43" t="s">
        <v>236</v>
      </c>
      <c r="AE20" s="43" t="s">
        <v>68</v>
      </c>
      <c r="AF20" s="43" t="s">
        <v>236</v>
      </c>
      <c r="AG20" s="43" t="s">
        <v>236</v>
      </c>
      <c r="AH20" s="43" t="s">
        <v>236</v>
      </c>
      <c r="AI20" s="43" t="s">
        <v>236</v>
      </c>
      <c r="AJ20" t="s">
        <v>520</v>
      </c>
      <c r="AK20">
        <v>12</v>
      </c>
      <c r="AL20">
        <v>1</v>
      </c>
      <c r="AM20" t="s">
        <v>85</v>
      </c>
      <c r="AN20" t="s">
        <v>236</v>
      </c>
      <c r="AO20" t="s">
        <v>529</v>
      </c>
      <c r="AP20" t="s">
        <v>550</v>
      </c>
      <c r="AQ20">
        <v>10</v>
      </c>
      <c r="AR20" t="s">
        <v>542</v>
      </c>
      <c r="AS20" t="s">
        <v>236</v>
      </c>
      <c r="AT20" t="s">
        <v>145</v>
      </c>
      <c r="AU20">
        <v>12</v>
      </c>
      <c r="AV20">
        <v>1</v>
      </c>
      <c r="AW20" t="s">
        <v>429</v>
      </c>
      <c r="AX20" t="s">
        <v>221</v>
      </c>
      <c r="AY20" t="s">
        <v>224</v>
      </c>
      <c r="AZ20">
        <v>1</v>
      </c>
      <c r="BA20" t="s">
        <v>434</v>
      </c>
      <c r="BB20" t="s">
        <v>428</v>
      </c>
      <c r="BC20" t="s">
        <v>416</v>
      </c>
      <c r="BD20" t="s">
        <v>236</v>
      </c>
      <c r="BE20" t="s">
        <v>438</v>
      </c>
      <c r="BF20" t="s">
        <v>530</v>
      </c>
      <c r="BG20" t="s">
        <v>430</v>
      </c>
      <c r="BH20" t="s">
        <v>417</v>
      </c>
      <c r="BI20" t="s">
        <v>531</v>
      </c>
      <c r="BJ20" t="s">
        <v>68</v>
      </c>
      <c r="BK20" t="s">
        <v>236</v>
      </c>
      <c r="BL20" t="s">
        <v>236</v>
      </c>
      <c r="BM20" t="s">
        <v>236</v>
      </c>
      <c r="BN20" t="s">
        <v>68</v>
      </c>
      <c r="BO20" t="s">
        <v>236</v>
      </c>
      <c r="BP20" t="s">
        <v>236</v>
      </c>
      <c r="BQ20" t="s">
        <v>236</v>
      </c>
      <c r="BR20" t="s">
        <v>236</v>
      </c>
      <c r="BS20" t="s">
        <v>435</v>
      </c>
      <c r="BT20">
        <v>0</v>
      </c>
    </row>
    <row r="21" spans="1:72" x14ac:dyDescent="0.15">
      <c r="A21" s="43">
        <v>2022</v>
      </c>
      <c r="B21" s="43">
        <v>12</v>
      </c>
      <c r="C21" s="43">
        <v>1</v>
      </c>
      <c r="D21" s="43">
        <v>20</v>
      </c>
      <c r="E21" s="43" t="s">
        <v>236</v>
      </c>
      <c r="F21" s="43" t="s">
        <v>57</v>
      </c>
      <c r="G21" s="43">
        <v>2021</v>
      </c>
      <c r="H21" s="43">
        <v>10</v>
      </c>
      <c r="I21" s="43" t="s">
        <v>543</v>
      </c>
      <c r="J21" s="43" t="s">
        <v>236</v>
      </c>
      <c r="K21" s="43">
        <v>1982</v>
      </c>
      <c r="L21" s="43">
        <v>12</v>
      </c>
      <c r="M21" s="43">
        <v>1</v>
      </c>
      <c r="N21" s="43" t="s">
        <v>48</v>
      </c>
      <c r="O21" s="43" t="s">
        <v>221</v>
      </c>
      <c r="P21" s="43" t="s">
        <v>224</v>
      </c>
      <c r="Q21" s="43">
        <v>3000</v>
      </c>
      <c r="R21" s="43" t="s">
        <v>57</v>
      </c>
      <c r="S21" s="43" t="s">
        <v>52</v>
      </c>
      <c r="T21" s="43" t="s">
        <v>70</v>
      </c>
      <c r="U21" s="43" t="s">
        <v>236</v>
      </c>
      <c r="V21" s="43">
        <v>1000</v>
      </c>
      <c r="W21" s="43" t="s">
        <v>241</v>
      </c>
      <c r="X21" s="43">
        <v>3000</v>
      </c>
      <c r="Y21" s="43" t="s">
        <v>278</v>
      </c>
      <c r="Z21" s="43">
        <v>180</v>
      </c>
      <c r="AA21" s="43" t="s">
        <v>528</v>
      </c>
      <c r="AB21" s="43" t="s">
        <v>236</v>
      </c>
      <c r="AC21" s="43" t="s">
        <v>236</v>
      </c>
      <c r="AD21" s="43" t="s">
        <v>236</v>
      </c>
      <c r="AE21" s="43" t="s">
        <v>68</v>
      </c>
      <c r="AF21" s="43" t="s">
        <v>236</v>
      </c>
      <c r="AG21" s="43" t="s">
        <v>236</v>
      </c>
      <c r="AH21" s="43" t="s">
        <v>236</v>
      </c>
      <c r="AI21" s="43" t="s">
        <v>236</v>
      </c>
      <c r="AJ21" t="s">
        <v>520</v>
      </c>
      <c r="AK21">
        <v>12</v>
      </c>
      <c r="AL21">
        <v>1</v>
      </c>
      <c r="AM21" t="s">
        <v>85</v>
      </c>
      <c r="AN21" t="s">
        <v>236</v>
      </c>
      <c r="AO21" t="s">
        <v>529</v>
      </c>
      <c r="AP21" t="s">
        <v>550</v>
      </c>
      <c r="AQ21">
        <v>10</v>
      </c>
      <c r="AR21" t="s">
        <v>543</v>
      </c>
      <c r="AS21" t="s">
        <v>236</v>
      </c>
      <c r="AT21" t="s">
        <v>145</v>
      </c>
      <c r="AU21">
        <v>12</v>
      </c>
      <c r="AV21">
        <v>1</v>
      </c>
      <c r="AW21" t="s">
        <v>429</v>
      </c>
      <c r="AX21" t="s">
        <v>221</v>
      </c>
      <c r="AY21" t="s">
        <v>224</v>
      </c>
      <c r="AZ21">
        <v>1</v>
      </c>
      <c r="BA21" t="s">
        <v>434</v>
      </c>
      <c r="BB21" t="s">
        <v>428</v>
      </c>
      <c r="BC21" t="s">
        <v>416</v>
      </c>
      <c r="BD21" t="s">
        <v>236</v>
      </c>
      <c r="BE21" t="s">
        <v>438</v>
      </c>
      <c r="BF21" t="s">
        <v>530</v>
      </c>
      <c r="BG21" t="s">
        <v>430</v>
      </c>
      <c r="BH21" t="s">
        <v>417</v>
      </c>
      <c r="BI21" t="s">
        <v>531</v>
      </c>
      <c r="BJ21" t="s">
        <v>68</v>
      </c>
      <c r="BK21" t="s">
        <v>236</v>
      </c>
      <c r="BL21" t="s">
        <v>236</v>
      </c>
      <c r="BM21" t="s">
        <v>236</v>
      </c>
      <c r="BN21" t="s">
        <v>68</v>
      </c>
      <c r="BO21" t="s">
        <v>236</v>
      </c>
      <c r="BP21" t="s">
        <v>236</v>
      </c>
      <c r="BQ21" t="s">
        <v>236</v>
      </c>
      <c r="BR21" t="s">
        <v>236</v>
      </c>
      <c r="BS21" t="s">
        <v>435</v>
      </c>
      <c r="BT21">
        <v>0</v>
      </c>
    </row>
    <row r="22" spans="1:72" x14ac:dyDescent="0.15">
      <c r="A22" s="43">
        <v>2022</v>
      </c>
      <c r="B22" s="43">
        <v>12</v>
      </c>
      <c r="C22" s="43">
        <v>1</v>
      </c>
      <c r="D22" s="43">
        <v>20</v>
      </c>
      <c r="E22" s="43" t="s">
        <v>236</v>
      </c>
      <c r="F22" s="43" t="s">
        <v>57</v>
      </c>
      <c r="G22" s="43">
        <v>2021</v>
      </c>
      <c r="H22" s="43">
        <v>10</v>
      </c>
      <c r="I22" s="43" t="s">
        <v>544</v>
      </c>
      <c r="J22" s="43" t="s">
        <v>236</v>
      </c>
      <c r="K22" s="43">
        <v>1982</v>
      </c>
      <c r="L22" s="43">
        <v>12</v>
      </c>
      <c r="M22" s="43">
        <v>1</v>
      </c>
      <c r="N22" s="43" t="s">
        <v>48</v>
      </c>
      <c r="O22" s="43" t="s">
        <v>221</v>
      </c>
      <c r="P22" s="43" t="s">
        <v>224</v>
      </c>
      <c r="Q22" s="43">
        <v>3000</v>
      </c>
      <c r="R22" s="43" t="s">
        <v>57</v>
      </c>
      <c r="S22" s="43" t="s">
        <v>52</v>
      </c>
      <c r="T22" s="43" t="s">
        <v>70</v>
      </c>
      <c r="U22" s="43" t="s">
        <v>236</v>
      </c>
      <c r="V22" s="43">
        <v>1000</v>
      </c>
      <c r="W22" s="43" t="s">
        <v>241</v>
      </c>
      <c r="X22" s="43">
        <v>3000</v>
      </c>
      <c r="Y22" s="43" t="s">
        <v>278</v>
      </c>
      <c r="Z22" s="43">
        <v>145</v>
      </c>
      <c r="AA22" s="43" t="s">
        <v>528</v>
      </c>
      <c r="AB22" s="43" t="s">
        <v>236</v>
      </c>
      <c r="AC22" s="43" t="s">
        <v>236</v>
      </c>
      <c r="AD22" s="43" t="s">
        <v>236</v>
      </c>
      <c r="AE22" s="43" t="s">
        <v>68</v>
      </c>
      <c r="AF22" s="43" t="s">
        <v>236</v>
      </c>
      <c r="AG22" s="43" t="s">
        <v>236</v>
      </c>
      <c r="AH22" s="43" t="s">
        <v>236</v>
      </c>
      <c r="AI22" s="43" t="s">
        <v>236</v>
      </c>
      <c r="AJ22" t="s">
        <v>520</v>
      </c>
      <c r="AK22">
        <v>12</v>
      </c>
      <c r="AL22">
        <v>1</v>
      </c>
      <c r="AM22" t="s">
        <v>85</v>
      </c>
      <c r="AN22" t="s">
        <v>236</v>
      </c>
      <c r="AO22" t="s">
        <v>529</v>
      </c>
      <c r="AP22" t="s">
        <v>550</v>
      </c>
      <c r="AQ22">
        <v>10</v>
      </c>
      <c r="AR22" t="s">
        <v>544</v>
      </c>
      <c r="AS22" t="s">
        <v>236</v>
      </c>
      <c r="AT22" t="s">
        <v>145</v>
      </c>
      <c r="AU22">
        <v>12</v>
      </c>
      <c r="AV22">
        <v>1</v>
      </c>
      <c r="AW22" t="s">
        <v>429</v>
      </c>
      <c r="AX22" t="s">
        <v>221</v>
      </c>
      <c r="AY22" t="s">
        <v>224</v>
      </c>
      <c r="AZ22">
        <v>1</v>
      </c>
      <c r="BA22" t="s">
        <v>434</v>
      </c>
      <c r="BB22" t="s">
        <v>428</v>
      </c>
      <c r="BC22" t="s">
        <v>416</v>
      </c>
      <c r="BD22" t="s">
        <v>236</v>
      </c>
      <c r="BE22" t="s">
        <v>438</v>
      </c>
      <c r="BF22" t="s">
        <v>530</v>
      </c>
      <c r="BG22" t="s">
        <v>430</v>
      </c>
      <c r="BH22" t="s">
        <v>417</v>
      </c>
      <c r="BI22" t="s">
        <v>556</v>
      </c>
      <c r="BJ22" t="s">
        <v>68</v>
      </c>
      <c r="BK22" t="s">
        <v>236</v>
      </c>
      <c r="BL22" t="s">
        <v>236</v>
      </c>
      <c r="BM22" t="s">
        <v>236</v>
      </c>
      <c r="BN22" t="s">
        <v>68</v>
      </c>
      <c r="BO22" t="s">
        <v>236</v>
      </c>
      <c r="BP22" t="s">
        <v>236</v>
      </c>
      <c r="BQ22" t="s">
        <v>236</v>
      </c>
      <c r="BR22" t="s">
        <v>236</v>
      </c>
      <c r="BS22" t="s">
        <v>435</v>
      </c>
      <c r="BT22">
        <v>0</v>
      </c>
    </row>
    <row r="23" spans="1:72" x14ac:dyDescent="0.15">
      <c r="B23" s="43"/>
      <c r="C23" s="43"/>
      <c r="D23" s="43"/>
      <c r="E23" s="43"/>
      <c r="F23" s="43"/>
      <c r="G23" s="43"/>
      <c r="H23" s="43"/>
      <c r="I23" s="43"/>
      <c r="J23" s="43"/>
      <c r="K23" s="43"/>
      <c r="L23" s="43"/>
      <c r="M23" s="43"/>
      <c r="N23" s="43"/>
      <c r="O23" s="43"/>
      <c r="P23" s="43"/>
      <c r="Q23" s="43"/>
      <c r="R23" s="43"/>
      <c r="S23" s="43"/>
      <c r="T23" s="43"/>
      <c r="U23" s="43"/>
      <c r="V23" s="43"/>
      <c r="W23" s="43"/>
      <c r="X23" s="43"/>
      <c r="Y23" s="43"/>
      <c r="Z23" s="43"/>
      <c r="AA23" s="43"/>
      <c r="AB23" s="43"/>
      <c r="AC23" s="43"/>
      <c r="AD23" s="43"/>
      <c r="AE23" s="43"/>
      <c r="AF23" s="43"/>
      <c r="AG23" s="43"/>
      <c r="AH23" s="43"/>
      <c r="AI23" s="43"/>
    </row>
    <row r="24" spans="1:72" x14ac:dyDescent="0.15">
      <c r="B24" s="43"/>
      <c r="C24" s="43"/>
      <c r="D24" s="43"/>
      <c r="E24" s="43"/>
      <c r="F24" s="43"/>
      <c r="G24" s="43"/>
      <c r="H24" s="43"/>
      <c r="I24" s="43"/>
      <c r="J24" s="43"/>
      <c r="K24" s="43"/>
      <c r="L24" s="43"/>
      <c r="M24" s="43"/>
      <c r="N24" s="43"/>
      <c r="O24" s="43"/>
      <c r="P24" s="43"/>
      <c r="Q24" s="43"/>
      <c r="R24" s="43"/>
      <c r="S24" s="43"/>
      <c r="T24" s="43"/>
      <c r="U24" s="43"/>
      <c r="V24" s="43"/>
      <c r="W24" s="43"/>
      <c r="X24" s="43"/>
      <c r="Y24" s="43"/>
      <c r="Z24" s="43"/>
      <c r="AA24" s="43"/>
      <c r="AB24" s="43"/>
      <c r="AC24" s="43"/>
      <c r="AD24" s="43"/>
      <c r="AE24" s="43"/>
      <c r="AF24" s="43"/>
      <c r="AG24" s="43"/>
      <c r="AH24" s="43"/>
      <c r="AI24" s="43"/>
    </row>
    <row r="25" spans="1:72" x14ac:dyDescent="0.15">
      <c r="B25" s="43"/>
      <c r="C25" s="43"/>
      <c r="D25" s="43"/>
      <c r="E25" s="43"/>
      <c r="F25" s="43"/>
      <c r="G25" s="43"/>
      <c r="H25" s="43"/>
      <c r="I25" s="43"/>
      <c r="J25" s="43"/>
      <c r="K25" s="43"/>
      <c r="L25" s="43"/>
      <c r="M25" s="43"/>
      <c r="N25" s="43"/>
      <c r="O25" s="43"/>
      <c r="P25" s="43"/>
      <c r="Q25" s="43"/>
      <c r="R25" s="43"/>
      <c r="S25" s="43"/>
      <c r="T25" s="43"/>
      <c r="U25" s="43"/>
      <c r="V25" s="43"/>
      <c r="W25" s="43"/>
      <c r="X25" s="43"/>
      <c r="Y25" s="43"/>
      <c r="Z25" s="43"/>
      <c r="AA25" s="43"/>
      <c r="AB25" s="43"/>
      <c r="AC25" s="43"/>
      <c r="AD25" s="43"/>
      <c r="AE25" s="43"/>
      <c r="AF25" s="43"/>
      <c r="AG25" s="43"/>
      <c r="AH25" s="43"/>
      <c r="AI25" s="43"/>
    </row>
    <row r="26" spans="1:72" x14ac:dyDescent="0.15">
      <c r="B26" s="43"/>
      <c r="C26" s="43"/>
      <c r="D26" s="43"/>
      <c r="E26" s="43"/>
      <c r="F26" s="43"/>
      <c r="G26" s="43"/>
      <c r="H26" s="43"/>
      <c r="I26" s="43"/>
      <c r="J26" s="43"/>
      <c r="K26" s="43"/>
      <c r="L26" s="43"/>
      <c r="M26" s="43"/>
      <c r="N26" s="43"/>
      <c r="O26" s="43"/>
      <c r="P26" s="43"/>
      <c r="Q26" s="43"/>
      <c r="R26" s="43"/>
      <c r="S26" s="43"/>
      <c r="T26" s="43"/>
      <c r="U26" s="43"/>
      <c r="V26" s="43"/>
      <c r="W26" s="43"/>
      <c r="X26" s="43"/>
      <c r="Y26" s="43"/>
      <c r="Z26" s="43"/>
      <c r="AA26" s="43"/>
      <c r="AB26" s="43"/>
      <c r="AC26" s="43"/>
      <c r="AD26" s="43"/>
      <c r="AE26" s="43"/>
      <c r="AF26" s="43"/>
      <c r="AG26" s="43"/>
      <c r="AH26" s="43"/>
      <c r="AI26" s="43"/>
    </row>
    <row r="27" spans="1:72" x14ac:dyDescent="0.15">
      <c r="B27" s="43"/>
      <c r="C27" s="43"/>
      <c r="D27" s="43"/>
      <c r="E27" s="43"/>
      <c r="F27" s="43"/>
      <c r="G27" s="43"/>
      <c r="H27" s="43"/>
      <c r="I27" s="43"/>
      <c r="J27" s="43"/>
      <c r="K27" s="43"/>
      <c r="L27" s="43"/>
      <c r="M27" s="43"/>
      <c r="N27" s="43"/>
      <c r="O27" s="43"/>
      <c r="P27" s="43"/>
      <c r="Q27" s="43"/>
      <c r="R27" s="43"/>
      <c r="S27" s="43"/>
      <c r="T27" s="43"/>
      <c r="U27" s="43"/>
      <c r="V27" s="43"/>
      <c r="W27" s="43"/>
      <c r="X27" s="43"/>
      <c r="Y27" s="43"/>
      <c r="Z27" s="43"/>
      <c r="AA27" s="43"/>
      <c r="AB27" s="43"/>
      <c r="AC27" s="43"/>
      <c r="AD27" s="43"/>
      <c r="AE27" s="43"/>
      <c r="AF27" s="43"/>
      <c r="AG27" s="43"/>
      <c r="AH27" s="43"/>
      <c r="AI27" s="43"/>
    </row>
    <row r="28" spans="1:72" x14ac:dyDescent="0.15">
      <c r="B28" s="43"/>
      <c r="C28" s="43"/>
      <c r="D28" s="43"/>
      <c r="E28" s="43"/>
      <c r="F28" s="43"/>
      <c r="G28" s="43"/>
      <c r="H28" s="43"/>
      <c r="I28" s="43"/>
      <c r="J28" s="43"/>
      <c r="K28" s="43"/>
      <c r="L28" s="43"/>
      <c r="M28" s="43"/>
      <c r="N28" s="43"/>
      <c r="O28" s="43"/>
      <c r="P28" s="43"/>
      <c r="Q28" s="43"/>
      <c r="R28" s="43"/>
      <c r="S28" s="43"/>
      <c r="T28" s="43"/>
      <c r="U28" s="43"/>
      <c r="V28" s="43"/>
      <c r="W28" s="43"/>
      <c r="X28" s="43"/>
      <c r="Y28" s="43"/>
      <c r="Z28" s="43"/>
      <c r="AA28" s="43"/>
      <c r="AB28" s="43"/>
      <c r="AC28" s="43"/>
      <c r="AD28" s="43"/>
      <c r="AE28" s="43"/>
      <c r="AF28" s="43"/>
      <c r="AG28" s="43"/>
      <c r="AH28" s="43"/>
      <c r="AI28" s="43"/>
    </row>
    <row r="29" spans="1:72" x14ac:dyDescent="0.15">
      <c r="B29" s="43"/>
      <c r="C29" s="43"/>
      <c r="D29" s="43"/>
      <c r="E29" s="43"/>
      <c r="F29" s="43"/>
      <c r="G29" s="43"/>
      <c r="H29" s="43"/>
      <c r="I29" s="43"/>
      <c r="J29" s="43"/>
      <c r="K29" s="43"/>
      <c r="L29" s="43"/>
      <c r="M29" s="43"/>
      <c r="N29" s="43"/>
      <c r="O29" s="43"/>
      <c r="P29" s="43"/>
      <c r="Q29" s="43"/>
      <c r="R29" s="43"/>
      <c r="S29" s="43"/>
      <c r="T29" s="43"/>
      <c r="U29" s="43"/>
      <c r="V29" s="43"/>
      <c r="W29" s="43"/>
      <c r="X29" s="43"/>
      <c r="Y29" s="43"/>
      <c r="Z29" s="43"/>
      <c r="AA29" s="43"/>
      <c r="AB29" s="43"/>
      <c r="AC29" s="43"/>
      <c r="AD29" s="43"/>
      <c r="AE29" s="43"/>
      <c r="AF29" s="43"/>
      <c r="AG29" s="43"/>
      <c r="AH29" s="43"/>
      <c r="AI29" s="43"/>
    </row>
    <row r="30" spans="1:72" x14ac:dyDescent="0.15">
      <c r="B30" s="43"/>
      <c r="C30" s="43"/>
      <c r="D30" s="43"/>
      <c r="E30" s="43"/>
      <c r="F30" s="43"/>
      <c r="G30" s="43"/>
      <c r="H30" s="43"/>
      <c r="I30" s="43"/>
      <c r="J30" s="43"/>
      <c r="K30" s="43"/>
      <c r="L30" s="43"/>
      <c r="M30" s="43"/>
      <c r="N30" s="43"/>
      <c r="O30" s="43"/>
      <c r="P30" s="43"/>
      <c r="Q30" s="43"/>
      <c r="R30" s="43"/>
      <c r="S30" s="43"/>
      <c r="T30" s="43"/>
      <c r="U30" s="43"/>
      <c r="V30" s="43"/>
      <c r="W30" s="43"/>
      <c r="X30" s="43"/>
      <c r="Y30" s="43"/>
      <c r="Z30" s="43"/>
      <c r="AA30" s="43"/>
      <c r="AB30" s="43"/>
      <c r="AC30" s="43"/>
      <c r="AD30" s="43"/>
      <c r="AE30" s="43"/>
      <c r="AF30" s="43"/>
      <c r="AG30" s="43"/>
      <c r="AH30" s="43"/>
      <c r="AI30" s="43"/>
    </row>
    <row r="31" spans="1:72" x14ac:dyDescent="0.15">
      <c r="B31" s="43"/>
      <c r="C31" s="43"/>
      <c r="D31" s="43"/>
      <c r="E31" s="43"/>
      <c r="F31" s="43"/>
      <c r="G31" s="43"/>
      <c r="H31" s="43"/>
      <c r="I31" s="43"/>
      <c r="J31" s="43"/>
      <c r="K31" s="43"/>
      <c r="L31" s="43"/>
      <c r="M31" s="43"/>
      <c r="N31" s="43"/>
      <c r="O31" s="43"/>
      <c r="P31" s="43"/>
      <c r="Q31" s="43"/>
      <c r="R31" s="43"/>
      <c r="S31" s="43"/>
      <c r="T31" s="43"/>
      <c r="U31" s="43"/>
      <c r="V31" s="43"/>
      <c r="W31" s="43"/>
      <c r="X31" s="43"/>
      <c r="Y31" s="43"/>
      <c r="Z31" s="43"/>
      <c r="AA31" s="43"/>
      <c r="AB31" s="43"/>
      <c r="AC31" s="43"/>
      <c r="AD31" s="43"/>
      <c r="AE31" s="43"/>
      <c r="AF31" s="43"/>
      <c r="AG31" s="43"/>
      <c r="AH31" s="43"/>
      <c r="AI31" s="43"/>
    </row>
    <row r="32" spans="1:72" x14ac:dyDescent="0.15">
      <c r="B32" s="43"/>
      <c r="C32" s="43"/>
      <c r="D32" s="43"/>
      <c r="E32" s="43"/>
      <c r="F32" s="43"/>
      <c r="G32" s="43"/>
      <c r="H32" s="43"/>
      <c r="I32" s="43"/>
      <c r="J32" s="43"/>
      <c r="K32" s="43"/>
      <c r="L32" s="43"/>
      <c r="M32" s="43"/>
      <c r="N32" s="43"/>
      <c r="O32" s="43"/>
      <c r="P32" s="43"/>
      <c r="Q32" s="43"/>
      <c r="R32" s="43"/>
      <c r="S32" s="43"/>
      <c r="T32" s="43"/>
      <c r="U32" s="43"/>
      <c r="V32" s="43"/>
      <c r="W32" s="43"/>
      <c r="X32" s="43"/>
      <c r="Y32" s="43"/>
      <c r="Z32" s="43"/>
      <c r="AA32" s="43"/>
      <c r="AB32" s="43"/>
      <c r="AC32" s="43"/>
      <c r="AD32" s="43"/>
      <c r="AE32" s="43"/>
      <c r="AF32" s="43"/>
      <c r="AG32" s="43"/>
      <c r="AH32" s="43"/>
      <c r="AI32" s="43"/>
    </row>
    <row r="33" spans="2:35" x14ac:dyDescent="0.15">
      <c r="B33" s="43"/>
      <c r="C33" s="43"/>
      <c r="D33" s="43"/>
      <c r="E33" s="43"/>
      <c r="F33" s="43"/>
      <c r="G33" s="43"/>
      <c r="H33" s="43"/>
      <c r="I33" s="43"/>
      <c r="J33" s="43"/>
      <c r="K33" s="43"/>
      <c r="L33" s="43"/>
      <c r="M33" s="43"/>
      <c r="N33" s="43"/>
      <c r="O33" s="43"/>
      <c r="P33" s="43"/>
      <c r="Q33" s="43"/>
      <c r="R33" s="43"/>
      <c r="S33" s="43"/>
      <c r="T33" s="43"/>
      <c r="U33" s="43"/>
      <c r="V33" s="43"/>
      <c r="W33" s="43"/>
      <c r="X33" s="43"/>
      <c r="Y33" s="43"/>
      <c r="Z33" s="43"/>
      <c r="AA33" s="43"/>
      <c r="AB33" s="43"/>
      <c r="AC33" s="43"/>
      <c r="AD33" s="43"/>
      <c r="AE33" s="43"/>
      <c r="AF33" s="43"/>
      <c r="AG33" s="43"/>
      <c r="AH33" s="43"/>
      <c r="AI33" s="43"/>
    </row>
    <row r="34" spans="2:35" x14ac:dyDescent="0.15">
      <c r="B34" s="43"/>
      <c r="C34" s="43"/>
      <c r="D34" s="43"/>
      <c r="E34" s="43"/>
      <c r="F34" s="43"/>
      <c r="G34" s="43"/>
      <c r="H34" s="43"/>
      <c r="I34" s="43"/>
      <c r="J34" s="43"/>
      <c r="K34" s="43"/>
      <c r="L34" s="43"/>
      <c r="M34" s="43"/>
      <c r="N34" s="43"/>
      <c r="O34" s="43"/>
      <c r="P34" s="43"/>
      <c r="Q34" s="43"/>
      <c r="R34" s="43"/>
      <c r="S34" s="43"/>
      <c r="T34" s="43"/>
      <c r="U34" s="43"/>
      <c r="V34" s="43"/>
      <c r="W34" s="43"/>
      <c r="X34" s="43"/>
      <c r="Y34" s="43"/>
      <c r="Z34" s="43"/>
      <c r="AA34" s="43"/>
      <c r="AB34" s="43"/>
      <c r="AC34" s="43"/>
      <c r="AD34" s="43"/>
      <c r="AE34" s="43"/>
      <c r="AF34" s="43"/>
      <c r="AG34" s="43"/>
      <c r="AH34" s="43"/>
      <c r="AI34" s="43"/>
    </row>
    <row r="35" spans="2:35" x14ac:dyDescent="0.15">
      <c r="B35" s="43"/>
      <c r="C35" s="43"/>
      <c r="D35" s="43"/>
      <c r="E35" s="43"/>
      <c r="F35" s="43"/>
      <c r="G35" s="43"/>
      <c r="H35" s="43"/>
      <c r="I35" s="43"/>
      <c r="J35" s="43"/>
      <c r="K35" s="43"/>
      <c r="L35" s="43"/>
      <c r="M35" s="43"/>
      <c r="N35" s="43"/>
      <c r="O35" s="43"/>
      <c r="P35" s="43"/>
      <c r="Q35" s="43"/>
      <c r="R35" s="43"/>
      <c r="S35" s="43"/>
      <c r="T35" s="43"/>
      <c r="U35" s="43"/>
      <c r="V35" s="43"/>
      <c r="W35" s="43"/>
      <c r="X35" s="43"/>
      <c r="Y35" s="43"/>
      <c r="Z35" s="43"/>
      <c r="AA35" s="43"/>
      <c r="AB35" s="43"/>
      <c r="AC35" s="43"/>
      <c r="AD35" s="43"/>
      <c r="AE35" s="43"/>
      <c r="AF35" s="43"/>
      <c r="AG35" s="43"/>
      <c r="AH35" s="43"/>
      <c r="AI35" s="43"/>
    </row>
    <row r="36" spans="2:35" x14ac:dyDescent="0.15">
      <c r="B36" s="43"/>
      <c r="C36" s="43"/>
      <c r="D36" s="43"/>
      <c r="E36" s="43"/>
      <c r="F36" s="43"/>
      <c r="G36" s="43"/>
      <c r="H36" s="43"/>
      <c r="I36" s="43"/>
      <c r="J36" s="43"/>
      <c r="K36" s="43"/>
      <c r="L36" s="43"/>
      <c r="M36" s="43"/>
      <c r="N36" s="43"/>
      <c r="O36" s="43"/>
      <c r="P36" s="43"/>
      <c r="Q36" s="43"/>
      <c r="R36" s="43"/>
      <c r="S36" s="43"/>
      <c r="T36" s="43"/>
      <c r="U36" s="43"/>
      <c r="V36" s="43"/>
      <c r="W36" s="43"/>
      <c r="X36" s="43"/>
      <c r="Y36" s="43"/>
      <c r="Z36" s="43"/>
      <c r="AA36" s="43"/>
      <c r="AB36" s="43"/>
      <c r="AC36" s="43"/>
      <c r="AD36" s="43"/>
      <c r="AE36" s="43"/>
      <c r="AF36" s="43"/>
      <c r="AG36" s="43"/>
      <c r="AH36" s="43"/>
      <c r="AI36" s="43"/>
    </row>
    <row r="37" spans="2:35" x14ac:dyDescent="0.15">
      <c r="B37" s="43"/>
      <c r="C37" s="43"/>
      <c r="D37" s="43"/>
      <c r="E37" s="43"/>
      <c r="F37" s="43"/>
      <c r="G37" s="43"/>
      <c r="H37" s="43"/>
      <c r="I37" s="43"/>
      <c r="J37" s="43"/>
      <c r="K37" s="43"/>
      <c r="L37" s="43"/>
      <c r="M37" s="43"/>
      <c r="N37" s="43"/>
      <c r="O37" s="43"/>
      <c r="P37" s="43"/>
      <c r="Q37" s="43"/>
      <c r="R37" s="43"/>
      <c r="S37" s="43"/>
      <c r="T37" s="43"/>
      <c r="U37" s="43"/>
      <c r="V37" s="43"/>
      <c r="W37" s="43"/>
      <c r="X37" s="43"/>
      <c r="Y37" s="43"/>
      <c r="Z37" s="43"/>
      <c r="AA37" s="43"/>
      <c r="AB37" s="43"/>
      <c r="AC37" s="43"/>
      <c r="AD37" s="43"/>
      <c r="AE37" s="43"/>
      <c r="AF37" s="43"/>
      <c r="AG37" s="43"/>
      <c r="AH37" s="43"/>
      <c r="AI37" s="43"/>
    </row>
    <row r="38" spans="2:35" x14ac:dyDescent="0.15">
      <c r="B38" s="43"/>
      <c r="C38" s="43"/>
      <c r="D38" s="43"/>
      <c r="E38" s="43"/>
      <c r="F38" s="43"/>
      <c r="G38" s="43"/>
      <c r="H38" s="43"/>
      <c r="I38" s="43"/>
      <c r="J38" s="4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row>
    <row r="39" spans="2:35" x14ac:dyDescent="0.15">
      <c r="B39" s="43"/>
      <c r="C39" s="43"/>
      <c r="D39" s="43"/>
      <c r="E39" s="43"/>
      <c r="F39" s="43"/>
      <c r="G39" s="43"/>
      <c r="H39" s="43"/>
      <c r="I39" s="43"/>
      <c r="J39" s="4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row>
    <row r="40" spans="2:35" x14ac:dyDescent="0.15">
      <c r="B40" s="43"/>
      <c r="C40" s="43"/>
      <c r="D40" s="43"/>
      <c r="E40" s="43"/>
      <c r="F40" s="43"/>
      <c r="G40" s="43"/>
      <c r="H40" s="43"/>
      <c r="I40" s="43"/>
      <c r="J40" s="43"/>
      <c r="K40" s="43"/>
      <c r="L40" s="43"/>
      <c r="M40" s="43"/>
      <c r="N40" s="43"/>
      <c r="O40" s="43"/>
      <c r="P40" s="43"/>
      <c r="Q40" s="43"/>
      <c r="R40" s="43"/>
      <c r="S40" s="43"/>
      <c r="T40" s="43"/>
      <c r="U40" s="43"/>
      <c r="V40" s="43"/>
      <c r="W40" s="43"/>
      <c r="X40" s="43"/>
      <c r="Y40" s="43"/>
      <c r="Z40" s="43"/>
      <c r="AA40" s="43"/>
      <c r="AB40" s="43"/>
      <c r="AC40" s="43"/>
      <c r="AD40" s="43"/>
      <c r="AE40" s="43"/>
      <c r="AF40" s="43"/>
      <c r="AG40" s="43"/>
      <c r="AH40" s="43"/>
      <c r="AI40" s="43"/>
    </row>
    <row r="41" spans="2:35" x14ac:dyDescent="0.15">
      <c r="B41" s="43"/>
      <c r="C41" s="43"/>
      <c r="D41" s="43"/>
      <c r="E41" s="43"/>
      <c r="F41" s="43"/>
      <c r="G41" s="43"/>
      <c r="H41" s="43"/>
      <c r="I41" s="43"/>
      <c r="J41" s="43"/>
      <c r="K41" s="43"/>
      <c r="L41" s="43"/>
      <c r="M41" s="43"/>
      <c r="N41" s="43"/>
      <c r="O41" s="43"/>
      <c r="P41" s="43"/>
      <c r="Q41" s="43"/>
      <c r="R41" s="43"/>
      <c r="S41" s="43"/>
      <c r="T41" s="43"/>
      <c r="U41" s="43"/>
      <c r="V41" s="43"/>
      <c r="W41" s="43"/>
      <c r="X41" s="43"/>
      <c r="Y41" s="43"/>
      <c r="Z41" s="43"/>
      <c r="AA41" s="43"/>
      <c r="AB41" s="43"/>
      <c r="AC41" s="43"/>
      <c r="AD41" s="43"/>
      <c r="AE41" s="43"/>
      <c r="AF41" s="43"/>
      <c r="AG41" s="43"/>
      <c r="AH41" s="43"/>
      <c r="AI41" s="43"/>
    </row>
    <row r="42" spans="2:35" x14ac:dyDescent="0.15">
      <c r="B42" s="43"/>
      <c r="C42" s="43"/>
      <c r="D42" s="43"/>
      <c r="E42" s="43"/>
      <c r="F42" s="43"/>
      <c r="G42" s="43"/>
      <c r="H42" s="43"/>
      <c r="I42" s="43"/>
      <c r="J42" s="43"/>
      <c r="K42" s="43"/>
      <c r="L42" s="43"/>
      <c r="M42" s="43"/>
      <c r="N42" s="43"/>
      <c r="O42" s="43"/>
      <c r="P42" s="43"/>
      <c r="Q42" s="43"/>
      <c r="R42" s="43"/>
      <c r="S42" s="43"/>
      <c r="T42" s="43"/>
      <c r="U42" s="43"/>
      <c r="V42" s="43"/>
      <c r="W42" s="43"/>
      <c r="X42" s="43"/>
      <c r="Y42" s="43"/>
      <c r="Z42" s="43"/>
      <c r="AA42" s="43"/>
      <c r="AB42" s="43"/>
      <c r="AC42" s="43"/>
      <c r="AD42" s="43"/>
      <c r="AE42" s="43"/>
      <c r="AF42" s="43"/>
      <c r="AG42" s="43"/>
      <c r="AH42" s="43"/>
      <c r="AI42" s="43"/>
    </row>
    <row r="43" spans="2:35" x14ac:dyDescent="0.15">
      <c r="B43" s="43"/>
      <c r="C43" s="43"/>
      <c r="D43" s="43"/>
      <c r="E43" s="43"/>
      <c r="F43" s="43"/>
      <c r="G43" s="43"/>
      <c r="H43" s="43"/>
      <c r="I43" s="43"/>
      <c r="J43" s="43"/>
      <c r="K43" s="43"/>
      <c r="L43" s="43"/>
      <c r="M43" s="43"/>
      <c r="N43" s="43"/>
      <c r="O43" s="43"/>
      <c r="P43" s="43"/>
      <c r="Q43" s="43"/>
      <c r="R43" s="43"/>
      <c r="S43" s="43"/>
      <c r="T43" s="43"/>
      <c r="U43" s="43"/>
      <c r="V43" s="43"/>
      <c r="W43" s="43"/>
      <c r="X43" s="43"/>
      <c r="Y43" s="43"/>
      <c r="Z43" s="43"/>
      <c r="AA43" s="43"/>
      <c r="AB43" s="43"/>
      <c r="AC43" s="43"/>
      <c r="AD43" s="43"/>
      <c r="AE43" s="43"/>
      <c r="AF43" s="43"/>
      <c r="AG43" s="43"/>
      <c r="AH43" s="43"/>
      <c r="AI43" s="43"/>
    </row>
    <row r="44" spans="2:35" x14ac:dyDescent="0.15">
      <c r="B44" s="43"/>
      <c r="C44" s="43"/>
      <c r="D44" s="43"/>
      <c r="E44" s="43"/>
      <c r="F44" s="43"/>
      <c r="G44" s="43"/>
      <c r="H44" s="43"/>
      <c r="I44" s="43"/>
      <c r="J44" s="43"/>
      <c r="K44" s="43"/>
      <c r="L44" s="43"/>
      <c r="M44" s="43"/>
      <c r="N44" s="43"/>
      <c r="O44" s="43"/>
      <c r="P44" s="43"/>
      <c r="Q44" s="43"/>
      <c r="R44" s="43"/>
      <c r="S44" s="43"/>
      <c r="T44" s="43"/>
      <c r="U44" s="43"/>
      <c r="V44" s="43"/>
      <c r="W44" s="43"/>
      <c r="X44" s="43"/>
      <c r="Y44" s="43"/>
      <c r="Z44" s="43"/>
      <c r="AA44" s="43"/>
      <c r="AB44" s="43"/>
      <c r="AC44" s="43"/>
      <c r="AD44" s="43"/>
      <c r="AE44" s="43"/>
      <c r="AF44" s="43"/>
      <c r="AG44" s="43"/>
      <c r="AH44" s="43"/>
      <c r="AI44" s="43"/>
    </row>
    <row r="45" spans="2:35" x14ac:dyDescent="0.15">
      <c r="B45" s="43"/>
      <c r="C45" s="43"/>
      <c r="D45" s="43"/>
      <c r="E45" s="43"/>
      <c r="F45" s="43"/>
      <c r="G45" s="43"/>
      <c r="H45" s="43"/>
      <c r="I45" s="43"/>
      <c r="J45" s="43"/>
      <c r="K45" s="43"/>
      <c r="L45" s="43"/>
      <c r="M45" s="43"/>
      <c r="N45" s="43"/>
      <c r="O45" s="43"/>
      <c r="P45" s="43"/>
      <c r="Q45" s="43"/>
      <c r="R45" s="43"/>
      <c r="S45" s="43"/>
      <c r="T45" s="43"/>
      <c r="U45" s="43"/>
      <c r="V45" s="43"/>
      <c r="W45" s="43"/>
      <c r="X45" s="43"/>
      <c r="Y45" s="43"/>
      <c r="Z45" s="43"/>
      <c r="AA45" s="43"/>
      <c r="AB45" s="43"/>
      <c r="AC45" s="43"/>
      <c r="AD45" s="43"/>
      <c r="AE45" s="43"/>
      <c r="AF45" s="43"/>
      <c r="AG45" s="43"/>
      <c r="AH45" s="43"/>
      <c r="AI45" s="43"/>
    </row>
    <row r="46" spans="2:35" x14ac:dyDescent="0.15">
      <c r="B46" s="43"/>
      <c r="C46" s="43"/>
      <c r="D46" s="43"/>
      <c r="E46" s="43"/>
      <c r="F46" s="43"/>
      <c r="G46" s="43"/>
      <c r="H46" s="43"/>
      <c r="I46" s="43"/>
      <c r="J46" s="43"/>
      <c r="K46" s="43"/>
      <c r="L46" s="43"/>
      <c r="M46" s="43"/>
      <c r="N46" s="43"/>
      <c r="O46" s="43"/>
      <c r="P46" s="43"/>
      <c r="Q46" s="43"/>
      <c r="R46" s="43"/>
      <c r="S46" s="43"/>
      <c r="T46" s="43"/>
      <c r="U46" s="43"/>
      <c r="V46" s="43"/>
      <c r="W46" s="43"/>
      <c r="X46" s="43"/>
      <c r="Y46" s="43"/>
      <c r="Z46" s="43"/>
      <c r="AA46" s="43"/>
      <c r="AB46" s="43"/>
      <c r="AC46" s="43"/>
      <c r="AD46" s="43"/>
      <c r="AE46" s="43"/>
      <c r="AF46" s="43"/>
      <c r="AG46" s="43"/>
      <c r="AH46" s="43"/>
      <c r="AI46" s="43"/>
    </row>
    <row r="47" spans="2:35" x14ac:dyDescent="0.15">
      <c r="B47" s="43"/>
      <c r="C47" s="43"/>
      <c r="D47" s="43"/>
      <c r="E47" s="43"/>
      <c r="F47" s="43"/>
      <c r="G47" s="43"/>
      <c r="H47" s="43"/>
      <c r="I47" s="43"/>
      <c r="J47" s="43"/>
      <c r="K47" s="43"/>
      <c r="L47" s="43"/>
      <c r="M47" s="43"/>
      <c r="N47" s="43"/>
      <c r="O47" s="43"/>
      <c r="P47" s="43"/>
      <c r="Q47" s="43"/>
      <c r="R47" s="43"/>
      <c r="S47" s="43"/>
      <c r="T47" s="43"/>
      <c r="U47" s="43"/>
      <c r="V47" s="43"/>
      <c r="W47" s="43"/>
      <c r="X47" s="43"/>
      <c r="Y47" s="43"/>
      <c r="Z47" s="43"/>
      <c r="AA47" s="43"/>
      <c r="AB47" s="43"/>
      <c r="AC47" s="43"/>
      <c r="AD47" s="43"/>
      <c r="AE47" s="43"/>
      <c r="AF47" s="43"/>
      <c r="AG47" s="43"/>
      <c r="AH47" s="43"/>
      <c r="AI47" s="43"/>
    </row>
    <row r="48" spans="2:35" x14ac:dyDescent="0.15">
      <c r="B48" s="43"/>
      <c r="C48" s="43"/>
      <c r="D48" s="43"/>
      <c r="E48" s="43"/>
      <c r="F48" s="43"/>
      <c r="G48" s="43"/>
      <c r="H48" s="43"/>
      <c r="I48" s="43"/>
      <c r="J48" s="43"/>
      <c r="K48" s="43"/>
      <c r="L48" s="43"/>
      <c r="M48" s="43"/>
      <c r="N48" s="43"/>
      <c r="O48" s="43"/>
      <c r="P48" s="43"/>
      <c r="Q48" s="43"/>
      <c r="R48" s="43"/>
      <c r="S48" s="43"/>
      <c r="T48" s="43"/>
      <c r="U48" s="43"/>
      <c r="V48" s="43"/>
      <c r="W48" s="43"/>
      <c r="X48" s="43"/>
      <c r="Y48" s="43"/>
      <c r="Z48" s="43"/>
      <c r="AA48" s="43"/>
      <c r="AB48" s="43"/>
      <c r="AC48" s="43"/>
      <c r="AD48" s="43"/>
      <c r="AE48" s="43"/>
      <c r="AF48" s="43"/>
      <c r="AG48" s="43"/>
      <c r="AH48" s="43"/>
      <c r="AI48" s="43"/>
    </row>
    <row r="49" spans="2:35" x14ac:dyDescent="0.15">
      <c r="B49" s="43"/>
      <c r="C49" s="43"/>
      <c r="D49" s="43"/>
      <c r="E49" s="43"/>
      <c r="F49" s="43"/>
      <c r="G49" s="43"/>
      <c r="H49" s="43"/>
      <c r="I49" s="43"/>
      <c r="J49" s="43"/>
      <c r="K49" s="43"/>
      <c r="L49" s="43"/>
      <c r="M49" s="43"/>
      <c r="N49" s="43"/>
      <c r="O49" s="43"/>
      <c r="P49" s="43"/>
      <c r="Q49" s="43"/>
      <c r="R49" s="43"/>
      <c r="S49" s="43"/>
      <c r="T49" s="43"/>
      <c r="U49" s="43"/>
      <c r="V49" s="43"/>
      <c r="W49" s="43"/>
      <c r="X49" s="43"/>
      <c r="Y49" s="43"/>
      <c r="Z49" s="43"/>
      <c r="AA49" s="43"/>
      <c r="AB49" s="43"/>
      <c r="AC49" s="43"/>
      <c r="AD49" s="43"/>
      <c r="AE49" s="43"/>
      <c r="AF49" s="43"/>
      <c r="AG49" s="43"/>
      <c r="AH49" s="43"/>
      <c r="AI49" s="43"/>
    </row>
  </sheetData>
  <phoneticPr fontId="1"/>
  <dataValidations count="8">
    <dataValidation type="whole" operator="greaterThanOrEqual" allowBlank="1" showInputMessage="1" showErrorMessage="1" sqref="K2:K49 A2:A49 G2:G49">
      <formula1>1</formula1>
    </dataValidation>
    <dataValidation type="whole" allowBlank="1" showInputMessage="1" showErrorMessage="1" sqref="H2:H49 B2:B49 L2:L49">
      <formula1>1</formula1>
      <formula2>12</formula2>
    </dataValidation>
    <dataValidation type="whole" allowBlank="1" showInputMessage="1" showErrorMessage="1" sqref="C2:C49 M2:M49">
      <formula1>1</formula1>
      <formula2>31</formula2>
    </dataValidation>
    <dataValidation type="list" allowBlank="1" showInputMessage="1" showErrorMessage="1" sqref="O2:O49">
      <formula1>"ゴールド,ブルー,グリーン"</formula1>
    </dataValidation>
    <dataValidation type="list" allowBlank="1" showInputMessage="1" showErrorMessage="1" sqref="P2:P49">
      <formula1>"日常,通勤,業務"</formula1>
    </dataValidation>
    <dataValidation type="whole" operator="greaterThanOrEqual" allowBlank="1" showInputMessage="1" showErrorMessage="1" sqref="Z2:Z49">
      <formula1>10</formula1>
    </dataValidation>
    <dataValidation type="list" allowBlank="1" showInputMessage="1" showErrorMessage="1" sqref="AC2:AD49 AE1:AE1048576">
      <formula1>"なし,あり"</formula1>
    </dataValidation>
    <dataValidation type="list" allowBlank="1" showInputMessage="1" showErrorMessage="1" sqref="AF2:AF49">
      <formula1>"なし,自損型,人傷型"</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7">
        <x14:dataValidation type="list" allowBlank="1" showInputMessage="1" showErrorMessage="1">
          <x14:formula1>
            <xm:f>ヘンスウチ!$E$3:$E$24</xm:f>
          </x14:formula1>
          <xm:sqref>D2:D49</xm:sqref>
        </x14:dataValidation>
        <x14:dataValidation type="list" allowBlank="1" showInputMessage="1" showErrorMessage="1">
          <x14:formula1>
            <xm:f>ヘンスウチ!$K$38:$K$39</xm:f>
          </x14:formula1>
          <xm:sqref>E2:E49</xm:sqref>
        </x14:dataValidation>
        <x14:dataValidation type="list" allowBlank="1" showInputMessage="1" showErrorMessage="1">
          <x14:formula1>
            <xm:f>ヘンスウチ!$H$12:$H$15</xm:f>
          </x14:formula1>
          <xm:sqref>F2:F49</xm:sqref>
        </x14:dataValidation>
        <x14:dataValidation type="list" allowBlank="1" showInputMessage="1" showErrorMessage="1">
          <x14:formula1>
            <xm:f>ヘンスウチ!$H$3:$H$9</xm:f>
          </x14:formula1>
          <xm:sqref>N2:N49</xm:sqref>
        </x14:dataValidation>
        <x14:dataValidation type="list" allowBlank="1" showInputMessage="1" showErrorMessage="1">
          <x14:formula1>
            <xm:f>ヘンスウチ!$E$27:$E$56</xm:f>
          </x14:formula1>
          <xm:sqref>Q2:Q49</xm:sqref>
        </x14:dataValidation>
        <x14:dataValidation type="list" allowBlank="1" showInputMessage="1" showErrorMessage="1">
          <x14:formula1>
            <xm:f>ヘンスウチ!$H$23:$H$26</xm:f>
          </x14:formula1>
          <xm:sqref>R2:R49</xm:sqref>
        </x14:dataValidation>
        <x14:dataValidation type="list" allowBlank="1" showInputMessage="1" showErrorMessage="1">
          <x14:formula1>
            <xm:f>ヘンスウチ!$H$18:$H$20</xm:f>
          </x14:formula1>
          <xm:sqref>S2:S49</xm:sqref>
        </x14:dataValidation>
        <x14:dataValidation type="list" allowBlank="1" showInputMessage="1" showErrorMessage="1">
          <x14:formula1>
            <xm:f>ヘンスウチ!$K$14:$K$19</xm:f>
          </x14:formula1>
          <xm:sqref>T2:T49</xm:sqref>
        </x14:dataValidation>
        <x14:dataValidation type="list" allowBlank="1" showInputMessage="1" showErrorMessage="1">
          <x14:formula1>
            <xm:f>ヘンスウチ!$K$38:$K$40</xm:f>
          </x14:formula1>
          <xm:sqref>U2:U49</xm:sqref>
        </x14:dataValidation>
        <x14:dataValidation type="list" allowBlank="1" showInputMessage="1" showErrorMessage="1">
          <x14:formula1>
            <xm:f>ヘンスウチ!$K$22:$K$24</xm:f>
          </x14:formula1>
          <xm:sqref>V2:V49</xm:sqref>
        </x14:dataValidation>
        <x14:dataValidation type="list" allowBlank="1" showInputMessage="1" showErrorMessage="1">
          <x14:formula1>
            <xm:f>ヘンスウチ!$K$64:$K$65</xm:f>
          </x14:formula1>
          <xm:sqref>W2:W49</xm:sqref>
        </x14:dataValidation>
        <x14:dataValidation type="list" allowBlank="1" showInputMessage="1" showErrorMessage="1">
          <x14:formula1>
            <xm:f>ヘンスウチ!$K$27:$K$35</xm:f>
          </x14:formula1>
          <xm:sqref>X2:X49</xm:sqref>
        </x14:dataValidation>
        <x14:dataValidation type="list" allowBlank="1" showInputMessage="1" showErrorMessage="1">
          <x14:formula1>
            <xm:f>ヘンスウチ!$K$4:$K$6</xm:f>
          </x14:formula1>
          <xm:sqref>Y2:Y49</xm:sqref>
        </x14:dataValidation>
        <x14:dataValidation type="list" allowBlank="1" showInputMessage="1" showErrorMessage="1">
          <x14:formula1>
            <xm:f>ヘンスウチ!$K$9:$K$11</xm:f>
          </x14:formula1>
          <xm:sqref>AA2:AA49</xm:sqref>
        </x14:dataValidation>
        <x14:dataValidation type="list" allowBlank="1" showInputMessage="1" showErrorMessage="1">
          <x14:formula1>
            <xm:f>ヘンスウチ!$K$43:$K$49</xm:f>
          </x14:formula1>
          <xm:sqref>AB2:AB49</xm:sqref>
        </x14:dataValidation>
        <x14:dataValidation type="list" allowBlank="1" showInputMessage="1" showErrorMessage="1">
          <x14:formula1>
            <xm:f>ヘンスウチ!$K$52:$K$55</xm:f>
          </x14:formula1>
          <xm:sqref>AG2:AG49</xm:sqref>
        </x14:dataValidation>
        <x14:dataValidation type="list" allowBlank="1" showInputMessage="1" showErrorMessage="1">
          <x14:formula1>
            <xm:f>ヘンスウチ!$K$58:$K$61</xm:f>
          </x14:formula1>
          <xm:sqref>AH2:AI49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B2:L166"/>
  <sheetViews>
    <sheetView topLeftCell="A52" zoomScale="70" zoomScaleNormal="70" workbookViewId="0">
      <selection activeCell="G68" sqref="G68"/>
    </sheetView>
  </sheetViews>
  <sheetFormatPr defaultRowHeight="13.5" x14ac:dyDescent="0.15"/>
  <cols>
    <col min="1" max="1" width="4.375" customWidth="1"/>
    <col min="2" max="3" width="14.375" customWidth="1"/>
    <col min="9" max="9" width="23" customWidth="1"/>
    <col min="10" max="10" width="5.625" customWidth="1"/>
    <col min="11" max="11" width="22.625" customWidth="1"/>
    <col min="12" max="12" width="22.125" customWidth="1"/>
  </cols>
  <sheetData>
    <row r="2" spans="2:12" x14ac:dyDescent="0.15">
      <c r="B2" s="10" t="s">
        <v>2</v>
      </c>
      <c r="C2" s="10" t="s">
        <v>3</v>
      </c>
      <c r="E2" s="10" t="s">
        <v>37</v>
      </c>
      <c r="F2" s="10" t="s">
        <v>3</v>
      </c>
      <c r="H2" s="10" t="s">
        <v>43</v>
      </c>
      <c r="I2" s="10" t="s">
        <v>3</v>
      </c>
    </row>
    <row r="3" spans="2:12" x14ac:dyDescent="0.15">
      <c r="B3" s="11">
        <v>2018</v>
      </c>
      <c r="C3" s="12" t="s">
        <v>80</v>
      </c>
      <c r="E3" s="14">
        <v>20</v>
      </c>
      <c r="F3" s="12" t="s">
        <v>85</v>
      </c>
      <c r="H3" s="11" t="s">
        <v>44</v>
      </c>
      <c r="I3" s="12" t="s">
        <v>44</v>
      </c>
      <c r="K3" s="18" t="s">
        <v>67</v>
      </c>
      <c r="L3" s="10" t="s">
        <v>282</v>
      </c>
    </row>
    <row r="4" spans="2:12" x14ac:dyDescent="0.15">
      <c r="B4" s="11">
        <v>2019</v>
      </c>
      <c r="C4" s="12" t="s">
        <v>358</v>
      </c>
      <c r="E4" s="14">
        <v>19</v>
      </c>
      <c r="F4" s="12" t="s">
        <v>86</v>
      </c>
      <c r="H4" s="11" t="s">
        <v>45</v>
      </c>
      <c r="I4" s="12" t="s">
        <v>214</v>
      </c>
      <c r="K4" s="11" t="s">
        <v>279</v>
      </c>
      <c r="L4" s="1" t="s">
        <v>283</v>
      </c>
    </row>
    <row r="5" spans="2:12" x14ac:dyDescent="0.15">
      <c r="B5" s="11">
        <v>2020</v>
      </c>
      <c r="C5" s="12" t="s">
        <v>359</v>
      </c>
      <c r="E5" s="14">
        <v>18</v>
      </c>
      <c r="F5" s="12" t="s">
        <v>87</v>
      </c>
      <c r="H5" s="11" t="s">
        <v>48</v>
      </c>
      <c r="I5" s="12" t="s">
        <v>215</v>
      </c>
      <c r="K5" s="11" t="s">
        <v>280</v>
      </c>
      <c r="L5" s="1" t="s">
        <v>284</v>
      </c>
    </row>
    <row r="6" spans="2:12" x14ac:dyDescent="0.15">
      <c r="B6" s="11">
        <v>2021</v>
      </c>
      <c r="C6" s="12" t="s">
        <v>360</v>
      </c>
      <c r="E6" s="14">
        <v>17</v>
      </c>
      <c r="F6" s="12" t="s">
        <v>88</v>
      </c>
      <c r="H6" s="11" t="s">
        <v>50</v>
      </c>
      <c r="I6" s="12" t="s">
        <v>216</v>
      </c>
      <c r="K6" s="11" t="s">
        <v>281</v>
      </c>
      <c r="L6" s="1" t="s">
        <v>285</v>
      </c>
    </row>
    <row r="7" spans="2:12" x14ac:dyDescent="0.15">
      <c r="B7" s="11">
        <v>2022</v>
      </c>
      <c r="C7" s="12" t="s">
        <v>361</v>
      </c>
      <c r="E7" s="14">
        <v>16</v>
      </c>
      <c r="F7" s="12" t="s">
        <v>89</v>
      </c>
      <c r="H7" s="11" t="s">
        <v>49</v>
      </c>
      <c r="I7" s="12" t="s">
        <v>217</v>
      </c>
    </row>
    <row r="8" spans="2:12" x14ac:dyDescent="0.15">
      <c r="B8" s="11">
        <v>2023</v>
      </c>
      <c r="C8" s="12" t="s">
        <v>362</v>
      </c>
      <c r="E8" s="14">
        <v>15</v>
      </c>
      <c r="F8" s="12" t="s">
        <v>90</v>
      </c>
      <c r="H8" s="11" t="s">
        <v>47</v>
      </c>
      <c r="I8" s="12" t="s">
        <v>218</v>
      </c>
      <c r="K8" s="10" t="s">
        <v>65</v>
      </c>
    </row>
    <row r="9" spans="2:12" x14ac:dyDescent="0.15">
      <c r="B9" s="11">
        <v>2024</v>
      </c>
      <c r="C9" s="12" t="s">
        <v>363</v>
      </c>
      <c r="E9" s="14">
        <v>14</v>
      </c>
      <c r="F9" s="12" t="s">
        <v>91</v>
      </c>
      <c r="H9" s="11" t="s">
        <v>46</v>
      </c>
      <c r="I9" s="12" t="s">
        <v>219</v>
      </c>
      <c r="K9" s="11" t="s">
        <v>287</v>
      </c>
      <c r="L9" s="1" t="s">
        <v>68</v>
      </c>
    </row>
    <row r="10" spans="2:12" x14ac:dyDescent="0.15">
      <c r="E10" s="14">
        <v>13</v>
      </c>
      <c r="F10" s="12" t="s">
        <v>92</v>
      </c>
      <c r="K10" s="11" t="s">
        <v>286</v>
      </c>
      <c r="L10" s="1" t="s">
        <v>286</v>
      </c>
    </row>
    <row r="11" spans="2:12" x14ac:dyDescent="0.15">
      <c r="B11" s="10" t="s">
        <v>4</v>
      </c>
      <c r="C11" s="10" t="s">
        <v>3</v>
      </c>
      <c r="E11" s="14">
        <v>12</v>
      </c>
      <c r="F11" s="12" t="s">
        <v>93</v>
      </c>
      <c r="H11" s="10" t="s">
        <v>55</v>
      </c>
      <c r="I11" s="10" t="s">
        <v>56</v>
      </c>
      <c r="K11" s="11" t="s">
        <v>288</v>
      </c>
      <c r="L11" s="1" t="s">
        <v>236</v>
      </c>
    </row>
    <row r="12" spans="2:12" x14ac:dyDescent="0.15">
      <c r="B12" s="11">
        <v>1</v>
      </c>
      <c r="C12" s="13" t="s">
        <v>6</v>
      </c>
      <c r="E12" s="14">
        <v>11</v>
      </c>
      <c r="F12" s="12" t="s">
        <v>94</v>
      </c>
      <c r="H12" s="11" t="s">
        <v>57</v>
      </c>
      <c r="I12" s="1">
        <v>1</v>
      </c>
    </row>
    <row r="13" spans="2:12" x14ac:dyDescent="0.15">
      <c r="B13" s="11">
        <v>2</v>
      </c>
      <c r="C13" s="13" t="s">
        <v>7</v>
      </c>
      <c r="E13" s="14">
        <v>10</v>
      </c>
      <c r="F13" s="12" t="s">
        <v>95</v>
      </c>
      <c r="H13" s="11" t="s">
        <v>58</v>
      </c>
      <c r="I13" s="1">
        <v>2</v>
      </c>
      <c r="K13" s="10" t="s">
        <v>69</v>
      </c>
      <c r="L13" s="10" t="s">
        <v>71</v>
      </c>
    </row>
    <row r="14" spans="2:12" x14ac:dyDescent="0.15">
      <c r="B14" s="11">
        <v>3</v>
      </c>
      <c r="C14" s="13" t="s">
        <v>8</v>
      </c>
      <c r="E14" s="14">
        <v>9</v>
      </c>
      <c r="F14" s="12" t="s">
        <v>96</v>
      </c>
      <c r="H14" s="11" t="s">
        <v>59</v>
      </c>
      <c r="I14" s="1">
        <v>3</v>
      </c>
      <c r="K14" s="11">
        <v>500</v>
      </c>
      <c r="L14" s="12" t="s">
        <v>229</v>
      </c>
    </row>
    <row r="15" spans="2:12" x14ac:dyDescent="0.15">
      <c r="B15" s="11">
        <v>4</v>
      </c>
      <c r="C15" s="13" t="s">
        <v>9</v>
      </c>
      <c r="E15" s="14">
        <v>8</v>
      </c>
      <c r="F15" s="12" t="s">
        <v>97</v>
      </c>
      <c r="H15" s="11" t="s">
        <v>60</v>
      </c>
      <c r="I15" s="1">
        <v>4</v>
      </c>
      <c r="K15" s="11">
        <v>1000</v>
      </c>
      <c r="L15" s="12" t="s">
        <v>230</v>
      </c>
    </row>
    <row r="16" spans="2:12" x14ac:dyDescent="0.15">
      <c r="B16" s="11">
        <v>5</v>
      </c>
      <c r="C16" s="13" t="s">
        <v>10</v>
      </c>
      <c r="E16" s="14">
        <v>7</v>
      </c>
      <c r="F16" s="12" t="s">
        <v>98</v>
      </c>
      <c r="K16" s="11">
        <v>2000</v>
      </c>
      <c r="L16" s="12" t="s">
        <v>231</v>
      </c>
    </row>
    <row r="17" spans="2:12" x14ac:dyDescent="0.15">
      <c r="B17" s="11">
        <v>6</v>
      </c>
      <c r="C17" s="13" t="s">
        <v>11</v>
      </c>
      <c r="E17" s="14">
        <v>6</v>
      </c>
      <c r="F17" s="12" t="s">
        <v>99</v>
      </c>
      <c r="H17" s="10" t="s">
        <v>63</v>
      </c>
      <c r="I17" s="10" t="s">
        <v>42</v>
      </c>
      <c r="K17" s="11">
        <v>3000</v>
      </c>
      <c r="L17" s="12" t="s">
        <v>232</v>
      </c>
    </row>
    <row r="18" spans="2:12" x14ac:dyDescent="0.15">
      <c r="B18" s="11">
        <v>7</v>
      </c>
      <c r="C18" s="13" t="s">
        <v>12</v>
      </c>
      <c r="E18" s="14">
        <v>5</v>
      </c>
      <c r="F18" s="12" t="s">
        <v>100</v>
      </c>
      <c r="H18" s="11" t="s">
        <v>52</v>
      </c>
      <c r="I18" s="1" t="s">
        <v>266</v>
      </c>
      <c r="K18" s="11">
        <v>5000</v>
      </c>
      <c r="L18" s="12" t="s">
        <v>233</v>
      </c>
    </row>
    <row r="19" spans="2:12" x14ac:dyDescent="0.15">
      <c r="B19" s="11">
        <v>8</v>
      </c>
      <c r="C19" s="13" t="s">
        <v>13</v>
      </c>
      <c r="E19" s="14">
        <v>4</v>
      </c>
      <c r="F19" s="12" t="s">
        <v>101</v>
      </c>
      <c r="H19" s="11" t="s">
        <v>53</v>
      </c>
      <c r="I19" s="1" t="s">
        <v>53</v>
      </c>
      <c r="K19" s="11" t="s">
        <v>70</v>
      </c>
      <c r="L19" s="12" t="s">
        <v>70</v>
      </c>
    </row>
    <row r="20" spans="2:12" x14ac:dyDescent="0.15">
      <c r="B20" s="11">
        <v>9</v>
      </c>
      <c r="C20" s="13" t="s">
        <v>14</v>
      </c>
      <c r="E20" s="14">
        <v>3</v>
      </c>
      <c r="F20" s="12" t="s">
        <v>102</v>
      </c>
      <c r="H20" s="11" t="s">
        <v>54</v>
      </c>
      <c r="I20" s="1" t="s">
        <v>267</v>
      </c>
    </row>
    <row r="21" spans="2:12" x14ac:dyDescent="0.15">
      <c r="B21" s="11">
        <v>10</v>
      </c>
      <c r="C21" s="13" t="s">
        <v>15</v>
      </c>
      <c r="E21" s="14">
        <v>2</v>
      </c>
      <c r="F21" s="12" t="s">
        <v>103</v>
      </c>
      <c r="K21" s="10" t="s">
        <v>72</v>
      </c>
      <c r="L21" s="10" t="s">
        <v>73</v>
      </c>
    </row>
    <row r="22" spans="2:12" x14ac:dyDescent="0.15">
      <c r="B22" s="11">
        <v>11</v>
      </c>
      <c r="C22" s="13" t="s">
        <v>16</v>
      </c>
      <c r="E22" s="14">
        <v>1</v>
      </c>
      <c r="F22" s="12" t="s">
        <v>103</v>
      </c>
      <c r="H22" s="10" t="s">
        <v>64</v>
      </c>
      <c r="I22" s="10" t="s">
        <v>56</v>
      </c>
      <c r="K22" s="11">
        <v>500</v>
      </c>
      <c r="L22" s="12" t="s">
        <v>229</v>
      </c>
    </row>
    <row r="23" spans="2:12" x14ac:dyDescent="0.15">
      <c r="B23" s="11">
        <v>12</v>
      </c>
      <c r="C23" s="13" t="s">
        <v>17</v>
      </c>
      <c r="E23" s="11" t="s">
        <v>38</v>
      </c>
      <c r="F23" s="12" t="s">
        <v>38</v>
      </c>
      <c r="H23" s="11" t="s">
        <v>57</v>
      </c>
      <c r="I23" s="1" t="s">
        <v>107</v>
      </c>
      <c r="K23" s="11">
        <v>1000</v>
      </c>
      <c r="L23" s="12" t="s">
        <v>230</v>
      </c>
    </row>
    <row r="24" spans="2:12" x14ac:dyDescent="0.15">
      <c r="E24" s="11" t="s">
        <v>39</v>
      </c>
      <c r="F24" s="12" t="s">
        <v>39</v>
      </c>
      <c r="H24" s="11" t="s">
        <v>58</v>
      </c>
      <c r="I24" s="1" t="s">
        <v>106</v>
      </c>
      <c r="K24" s="11">
        <v>2000</v>
      </c>
      <c r="L24" s="12" t="s">
        <v>231</v>
      </c>
    </row>
    <row r="25" spans="2:12" x14ac:dyDescent="0.15">
      <c r="B25" s="10" t="s">
        <v>5</v>
      </c>
      <c r="C25" s="10" t="s">
        <v>3</v>
      </c>
      <c r="H25" s="11" t="s">
        <v>59</v>
      </c>
      <c r="I25" s="1" t="s">
        <v>105</v>
      </c>
    </row>
    <row r="26" spans="2:12" x14ac:dyDescent="0.15">
      <c r="B26" s="11">
        <v>1</v>
      </c>
      <c r="C26" s="13" t="s">
        <v>6</v>
      </c>
      <c r="E26" s="10" t="s">
        <v>41</v>
      </c>
      <c r="F26" s="10" t="s">
        <v>42</v>
      </c>
      <c r="H26" s="11" t="s">
        <v>60</v>
      </c>
      <c r="I26" s="1" t="s">
        <v>414</v>
      </c>
      <c r="K26" s="10" t="s">
        <v>74</v>
      </c>
      <c r="L26" s="10" t="s">
        <v>75</v>
      </c>
    </row>
    <row r="27" spans="2:12" x14ac:dyDescent="0.15">
      <c r="B27" s="11">
        <v>2</v>
      </c>
      <c r="C27" s="13" t="s">
        <v>7</v>
      </c>
      <c r="E27" s="14">
        <v>1000</v>
      </c>
      <c r="F27" s="1">
        <v>1</v>
      </c>
      <c r="K27" s="11">
        <v>3000</v>
      </c>
      <c r="L27" s="12" t="s">
        <v>232</v>
      </c>
    </row>
    <row r="28" spans="2:12" x14ac:dyDescent="0.15">
      <c r="B28" s="11">
        <v>3</v>
      </c>
      <c r="C28" s="13" t="s">
        <v>8</v>
      </c>
      <c r="E28" s="14">
        <f>E27+1000</f>
        <v>2000</v>
      </c>
      <c r="F28" s="1">
        <v>1</v>
      </c>
      <c r="H28" s="10" t="s">
        <v>268</v>
      </c>
      <c r="I28" s="10" t="s">
        <v>42</v>
      </c>
      <c r="K28" s="11">
        <v>4000</v>
      </c>
      <c r="L28" s="12" t="s">
        <v>243</v>
      </c>
    </row>
    <row r="29" spans="2:12" x14ac:dyDescent="0.15">
      <c r="B29" s="11">
        <v>4</v>
      </c>
      <c r="C29" s="13" t="s">
        <v>9</v>
      </c>
      <c r="E29" s="14">
        <f t="shared" ref="E29:E56" si="0">E28+1000</f>
        <v>3000</v>
      </c>
      <c r="F29" s="1">
        <v>1</v>
      </c>
      <c r="H29" s="11" t="s">
        <v>57</v>
      </c>
      <c r="I29" s="1" t="s">
        <v>269</v>
      </c>
      <c r="K29" s="11">
        <v>5000</v>
      </c>
      <c r="L29" s="12" t="s">
        <v>233</v>
      </c>
    </row>
    <row r="30" spans="2:12" x14ac:dyDescent="0.15">
      <c r="B30" s="11">
        <v>5</v>
      </c>
      <c r="C30" s="13" t="s">
        <v>10</v>
      </c>
      <c r="E30" s="14">
        <f t="shared" si="0"/>
        <v>4000</v>
      </c>
      <c r="F30" s="2">
        <v>2</v>
      </c>
      <c r="H30" s="11" t="s">
        <v>58</v>
      </c>
      <c r="I30" s="1" t="s">
        <v>106</v>
      </c>
      <c r="K30" s="11">
        <v>6000</v>
      </c>
      <c r="L30" s="12" t="s">
        <v>244</v>
      </c>
    </row>
    <row r="31" spans="2:12" x14ac:dyDescent="0.15">
      <c r="B31" s="11">
        <v>6</v>
      </c>
      <c r="C31" s="13" t="s">
        <v>11</v>
      </c>
      <c r="E31" s="14">
        <f t="shared" si="0"/>
        <v>5000</v>
      </c>
      <c r="F31" s="2">
        <v>2</v>
      </c>
      <c r="H31" s="11" t="s">
        <v>59</v>
      </c>
      <c r="I31" s="1" t="s">
        <v>105</v>
      </c>
      <c r="K31" s="11">
        <v>7000</v>
      </c>
      <c r="L31" s="12" t="s">
        <v>245</v>
      </c>
    </row>
    <row r="32" spans="2:12" x14ac:dyDescent="0.15">
      <c r="B32" s="11">
        <v>7</v>
      </c>
      <c r="C32" s="13" t="s">
        <v>12</v>
      </c>
      <c r="E32" s="14">
        <f t="shared" si="0"/>
        <v>6000</v>
      </c>
      <c r="F32" s="2">
        <v>3</v>
      </c>
      <c r="H32" s="11" t="s">
        <v>60</v>
      </c>
      <c r="I32" s="1" t="s">
        <v>415</v>
      </c>
      <c r="K32" s="11">
        <v>8000</v>
      </c>
      <c r="L32" s="12" t="s">
        <v>246</v>
      </c>
    </row>
    <row r="33" spans="2:12" x14ac:dyDescent="0.15">
      <c r="B33" s="11">
        <v>8</v>
      </c>
      <c r="C33" s="13" t="s">
        <v>13</v>
      </c>
      <c r="E33" s="14">
        <f t="shared" si="0"/>
        <v>7000</v>
      </c>
      <c r="F33" s="2">
        <v>3</v>
      </c>
      <c r="K33" s="11">
        <v>9000</v>
      </c>
      <c r="L33" s="12" t="s">
        <v>247</v>
      </c>
    </row>
    <row r="34" spans="2:12" x14ac:dyDescent="0.15">
      <c r="B34" s="11">
        <v>9</v>
      </c>
      <c r="C34" s="13" t="s">
        <v>14</v>
      </c>
      <c r="E34" s="14">
        <f t="shared" si="0"/>
        <v>8000</v>
      </c>
      <c r="F34" s="2">
        <v>3</v>
      </c>
      <c r="K34" s="11">
        <v>10000</v>
      </c>
      <c r="L34" s="12" t="s">
        <v>242</v>
      </c>
    </row>
    <row r="35" spans="2:12" x14ac:dyDescent="0.15">
      <c r="B35" s="11">
        <v>10</v>
      </c>
      <c r="C35" s="13" t="s">
        <v>15</v>
      </c>
      <c r="E35" s="14">
        <f t="shared" si="0"/>
        <v>9000</v>
      </c>
      <c r="F35" s="2">
        <v>3</v>
      </c>
      <c r="K35" s="11" t="s">
        <v>70</v>
      </c>
      <c r="L35" s="12" t="s">
        <v>70</v>
      </c>
    </row>
    <row r="36" spans="2:12" x14ac:dyDescent="0.15">
      <c r="B36" s="11">
        <v>11</v>
      </c>
      <c r="C36" s="13" t="s">
        <v>16</v>
      </c>
      <c r="E36" s="14">
        <f t="shared" si="0"/>
        <v>10000</v>
      </c>
      <c r="F36" s="2">
        <v>3</v>
      </c>
    </row>
    <row r="37" spans="2:12" x14ac:dyDescent="0.15">
      <c r="B37" s="11">
        <v>12</v>
      </c>
      <c r="C37" s="13" t="s">
        <v>17</v>
      </c>
      <c r="E37" s="14">
        <f t="shared" si="0"/>
        <v>11000</v>
      </c>
      <c r="F37" s="2">
        <v>4</v>
      </c>
      <c r="K37" s="10" t="s">
        <v>234</v>
      </c>
      <c r="L37" s="10" t="s">
        <v>235</v>
      </c>
    </row>
    <row r="38" spans="2:12" x14ac:dyDescent="0.15">
      <c r="B38" s="11">
        <v>13</v>
      </c>
      <c r="C38" s="13" t="s">
        <v>18</v>
      </c>
      <c r="E38" s="14">
        <f t="shared" si="0"/>
        <v>12000</v>
      </c>
      <c r="F38" s="2">
        <v>4</v>
      </c>
      <c r="K38" s="11" t="s">
        <v>40</v>
      </c>
      <c r="L38" s="12" t="s">
        <v>40</v>
      </c>
    </row>
    <row r="39" spans="2:12" x14ac:dyDescent="0.15">
      <c r="B39" s="11">
        <v>14</v>
      </c>
      <c r="C39" s="13" t="s">
        <v>19</v>
      </c>
      <c r="E39" s="14">
        <f t="shared" si="0"/>
        <v>13000</v>
      </c>
      <c r="F39" s="2">
        <v>4</v>
      </c>
      <c r="K39" s="11" t="s">
        <v>66</v>
      </c>
      <c r="L39" s="12" t="s">
        <v>237</v>
      </c>
    </row>
    <row r="40" spans="2:12" x14ac:dyDescent="0.15">
      <c r="B40" s="11">
        <v>15</v>
      </c>
      <c r="C40" s="13" t="s">
        <v>20</v>
      </c>
      <c r="E40" s="14">
        <f t="shared" si="0"/>
        <v>14000</v>
      </c>
      <c r="F40" s="2">
        <v>4</v>
      </c>
      <c r="K40" s="11" t="s">
        <v>70</v>
      </c>
      <c r="L40" s="12" t="s">
        <v>70</v>
      </c>
    </row>
    <row r="41" spans="2:12" x14ac:dyDescent="0.15">
      <c r="B41" s="11">
        <v>16</v>
      </c>
      <c r="C41" s="13" t="s">
        <v>21</v>
      </c>
      <c r="E41" s="14">
        <f t="shared" si="0"/>
        <v>15000</v>
      </c>
      <c r="F41" s="2">
        <v>4</v>
      </c>
    </row>
    <row r="42" spans="2:12" x14ac:dyDescent="0.15">
      <c r="B42" s="11">
        <v>17</v>
      </c>
      <c r="C42" s="13" t="s">
        <v>22</v>
      </c>
      <c r="E42" s="14">
        <f t="shared" si="0"/>
        <v>16000</v>
      </c>
      <c r="F42" s="2">
        <v>5</v>
      </c>
      <c r="K42" s="10" t="s">
        <v>250</v>
      </c>
    </row>
    <row r="43" spans="2:12" x14ac:dyDescent="0.15">
      <c r="B43" s="11">
        <v>18</v>
      </c>
      <c r="C43" s="13" t="s">
        <v>23</v>
      </c>
      <c r="E43" s="14">
        <f t="shared" si="0"/>
        <v>17000</v>
      </c>
      <c r="F43" s="2">
        <v>5</v>
      </c>
      <c r="K43" s="11" t="s">
        <v>40</v>
      </c>
    </row>
    <row r="44" spans="2:12" x14ac:dyDescent="0.15">
      <c r="B44" s="11">
        <v>19</v>
      </c>
      <c r="C44" s="13" t="s">
        <v>24</v>
      </c>
      <c r="E44" s="14">
        <f t="shared" si="0"/>
        <v>18000</v>
      </c>
      <c r="F44" s="2">
        <v>5</v>
      </c>
      <c r="K44" s="11" t="s">
        <v>251</v>
      </c>
    </row>
    <row r="45" spans="2:12" x14ac:dyDescent="0.15">
      <c r="B45" s="11">
        <v>20</v>
      </c>
      <c r="C45" s="13" t="s">
        <v>25</v>
      </c>
      <c r="E45" s="14">
        <f t="shared" si="0"/>
        <v>19000</v>
      </c>
      <c r="F45" s="2">
        <v>5</v>
      </c>
      <c r="K45" s="11" t="s">
        <v>252</v>
      </c>
    </row>
    <row r="46" spans="2:12" x14ac:dyDescent="0.15">
      <c r="B46" s="11">
        <v>21</v>
      </c>
      <c r="C46" s="13" t="s">
        <v>26</v>
      </c>
      <c r="E46" s="14">
        <f t="shared" si="0"/>
        <v>20000</v>
      </c>
      <c r="F46" s="2">
        <v>5</v>
      </c>
      <c r="K46" s="11" t="s">
        <v>253</v>
      </c>
    </row>
    <row r="47" spans="2:12" x14ac:dyDescent="0.15">
      <c r="B47" s="11">
        <v>22</v>
      </c>
      <c r="C47" s="13" t="s">
        <v>27</v>
      </c>
      <c r="E47" s="14">
        <f t="shared" si="0"/>
        <v>21000</v>
      </c>
      <c r="F47" s="2">
        <v>5</v>
      </c>
      <c r="K47" s="11" t="s">
        <v>254</v>
      </c>
    </row>
    <row r="48" spans="2:12" x14ac:dyDescent="0.15">
      <c r="B48" s="11">
        <v>23</v>
      </c>
      <c r="C48" s="13" t="s">
        <v>28</v>
      </c>
      <c r="E48" s="14">
        <f t="shared" si="0"/>
        <v>22000</v>
      </c>
      <c r="F48" s="2">
        <v>5</v>
      </c>
      <c r="K48" s="11" t="s">
        <v>255</v>
      </c>
    </row>
    <row r="49" spans="2:12" x14ac:dyDescent="0.15">
      <c r="B49" s="11">
        <v>24</v>
      </c>
      <c r="C49" s="13" t="s">
        <v>29</v>
      </c>
      <c r="E49" s="14">
        <f t="shared" si="0"/>
        <v>23000</v>
      </c>
      <c r="F49" s="2">
        <v>5</v>
      </c>
      <c r="K49" s="11" t="s">
        <v>256</v>
      </c>
    </row>
    <row r="50" spans="2:12" x14ac:dyDescent="0.15">
      <c r="B50" s="11">
        <v>25</v>
      </c>
      <c r="C50" s="13" t="s">
        <v>30</v>
      </c>
      <c r="E50" s="14">
        <f t="shared" si="0"/>
        <v>24000</v>
      </c>
      <c r="F50" s="2">
        <v>5</v>
      </c>
    </row>
    <row r="51" spans="2:12" x14ac:dyDescent="0.15">
      <c r="B51" s="11">
        <v>26</v>
      </c>
      <c r="C51" s="13" t="s">
        <v>31</v>
      </c>
      <c r="E51" s="14">
        <f t="shared" si="0"/>
        <v>25000</v>
      </c>
      <c r="F51" s="2">
        <v>5</v>
      </c>
      <c r="K51" s="10" t="s">
        <v>270</v>
      </c>
      <c r="L51" s="10" t="s">
        <v>271</v>
      </c>
    </row>
    <row r="52" spans="2:12" x14ac:dyDescent="0.15">
      <c r="B52" s="11">
        <v>27</v>
      </c>
      <c r="C52" s="13" t="s">
        <v>32</v>
      </c>
      <c r="E52" s="14">
        <f t="shared" si="0"/>
        <v>26000</v>
      </c>
      <c r="F52" s="2">
        <v>5</v>
      </c>
      <c r="K52" s="11" t="s">
        <v>40</v>
      </c>
      <c r="L52" s="12" t="s">
        <v>40</v>
      </c>
    </row>
    <row r="53" spans="2:12" x14ac:dyDescent="0.15">
      <c r="B53" s="11">
        <v>28</v>
      </c>
      <c r="C53" s="13" t="s">
        <v>33</v>
      </c>
      <c r="E53" s="14">
        <f t="shared" si="0"/>
        <v>27000</v>
      </c>
      <c r="F53" s="2">
        <v>5</v>
      </c>
      <c r="K53" s="11">
        <v>3000</v>
      </c>
      <c r="L53" s="12" t="s">
        <v>232</v>
      </c>
    </row>
    <row r="54" spans="2:12" x14ac:dyDescent="0.15">
      <c r="B54" s="11">
        <v>29</v>
      </c>
      <c r="C54" s="13" t="s">
        <v>34</v>
      </c>
      <c r="E54" s="14">
        <f t="shared" si="0"/>
        <v>28000</v>
      </c>
      <c r="F54" s="2">
        <v>5</v>
      </c>
      <c r="K54" s="11">
        <v>5000</v>
      </c>
      <c r="L54" s="12" t="s">
        <v>233</v>
      </c>
    </row>
    <row r="55" spans="2:12" x14ac:dyDescent="0.15">
      <c r="B55" s="11">
        <v>30</v>
      </c>
      <c r="C55" s="13" t="s">
        <v>35</v>
      </c>
      <c r="E55" s="14">
        <f t="shared" si="0"/>
        <v>29000</v>
      </c>
      <c r="F55" s="2">
        <v>5</v>
      </c>
      <c r="K55" s="11">
        <v>10000</v>
      </c>
      <c r="L55" s="12" t="s">
        <v>272</v>
      </c>
    </row>
    <row r="56" spans="2:12" x14ac:dyDescent="0.15">
      <c r="B56" s="11">
        <v>31</v>
      </c>
      <c r="C56" s="13" t="s">
        <v>36</v>
      </c>
      <c r="E56" s="14">
        <f t="shared" si="0"/>
        <v>30000</v>
      </c>
      <c r="F56" s="2">
        <v>5</v>
      </c>
    </row>
    <row r="57" spans="2:12" x14ac:dyDescent="0.15">
      <c r="K57" s="10" t="s">
        <v>277</v>
      </c>
      <c r="L57" s="10" t="s">
        <v>3</v>
      </c>
    </row>
    <row r="58" spans="2:12" x14ac:dyDescent="0.15">
      <c r="B58" s="10" t="s">
        <v>341</v>
      </c>
      <c r="C58" s="10" t="s">
        <v>3</v>
      </c>
      <c r="K58" s="11" t="s">
        <v>40</v>
      </c>
      <c r="L58" s="12" t="s">
        <v>40</v>
      </c>
    </row>
    <row r="59" spans="2:12" x14ac:dyDescent="0.15">
      <c r="B59" s="11">
        <v>2026</v>
      </c>
      <c r="C59" s="12" t="s">
        <v>447</v>
      </c>
      <c r="K59" s="11" t="s">
        <v>51</v>
      </c>
      <c r="L59" s="12" t="s">
        <v>274</v>
      </c>
    </row>
    <row r="60" spans="2:12" x14ac:dyDescent="0.15">
      <c r="B60" s="11">
        <f t="shared" ref="B60:B67" si="1">B59-1</f>
        <v>2025</v>
      </c>
      <c r="C60" s="12" t="s">
        <v>446</v>
      </c>
      <c r="K60" s="11" t="s">
        <v>273</v>
      </c>
      <c r="L60" s="12" t="s">
        <v>275</v>
      </c>
    </row>
    <row r="61" spans="2:12" x14ac:dyDescent="0.15">
      <c r="B61" s="11">
        <f t="shared" si="1"/>
        <v>2024</v>
      </c>
      <c r="C61" s="12" t="s">
        <v>445</v>
      </c>
      <c r="K61" s="11" t="s">
        <v>53</v>
      </c>
      <c r="L61" s="12" t="s">
        <v>276</v>
      </c>
    </row>
    <row r="62" spans="2:12" x14ac:dyDescent="0.15">
      <c r="B62" s="11">
        <f t="shared" si="1"/>
        <v>2023</v>
      </c>
      <c r="C62" s="12" t="s">
        <v>444</v>
      </c>
    </row>
    <row r="63" spans="2:12" x14ac:dyDescent="0.15">
      <c r="B63" s="11">
        <f t="shared" si="1"/>
        <v>2022</v>
      </c>
      <c r="C63" s="12" t="s">
        <v>443</v>
      </c>
      <c r="K63" s="10" t="s">
        <v>240</v>
      </c>
    </row>
    <row r="64" spans="2:12" x14ac:dyDescent="0.15">
      <c r="B64" s="11">
        <f t="shared" si="1"/>
        <v>2021</v>
      </c>
      <c r="C64" s="12" t="s">
        <v>442</v>
      </c>
      <c r="K64" s="11" t="s">
        <v>241</v>
      </c>
    </row>
    <row r="65" spans="2:11" x14ac:dyDescent="0.15">
      <c r="B65" s="11">
        <f t="shared" si="1"/>
        <v>2020</v>
      </c>
      <c r="C65" s="12" t="s">
        <v>367</v>
      </c>
      <c r="K65" s="11" t="s">
        <v>340</v>
      </c>
    </row>
    <row r="66" spans="2:11" x14ac:dyDescent="0.15">
      <c r="B66" s="11">
        <f t="shared" si="1"/>
        <v>2019</v>
      </c>
      <c r="C66" s="12" t="s">
        <v>366</v>
      </c>
    </row>
    <row r="67" spans="2:11" x14ac:dyDescent="0.15">
      <c r="B67" s="11">
        <f t="shared" si="1"/>
        <v>2018</v>
      </c>
      <c r="C67" s="12" t="s">
        <v>111</v>
      </c>
    </row>
    <row r="68" spans="2:11" x14ac:dyDescent="0.15">
      <c r="B68" s="11">
        <f t="shared" ref="B68:B130" si="2">B67-1</f>
        <v>2017</v>
      </c>
      <c r="C68" s="12" t="s">
        <v>112</v>
      </c>
    </row>
    <row r="69" spans="2:11" x14ac:dyDescent="0.15">
      <c r="B69" s="11">
        <f t="shared" si="2"/>
        <v>2016</v>
      </c>
      <c r="C69" s="12" t="s">
        <v>113</v>
      </c>
    </row>
    <row r="70" spans="2:11" x14ac:dyDescent="0.15">
      <c r="B70" s="11">
        <f t="shared" si="2"/>
        <v>2015</v>
      </c>
      <c r="C70" s="12" t="s">
        <v>114</v>
      </c>
    </row>
    <row r="71" spans="2:11" x14ac:dyDescent="0.15">
      <c r="B71" s="11">
        <f t="shared" si="2"/>
        <v>2014</v>
      </c>
      <c r="C71" s="12" t="s">
        <v>115</v>
      </c>
    </row>
    <row r="72" spans="2:11" x14ac:dyDescent="0.15">
      <c r="B72" s="11">
        <f t="shared" si="2"/>
        <v>2013</v>
      </c>
      <c r="C72" s="12" t="s">
        <v>116</v>
      </c>
    </row>
    <row r="73" spans="2:11" x14ac:dyDescent="0.15">
      <c r="B73" s="11">
        <f t="shared" si="2"/>
        <v>2012</v>
      </c>
      <c r="C73" s="12" t="s">
        <v>117</v>
      </c>
    </row>
    <row r="74" spans="2:11" x14ac:dyDescent="0.15">
      <c r="B74" s="11">
        <f t="shared" si="2"/>
        <v>2011</v>
      </c>
      <c r="C74" s="12" t="s">
        <v>118</v>
      </c>
    </row>
    <row r="75" spans="2:11" x14ac:dyDescent="0.15">
      <c r="B75" s="11">
        <f t="shared" si="2"/>
        <v>2010</v>
      </c>
      <c r="C75" s="12" t="s">
        <v>119</v>
      </c>
    </row>
    <row r="76" spans="2:11" x14ac:dyDescent="0.15">
      <c r="B76" s="11">
        <f t="shared" si="2"/>
        <v>2009</v>
      </c>
      <c r="C76" s="12" t="s">
        <v>120</v>
      </c>
    </row>
    <row r="77" spans="2:11" x14ac:dyDescent="0.15">
      <c r="B77" s="11">
        <f t="shared" si="2"/>
        <v>2008</v>
      </c>
      <c r="C77" s="12" t="s">
        <v>121</v>
      </c>
    </row>
    <row r="78" spans="2:11" x14ac:dyDescent="0.15">
      <c r="B78" s="11">
        <f t="shared" si="2"/>
        <v>2007</v>
      </c>
      <c r="C78" s="12" t="s">
        <v>122</v>
      </c>
    </row>
    <row r="79" spans="2:11" x14ac:dyDescent="0.15">
      <c r="B79" s="11">
        <f t="shared" si="2"/>
        <v>2006</v>
      </c>
      <c r="C79" s="12" t="s">
        <v>123</v>
      </c>
    </row>
    <row r="80" spans="2:11" x14ac:dyDescent="0.15">
      <c r="B80" s="11">
        <f t="shared" si="2"/>
        <v>2005</v>
      </c>
      <c r="C80" s="12" t="s">
        <v>124</v>
      </c>
    </row>
    <row r="81" spans="2:3" x14ac:dyDescent="0.15">
      <c r="B81" s="11">
        <f t="shared" si="2"/>
        <v>2004</v>
      </c>
      <c r="C81" s="12" t="s">
        <v>125</v>
      </c>
    </row>
    <row r="82" spans="2:3" x14ac:dyDescent="0.15">
      <c r="B82" s="11">
        <f t="shared" si="2"/>
        <v>2003</v>
      </c>
      <c r="C82" s="12" t="s">
        <v>126</v>
      </c>
    </row>
    <row r="83" spans="2:3" x14ac:dyDescent="0.15">
      <c r="B83" s="11">
        <f t="shared" si="2"/>
        <v>2002</v>
      </c>
      <c r="C83" s="12" t="s">
        <v>127</v>
      </c>
    </row>
    <row r="84" spans="2:3" x14ac:dyDescent="0.15">
      <c r="B84" s="11">
        <f t="shared" si="2"/>
        <v>2001</v>
      </c>
      <c r="C84" s="12" t="s">
        <v>128</v>
      </c>
    </row>
    <row r="85" spans="2:3" x14ac:dyDescent="0.15">
      <c r="B85" s="11">
        <f t="shared" si="2"/>
        <v>2000</v>
      </c>
      <c r="C85" s="12" t="s">
        <v>129</v>
      </c>
    </row>
    <row r="86" spans="2:3" x14ac:dyDescent="0.15">
      <c r="B86" s="11">
        <f t="shared" si="2"/>
        <v>1999</v>
      </c>
      <c r="C86" s="12" t="s">
        <v>130</v>
      </c>
    </row>
    <row r="87" spans="2:3" x14ac:dyDescent="0.15">
      <c r="B87" s="11">
        <f t="shared" si="2"/>
        <v>1998</v>
      </c>
      <c r="C87" s="12" t="s">
        <v>131</v>
      </c>
    </row>
    <row r="88" spans="2:3" x14ac:dyDescent="0.15">
      <c r="B88" s="11">
        <f t="shared" si="2"/>
        <v>1997</v>
      </c>
      <c r="C88" s="12" t="s">
        <v>132</v>
      </c>
    </row>
    <row r="89" spans="2:3" x14ac:dyDescent="0.15">
      <c r="B89" s="11">
        <f t="shared" si="2"/>
        <v>1996</v>
      </c>
      <c r="C89" s="12" t="s">
        <v>133</v>
      </c>
    </row>
    <row r="90" spans="2:3" x14ac:dyDescent="0.15">
      <c r="B90" s="11">
        <f t="shared" si="2"/>
        <v>1995</v>
      </c>
      <c r="C90" s="12" t="s">
        <v>134</v>
      </c>
    </row>
    <row r="91" spans="2:3" x14ac:dyDescent="0.15">
      <c r="B91" s="11">
        <f t="shared" si="2"/>
        <v>1994</v>
      </c>
      <c r="C91" s="12" t="s">
        <v>135</v>
      </c>
    </row>
    <row r="92" spans="2:3" x14ac:dyDescent="0.15">
      <c r="B92" s="11">
        <f t="shared" si="2"/>
        <v>1993</v>
      </c>
      <c r="C92" s="12" t="s">
        <v>136</v>
      </c>
    </row>
    <row r="93" spans="2:3" x14ac:dyDescent="0.15">
      <c r="B93" s="11">
        <f t="shared" si="2"/>
        <v>1992</v>
      </c>
      <c r="C93" s="12" t="s">
        <v>137</v>
      </c>
    </row>
    <row r="94" spans="2:3" x14ac:dyDescent="0.15">
      <c r="B94" s="11">
        <f t="shared" si="2"/>
        <v>1991</v>
      </c>
      <c r="C94" s="12" t="s">
        <v>138</v>
      </c>
    </row>
    <row r="95" spans="2:3" x14ac:dyDescent="0.15">
      <c r="B95" s="11">
        <f t="shared" si="2"/>
        <v>1990</v>
      </c>
      <c r="C95" s="12" t="s">
        <v>139</v>
      </c>
    </row>
    <row r="96" spans="2:3" x14ac:dyDescent="0.15">
      <c r="B96" s="11">
        <f t="shared" si="2"/>
        <v>1989</v>
      </c>
      <c r="C96" s="12" t="s">
        <v>296</v>
      </c>
    </row>
    <row r="97" spans="2:3" x14ac:dyDescent="0.15">
      <c r="B97" s="11">
        <f t="shared" si="2"/>
        <v>1988</v>
      </c>
      <c r="C97" s="12" t="s">
        <v>342</v>
      </c>
    </row>
    <row r="98" spans="2:3" x14ac:dyDescent="0.15">
      <c r="B98" s="11">
        <f t="shared" si="2"/>
        <v>1987</v>
      </c>
      <c r="C98" s="12" t="s">
        <v>140</v>
      </c>
    </row>
    <row r="99" spans="2:3" x14ac:dyDescent="0.15">
      <c r="B99" s="11">
        <f t="shared" si="2"/>
        <v>1986</v>
      </c>
      <c r="C99" s="12" t="s">
        <v>141</v>
      </c>
    </row>
    <row r="100" spans="2:3" x14ac:dyDescent="0.15">
      <c r="B100" s="11">
        <f t="shared" si="2"/>
        <v>1985</v>
      </c>
      <c r="C100" s="12" t="s">
        <v>142</v>
      </c>
    </row>
    <row r="101" spans="2:3" x14ac:dyDescent="0.15">
      <c r="B101" s="11">
        <f t="shared" si="2"/>
        <v>1984</v>
      </c>
      <c r="C101" s="12" t="s">
        <v>143</v>
      </c>
    </row>
    <row r="102" spans="2:3" x14ac:dyDescent="0.15">
      <c r="B102" s="11">
        <f t="shared" si="2"/>
        <v>1983</v>
      </c>
      <c r="C102" s="12" t="s">
        <v>144</v>
      </c>
    </row>
    <row r="103" spans="2:3" x14ac:dyDescent="0.15">
      <c r="B103" s="11">
        <f t="shared" si="2"/>
        <v>1982</v>
      </c>
      <c r="C103" s="12" t="s">
        <v>145</v>
      </c>
    </row>
    <row r="104" spans="2:3" x14ac:dyDescent="0.15">
      <c r="B104" s="11">
        <f t="shared" si="2"/>
        <v>1981</v>
      </c>
      <c r="C104" s="12" t="s">
        <v>146</v>
      </c>
    </row>
    <row r="105" spans="2:3" x14ac:dyDescent="0.15">
      <c r="B105" s="11">
        <f t="shared" si="2"/>
        <v>1980</v>
      </c>
      <c r="C105" s="12" t="s">
        <v>147</v>
      </c>
    </row>
    <row r="106" spans="2:3" x14ac:dyDescent="0.15">
      <c r="B106" s="11">
        <f t="shared" si="2"/>
        <v>1979</v>
      </c>
      <c r="C106" s="12" t="s">
        <v>148</v>
      </c>
    </row>
    <row r="107" spans="2:3" x14ac:dyDescent="0.15">
      <c r="B107" s="11">
        <f t="shared" si="2"/>
        <v>1978</v>
      </c>
      <c r="C107" s="12" t="s">
        <v>149</v>
      </c>
    </row>
    <row r="108" spans="2:3" x14ac:dyDescent="0.15">
      <c r="B108" s="11">
        <f t="shared" si="2"/>
        <v>1977</v>
      </c>
      <c r="C108" s="12" t="s">
        <v>150</v>
      </c>
    </row>
    <row r="109" spans="2:3" x14ac:dyDescent="0.15">
      <c r="B109" s="11">
        <f t="shared" si="2"/>
        <v>1976</v>
      </c>
      <c r="C109" s="12" t="s">
        <v>151</v>
      </c>
    </row>
    <row r="110" spans="2:3" x14ac:dyDescent="0.15">
      <c r="B110" s="11">
        <f t="shared" si="2"/>
        <v>1975</v>
      </c>
      <c r="C110" s="12" t="s">
        <v>152</v>
      </c>
    </row>
    <row r="111" spans="2:3" x14ac:dyDescent="0.15">
      <c r="B111" s="11">
        <f t="shared" si="2"/>
        <v>1974</v>
      </c>
      <c r="C111" s="12" t="s">
        <v>153</v>
      </c>
    </row>
    <row r="112" spans="2:3" x14ac:dyDescent="0.15">
      <c r="B112" s="11">
        <f t="shared" si="2"/>
        <v>1973</v>
      </c>
      <c r="C112" s="12" t="s">
        <v>154</v>
      </c>
    </row>
    <row r="113" spans="2:3" x14ac:dyDescent="0.15">
      <c r="B113" s="11">
        <f t="shared" si="2"/>
        <v>1972</v>
      </c>
      <c r="C113" s="12" t="s">
        <v>155</v>
      </c>
    </row>
    <row r="114" spans="2:3" x14ac:dyDescent="0.15">
      <c r="B114" s="11">
        <f t="shared" si="2"/>
        <v>1971</v>
      </c>
      <c r="C114" s="12" t="s">
        <v>156</v>
      </c>
    </row>
    <row r="115" spans="2:3" x14ac:dyDescent="0.15">
      <c r="B115" s="11">
        <f t="shared" si="2"/>
        <v>1970</v>
      </c>
      <c r="C115" s="12" t="s">
        <v>157</v>
      </c>
    </row>
    <row r="116" spans="2:3" x14ac:dyDescent="0.15">
      <c r="B116" s="11">
        <f t="shared" si="2"/>
        <v>1969</v>
      </c>
      <c r="C116" s="12" t="s">
        <v>158</v>
      </c>
    </row>
    <row r="117" spans="2:3" x14ac:dyDescent="0.15">
      <c r="B117" s="11">
        <f t="shared" si="2"/>
        <v>1968</v>
      </c>
      <c r="C117" s="12" t="s">
        <v>159</v>
      </c>
    </row>
    <row r="118" spans="2:3" x14ac:dyDescent="0.15">
      <c r="B118" s="11">
        <f t="shared" si="2"/>
        <v>1967</v>
      </c>
      <c r="C118" s="12" t="s">
        <v>160</v>
      </c>
    </row>
    <row r="119" spans="2:3" x14ac:dyDescent="0.15">
      <c r="B119" s="11">
        <f t="shared" si="2"/>
        <v>1966</v>
      </c>
      <c r="C119" s="12" t="s">
        <v>161</v>
      </c>
    </row>
    <row r="120" spans="2:3" x14ac:dyDescent="0.15">
      <c r="B120" s="11">
        <f t="shared" si="2"/>
        <v>1965</v>
      </c>
      <c r="C120" s="12" t="s">
        <v>162</v>
      </c>
    </row>
    <row r="121" spans="2:3" x14ac:dyDescent="0.15">
      <c r="B121" s="11">
        <f t="shared" si="2"/>
        <v>1964</v>
      </c>
      <c r="C121" s="12" t="s">
        <v>163</v>
      </c>
    </row>
    <row r="122" spans="2:3" x14ac:dyDescent="0.15">
      <c r="B122" s="11">
        <f t="shared" si="2"/>
        <v>1963</v>
      </c>
      <c r="C122" s="12" t="s">
        <v>164</v>
      </c>
    </row>
    <row r="123" spans="2:3" x14ac:dyDescent="0.15">
      <c r="B123" s="11">
        <f t="shared" si="2"/>
        <v>1962</v>
      </c>
      <c r="C123" s="12" t="s">
        <v>165</v>
      </c>
    </row>
    <row r="124" spans="2:3" x14ac:dyDescent="0.15">
      <c r="B124" s="11">
        <f t="shared" si="2"/>
        <v>1961</v>
      </c>
      <c r="C124" s="12" t="s">
        <v>166</v>
      </c>
    </row>
    <row r="125" spans="2:3" x14ac:dyDescent="0.15">
      <c r="B125" s="11">
        <f t="shared" si="2"/>
        <v>1960</v>
      </c>
      <c r="C125" s="12" t="s">
        <v>167</v>
      </c>
    </row>
    <row r="126" spans="2:3" x14ac:dyDescent="0.15">
      <c r="B126" s="11">
        <f t="shared" si="2"/>
        <v>1959</v>
      </c>
      <c r="C126" s="12" t="s">
        <v>168</v>
      </c>
    </row>
    <row r="127" spans="2:3" x14ac:dyDescent="0.15">
      <c r="B127" s="11">
        <f t="shared" si="2"/>
        <v>1958</v>
      </c>
      <c r="C127" s="12" t="s">
        <v>169</v>
      </c>
    </row>
    <row r="128" spans="2:3" x14ac:dyDescent="0.15">
      <c r="B128" s="11">
        <f t="shared" si="2"/>
        <v>1957</v>
      </c>
      <c r="C128" s="12" t="s">
        <v>170</v>
      </c>
    </row>
    <row r="129" spans="2:3" x14ac:dyDescent="0.15">
      <c r="B129" s="11">
        <f t="shared" si="2"/>
        <v>1956</v>
      </c>
      <c r="C129" s="12" t="s">
        <v>171</v>
      </c>
    </row>
    <row r="130" spans="2:3" x14ac:dyDescent="0.15">
      <c r="B130" s="11">
        <f t="shared" si="2"/>
        <v>1955</v>
      </c>
      <c r="C130" s="12" t="s">
        <v>172</v>
      </c>
    </row>
    <row r="131" spans="2:3" x14ac:dyDescent="0.15">
      <c r="B131" s="11">
        <f t="shared" ref="B131:B166" si="3">B130-1</f>
        <v>1954</v>
      </c>
      <c r="C131" s="12" t="s">
        <v>173</v>
      </c>
    </row>
    <row r="132" spans="2:3" x14ac:dyDescent="0.15">
      <c r="B132" s="11">
        <f t="shared" si="3"/>
        <v>1953</v>
      </c>
      <c r="C132" s="12" t="s">
        <v>174</v>
      </c>
    </row>
    <row r="133" spans="2:3" x14ac:dyDescent="0.15">
      <c r="B133" s="11">
        <f t="shared" si="3"/>
        <v>1952</v>
      </c>
      <c r="C133" s="12" t="s">
        <v>175</v>
      </c>
    </row>
    <row r="134" spans="2:3" x14ac:dyDescent="0.15">
      <c r="B134" s="11">
        <f t="shared" si="3"/>
        <v>1951</v>
      </c>
      <c r="C134" s="12" t="s">
        <v>176</v>
      </c>
    </row>
    <row r="135" spans="2:3" x14ac:dyDescent="0.15">
      <c r="B135" s="11">
        <f t="shared" si="3"/>
        <v>1950</v>
      </c>
      <c r="C135" s="12" t="s">
        <v>177</v>
      </c>
    </row>
    <row r="136" spans="2:3" x14ac:dyDescent="0.15">
      <c r="B136" s="11">
        <f t="shared" si="3"/>
        <v>1949</v>
      </c>
      <c r="C136" s="12" t="s">
        <v>178</v>
      </c>
    </row>
    <row r="137" spans="2:3" x14ac:dyDescent="0.15">
      <c r="B137" s="11">
        <f t="shared" si="3"/>
        <v>1948</v>
      </c>
      <c r="C137" s="12" t="s">
        <v>180</v>
      </c>
    </row>
    <row r="138" spans="2:3" x14ac:dyDescent="0.15">
      <c r="B138" s="11">
        <f t="shared" si="3"/>
        <v>1947</v>
      </c>
      <c r="C138" s="12" t="s">
        <v>181</v>
      </c>
    </row>
    <row r="139" spans="2:3" x14ac:dyDescent="0.15">
      <c r="B139" s="11">
        <f t="shared" si="3"/>
        <v>1946</v>
      </c>
      <c r="C139" s="12" t="s">
        <v>182</v>
      </c>
    </row>
    <row r="140" spans="2:3" x14ac:dyDescent="0.15">
      <c r="B140" s="11">
        <f t="shared" si="3"/>
        <v>1945</v>
      </c>
      <c r="C140" s="12" t="s">
        <v>183</v>
      </c>
    </row>
    <row r="141" spans="2:3" x14ac:dyDescent="0.15">
      <c r="B141" s="11">
        <f t="shared" si="3"/>
        <v>1944</v>
      </c>
      <c r="C141" s="12" t="s">
        <v>184</v>
      </c>
    </row>
    <row r="142" spans="2:3" x14ac:dyDescent="0.15">
      <c r="B142" s="11">
        <f t="shared" si="3"/>
        <v>1943</v>
      </c>
      <c r="C142" s="12" t="s">
        <v>185</v>
      </c>
    </row>
    <row r="143" spans="2:3" x14ac:dyDescent="0.15">
      <c r="B143" s="11">
        <f t="shared" si="3"/>
        <v>1942</v>
      </c>
      <c r="C143" s="12" t="s">
        <v>186</v>
      </c>
    </row>
    <row r="144" spans="2:3" x14ac:dyDescent="0.15">
      <c r="B144" s="11">
        <f t="shared" si="3"/>
        <v>1941</v>
      </c>
      <c r="C144" s="12" t="s">
        <v>187</v>
      </c>
    </row>
    <row r="145" spans="2:3" x14ac:dyDescent="0.15">
      <c r="B145" s="11">
        <f t="shared" si="3"/>
        <v>1940</v>
      </c>
      <c r="C145" s="12" t="s">
        <v>188</v>
      </c>
    </row>
    <row r="146" spans="2:3" x14ac:dyDescent="0.15">
      <c r="B146" s="11">
        <f t="shared" si="3"/>
        <v>1939</v>
      </c>
      <c r="C146" s="12" t="s">
        <v>189</v>
      </c>
    </row>
    <row r="147" spans="2:3" x14ac:dyDescent="0.15">
      <c r="B147" s="11">
        <f t="shared" si="3"/>
        <v>1938</v>
      </c>
      <c r="C147" s="12" t="s">
        <v>190</v>
      </c>
    </row>
    <row r="148" spans="2:3" x14ac:dyDescent="0.15">
      <c r="B148" s="11">
        <f t="shared" si="3"/>
        <v>1937</v>
      </c>
      <c r="C148" s="12" t="s">
        <v>191</v>
      </c>
    </row>
    <row r="149" spans="2:3" x14ac:dyDescent="0.15">
      <c r="B149" s="11">
        <f t="shared" si="3"/>
        <v>1936</v>
      </c>
      <c r="C149" s="12" t="s">
        <v>192</v>
      </c>
    </row>
    <row r="150" spans="2:3" x14ac:dyDescent="0.15">
      <c r="B150" s="11">
        <f t="shared" si="3"/>
        <v>1935</v>
      </c>
      <c r="C150" s="12" t="s">
        <v>193</v>
      </c>
    </row>
    <row r="151" spans="2:3" x14ac:dyDescent="0.15">
      <c r="B151" s="11">
        <f t="shared" si="3"/>
        <v>1934</v>
      </c>
      <c r="C151" s="12" t="s">
        <v>194</v>
      </c>
    </row>
    <row r="152" spans="2:3" x14ac:dyDescent="0.15">
      <c r="B152" s="11">
        <f t="shared" si="3"/>
        <v>1933</v>
      </c>
      <c r="C152" s="12" t="s">
        <v>195</v>
      </c>
    </row>
    <row r="153" spans="2:3" x14ac:dyDescent="0.15">
      <c r="B153" s="11">
        <f t="shared" si="3"/>
        <v>1932</v>
      </c>
      <c r="C153" s="12" t="s">
        <v>196</v>
      </c>
    </row>
    <row r="154" spans="2:3" x14ac:dyDescent="0.15">
      <c r="B154" s="11">
        <f t="shared" si="3"/>
        <v>1931</v>
      </c>
      <c r="C154" s="12" t="s">
        <v>197</v>
      </c>
    </row>
    <row r="155" spans="2:3" x14ac:dyDescent="0.15">
      <c r="B155" s="11">
        <f t="shared" si="3"/>
        <v>1930</v>
      </c>
      <c r="C155" s="12" t="s">
        <v>198</v>
      </c>
    </row>
    <row r="156" spans="2:3" x14ac:dyDescent="0.15">
      <c r="B156" s="11">
        <f t="shared" si="3"/>
        <v>1929</v>
      </c>
      <c r="C156" s="12" t="s">
        <v>199</v>
      </c>
    </row>
    <row r="157" spans="2:3" x14ac:dyDescent="0.15">
      <c r="B157" s="11">
        <f t="shared" si="3"/>
        <v>1928</v>
      </c>
      <c r="C157" s="12" t="s">
        <v>200</v>
      </c>
    </row>
    <row r="158" spans="2:3" x14ac:dyDescent="0.15">
      <c r="B158" s="11">
        <f t="shared" si="3"/>
        <v>1927</v>
      </c>
      <c r="C158" s="12" t="s">
        <v>201</v>
      </c>
    </row>
    <row r="159" spans="2:3" x14ac:dyDescent="0.15">
      <c r="B159" s="11">
        <f t="shared" si="3"/>
        <v>1926</v>
      </c>
      <c r="C159" s="12" t="s">
        <v>202</v>
      </c>
    </row>
    <row r="160" spans="2:3" x14ac:dyDescent="0.15">
      <c r="B160" s="11">
        <f t="shared" si="3"/>
        <v>1925</v>
      </c>
      <c r="C160" s="12" t="s">
        <v>203</v>
      </c>
    </row>
    <row r="161" spans="2:3" x14ac:dyDescent="0.15">
      <c r="B161" s="11">
        <f t="shared" si="3"/>
        <v>1924</v>
      </c>
      <c r="C161" s="12" t="s">
        <v>204</v>
      </c>
    </row>
    <row r="162" spans="2:3" x14ac:dyDescent="0.15">
      <c r="B162" s="11">
        <f t="shared" si="3"/>
        <v>1923</v>
      </c>
      <c r="C162" s="12" t="s">
        <v>205</v>
      </c>
    </row>
    <row r="163" spans="2:3" x14ac:dyDescent="0.15">
      <c r="B163" s="11">
        <f t="shared" si="3"/>
        <v>1922</v>
      </c>
      <c r="C163" s="12" t="s">
        <v>206</v>
      </c>
    </row>
    <row r="164" spans="2:3" x14ac:dyDescent="0.15">
      <c r="B164" s="11">
        <f t="shared" si="3"/>
        <v>1921</v>
      </c>
      <c r="C164" s="12" t="s">
        <v>207</v>
      </c>
    </row>
    <row r="165" spans="2:3" x14ac:dyDescent="0.15">
      <c r="B165" s="11">
        <f t="shared" si="3"/>
        <v>1920</v>
      </c>
      <c r="C165" s="12" t="s">
        <v>208</v>
      </c>
    </row>
    <row r="166" spans="2:3" x14ac:dyDescent="0.15">
      <c r="B166" s="11">
        <f t="shared" si="3"/>
        <v>1919</v>
      </c>
      <c r="C166" s="12" t="s">
        <v>209</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D1:L63"/>
  <sheetViews>
    <sheetView workbookViewId="0">
      <selection activeCell="M61" sqref="M61"/>
    </sheetView>
  </sheetViews>
  <sheetFormatPr defaultRowHeight="13.5" x14ac:dyDescent="0.15"/>
  <sheetData>
    <row r="1" spans="4:12" x14ac:dyDescent="0.15">
      <c r="H1" t="s">
        <v>403</v>
      </c>
      <c r="K1" t="s">
        <v>402</v>
      </c>
    </row>
    <row r="2" spans="4:12" x14ac:dyDescent="0.15">
      <c r="H2" s="20" t="s">
        <v>55</v>
      </c>
      <c r="I2" s="20" t="s">
        <v>210</v>
      </c>
      <c r="K2" s="20" t="s">
        <v>55</v>
      </c>
      <c r="L2" s="20" t="s">
        <v>210</v>
      </c>
    </row>
    <row r="3" spans="4:12" x14ac:dyDescent="0.15">
      <c r="H3" s="14">
        <v>30</v>
      </c>
      <c r="I3" s="1">
        <f>$E$9</f>
        <v>1992</v>
      </c>
      <c r="K3" s="14">
        <f t="shared" ref="K3:K11" si="0">K4-1</f>
        <v>20</v>
      </c>
      <c r="L3" s="1">
        <f t="shared" ref="L3:L11" si="1">L4+1</f>
        <v>2002</v>
      </c>
    </row>
    <row r="4" spans="4:12" x14ac:dyDescent="0.15">
      <c r="H4" s="14">
        <f>H3+1</f>
        <v>31</v>
      </c>
      <c r="I4" s="1">
        <f>I3-1</f>
        <v>1991</v>
      </c>
      <c r="K4" s="14">
        <f t="shared" si="0"/>
        <v>21</v>
      </c>
      <c r="L4" s="1">
        <f t="shared" si="1"/>
        <v>2001</v>
      </c>
    </row>
    <row r="5" spans="4:12" x14ac:dyDescent="0.15">
      <c r="H5" s="14">
        <f t="shared" ref="H5:H35" si="2">H4+1</f>
        <v>32</v>
      </c>
      <c r="I5" s="1">
        <f t="shared" ref="I5:I35" si="3">I4-1</f>
        <v>1990</v>
      </c>
      <c r="K5" s="14">
        <f t="shared" si="0"/>
        <v>22</v>
      </c>
      <c r="L5" s="1">
        <f t="shared" si="1"/>
        <v>2000</v>
      </c>
    </row>
    <row r="6" spans="4:12" x14ac:dyDescent="0.15">
      <c r="H6" s="14">
        <f t="shared" si="2"/>
        <v>33</v>
      </c>
      <c r="I6" s="1">
        <f t="shared" si="3"/>
        <v>1989</v>
      </c>
      <c r="K6" s="14">
        <f t="shared" si="0"/>
        <v>23</v>
      </c>
      <c r="L6" s="1">
        <f t="shared" si="1"/>
        <v>1999</v>
      </c>
    </row>
    <row r="7" spans="4:12" x14ac:dyDescent="0.15">
      <c r="H7" s="14">
        <f t="shared" si="2"/>
        <v>34</v>
      </c>
      <c r="I7" s="1">
        <f t="shared" si="3"/>
        <v>1988</v>
      </c>
      <c r="K7" s="14">
        <f t="shared" si="0"/>
        <v>24</v>
      </c>
      <c r="L7" s="1">
        <f t="shared" si="1"/>
        <v>1998</v>
      </c>
    </row>
    <row r="8" spans="4:12" x14ac:dyDescent="0.15">
      <c r="D8" s="20" t="s">
        <v>210</v>
      </c>
      <c r="H8" s="14">
        <f t="shared" si="2"/>
        <v>35</v>
      </c>
      <c r="I8" s="1">
        <f t="shared" si="3"/>
        <v>1987</v>
      </c>
      <c r="K8" s="14">
        <f t="shared" si="0"/>
        <v>25</v>
      </c>
      <c r="L8" s="1">
        <f t="shared" si="1"/>
        <v>1997</v>
      </c>
    </row>
    <row r="9" spans="4:12" x14ac:dyDescent="0.15">
      <c r="D9" s="14">
        <v>1</v>
      </c>
      <c r="E9" s="1">
        <f>説明書!$U$22-30</f>
        <v>1992</v>
      </c>
      <c r="H9" s="14">
        <f t="shared" si="2"/>
        <v>36</v>
      </c>
      <c r="I9" s="1">
        <f t="shared" si="3"/>
        <v>1986</v>
      </c>
      <c r="K9" s="14">
        <f t="shared" si="0"/>
        <v>26</v>
      </c>
      <c r="L9" s="1">
        <f t="shared" si="1"/>
        <v>1996</v>
      </c>
    </row>
    <row r="10" spans="4:12" x14ac:dyDescent="0.15">
      <c r="D10" s="14">
        <v>2</v>
      </c>
      <c r="E10" s="1">
        <f>説明書!$U$22-35</f>
        <v>1987</v>
      </c>
      <c r="H10" s="14">
        <f t="shared" si="2"/>
        <v>37</v>
      </c>
      <c r="I10" s="1">
        <f t="shared" si="3"/>
        <v>1985</v>
      </c>
      <c r="K10" s="14">
        <f t="shared" si="0"/>
        <v>27</v>
      </c>
      <c r="L10" s="1">
        <f t="shared" si="1"/>
        <v>1995</v>
      </c>
    </row>
    <row r="11" spans="4:12" x14ac:dyDescent="0.15">
      <c r="D11" s="14">
        <v>3</v>
      </c>
      <c r="E11" s="1">
        <f>説明書!$U$22-40</f>
        <v>1982</v>
      </c>
      <c r="H11" s="14">
        <f t="shared" si="2"/>
        <v>38</v>
      </c>
      <c r="I11" s="1">
        <f t="shared" si="3"/>
        <v>1984</v>
      </c>
      <c r="K11" s="14">
        <f t="shared" si="0"/>
        <v>28</v>
      </c>
      <c r="L11" s="1">
        <f t="shared" si="1"/>
        <v>1994</v>
      </c>
    </row>
    <row r="12" spans="4:12" x14ac:dyDescent="0.15">
      <c r="D12" s="14">
        <v>4</v>
      </c>
      <c r="E12" s="1">
        <f>説明書!$U$22-45</f>
        <v>1977</v>
      </c>
      <c r="H12" s="14">
        <f t="shared" si="2"/>
        <v>39</v>
      </c>
      <c r="I12" s="1">
        <f t="shared" si="3"/>
        <v>1983</v>
      </c>
      <c r="K12" s="14">
        <f>K13-1</f>
        <v>29</v>
      </c>
      <c r="L12" s="1">
        <f>L13+1</f>
        <v>1993</v>
      </c>
    </row>
    <row r="13" spans="4:12" x14ac:dyDescent="0.15">
      <c r="D13" s="14">
        <v>5</v>
      </c>
      <c r="E13" s="1">
        <f>説明書!$U$22-50</f>
        <v>1972</v>
      </c>
      <c r="H13" s="14">
        <f t="shared" si="2"/>
        <v>40</v>
      </c>
      <c r="I13" s="1">
        <f t="shared" si="3"/>
        <v>1982</v>
      </c>
      <c r="K13" s="14">
        <v>30</v>
      </c>
      <c r="L13" s="1">
        <f>説明書!$U$104-30</f>
        <v>1992</v>
      </c>
    </row>
    <row r="14" spans="4:12" x14ac:dyDescent="0.15">
      <c r="D14" s="14">
        <v>6</v>
      </c>
      <c r="E14" s="1">
        <f>説明書!$U$22-60</f>
        <v>1962</v>
      </c>
      <c r="H14" s="14">
        <f t="shared" si="2"/>
        <v>41</v>
      </c>
      <c r="I14" s="1">
        <f t="shared" si="3"/>
        <v>1981</v>
      </c>
      <c r="K14" s="14">
        <f>K13+1</f>
        <v>31</v>
      </c>
      <c r="L14" s="1">
        <f>L13-1</f>
        <v>1991</v>
      </c>
    </row>
    <row r="15" spans="4:12" x14ac:dyDescent="0.15">
      <c r="D15" s="14">
        <v>7</v>
      </c>
      <c r="E15" s="1">
        <f>説明書!$U$22-70</f>
        <v>1952</v>
      </c>
      <c r="H15" s="14">
        <f t="shared" si="2"/>
        <v>42</v>
      </c>
      <c r="I15" s="1">
        <f t="shared" si="3"/>
        <v>1980</v>
      </c>
      <c r="K15" s="14">
        <f t="shared" ref="K15:K45" si="4">K14+1</f>
        <v>32</v>
      </c>
      <c r="L15" s="1">
        <f t="shared" ref="L15:L45" si="5">L14-1</f>
        <v>1990</v>
      </c>
    </row>
    <row r="16" spans="4:12" x14ac:dyDescent="0.15">
      <c r="H16" s="14">
        <f t="shared" si="2"/>
        <v>43</v>
      </c>
      <c r="I16" s="1">
        <f t="shared" si="3"/>
        <v>1979</v>
      </c>
      <c r="K16" s="14">
        <f t="shared" si="4"/>
        <v>33</v>
      </c>
      <c r="L16" s="1">
        <f t="shared" si="5"/>
        <v>1989</v>
      </c>
    </row>
    <row r="17" spans="4:12" x14ac:dyDescent="0.15">
      <c r="D17" s="5" t="s">
        <v>222</v>
      </c>
      <c r="H17" s="14">
        <f t="shared" si="2"/>
        <v>44</v>
      </c>
      <c r="I17" s="1">
        <f t="shared" si="3"/>
        <v>1978</v>
      </c>
      <c r="K17" s="14">
        <f t="shared" si="4"/>
        <v>34</v>
      </c>
      <c r="L17" s="1">
        <f t="shared" si="5"/>
        <v>1988</v>
      </c>
    </row>
    <row r="18" spans="4:12" x14ac:dyDescent="0.15">
      <c r="D18" s="14">
        <v>1</v>
      </c>
      <c r="E18" s="12" t="s">
        <v>225</v>
      </c>
      <c r="H18" s="14">
        <f t="shared" si="2"/>
        <v>45</v>
      </c>
      <c r="I18" s="1">
        <f t="shared" si="3"/>
        <v>1977</v>
      </c>
      <c r="K18" s="14">
        <f t="shared" si="4"/>
        <v>35</v>
      </c>
      <c r="L18" s="1">
        <f t="shared" si="5"/>
        <v>1987</v>
      </c>
    </row>
    <row r="19" spans="4:12" x14ac:dyDescent="0.15">
      <c r="D19" s="14">
        <v>2</v>
      </c>
      <c r="E19" s="12" t="s">
        <v>295</v>
      </c>
      <c r="H19" s="14">
        <f t="shared" si="2"/>
        <v>46</v>
      </c>
      <c r="I19" s="1">
        <f t="shared" si="3"/>
        <v>1976</v>
      </c>
      <c r="K19" s="14">
        <f t="shared" si="4"/>
        <v>36</v>
      </c>
      <c r="L19" s="1">
        <f t="shared" si="5"/>
        <v>1986</v>
      </c>
    </row>
    <row r="20" spans="4:12" x14ac:dyDescent="0.15">
      <c r="H20" s="14">
        <f t="shared" si="2"/>
        <v>47</v>
      </c>
      <c r="I20" s="1">
        <f t="shared" si="3"/>
        <v>1975</v>
      </c>
      <c r="K20" s="14">
        <f t="shared" si="4"/>
        <v>37</v>
      </c>
      <c r="L20" s="1">
        <f t="shared" si="5"/>
        <v>1985</v>
      </c>
    </row>
    <row r="21" spans="4:12" x14ac:dyDescent="0.15">
      <c r="D21" s="5" t="s">
        <v>41</v>
      </c>
      <c r="H21" s="14">
        <f t="shared" si="2"/>
        <v>48</v>
      </c>
      <c r="I21" s="1">
        <f t="shared" si="3"/>
        <v>1974</v>
      </c>
      <c r="K21" s="14">
        <f t="shared" si="4"/>
        <v>38</v>
      </c>
      <c r="L21" s="1">
        <f t="shared" si="5"/>
        <v>1984</v>
      </c>
    </row>
    <row r="22" spans="4:12" x14ac:dyDescent="0.15">
      <c r="D22" s="14">
        <v>1</v>
      </c>
      <c r="E22" s="1">
        <v>3000</v>
      </c>
      <c r="H22" s="14">
        <f t="shared" si="2"/>
        <v>49</v>
      </c>
      <c r="I22" s="1">
        <f t="shared" si="3"/>
        <v>1973</v>
      </c>
      <c r="K22" s="14">
        <f t="shared" si="4"/>
        <v>39</v>
      </c>
      <c r="L22" s="1">
        <f t="shared" si="5"/>
        <v>1983</v>
      </c>
    </row>
    <row r="23" spans="4:12" x14ac:dyDescent="0.15">
      <c r="D23" s="14">
        <v>2</v>
      </c>
      <c r="E23" s="1">
        <v>7000</v>
      </c>
      <c r="H23" s="14">
        <f t="shared" si="2"/>
        <v>50</v>
      </c>
      <c r="I23" s="1">
        <f t="shared" si="3"/>
        <v>1972</v>
      </c>
      <c r="K23" s="14">
        <f t="shared" si="4"/>
        <v>40</v>
      </c>
      <c r="L23" s="1">
        <f t="shared" si="5"/>
        <v>1982</v>
      </c>
    </row>
    <row r="24" spans="4:12" x14ac:dyDescent="0.15">
      <c r="H24" s="14">
        <f t="shared" si="2"/>
        <v>51</v>
      </c>
      <c r="I24" s="1">
        <f t="shared" si="3"/>
        <v>1971</v>
      </c>
      <c r="K24" s="14">
        <f t="shared" si="4"/>
        <v>41</v>
      </c>
      <c r="L24" s="1">
        <f t="shared" si="5"/>
        <v>1981</v>
      </c>
    </row>
    <row r="25" spans="4:12" x14ac:dyDescent="0.15">
      <c r="H25" s="14">
        <f t="shared" si="2"/>
        <v>52</v>
      </c>
      <c r="I25" s="1">
        <f t="shared" si="3"/>
        <v>1970</v>
      </c>
      <c r="K25" s="14">
        <f t="shared" si="4"/>
        <v>42</v>
      </c>
      <c r="L25" s="1">
        <f t="shared" si="5"/>
        <v>1980</v>
      </c>
    </row>
    <row r="26" spans="4:12" x14ac:dyDescent="0.15">
      <c r="H26" s="14">
        <f t="shared" si="2"/>
        <v>53</v>
      </c>
      <c r="I26" s="1">
        <f t="shared" si="3"/>
        <v>1969</v>
      </c>
      <c r="K26" s="14">
        <f t="shared" si="4"/>
        <v>43</v>
      </c>
      <c r="L26" s="1">
        <f t="shared" si="5"/>
        <v>1979</v>
      </c>
    </row>
    <row r="27" spans="4:12" x14ac:dyDescent="0.15">
      <c r="H27" s="14">
        <f t="shared" si="2"/>
        <v>54</v>
      </c>
      <c r="I27" s="1">
        <f t="shared" si="3"/>
        <v>1968</v>
      </c>
      <c r="K27" s="14">
        <f t="shared" si="4"/>
        <v>44</v>
      </c>
      <c r="L27" s="1">
        <f t="shared" si="5"/>
        <v>1978</v>
      </c>
    </row>
    <row r="28" spans="4:12" x14ac:dyDescent="0.15">
      <c r="H28" s="14">
        <f t="shared" si="2"/>
        <v>55</v>
      </c>
      <c r="I28" s="1">
        <f t="shared" si="3"/>
        <v>1967</v>
      </c>
      <c r="K28" s="14">
        <f t="shared" si="4"/>
        <v>45</v>
      </c>
      <c r="L28" s="1">
        <f t="shared" si="5"/>
        <v>1977</v>
      </c>
    </row>
    <row r="29" spans="4:12" x14ac:dyDescent="0.15">
      <c r="H29" s="14">
        <f t="shared" si="2"/>
        <v>56</v>
      </c>
      <c r="I29" s="1">
        <f t="shared" si="3"/>
        <v>1966</v>
      </c>
      <c r="K29" s="14">
        <f t="shared" si="4"/>
        <v>46</v>
      </c>
      <c r="L29" s="1">
        <f t="shared" si="5"/>
        <v>1976</v>
      </c>
    </row>
    <row r="30" spans="4:12" x14ac:dyDescent="0.15">
      <c r="H30" s="14">
        <f t="shared" si="2"/>
        <v>57</v>
      </c>
      <c r="I30" s="1">
        <f t="shared" si="3"/>
        <v>1965</v>
      </c>
      <c r="K30" s="14">
        <f t="shared" si="4"/>
        <v>47</v>
      </c>
      <c r="L30" s="1">
        <f t="shared" si="5"/>
        <v>1975</v>
      </c>
    </row>
    <row r="31" spans="4:12" x14ac:dyDescent="0.15">
      <c r="H31" s="14">
        <f t="shared" si="2"/>
        <v>58</v>
      </c>
      <c r="I31" s="1">
        <f t="shared" si="3"/>
        <v>1964</v>
      </c>
      <c r="K31" s="14">
        <f t="shared" si="4"/>
        <v>48</v>
      </c>
      <c r="L31" s="1">
        <f t="shared" si="5"/>
        <v>1974</v>
      </c>
    </row>
    <row r="32" spans="4:12" x14ac:dyDescent="0.15">
      <c r="H32" s="14">
        <f t="shared" si="2"/>
        <v>59</v>
      </c>
      <c r="I32" s="1">
        <f t="shared" si="3"/>
        <v>1963</v>
      </c>
      <c r="K32" s="14">
        <f t="shared" si="4"/>
        <v>49</v>
      </c>
      <c r="L32" s="1">
        <f t="shared" si="5"/>
        <v>1973</v>
      </c>
    </row>
    <row r="33" spans="8:12" x14ac:dyDescent="0.15">
      <c r="H33" s="14">
        <f t="shared" si="2"/>
        <v>60</v>
      </c>
      <c r="I33" s="1">
        <f t="shared" si="3"/>
        <v>1962</v>
      </c>
      <c r="K33" s="14">
        <f t="shared" si="4"/>
        <v>50</v>
      </c>
      <c r="L33" s="1">
        <f t="shared" si="5"/>
        <v>1972</v>
      </c>
    </row>
    <row r="34" spans="8:12" x14ac:dyDescent="0.15">
      <c r="H34" s="14">
        <f t="shared" si="2"/>
        <v>61</v>
      </c>
      <c r="I34" s="1">
        <f t="shared" si="3"/>
        <v>1961</v>
      </c>
      <c r="K34" s="14">
        <f t="shared" si="4"/>
        <v>51</v>
      </c>
      <c r="L34" s="1">
        <f t="shared" si="5"/>
        <v>1971</v>
      </c>
    </row>
    <row r="35" spans="8:12" x14ac:dyDescent="0.15">
      <c r="H35" s="14">
        <f t="shared" si="2"/>
        <v>62</v>
      </c>
      <c r="I35" s="1">
        <f t="shared" si="3"/>
        <v>1960</v>
      </c>
      <c r="K35" s="14">
        <f t="shared" si="4"/>
        <v>52</v>
      </c>
      <c r="L35" s="1">
        <f t="shared" si="5"/>
        <v>1970</v>
      </c>
    </row>
    <row r="36" spans="8:12" x14ac:dyDescent="0.15">
      <c r="H36" s="14">
        <f>H35+1</f>
        <v>63</v>
      </c>
      <c r="I36" s="1">
        <f>I35-1</f>
        <v>1959</v>
      </c>
      <c r="K36" s="14">
        <f t="shared" si="4"/>
        <v>53</v>
      </c>
      <c r="L36" s="1">
        <f t="shared" si="5"/>
        <v>1969</v>
      </c>
    </row>
    <row r="37" spans="8:12" x14ac:dyDescent="0.15">
      <c r="H37" s="14">
        <f t="shared" ref="H37:H42" si="6">H36+1</f>
        <v>64</v>
      </c>
      <c r="I37" s="1">
        <f t="shared" ref="I37:I42" si="7">I36-1</f>
        <v>1958</v>
      </c>
      <c r="K37" s="14">
        <f t="shared" si="4"/>
        <v>54</v>
      </c>
      <c r="L37" s="1">
        <f t="shared" si="5"/>
        <v>1968</v>
      </c>
    </row>
    <row r="38" spans="8:12" x14ac:dyDescent="0.15">
      <c r="H38" s="14">
        <f t="shared" si="6"/>
        <v>65</v>
      </c>
      <c r="I38" s="1">
        <f t="shared" si="7"/>
        <v>1957</v>
      </c>
      <c r="K38" s="14">
        <f t="shared" si="4"/>
        <v>55</v>
      </c>
      <c r="L38" s="1">
        <f t="shared" si="5"/>
        <v>1967</v>
      </c>
    </row>
    <row r="39" spans="8:12" x14ac:dyDescent="0.15">
      <c r="H39" s="14">
        <f t="shared" si="6"/>
        <v>66</v>
      </c>
      <c r="I39" s="1">
        <f t="shared" si="7"/>
        <v>1956</v>
      </c>
      <c r="K39" s="14">
        <f t="shared" si="4"/>
        <v>56</v>
      </c>
      <c r="L39" s="1">
        <f t="shared" si="5"/>
        <v>1966</v>
      </c>
    </row>
    <row r="40" spans="8:12" x14ac:dyDescent="0.15">
      <c r="H40" s="14">
        <f t="shared" si="6"/>
        <v>67</v>
      </c>
      <c r="I40" s="1">
        <f t="shared" si="7"/>
        <v>1955</v>
      </c>
      <c r="K40" s="14">
        <f t="shared" si="4"/>
        <v>57</v>
      </c>
      <c r="L40" s="1">
        <f t="shared" si="5"/>
        <v>1965</v>
      </c>
    </row>
    <row r="41" spans="8:12" x14ac:dyDescent="0.15">
      <c r="H41" s="14">
        <f t="shared" si="6"/>
        <v>68</v>
      </c>
      <c r="I41" s="1">
        <f t="shared" si="7"/>
        <v>1954</v>
      </c>
      <c r="K41" s="14">
        <f t="shared" si="4"/>
        <v>58</v>
      </c>
      <c r="L41" s="1">
        <f t="shared" si="5"/>
        <v>1964</v>
      </c>
    </row>
    <row r="42" spans="8:12" x14ac:dyDescent="0.15">
      <c r="H42" s="14">
        <f t="shared" si="6"/>
        <v>69</v>
      </c>
      <c r="I42" s="1">
        <f t="shared" si="7"/>
        <v>1953</v>
      </c>
      <c r="K42" s="14">
        <f t="shared" si="4"/>
        <v>59</v>
      </c>
      <c r="L42" s="1">
        <f t="shared" si="5"/>
        <v>1963</v>
      </c>
    </row>
    <row r="43" spans="8:12" x14ac:dyDescent="0.15">
      <c r="K43" s="14">
        <f t="shared" si="4"/>
        <v>60</v>
      </c>
      <c r="L43" s="1">
        <f t="shared" si="5"/>
        <v>1962</v>
      </c>
    </row>
    <row r="44" spans="8:12" x14ac:dyDescent="0.15">
      <c r="K44" s="14">
        <f t="shared" si="4"/>
        <v>61</v>
      </c>
      <c r="L44" s="1">
        <f t="shared" si="5"/>
        <v>1961</v>
      </c>
    </row>
    <row r="45" spans="8:12" x14ac:dyDescent="0.15">
      <c r="K45" s="14">
        <f t="shared" si="4"/>
        <v>62</v>
      </c>
      <c r="L45" s="1">
        <f t="shared" si="5"/>
        <v>1960</v>
      </c>
    </row>
    <row r="46" spans="8:12" x14ac:dyDescent="0.15">
      <c r="K46" s="14">
        <f>K45+1</f>
        <v>63</v>
      </c>
      <c r="L46" s="1">
        <f>L45-1</f>
        <v>1959</v>
      </c>
    </row>
    <row r="47" spans="8:12" x14ac:dyDescent="0.15">
      <c r="K47" s="14">
        <f t="shared" ref="K47:K63" si="8">K46+1</f>
        <v>64</v>
      </c>
      <c r="L47" s="1">
        <f t="shared" ref="L47:L63" si="9">L46-1</f>
        <v>1958</v>
      </c>
    </row>
    <row r="48" spans="8:12" x14ac:dyDescent="0.15">
      <c r="K48" s="14">
        <f t="shared" si="8"/>
        <v>65</v>
      </c>
      <c r="L48" s="1">
        <f t="shared" si="9"/>
        <v>1957</v>
      </c>
    </row>
    <row r="49" spans="11:12" x14ac:dyDescent="0.15">
      <c r="K49" s="14">
        <f t="shared" si="8"/>
        <v>66</v>
      </c>
      <c r="L49" s="1">
        <f t="shared" si="9"/>
        <v>1956</v>
      </c>
    </row>
    <row r="50" spans="11:12" x14ac:dyDescent="0.15">
      <c r="K50" s="14">
        <f t="shared" si="8"/>
        <v>67</v>
      </c>
      <c r="L50" s="1">
        <f t="shared" si="9"/>
        <v>1955</v>
      </c>
    </row>
    <row r="51" spans="11:12" x14ac:dyDescent="0.15">
      <c r="K51" s="14">
        <f t="shared" si="8"/>
        <v>68</v>
      </c>
      <c r="L51" s="1">
        <f t="shared" si="9"/>
        <v>1954</v>
      </c>
    </row>
    <row r="52" spans="11:12" x14ac:dyDescent="0.15">
      <c r="K52" s="14">
        <f t="shared" si="8"/>
        <v>69</v>
      </c>
      <c r="L52" s="1">
        <f t="shared" si="9"/>
        <v>1953</v>
      </c>
    </row>
    <row r="53" spans="11:12" x14ac:dyDescent="0.15">
      <c r="K53" s="14">
        <f t="shared" si="8"/>
        <v>70</v>
      </c>
      <c r="L53" s="1">
        <f t="shared" si="9"/>
        <v>1952</v>
      </c>
    </row>
    <row r="54" spans="11:12" x14ac:dyDescent="0.15">
      <c r="K54" s="14">
        <f t="shared" si="8"/>
        <v>71</v>
      </c>
      <c r="L54" s="1">
        <f t="shared" si="9"/>
        <v>1951</v>
      </c>
    </row>
    <row r="55" spans="11:12" x14ac:dyDescent="0.15">
      <c r="K55" s="14">
        <f t="shared" si="8"/>
        <v>72</v>
      </c>
      <c r="L55" s="1">
        <f t="shared" si="9"/>
        <v>1950</v>
      </c>
    </row>
    <row r="56" spans="11:12" x14ac:dyDescent="0.15">
      <c r="K56" s="14">
        <f t="shared" si="8"/>
        <v>73</v>
      </c>
      <c r="L56" s="1">
        <f t="shared" si="9"/>
        <v>1949</v>
      </c>
    </row>
    <row r="57" spans="11:12" x14ac:dyDescent="0.15">
      <c r="K57" s="14">
        <f t="shared" si="8"/>
        <v>74</v>
      </c>
      <c r="L57" s="1">
        <f t="shared" si="9"/>
        <v>1948</v>
      </c>
    </row>
    <row r="58" spans="11:12" x14ac:dyDescent="0.15">
      <c r="K58" s="14">
        <f t="shared" si="8"/>
        <v>75</v>
      </c>
      <c r="L58" s="1">
        <f t="shared" si="9"/>
        <v>1947</v>
      </c>
    </row>
    <row r="59" spans="11:12" x14ac:dyDescent="0.15">
      <c r="K59" s="14">
        <f t="shared" si="8"/>
        <v>76</v>
      </c>
      <c r="L59" s="1">
        <f t="shared" si="9"/>
        <v>1946</v>
      </c>
    </row>
    <row r="60" spans="11:12" x14ac:dyDescent="0.15">
      <c r="K60" s="14">
        <f t="shared" si="8"/>
        <v>77</v>
      </c>
      <c r="L60" s="1">
        <f t="shared" si="9"/>
        <v>1945</v>
      </c>
    </row>
    <row r="61" spans="11:12" x14ac:dyDescent="0.15">
      <c r="K61" s="14">
        <f t="shared" si="8"/>
        <v>78</v>
      </c>
      <c r="L61" s="1">
        <f t="shared" si="9"/>
        <v>1944</v>
      </c>
    </row>
    <row r="62" spans="11:12" x14ac:dyDescent="0.15">
      <c r="K62" s="14">
        <f t="shared" si="8"/>
        <v>79</v>
      </c>
      <c r="L62" s="1">
        <f t="shared" si="9"/>
        <v>1943</v>
      </c>
    </row>
    <row r="63" spans="11:12" x14ac:dyDescent="0.15">
      <c r="K63" s="14">
        <f t="shared" si="8"/>
        <v>80</v>
      </c>
      <c r="L63" s="1">
        <f t="shared" si="9"/>
        <v>1942</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AP2"/>
  <sheetViews>
    <sheetView zoomScale="85" zoomScaleNormal="85" workbookViewId="0">
      <selection activeCell="G12" sqref="G12"/>
    </sheetView>
  </sheetViews>
  <sheetFormatPr defaultRowHeight="13.5" x14ac:dyDescent="0.15"/>
  <cols>
    <col min="1" max="1" width="12.75" bestFit="1" customWidth="1"/>
    <col min="2" max="3" width="4.375" bestFit="1" customWidth="1"/>
    <col min="4" max="4" width="7.875" bestFit="1" customWidth="1"/>
    <col min="5" max="5" width="8.125" bestFit="1" customWidth="1"/>
    <col min="6" max="6" width="13.125" bestFit="1" customWidth="1"/>
    <col min="7" max="7" width="12.75" bestFit="1" customWidth="1"/>
    <col min="8" max="8" width="8.125" bestFit="1" customWidth="1"/>
    <col min="9" max="9" width="6.25" bestFit="1" customWidth="1"/>
    <col min="10" max="10" width="6.25" customWidth="1"/>
    <col min="11" max="11" width="12.75" bestFit="1" customWidth="1"/>
    <col min="12" max="13" width="9.75" bestFit="1" customWidth="1"/>
    <col min="14" max="14" width="6.25" bestFit="1" customWidth="1"/>
    <col min="15" max="15" width="8.125" bestFit="1" customWidth="1"/>
    <col min="16" max="17" width="10" bestFit="1" customWidth="1"/>
    <col min="18" max="18" width="14.125" bestFit="1" customWidth="1"/>
    <col min="19" max="19" width="12.5" bestFit="1" customWidth="1"/>
    <col min="20" max="20" width="9.875" bestFit="1" customWidth="1"/>
    <col min="21" max="21" width="8.25" bestFit="1" customWidth="1"/>
    <col min="22" max="22" width="9.625" bestFit="1" customWidth="1"/>
    <col min="23" max="23" width="10" bestFit="1" customWidth="1"/>
    <col min="24" max="24" width="9.875" bestFit="1" customWidth="1"/>
    <col min="25" max="25" width="24" bestFit="1" customWidth="1"/>
    <col min="26" max="26" width="9.875" bestFit="1" customWidth="1"/>
    <col min="27" max="29" width="10" bestFit="1" customWidth="1"/>
    <col min="30" max="30" width="8.125" bestFit="1" customWidth="1"/>
    <col min="31" max="34" width="6.25" bestFit="1" customWidth="1"/>
    <col min="35" max="35" width="16.25" bestFit="1" customWidth="1"/>
    <col min="36" max="36" width="13" bestFit="1" customWidth="1"/>
    <col min="37" max="37" width="6.25" bestFit="1" customWidth="1"/>
    <col min="38" max="39" width="7.125" bestFit="1" customWidth="1"/>
  </cols>
  <sheetData>
    <row r="1" spans="1:42" x14ac:dyDescent="0.15">
      <c r="A1" s="7" t="str">
        <f>CONCATENATE(Z打鍵!A1,"3")</f>
        <v>西暦3</v>
      </c>
      <c r="B1" s="7" t="str">
        <f>CONCATENATE(Z打鍵!B1,"3")</f>
        <v>月3</v>
      </c>
      <c r="C1" s="7" t="str">
        <f>CONCATENATE(Z打鍵!C1,"3")</f>
        <v>日3</v>
      </c>
      <c r="D1" s="7" t="str">
        <f>CONCATENATE(Z打鍵!D1,"3")</f>
        <v>NF3</v>
      </c>
      <c r="E1" s="7" t="str">
        <f>CONCATENATE(Z打鍵!E1,"3")</f>
        <v>背番号3</v>
      </c>
      <c r="F1" s="7" t="str">
        <f>CONCATENATE(Z打鍵!F1,"3")</f>
        <v>年齢限定3</v>
      </c>
      <c r="G1" s="7" t="str">
        <f>CONCATENATE(Z打鍵!G1,"3")</f>
        <v>初度年3</v>
      </c>
      <c r="H1" s="7" t="str">
        <f>CONCATENATE(Z打鍵!H1,"3")</f>
        <v>初度月3</v>
      </c>
      <c r="I1" s="7" t="str">
        <f>CONCATENATE(Z打鍵!I1,"3")</f>
        <v>型式3</v>
      </c>
      <c r="J1" s="7" t="s">
        <v>350</v>
      </c>
      <c r="K1" s="7" t="str">
        <f>CONCATENATE(Z打鍵!K1,"3")</f>
        <v>生年3</v>
      </c>
      <c r="L1" s="7" t="str">
        <f>CONCATENATE(Z打鍵!L1,"3")</f>
        <v>生まれ月3</v>
      </c>
      <c r="M1" s="7" t="str">
        <f>CONCATENATE(Z打鍵!M1,"3")</f>
        <v>生まれ日3</v>
      </c>
      <c r="N1" s="7" t="str">
        <f>CONCATENATE(Z打鍵!N1,"3")</f>
        <v>地域3</v>
      </c>
      <c r="O1" s="7" t="str">
        <f>CONCATENATE(Z打鍵!O1,"3")</f>
        <v>免許3</v>
      </c>
      <c r="P1" s="7" t="str">
        <f>CONCATENATE(Z打鍵!P1,"3")</f>
        <v>使用目的3</v>
      </c>
      <c r="Q1" s="7" t="str">
        <f>CONCATENATE(Z打鍵!Q1,"3")</f>
        <v>走行距離3</v>
      </c>
      <c r="R1" s="7" t="str">
        <f>CONCATENATE(Z打鍵!R1,"3")</f>
        <v>年齢限定修正3</v>
      </c>
      <c r="S1" s="7" t="str">
        <f>CONCATENATE(Z打鍵!S1,"3")</f>
        <v>運限修正3</v>
      </c>
      <c r="T1" s="7" t="str">
        <f>CONCATENATE(Z打鍵!T1,"3")</f>
        <v>対物AMT3</v>
      </c>
      <c r="U1" s="7" t="str">
        <f>CONCATENATE(Z打鍵!U1,"3")</f>
        <v>対物LL3</v>
      </c>
      <c r="V1" s="7" t="str">
        <f>CONCATENATE(Z打鍵!V1,"3")</f>
        <v>搭乗者3</v>
      </c>
      <c r="W1" s="7" t="str">
        <f>CONCATENATE(Z打鍵!W1,"3")</f>
        <v>人傷種類3</v>
      </c>
      <c r="X1" s="7" t="s">
        <v>291</v>
      </c>
      <c r="Y1" s="7" t="str">
        <f>CONCATENATE(Z打鍵!Y1,"3")</f>
        <v>車両保険種類3</v>
      </c>
      <c r="Z1" s="7" t="str">
        <f>CONCATENATE(Z打鍵!Z1,"3")</f>
        <v>車両AMT3</v>
      </c>
      <c r="AA1" s="7" t="str">
        <f>CONCATENATE(Z打鍵!AA1,"3")</f>
        <v>車両免責3</v>
      </c>
      <c r="AB1" s="7" t="str">
        <f>CONCATENATE(Z打鍵!AB1,"3")</f>
        <v>積載動産3</v>
      </c>
      <c r="AC1" s="7" t="str">
        <f>CONCATENATE(Z打鍵!AC1,"3")</f>
        <v>代車費用3</v>
      </c>
      <c r="AD1" s="7" t="str">
        <f>CONCATENATE(Z打鍵!AD1,"3")</f>
        <v>地噴津3</v>
      </c>
      <c r="AE1" s="7" t="str">
        <f>CONCATENATE(Z打鍵!AE1,"3")</f>
        <v>弁特3</v>
      </c>
      <c r="AF1" s="7" t="str">
        <f>CONCATENATE(Z打鍵!AF1,"3")</f>
        <v>原付3</v>
      </c>
      <c r="AG1" s="7" t="str">
        <f>CONCATENATE(Z打鍵!AG1,"3")</f>
        <v>個賠3</v>
      </c>
      <c r="AH1" s="7" t="str">
        <f>CONCATENATE(Z打鍵!AH1,"3")</f>
        <v>傷害3</v>
      </c>
      <c r="AI1" s="7" t="str">
        <f>CONCATENATE(Z打鍵!AI1,"3")</f>
        <v>地噴津死亡傷害3</v>
      </c>
      <c r="AJ1" s="7" t="s">
        <v>79</v>
      </c>
      <c r="AK1" s="7" t="s">
        <v>62</v>
      </c>
      <c r="AL1" s="3" t="s">
        <v>0</v>
      </c>
      <c r="AM1" s="3" t="s">
        <v>1</v>
      </c>
      <c r="AN1" s="3" t="s">
        <v>343</v>
      </c>
      <c r="AO1" s="3" t="s">
        <v>344</v>
      </c>
      <c r="AP1" s="3" t="s">
        <v>345</v>
      </c>
    </row>
    <row r="2" spans="1:42" x14ac:dyDescent="0.15">
      <c r="A2" s="8" t="str">
        <f>VLOOKUP(Z打鍵!$A2,ヘンスウチ!$B$3:$C$9,2,FALSE)</f>
        <v>2022(令和04)</v>
      </c>
      <c r="B2" s="8">
        <f>Z打鍵!$B2</f>
        <v>12</v>
      </c>
      <c r="C2" s="8">
        <f>Z打鍵!$C2</f>
        <v>1</v>
      </c>
      <c r="D2" s="8" t="str">
        <f>VLOOKUP(Z打鍵!$D2,ヘンスウチ!$E$3:$F$24,2,FALSE)</f>
        <v>20 等級</v>
      </c>
      <c r="E2" s="8" t="str">
        <f>Z打鍵!$E2</f>
        <v>なし</v>
      </c>
      <c r="F2" s="8" t="str">
        <f>VLOOKUP(Z打鍵!$F2,ヘンスウチ!$H$23:$I$26,2,FALSE)</f>
        <v>35歳以上補償</v>
      </c>
      <c r="G2" s="8" t="str">
        <f>VLOOKUP(Z打鍵!$G2,ヘンスウチ!$B$59:$C$166,2,FALSE)</f>
        <v>2016(平成28)</v>
      </c>
      <c r="H2" s="8">
        <f>Z打鍵!$H2</f>
        <v>12</v>
      </c>
      <c r="I2" s="8" t="str">
        <f>Z打鍵!$I2</f>
        <v>Z12</v>
      </c>
      <c r="J2" s="8" t="str">
        <f>Z打鍵!$J2</f>
        <v>なし</v>
      </c>
      <c r="K2" s="8" t="str">
        <f>IF(AND(Z打鍵!$K2=1989,Z打鍵!$L2=1,Z打鍵!$M2&lt;=7),"1989(昭和64)",VLOOKUP(Z打鍵!$K2,ヘンスウチ!$B$65:$C$166,2,FALSE))</f>
        <v>1982(昭和57)</v>
      </c>
      <c r="L2" s="30">
        <f>Z打鍵!$L2</f>
        <v>12</v>
      </c>
      <c r="M2" s="8">
        <f>Z打鍵!$M2</f>
        <v>1</v>
      </c>
      <c r="N2" s="8" t="str">
        <f>VLOOKUP(Z打鍵!$N2,ヘンスウチ!$H$3:$I$9,2,FALSE)</f>
        <v>東京</v>
      </c>
      <c r="O2" s="8" t="str">
        <f>Z打鍵!$O2</f>
        <v>ゴールド</v>
      </c>
      <c r="P2" s="8" t="str">
        <f>Z打鍵!$P2</f>
        <v>日常</v>
      </c>
      <c r="Q2" s="8">
        <f>VLOOKUP(Z打鍵!$Q2,ヘンスウチ!$E$26:$F$56,2,FALSE)</f>
        <v>1</v>
      </c>
      <c r="R2" s="8" t="str">
        <f>VLOOKUP(Z打鍵!$R2,ヘンスウチ!$H$29:$I$32,2,FALSE)</f>
        <v>30歳以上補償</v>
      </c>
      <c r="S2" s="8" t="str">
        <f>VLOOKUP(Z打鍵!$S2,ヘンスウチ!$H$18:$I$20,2,FALSE)</f>
        <v>本人と配偶者</v>
      </c>
      <c r="T2" s="8" t="str">
        <f>VLOOKUP(Z打鍵!$T2,ヘンスウチ!$K$14:$L$19,2,FALSE)</f>
        <v>無制限</v>
      </c>
      <c r="U2" s="8" t="str">
        <f>VLOOKUP(Z打鍵!$U2,ヘンスウチ!$K$38:$L$40,2,FALSE)</f>
        <v>なし</v>
      </c>
      <c r="V2" s="8" t="str">
        <f>VLOOKUP(Z打鍵!$V2,ヘンスウチ!$K$22:$L$24,2,FALSE)</f>
        <v>1,000万円</v>
      </c>
      <c r="W2" s="8" t="str">
        <f>Z打鍵!$W2</f>
        <v>車内外</v>
      </c>
      <c r="X2" s="8" t="str">
        <f>VLOOKUP(Z打鍵!$X2,ヘンスウチ!$K$27:$L$35,2,FALSE)</f>
        <v>3,000万円</v>
      </c>
      <c r="Y2" s="8" t="str">
        <f>VLOOKUP(Z打鍵!$Y2,ヘンスウチ!$K$4:$L$6,2,FALSE)</f>
        <v>ワイドカバー型（一般条件）</v>
      </c>
      <c r="Z2" s="8" t="str">
        <f>CONCATENATE(Z打鍵!$Z2,"万円")</f>
        <v>85万円</v>
      </c>
      <c r="AA2" s="8" t="str">
        <f>VLOOKUP(Z打鍵!$AA2,ヘンスウチ!$K$9:$L$11,2,FALSE)</f>
        <v>あり</v>
      </c>
      <c r="AB2" s="8" t="str">
        <f>Z打鍵!$AB2</f>
        <v>なし</v>
      </c>
      <c r="AC2" s="8" t="str">
        <f>Z打鍵!$AC2</f>
        <v>なし</v>
      </c>
      <c r="AD2" s="8" t="str">
        <f>Z打鍵!$AD2</f>
        <v>なし</v>
      </c>
      <c r="AE2" s="8" t="str">
        <f>Z打鍵!$AE2</f>
        <v>あり</v>
      </c>
      <c r="AF2" s="8" t="str">
        <f>Z打鍵!$AF2</f>
        <v>なし</v>
      </c>
      <c r="AG2" s="8" t="str">
        <f>VLOOKUP(Z打鍵!$AG2,ヘンスウチ!$K$52:$L$55,2,FALSE)</f>
        <v>なし</v>
      </c>
      <c r="AH2" s="8" t="str">
        <f>VLOOKUP(Z打鍵!$AH2,ヘンスウチ!$K$58:$L$61,2,FALSE)</f>
        <v>なし</v>
      </c>
      <c r="AI2" s="8" t="str">
        <f>VLOOKUP(Z打鍵!$AI2,ヘンスウチ!$K$58:$L$61,2,FALSE)</f>
        <v>なし</v>
      </c>
      <c r="AJ2" s="8" t="str">
        <f>IF(OR(Z打鍵!$D2="6S",Z打鍵!$D2="7S"),"純新規","純新規以外")</f>
        <v>純新規以外</v>
      </c>
      <c r="AK2" s="8">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8">
        <f>COUNTA(Z打鍵!$A:$A)-1+2</f>
        <v>23</v>
      </c>
      <c r="AM2" s="30">
        <f>COUNTA(Z打鍵!$BU:$BU)-1</f>
        <v>0</v>
      </c>
      <c r="AN2">
        <f>COUNTIFS(Z打鍵!$BU:$BU,"&gt;"&amp;0)+COUNTIFS(Z打鍵!$BV:$BV,"&gt;"&amp;0)</f>
        <v>0</v>
      </c>
      <c r="AP2">
        <f>$AN2-$AO2</f>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Company>セゾン自動車火災保険株式会社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safic</cp:lastModifiedBy>
  <dcterms:created xsi:type="dcterms:W3CDTF">2018-10-17T06:24:52Z</dcterms:created>
  <dcterms:modified xsi:type="dcterms:W3CDTF">2022-10-06T09:46:51Z</dcterms:modified>
</cp:coreProperties>
</file>