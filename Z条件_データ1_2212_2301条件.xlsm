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9940" windowWidth="3840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0" fillId="0" borderId="0"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0" borderId="0" applyAlignment="1" pivotButton="0" quotePrefix="0" xfId="0">
      <alignment horizontal="left"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0" applyAlignment="1" pivotButton="0" quotePrefix="0" xfId="0">
      <alignment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outlineLevelCol="0"/>
  <cols>
    <col width="3.1640625" customWidth="1" style="58" min="1" max="3"/>
    <col width="3.1640625" customWidth="1" style="59" min="4" max="4"/>
    <col width="2.6640625" customWidth="1" style="49" min="16" max="16"/>
    <col width="2.6640625" customWidth="1" style="20"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21" t="inlineStr">
        <is>
          <t>①</t>
        </is>
      </c>
      <c r="D10" s="22"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3" t="inlineStr">
        <is>
          <t>＜和暦変換演算子＞</t>
        </is>
      </c>
    </row>
    <row r="22">
      <c r="E22" s="60" t="inlineStr">
        <is>
          <t>※打鍵出来ない場合でもRPAは止まらないように出来ているが、打鍵効率が落ちる。</t>
        </is>
      </c>
      <c r="T22" s="24" t="inlineStr">
        <is>
          <t>打鍵年</t>
        </is>
      </c>
      <c r="U22" s="1" t="n">
        <v>2022</v>
      </c>
      <c r="W22" s="25">
        <f>IF($U$22*10000+$U$23*100+$U$24&gt;=19890108,IF($U$22*10000+$U$23*100+$U$24&gt;=20190501,"令和","平成"),"昭和")</f>
        <v/>
      </c>
      <c r="X22" s="26">
        <f>IF($W$22="令和",$U$22-2018,IF($W$22="平成",$U22-1988,$U22-1989+64))</f>
        <v/>
      </c>
    </row>
    <row r="23">
      <c r="T23" s="24" t="inlineStr">
        <is>
          <t>打鍵月</t>
        </is>
      </c>
      <c r="U23" s="1" t="n">
        <v>12</v>
      </c>
    </row>
    <row r="24">
      <c r="C24" s="21" t="inlineStr">
        <is>
          <t>②</t>
        </is>
      </c>
      <c r="D24" s="22" t="inlineStr">
        <is>
          <t>関数のセット</t>
        </is>
      </c>
      <c r="T24" s="24"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7" t="inlineStr">
        <is>
          <t>自乗</t>
        </is>
      </c>
      <c r="V26" s="27" t="inlineStr">
        <is>
          <t>軽四</t>
        </is>
      </c>
      <c r="W26" s="27" t="inlineStr">
        <is>
          <t>強みゾーン</t>
        </is>
      </c>
      <c r="X26" s="27" t="inlineStr">
        <is>
          <t>新車</t>
        </is>
      </c>
    </row>
    <row r="27">
      <c r="T27" s="24" t="inlineStr">
        <is>
          <t>型式</t>
        </is>
      </c>
      <c r="U27" s="41" t="inlineStr">
        <is>
          <t>DJ5FS</t>
        </is>
      </c>
      <c r="V27" s="41" t="inlineStr">
        <is>
          <t>HE33S</t>
        </is>
      </c>
      <c r="W27" s="41" t="inlineStr">
        <is>
          <t>ZVW40W</t>
        </is>
      </c>
      <c r="X27" s="41" t="inlineStr">
        <is>
          <t>KG2P</t>
        </is>
      </c>
    </row>
    <row r="28">
      <c r="T28" s="24" t="inlineStr">
        <is>
          <t>初度年</t>
        </is>
      </c>
      <c r="U28" s="41" t="n">
        <v>2018</v>
      </c>
      <c r="V28" s="41" t="n">
        <v>2018</v>
      </c>
      <c r="W28" s="41" t="n">
        <v>2018</v>
      </c>
      <c r="X28" s="41">
        <f>IF($U$23=1,$U$22-1,$U$22)</f>
        <v/>
      </c>
    </row>
    <row r="29">
      <c r="T29" s="24" t="inlineStr">
        <is>
          <t>初度月</t>
        </is>
      </c>
      <c r="U29" s="41" t="n">
        <v>11</v>
      </c>
      <c r="V29" s="41" t="n">
        <v>11</v>
      </c>
      <c r="W29" s="41" t="n">
        <v>11</v>
      </c>
      <c r="X29" s="41" t="n">
        <v>11</v>
      </c>
    </row>
    <row r="30">
      <c r="T30" s="24" t="inlineStr">
        <is>
          <t>車両AMT</t>
        </is>
      </c>
      <c r="U30" s="41" t="n">
        <v>110</v>
      </c>
      <c r="V30" s="41" t="n">
        <v>110</v>
      </c>
      <c r="W30" s="41" t="n">
        <v>180</v>
      </c>
      <c r="X30" s="41" t="n">
        <v>480</v>
      </c>
    </row>
    <row r="31">
      <c r="T31" s="24" t="inlineStr">
        <is>
          <t>初度年変換1</t>
        </is>
      </c>
      <c r="U31" s="25">
        <f>IF(U$28*100+U$29&gt;=198901,IF(U$28*100+U$29&gt;=201905,"令和","平成"),"昭和")</f>
        <v/>
      </c>
      <c r="V31" s="25">
        <f>IF(V$28*100+V$29&gt;=198901,IF(V$28*100+V$29&gt;=201905,"令和","平成"),"昭和")</f>
        <v/>
      </c>
      <c r="W31" s="25">
        <f>IF(W$28*100+W$29&gt;=198901,IF(W$28*100+W$29&gt;=201905,"令和","平成"),"昭和")</f>
        <v/>
      </c>
      <c r="X31" s="25">
        <f>IF(X$28*100+X$29&gt;=198901,IF(X$28*100+X$29&gt;=201905,"令和","平成"),"昭和")</f>
        <v/>
      </c>
    </row>
    <row r="32">
      <c r="C32" s="21" t="inlineStr">
        <is>
          <t>③</t>
        </is>
      </c>
      <c r="D32" s="22" t="inlineStr">
        <is>
          <t>RPAを使用する</t>
        </is>
      </c>
      <c r="E32" s="23" t="n"/>
      <c r="T32" s="24" t="inlineStr">
        <is>
          <t>初度年変換2</t>
        </is>
      </c>
      <c r="U32" s="26">
        <f>IF(U$31="令和",U$28-2018,IF(U$31="平成",U$28-1988,U28-1989+64))</f>
        <v/>
      </c>
      <c r="V32" s="26">
        <f>IF(V$31="令和",V$28-2018,IF(V$31="平成",V$28-1988,V28-1989+64))</f>
        <v/>
      </c>
      <c r="W32" s="26">
        <f>IF(W$31="令和",W$28-2018,IF(W$31="平成",W$28-1988,W28-1989+64))</f>
        <v/>
      </c>
      <c r="X32" s="26">
        <f>IF(X$31="令和",X$28-2018,IF(X$31="平成",X$28-1988,X28-1989+64))</f>
        <v/>
      </c>
    </row>
    <row r="33">
      <c r="D33" s="59" t="inlineStr">
        <is>
          <t>設定ファイルは既に出来ているので、RPAを回して打鍵を行う。</t>
        </is>
      </c>
    </row>
    <row r="35">
      <c r="C35" s="21" t="inlineStr">
        <is>
          <t>④</t>
        </is>
      </c>
      <c r="D35" s="22" t="inlineStr">
        <is>
          <t>留意点</t>
        </is>
      </c>
    </row>
    <row r="36">
      <c r="D36" s="59" t="inlineStr">
        <is>
          <t>このRPAは他社ＷＥＢページの改定の影響を100%受けるものであるため、</t>
        </is>
      </c>
    </row>
    <row r="37" ht="1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5" customHeight="1" s="49" thickBot="1">
      <c r="C40" s="21" t="inlineStr">
        <is>
          <t>⑤</t>
        </is>
      </c>
      <c r="D40" s="22"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4" t="inlineStr">
        <is>
          <t>作成数</t>
        </is>
      </c>
      <c r="F43" s="30" t="n">
        <v>1</v>
      </c>
    </row>
    <row r="44">
      <c r="E44" s="61" t="inlineStr">
        <is>
          <t>作成番号</t>
        </is>
      </c>
      <c r="F44" s="29" t="n">
        <v>1</v>
      </c>
      <c r="G44" s="60" t="inlineStr">
        <is>
          <t>※上から詰めて記入</t>
        </is>
      </c>
    </row>
    <row r="45">
      <c r="E45" s="62" t="n"/>
      <c r="F45" s="29" t="n"/>
    </row>
    <row r="46">
      <c r="E46" s="62" t="n"/>
      <c r="F46" s="29" t="n"/>
    </row>
    <row r="47">
      <c r="E47" s="62" t="n"/>
      <c r="F47" s="29" t="n"/>
    </row>
    <row r="48" ht="15" customHeight="1" s="49" thickBot="1">
      <c r="E48" s="62" t="n"/>
      <c r="F48" s="29" t="n"/>
    </row>
    <row r="49">
      <c r="E49" s="62" t="n"/>
      <c r="F49" s="29" t="n"/>
      <c r="S49" s="45" t="inlineStr">
        <is>
          <t>RATE BOOK（全量版）</t>
        </is>
      </c>
      <c r="T49" s="46" t="n"/>
      <c r="U49" s="46" t="n"/>
      <c r="V49" s="47" t="n"/>
    </row>
    <row r="50">
      <c r="E50" s="62" t="n"/>
      <c r="F50" s="29" t="n"/>
      <c r="S50" s="48" t="n"/>
      <c r="V50" s="50" t="n"/>
    </row>
    <row r="51" ht="15" customHeight="1" s="49" thickBot="1">
      <c r="E51" s="62" t="n"/>
      <c r="F51" s="1" t="n"/>
      <c r="S51" s="51" t="n"/>
      <c r="T51" s="52" t="n"/>
      <c r="U51" s="52" t="n"/>
      <c r="V51" s="53" t="n"/>
    </row>
    <row r="52">
      <c r="E52" s="63" t="n"/>
      <c r="F52" s="1" t="n"/>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5" customHeight="1" s="49" thickBot="1"/>
    <row r="65">
      <c r="S65" s="45" t="inlineStr">
        <is>
          <t>計算シート作成</t>
        </is>
      </c>
      <c r="T65" s="46" t="n"/>
      <c r="U65" s="46" t="n"/>
      <c r="V65" s="47" t="n"/>
    </row>
    <row r="66">
      <c r="S66" s="48" t="n"/>
      <c r="V66" s="50" t="n"/>
    </row>
    <row r="67" ht="1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31" t="inlineStr">
        <is>
          <t>用途</t>
        </is>
      </c>
      <c r="U72" s="32" t="inlineStr">
        <is>
          <t>自乗基準対人</t>
        </is>
      </c>
      <c r="V72" s="32" t="inlineStr">
        <is>
          <t>自乗基準対物</t>
        </is>
      </c>
      <c r="W72" s="32" t="inlineStr">
        <is>
          <t>自乗基準人傷</t>
        </is>
      </c>
      <c r="X72" s="32" t="inlineStr">
        <is>
          <t>自乗基準車両</t>
        </is>
      </c>
      <c r="Y72" s="32" t="inlineStr">
        <is>
          <t>自乗対抗対人</t>
        </is>
      </c>
      <c r="Z72" s="32" t="inlineStr">
        <is>
          <t>自乗対抗対物</t>
        </is>
      </c>
      <c r="AA72" s="32" t="inlineStr">
        <is>
          <t>自乗対抗人傷</t>
        </is>
      </c>
      <c r="AB72" s="32" t="inlineStr">
        <is>
          <t>自乗対抗車両</t>
        </is>
      </c>
      <c r="AC72" s="32" t="inlineStr">
        <is>
          <t>軽四基準対人</t>
        </is>
      </c>
      <c r="AD72" s="32" t="inlineStr">
        <is>
          <t>軽四基準対物</t>
        </is>
      </c>
      <c r="AE72" s="32" t="inlineStr">
        <is>
          <t>軽四基準人傷</t>
        </is>
      </c>
      <c r="AF72" s="32" t="inlineStr">
        <is>
          <t>軽四基準車両</t>
        </is>
      </c>
      <c r="AG72" s="32" t="inlineStr">
        <is>
          <t>軽四対抗対人</t>
        </is>
      </c>
      <c r="AH72" s="32" t="inlineStr">
        <is>
          <t>軽四対抗対物</t>
        </is>
      </c>
      <c r="AI72" s="32" t="inlineStr">
        <is>
          <t>軽四対抗人傷</t>
        </is>
      </c>
      <c r="AJ72" s="32" t="inlineStr">
        <is>
          <t>軽四対抗車両</t>
        </is>
      </c>
    </row>
    <row r="73">
      <c r="T73" s="31" t="inlineStr">
        <is>
          <t>対人</t>
        </is>
      </c>
      <c r="U73" s="32" t="n">
        <v>7</v>
      </c>
      <c r="V73" s="32" t="n">
        <v>7</v>
      </c>
      <c r="W73" s="32" t="n">
        <v>7</v>
      </c>
      <c r="X73" s="32" t="n">
        <v>7</v>
      </c>
      <c r="Y73" s="32" t="n">
        <v>8</v>
      </c>
      <c r="Z73" s="32" t="n">
        <v>7</v>
      </c>
      <c r="AA73" s="32" t="n">
        <v>7</v>
      </c>
      <c r="AB73" s="32" t="n">
        <v>7</v>
      </c>
      <c r="AC73" s="32" t="n">
        <v>3</v>
      </c>
      <c r="AD73" s="32" t="n">
        <v>3</v>
      </c>
      <c r="AE73" s="32" t="n">
        <v>3</v>
      </c>
      <c r="AF73" s="32" t="n">
        <v>3</v>
      </c>
      <c r="AG73" s="32" t="n">
        <v>2</v>
      </c>
      <c r="AH73" s="32" t="n">
        <v>3</v>
      </c>
      <c r="AI73" s="32" t="n">
        <v>3</v>
      </c>
      <c r="AJ73" s="32" t="n">
        <v>3</v>
      </c>
    </row>
    <row r="74">
      <c r="T74" s="31" t="inlineStr">
        <is>
          <t>対物</t>
        </is>
      </c>
      <c r="U74" s="32" t="n">
        <v>7</v>
      </c>
      <c r="V74" s="32" t="n">
        <v>7</v>
      </c>
      <c r="W74" s="32" t="n">
        <v>7</v>
      </c>
      <c r="X74" s="32" t="n">
        <v>7</v>
      </c>
      <c r="Y74" s="32" t="n">
        <v>7</v>
      </c>
      <c r="Z74" s="32" t="n">
        <v>6</v>
      </c>
      <c r="AA74" s="32" t="n">
        <v>7</v>
      </c>
      <c r="AB74" s="32" t="n">
        <v>7</v>
      </c>
      <c r="AC74" s="32" t="n">
        <v>3</v>
      </c>
      <c r="AD74" s="32" t="n">
        <v>3</v>
      </c>
      <c r="AE74" s="32" t="n">
        <v>3</v>
      </c>
      <c r="AF74" s="32" t="n">
        <v>3</v>
      </c>
      <c r="AG74" s="32" t="n">
        <v>3</v>
      </c>
      <c r="AH74" s="32" t="n">
        <v>1</v>
      </c>
      <c r="AI74" s="32" t="n">
        <v>3</v>
      </c>
      <c r="AJ74" s="32" t="n">
        <v>3</v>
      </c>
    </row>
    <row r="75">
      <c r="T75" s="31" t="inlineStr">
        <is>
          <t>搭傷</t>
        </is>
      </c>
      <c r="U75" s="32" t="n">
        <v>7</v>
      </c>
      <c r="V75" s="32" t="n">
        <v>7</v>
      </c>
      <c r="W75" s="32" t="n">
        <v>7</v>
      </c>
      <c r="X75" s="32" t="n">
        <v>7</v>
      </c>
      <c r="Y75" s="32" t="n">
        <v>7</v>
      </c>
      <c r="Z75" s="32" t="n">
        <v>7</v>
      </c>
      <c r="AA75" s="32" t="n">
        <v>6</v>
      </c>
      <c r="AB75" s="32" t="n">
        <v>7</v>
      </c>
      <c r="AC75" s="32" t="n">
        <v>2</v>
      </c>
      <c r="AD75" s="32" t="n">
        <v>2</v>
      </c>
      <c r="AE75" s="32" t="n">
        <v>2</v>
      </c>
      <c r="AF75" s="32" t="n">
        <v>2</v>
      </c>
      <c r="AG75" s="32" t="n">
        <v>2</v>
      </c>
      <c r="AH75" s="32" t="n">
        <v>2</v>
      </c>
      <c r="AI75" s="32" t="n">
        <v>3</v>
      </c>
      <c r="AJ75" s="32" t="n">
        <v>2</v>
      </c>
    </row>
    <row r="76">
      <c r="T76" s="31" t="inlineStr">
        <is>
          <t>車両</t>
        </is>
      </c>
      <c r="U76" s="32" t="n">
        <v>6</v>
      </c>
      <c r="V76" s="32" t="n">
        <v>6</v>
      </c>
      <c r="W76" s="32" t="n">
        <v>6</v>
      </c>
      <c r="X76" s="32" t="n">
        <v>6</v>
      </c>
      <c r="Y76" s="32" t="n">
        <v>8</v>
      </c>
      <c r="Z76" s="32" t="n">
        <v>9</v>
      </c>
      <c r="AA76" s="32" t="n">
        <v>7</v>
      </c>
      <c r="AB76" s="32" t="n">
        <v>7</v>
      </c>
      <c r="AC76" s="32" t="n">
        <v>1</v>
      </c>
      <c r="AD76" s="32" t="n">
        <v>1</v>
      </c>
      <c r="AE76" s="32" t="n">
        <v>1</v>
      </c>
      <c r="AF76" s="32" t="n">
        <v>1</v>
      </c>
      <c r="AG76" s="32" t="n">
        <v>3</v>
      </c>
      <c r="AH76" s="32" t="n">
        <v>2</v>
      </c>
      <c r="AI76" s="32" t="n">
        <v>2</v>
      </c>
      <c r="AJ76" s="32" t="n">
        <v>3</v>
      </c>
    </row>
    <row r="77">
      <c r="T77" s="31" t="inlineStr">
        <is>
          <t>型式</t>
        </is>
      </c>
      <c r="U77" s="41" t="inlineStr">
        <is>
          <t>Z12</t>
        </is>
      </c>
      <c r="V77" s="41" t="inlineStr">
        <is>
          <t>Z12</t>
        </is>
      </c>
      <c r="W77" s="41" t="inlineStr">
        <is>
          <t>Z12</t>
        </is>
      </c>
      <c r="X77" s="41" t="inlineStr">
        <is>
          <t>Z12</t>
        </is>
      </c>
      <c r="Y77" s="41" t="inlineStr">
        <is>
          <t>GSR50W</t>
        </is>
      </c>
      <c r="Z77" s="41" t="inlineStr">
        <is>
          <t>BM2AP</t>
        </is>
      </c>
      <c r="AA77" s="41" t="inlineStr">
        <is>
          <t>CWEAWN</t>
        </is>
      </c>
      <c r="AB77" s="41" t="inlineStr">
        <is>
          <t>DJ5FS</t>
        </is>
      </c>
      <c r="AC77" s="41" t="inlineStr">
        <is>
          <t>S321G</t>
        </is>
      </c>
      <c r="AD77" s="41" t="inlineStr">
        <is>
          <t>S321G</t>
        </is>
      </c>
      <c r="AE77" s="41" t="inlineStr">
        <is>
          <t>S321G</t>
        </is>
      </c>
      <c r="AF77" s="41" t="inlineStr">
        <is>
          <t>S321G</t>
        </is>
      </c>
      <c r="AG77" s="41" t="inlineStr">
        <is>
          <t>MH34S</t>
        </is>
      </c>
      <c r="AH77" s="41" t="inlineStr">
        <is>
          <t>LA700S</t>
        </is>
      </c>
      <c r="AI77" s="41" t="inlineStr">
        <is>
          <t>LA300S</t>
        </is>
      </c>
      <c r="AJ77" s="41" t="inlineStr">
        <is>
          <t>DS17W</t>
        </is>
      </c>
    </row>
    <row r="78">
      <c r="T78" s="31" t="inlineStr">
        <is>
          <t>初度年</t>
        </is>
      </c>
      <c r="U78" s="41" t="n">
        <v>2016</v>
      </c>
      <c r="V78" s="41" t="n">
        <v>2016</v>
      </c>
      <c r="W78" s="41" t="n">
        <v>2016</v>
      </c>
      <c r="X78" s="41" t="n">
        <v>2016</v>
      </c>
      <c r="Y78" s="41" t="n">
        <v>2016</v>
      </c>
      <c r="Z78" s="41" t="n">
        <v>2016</v>
      </c>
      <c r="AA78" s="41" t="n">
        <v>2016</v>
      </c>
      <c r="AB78" s="41" t="n">
        <v>2016</v>
      </c>
      <c r="AC78" s="41" t="n">
        <v>2016</v>
      </c>
      <c r="AD78" s="41" t="n">
        <v>2016</v>
      </c>
      <c r="AE78" s="41" t="n">
        <v>2016</v>
      </c>
      <c r="AF78" s="41" t="n">
        <v>2016</v>
      </c>
      <c r="AG78" s="41" t="n">
        <v>2016</v>
      </c>
      <c r="AH78" s="41" t="n">
        <v>2016</v>
      </c>
      <c r="AI78" s="41" t="n">
        <v>2016</v>
      </c>
      <c r="AJ78" s="41" t="n">
        <v>2016</v>
      </c>
    </row>
    <row r="79">
      <c r="T79" s="31" t="inlineStr">
        <is>
          <t>初度月</t>
        </is>
      </c>
      <c r="U79" s="41" t="n">
        <v>12</v>
      </c>
      <c r="V79" s="41" t="n">
        <v>12</v>
      </c>
      <c r="W79" s="41" t="n">
        <v>12</v>
      </c>
      <c r="X79" s="41" t="n">
        <v>12</v>
      </c>
      <c r="Y79" s="41" t="n">
        <v>12</v>
      </c>
      <c r="Z79" s="41" t="n">
        <v>12</v>
      </c>
      <c r="AA79" s="41" t="n">
        <v>12</v>
      </c>
      <c r="AB79" s="41" t="n">
        <v>12</v>
      </c>
      <c r="AC79" s="41" t="n">
        <v>12</v>
      </c>
      <c r="AD79" s="41" t="n">
        <v>12</v>
      </c>
      <c r="AE79" s="41" t="n">
        <v>12</v>
      </c>
      <c r="AF79" s="41" t="n">
        <v>12</v>
      </c>
      <c r="AG79" s="41" t="n">
        <v>12</v>
      </c>
      <c r="AH79" s="41" t="n">
        <v>12</v>
      </c>
      <c r="AI79" s="41" t="n">
        <v>12</v>
      </c>
      <c r="AJ79" s="41" t="n">
        <v>12</v>
      </c>
    </row>
    <row r="80">
      <c r="T80" s="31" t="inlineStr">
        <is>
          <t>設定AMT</t>
        </is>
      </c>
      <c r="U80" s="41" t="n">
        <v>85</v>
      </c>
      <c r="V80" s="41" t="n">
        <v>85</v>
      </c>
      <c r="W80" s="41" t="n">
        <v>85</v>
      </c>
      <c r="X80" s="41" t="n">
        <v>85</v>
      </c>
      <c r="Y80" s="41" t="n">
        <v>160</v>
      </c>
      <c r="Z80" s="41" t="n">
        <v>160</v>
      </c>
      <c r="AA80" s="1" t="n">
        <v>110</v>
      </c>
      <c r="AB80" s="1" t="n">
        <v>85</v>
      </c>
      <c r="AC80" s="1" t="n">
        <v>100</v>
      </c>
      <c r="AD80" s="1" t="n">
        <v>100</v>
      </c>
      <c r="AE80" s="1" t="n">
        <v>100</v>
      </c>
      <c r="AF80" s="1" t="n">
        <v>100</v>
      </c>
      <c r="AG80" s="1" t="n">
        <v>60</v>
      </c>
      <c r="AH80" s="1" t="n">
        <v>90</v>
      </c>
      <c r="AI80" s="1" t="n">
        <v>50</v>
      </c>
      <c r="AJ80" s="1" t="n">
        <v>100</v>
      </c>
    </row>
    <row r="81">
      <c r="T81" s="31" t="inlineStr">
        <is>
          <t>新車AMT</t>
        </is>
      </c>
      <c r="U81" s="33">
        <f>U80</f>
        <v/>
      </c>
      <c r="V81" s="33">
        <f>V80</f>
        <v/>
      </c>
      <c r="W81" s="33">
        <f>W80</f>
        <v/>
      </c>
      <c r="X81" s="33">
        <f>X80</f>
        <v/>
      </c>
      <c r="Y81" s="33">
        <f>Y80</f>
        <v/>
      </c>
      <c r="Z81" s="33">
        <f>Z80</f>
        <v/>
      </c>
      <c r="AA81" s="34">
        <f>AA80</f>
        <v/>
      </c>
      <c r="AB81" s="34">
        <f>AB80</f>
        <v/>
      </c>
      <c r="AC81" s="34">
        <f>AC80</f>
        <v/>
      </c>
      <c r="AD81" s="34">
        <f>AD80</f>
        <v/>
      </c>
      <c r="AE81" s="34">
        <f>AE80</f>
        <v/>
      </c>
      <c r="AF81" s="34">
        <f>AF80</f>
        <v/>
      </c>
      <c r="AG81" s="34">
        <f>AG80</f>
        <v/>
      </c>
      <c r="AH81" s="34">
        <f>AH80</f>
        <v/>
      </c>
      <c r="AI81" s="34">
        <f>AI80</f>
        <v/>
      </c>
      <c r="AJ81" s="34">
        <f>AJ80</f>
        <v/>
      </c>
    </row>
    <row r="82">
      <c r="T82" s="31" t="inlineStr">
        <is>
          <t>車種</t>
        </is>
      </c>
      <c r="U82" s="36" t="inlineStr">
        <is>
          <t>自小乗</t>
        </is>
      </c>
      <c r="V82" s="36" t="inlineStr">
        <is>
          <t>自小乗</t>
        </is>
      </c>
      <c r="W82" s="36" t="inlineStr">
        <is>
          <t>自小乗</t>
        </is>
      </c>
      <c r="X82" s="36" t="inlineStr">
        <is>
          <t>自小乗</t>
        </is>
      </c>
      <c r="Y82" s="36" t="inlineStr">
        <is>
          <t>自普乗</t>
        </is>
      </c>
      <c r="Z82" s="36" t="inlineStr">
        <is>
          <t>自普乗</t>
        </is>
      </c>
      <c r="AA82" s="36" t="inlineStr">
        <is>
          <t>自普乗</t>
        </is>
      </c>
      <c r="AB82" s="36" t="inlineStr">
        <is>
          <t>自小乗</t>
        </is>
      </c>
      <c r="AC82" s="36" t="inlineStr">
        <is>
          <t>自軽四乗</t>
        </is>
      </c>
      <c r="AD82" s="36" t="inlineStr">
        <is>
          <t>自軽四乗</t>
        </is>
      </c>
      <c r="AE82" s="36" t="inlineStr">
        <is>
          <t>自軽四乗</t>
        </is>
      </c>
      <c r="AF82" s="36" t="inlineStr">
        <is>
          <t>自軽四乗</t>
        </is>
      </c>
      <c r="AG82" s="36" t="inlineStr">
        <is>
          <t>自軽四乗</t>
        </is>
      </c>
      <c r="AH82" s="36" t="inlineStr">
        <is>
          <t>自軽四乗</t>
        </is>
      </c>
      <c r="AI82" s="36" t="inlineStr">
        <is>
          <t>自軽四乗</t>
        </is>
      </c>
      <c r="AJ82" s="36" t="inlineStr">
        <is>
          <t>自軽四乗</t>
        </is>
      </c>
    </row>
    <row r="83">
      <c r="T83" s="31" t="inlineStr">
        <is>
          <t>車名</t>
        </is>
      </c>
      <c r="U83" s="41" t="inlineStr">
        <is>
          <t>キューブ</t>
        </is>
      </c>
      <c r="V83" s="41" t="inlineStr">
        <is>
          <t>キューブ</t>
        </is>
      </c>
      <c r="W83" s="41" t="inlineStr">
        <is>
          <t>キューブ</t>
        </is>
      </c>
      <c r="X83" s="41" t="inlineStr">
        <is>
          <t>キューブ</t>
        </is>
      </c>
      <c r="Y83" s="41" t="inlineStr">
        <is>
          <t>エスティマ</t>
        </is>
      </c>
      <c r="Z83" s="41" t="inlineStr">
        <is>
          <t>アクセラ</t>
        </is>
      </c>
      <c r="AA83" s="41" t="inlineStr">
        <is>
          <t>ラフェスタ</t>
        </is>
      </c>
      <c r="AB83" s="41" t="inlineStr">
        <is>
          <t>デミオ</t>
        </is>
      </c>
      <c r="AC83" s="41" t="inlineStr">
        <is>
          <t>アトレー</t>
        </is>
      </c>
      <c r="AD83" s="41" t="inlineStr">
        <is>
          <t>アトレー</t>
        </is>
      </c>
      <c r="AE83" s="41" t="inlineStr">
        <is>
          <t>アトレー</t>
        </is>
      </c>
      <c r="AF83" s="41" t="inlineStr">
        <is>
          <t>アトレー</t>
        </is>
      </c>
      <c r="AG83" s="41" t="inlineStr">
        <is>
          <t>ワゴンR</t>
        </is>
      </c>
      <c r="AH83" s="41" t="inlineStr">
        <is>
          <t>ウェイク</t>
        </is>
      </c>
      <c r="AI83" s="41" t="inlineStr">
        <is>
          <t>ミラ</t>
        </is>
      </c>
      <c r="AJ83" s="41" t="inlineStr">
        <is>
          <t>タウンボックス</t>
        </is>
      </c>
    </row>
    <row r="84">
      <c r="U84" s="25">
        <f>IF(U$78*100+U$79&gt;=201905,"令和",IF(U$78*100+U$79&gt;=198901,"平成","昭和"))</f>
        <v/>
      </c>
      <c r="V84" s="25">
        <f>IF(V$78*100+V$79&gt;=201905,"令和",IF(V$78*100+V$79&gt;=198901,"平成","昭和"))</f>
        <v/>
      </c>
      <c r="W84" s="25">
        <f>IF(W$78*100+W$79&gt;=201905,"令和",IF(W$78*100+W$79&gt;=198901,"平成","昭和"))</f>
        <v/>
      </c>
      <c r="X84" s="25">
        <f>IF(X$78*100+X$79&gt;=201905,"令和",IF(X$78*100+X$79&gt;=198901,"平成","昭和"))</f>
        <v/>
      </c>
      <c r="Y84" s="25">
        <f>IF(Y$78*100+Y$79&gt;=201905,"令和",IF(Y$78*100+Y$79&gt;=198901,"平成","昭和"))</f>
        <v/>
      </c>
      <c r="Z84" s="25">
        <f>IF(Z$78*100+Z$79&gt;=201905,"令和",IF(Z$78*100+Z$79&gt;=198901,"平成","昭和"))</f>
        <v/>
      </c>
      <c r="AA84" s="25">
        <f>IF(AA$78*100+AA$79&gt;=201905,"令和",IF(AA$78*100+AA$79&gt;=198901,"平成","昭和"))</f>
        <v/>
      </c>
      <c r="AB84" s="25">
        <f>IF(AB$78*100+AB$79&gt;=201905,"令和",IF(AB$78*100+AB$79&gt;=198901,"平成","昭和"))</f>
        <v/>
      </c>
      <c r="AC84" s="25">
        <f>IF(AC$78*100+AC$79&gt;=201905,"令和",IF(AC$78*100+AC$79&gt;=198901,"平成","昭和"))</f>
        <v/>
      </c>
      <c r="AD84" s="25">
        <f>IF(AD$78*100+AD$79&gt;=201905,"令和",IF(AD$78*100+AD$79&gt;=198901,"平成","昭和"))</f>
        <v/>
      </c>
      <c r="AE84" s="25">
        <f>IF(AE$78*100+AE$79&gt;=201905,"令和",IF(AE$78*100+AE$79&gt;=198901,"平成","昭和"))</f>
        <v/>
      </c>
      <c r="AF84" s="25">
        <f>IF(AF$78*100+AF$79&gt;=201905,"令和",IF(AF$78*100+AF$79&gt;=198901,"平成","昭和"))</f>
        <v/>
      </c>
      <c r="AG84" s="25">
        <f>IF(AG$78*100+AG$79&gt;=201905,"令和",IF(AG$78*100+AG$79&gt;=198901,"平成","昭和"))</f>
        <v/>
      </c>
      <c r="AH84" s="25">
        <f>IF(AH$78*100+AH$79&gt;=201905,"令和",IF(AH$78*100+AH$79&gt;=198901,"平成","昭和"))</f>
        <v/>
      </c>
      <c r="AI84" s="25">
        <f>IF(AI$78*100+AI$79&gt;=201905,"令和",IF(AI$78*100+AI$79&gt;=198901,"平成","昭和"))</f>
        <v/>
      </c>
      <c r="AJ84" s="25">
        <f>IF(AJ$78*100+AJ$79&gt;=201905,"令和",IF(AJ$78*100+AJ$79&gt;=198901,"平成","昭和"))</f>
        <v/>
      </c>
    </row>
    <row r="85">
      <c r="U85" s="26">
        <f>IF(U$84="令和",U$78-2018,IF(U$84="平成",U$78-1988,U$78-1989+64))</f>
        <v/>
      </c>
      <c r="V85" s="26">
        <f>IF(V$84="令和",V$78-2018,IF(V$84="平成",V$78-1988,V$78-1989+64))</f>
        <v/>
      </c>
      <c r="W85" s="26">
        <f>IF(W$84="令和",W$78-2018,IF(W$84="平成",W$78-1988,W$78-1989+64))</f>
        <v/>
      </c>
      <c r="X85" s="26">
        <f>IF(X$84="令和",X$78-2018,IF(X$84="平成",X$78-1988,X$78-1989+64))</f>
        <v/>
      </c>
      <c r="Y85" s="26">
        <f>IF(Y$84="令和",Y$78-2018,IF(Y$84="平成",Y$78-1988,Y$78-1989+64))</f>
        <v/>
      </c>
      <c r="Z85" s="26">
        <f>IF(Z$84="令和",Z$78-2018,IF(Z$84="平成",Z$78-1988,Z$78-1989+64))</f>
        <v/>
      </c>
      <c r="AA85" s="26">
        <f>IF(AA$84="令和",AA$78-2018,IF(AA$84="平成",AA$78-1988,AA$78-1989+64))</f>
        <v/>
      </c>
      <c r="AB85" s="26">
        <f>IF(AB$84="令和",AB$78-2018,IF(AB$84="平成",AB$78-1988,AB$78-1989+64))</f>
        <v/>
      </c>
      <c r="AC85" s="26">
        <f>IF(AC$84="令和",AC$78-2018,IF(AC$84="平成",AC$78-1988,AC$78-1989+64))</f>
        <v/>
      </c>
      <c r="AD85" s="26">
        <f>IF(AD$84="令和",AD$78-2018,IF(AD$84="平成",AD$78-1988,AD$78-1989+64))</f>
        <v/>
      </c>
      <c r="AE85" s="26">
        <f>IF(AE$84="令和",AE$78-2018,IF(AE$84="平成",AE$78-1988,AE$78-1989+64))</f>
        <v/>
      </c>
      <c r="AF85" s="26">
        <f>IF(AF$84="令和",AF$78-2018,IF(AF$84="平成",AF$78-1988,AF$78-1989+64))</f>
        <v/>
      </c>
      <c r="AG85" s="26">
        <f>IF(AG$84="令和",AG$78-2018,IF(AG$84="平成",AG$78-1988,AG$78-1989+64))</f>
        <v/>
      </c>
      <c r="AH85" s="26">
        <f>IF(AH$84="令和",AH$78-2018,IF(AH$84="平成",AH$78-1988,AH$78-1989+64))</f>
        <v/>
      </c>
      <c r="AI85" s="26">
        <f>IF(AI$84="令和",AI$78-2018,IF(AI$84="平成",AI$78-1988,AI$78-1989+64))</f>
        <v/>
      </c>
      <c r="AJ85" s="26">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31" t="inlineStr">
        <is>
          <t>用途</t>
        </is>
      </c>
      <c r="U88" s="32" t="inlineStr">
        <is>
          <t>自乗基準対人</t>
        </is>
      </c>
      <c r="V88" s="32" t="inlineStr">
        <is>
          <t>自乗基準対物</t>
        </is>
      </c>
      <c r="W88" s="32" t="inlineStr">
        <is>
          <t>自乗基準人傷</t>
        </is>
      </c>
      <c r="X88" s="32" t="inlineStr">
        <is>
          <t>自乗基準車両</t>
        </is>
      </c>
      <c r="Y88" s="32" t="inlineStr">
        <is>
          <t>自乗対抗対人</t>
        </is>
      </c>
      <c r="Z88" s="32" t="inlineStr">
        <is>
          <t>自乗対抗対物</t>
        </is>
      </c>
      <c r="AA88" s="32" t="inlineStr">
        <is>
          <t>自乗対抗人傷</t>
        </is>
      </c>
      <c r="AB88" s="32" t="inlineStr">
        <is>
          <t>自乗対抗車両</t>
        </is>
      </c>
      <c r="AC88" s="32" t="inlineStr">
        <is>
          <t>軽四基準対人</t>
        </is>
      </c>
      <c r="AD88" s="32" t="inlineStr">
        <is>
          <t>軽四基準対物</t>
        </is>
      </c>
      <c r="AE88" s="32" t="inlineStr">
        <is>
          <t>軽四基準人傷</t>
        </is>
      </c>
      <c r="AF88" s="32" t="inlineStr">
        <is>
          <t>軽四基準車両</t>
        </is>
      </c>
      <c r="AG88" s="32" t="inlineStr">
        <is>
          <t>軽四対抗対人</t>
        </is>
      </c>
      <c r="AH88" s="32" t="inlineStr">
        <is>
          <t>軽四対抗対物</t>
        </is>
      </c>
      <c r="AI88" s="32" t="inlineStr">
        <is>
          <t>軽四対抗人傷</t>
        </is>
      </c>
      <c r="AJ88" s="32" t="inlineStr">
        <is>
          <t>軽四対抗車両</t>
        </is>
      </c>
    </row>
    <row r="89">
      <c r="T89" s="31" t="inlineStr">
        <is>
          <t>対人</t>
        </is>
      </c>
      <c r="U89" s="32" t="n">
        <v>6</v>
      </c>
      <c r="V89" s="32" t="n">
        <v>6</v>
      </c>
      <c r="W89" s="32" t="n">
        <v>9</v>
      </c>
      <c r="X89" s="32" t="n">
        <v>6</v>
      </c>
      <c r="Y89" s="32" t="n">
        <v>7</v>
      </c>
      <c r="Z89" s="32" t="n">
        <v>6</v>
      </c>
      <c r="AA89" s="32" t="n">
        <v>9</v>
      </c>
      <c r="AB89" s="32" t="n">
        <v>6</v>
      </c>
      <c r="AC89" s="32" t="n">
        <v>2</v>
      </c>
      <c r="AD89" s="32" t="n">
        <v>2</v>
      </c>
      <c r="AE89" s="32" t="n">
        <v>1</v>
      </c>
      <c r="AF89" s="32" t="n">
        <v>2</v>
      </c>
      <c r="AG89" s="32" t="n">
        <v>1</v>
      </c>
      <c r="AH89" s="32" t="n">
        <v>2</v>
      </c>
      <c r="AI89" s="32" t="n">
        <v>1</v>
      </c>
      <c r="AJ89" s="32" t="n">
        <v>2</v>
      </c>
    </row>
    <row r="90">
      <c r="T90" s="31" t="inlineStr">
        <is>
          <t>対物</t>
        </is>
      </c>
      <c r="U90" s="32" t="n">
        <v>7</v>
      </c>
      <c r="V90" s="32" t="n">
        <v>7</v>
      </c>
      <c r="W90" s="32" t="n">
        <v>7</v>
      </c>
      <c r="X90" s="32" t="n">
        <v>7</v>
      </c>
      <c r="Y90" s="32" t="n">
        <v>7</v>
      </c>
      <c r="Z90" s="32" t="n">
        <v>5</v>
      </c>
      <c r="AA90" s="32" t="n">
        <v>7</v>
      </c>
      <c r="AB90" s="32" t="n">
        <v>7</v>
      </c>
      <c r="AC90" s="32" t="n">
        <v>2</v>
      </c>
      <c r="AD90" s="32" t="n">
        <v>2</v>
      </c>
      <c r="AE90" s="32" t="n">
        <v>2</v>
      </c>
      <c r="AF90" s="32" t="n">
        <v>2</v>
      </c>
      <c r="AG90" s="32" t="n">
        <v>2</v>
      </c>
      <c r="AH90" s="32" t="n">
        <v>1</v>
      </c>
      <c r="AI90" s="32" t="n">
        <v>2</v>
      </c>
      <c r="AJ90" s="32" t="n">
        <v>2</v>
      </c>
    </row>
    <row r="91">
      <c r="T91" s="31" t="inlineStr">
        <is>
          <t>搭傷</t>
        </is>
      </c>
      <c r="U91" s="32" t="n">
        <v>7</v>
      </c>
      <c r="V91" s="32" t="n">
        <v>7</v>
      </c>
      <c r="W91" s="32" t="n">
        <v>9</v>
      </c>
      <c r="X91" s="32" t="n">
        <v>7</v>
      </c>
      <c r="Y91" s="32" t="n">
        <v>7</v>
      </c>
      <c r="Z91" s="32" t="n">
        <v>7</v>
      </c>
      <c r="AA91" s="32" t="n">
        <v>7</v>
      </c>
      <c r="AB91" s="32" t="n">
        <v>7</v>
      </c>
      <c r="AC91" s="32" t="n">
        <v>2</v>
      </c>
      <c r="AD91" s="32" t="n">
        <v>2</v>
      </c>
      <c r="AE91" s="32" t="n">
        <v>2</v>
      </c>
      <c r="AF91" s="32" t="n">
        <v>2</v>
      </c>
      <c r="AG91" s="32" t="n">
        <v>2</v>
      </c>
      <c r="AH91" s="32" t="n">
        <v>2</v>
      </c>
      <c r="AI91" s="32" t="n">
        <v>3</v>
      </c>
      <c r="AJ91" s="32" t="n">
        <v>2</v>
      </c>
    </row>
    <row r="92">
      <c r="T92" s="31" t="inlineStr">
        <is>
          <t>車両</t>
        </is>
      </c>
      <c r="U92" s="32" t="n">
        <v>7</v>
      </c>
      <c r="V92" s="32" t="n">
        <v>7</v>
      </c>
      <c r="W92" s="32" t="n">
        <v>9</v>
      </c>
      <c r="X92" s="32" t="n">
        <v>7</v>
      </c>
      <c r="Y92" s="32" t="n">
        <v>9</v>
      </c>
      <c r="Z92" s="32" t="n">
        <v>7</v>
      </c>
      <c r="AA92" s="32" t="n">
        <v>10</v>
      </c>
      <c r="AB92" s="32" t="n">
        <v>8</v>
      </c>
      <c r="AC92" s="32" t="n">
        <v>2</v>
      </c>
      <c r="AD92" s="32" t="n">
        <v>2</v>
      </c>
      <c r="AE92" s="32" t="n">
        <v>3</v>
      </c>
      <c r="AF92" s="32" t="n">
        <v>2</v>
      </c>
      <c r="AG92" s="32" t="n">
        <v>3</v>
      </c>
      <c r="AH92" s="32" t="n">
        <v>2</v>
      </c>
      <c r="AI92" s="32" t="n">
        <v>3</v>
      </c>
      <c r="AJ92" s="32" t="n">
        <v>3</v>
      </c>
    </row>
    <row r="93">
      <c r="T93" s="31" t="inlineStr">
        <is>
          <t>型式</t>
        </is>
      </c>
      <c r="U93" s="41" t="inlineStr">
        <is>
          <t>MXPJ10</t>
        </is>
      </c>
      <c r="V93" s="41" t="inlineStr">
        <is>
          <t>MXPJ10</t>
        </is>
      </c>
      <c r="W93" s="41" t="inlineStr">
        <is>
          <t>AXUH80</t>
        </is>
      </c>
      <c r="X93" s="41" t="inlineStr">
        <is>
          <t>MXPJ10</t>
        </is>
      </c>
      <c r="Y93" s="41" t="inlineStr">
        <is>
          <t>ZSG10</t>
        </is>
      </c>
      <c r="Z93" s="41" t="inlineStr">
        <is>
          <t>MXPB15</t>
        </is>
      </c>
      <c r="AA93" s="41" t="inlineStr">
        <is>
          <t>GL3W</t>
        </is>
      </c>
      <c r="AB93" s="41" t="inlineStr">
        <is>
          <t>ZWE213H</t>
        </is>
      </c>
      <c r="AC93" s="41" t="inlineStr">
        <is>
          <t>MX81S</t>
        </is>
      </c>
      <c r="AD93" s="41" t="inlineStr">
        <is>
          <t>MX81S</t>
        </is>
      </c>
      <c r="AE93" s="41" t="inlineStr">
        <is>
          <t>JH3</t>
        </is>
      </c>
      <c r="AF93" s="41" t="inlineStr">
        <is>
          <t>MX81S</t>
        </is>
      </c>
      <c r="AG93" s="41" t="inlineStr">
        <is>
          <t>JH3</t>
        </is>
      </c>
      <c r="AH93" s="41" t="inlineStr">
        <is>
          <t>LA650S</t>
        </is>
      </c>
      <c r="AI93" s="41" t="inlineStr">
        <is>
          <t>MH95S</t>
        </is>
      </c>
      <c r="AJ93" s="41" t="inlineStr">
        <is>
          <t>MJ95S</t>
        </is>
      </c>
    </row>
    <row r="94">
      <c r="T94" s="31" t="inlineStr">
        <is>
          <t>初度年</t>
        </is>
      </c>
      <c r="U94" s="41" t="n">
        <v>2021</v>
      </c>
      <c r="V94" s="41" t="n">
        <v>2021</v>
      </c>
      <c r="W94" s="41" t="n">
        <v>2021</v>
      </c>
      <c r="X94" s="41" t="n">
        <v>2021</v>
      </c>
      <c r="Y94" s="41" t="n">
        <v>2021</v>
      </c>
      <c r="Z94" s="41" t="n">
        <v>2021</v>
      </c>
      <c r="AA94" s="41" t="n">
        <v>2021</v>
      </c>
      <c r="AB94" s="41" t="n">
        <v>2021</v>
      </c>
      <c r="AC94" s="41" t="n">
        <v>2021</v>
      </c>
      <c r="AD94" s="41" t="n">
        <v>2021</v>
      </c>
      <c r="AE94" s="41" t="n">
        <v>2021</v>
      </c>
      <c r="AF94" s="41" t="n">
        <v>2021</v>
      </c>
      <c r="AG94" s="41" t="n">
        <v>2021</v>
      </c>
      <c r="AH94" s="41" t="n">
        <v>2021</v>
      </c>
      <c r="AI94" s="41" t="n">
        <v>2021</v>
      </c>
      <c r="AJ94" s="41" t="n">
        <v>2021</v>
      </c>
    </row>
    <row r="95">
      <c r="T95" s="31" t="inlineStr">
        <is>
          <t>初度月</t>
        </is>
      </c>
      <c r="U95" s="41" t="n">
        <v>10</v>
      </c>
      <c r="V95" s="41" t="n">
        <v>10</v>
      </c>
      <c r="W95" s="41" t="n">
        <v>10</v>
      </c>
      <c r="X95" s="41" t="n">
        <v>10</v>
      </c>
      <c r="Y95" s="41" t="n">
        <v>10</v>
      </c>
      <c r="Z95" s="41" t="n">
        <v>10</v>
      </c>
      <c r="AA95" s="41" t="n">
        <v>10</v>
      </c>
      <c r="AB95" s="41" t="n">
        <v>10</v>
      </c>
      <c r="AC95" s="41" t="n">
        <v>10</v>
      </c>
      <c r="AD95" s="41" t="n">
        <v>10</v>
      </c>
      <c r="AE95" s="41" t="n">
        <v>10</v>
      </c>
      <c r="AF95" s="41" t="n">
        <v>10</v>
      </c>
      <c r="AG95" s="41" t="n">
        <v>10</v>
      </c>
      <c r="AH95" s="41" t="n">
        <v>10</v>
      </c>
      <c r="AI95" s="41" t="n">
        <v>10</v>
      </c>
      <c r="AJ95" s="41" t="n">
        <v>10</v>
      </c>
    </row>
    <row r="96">
      <c r="T96" s="31" t="inlineStr">
        <is>
          <t>設定AMT</t>
        </is>
      </c>
      <c r="U96" s="41" t="n">
        <v>260</v>
      </c>
      <c r="V96" s="41" t="n">
        <v>260</v>
      </c>
      <c r="W96" s="41" t="n">
        <v>480</v>
      </c>
      <c r="X96" s="41" t="n">
        <v>260</v>
      </c>
      <c r="Y96" s="41" t="n">
        <v>270</v>
      </c>
      <c r="Z96" s="41" t="n">
        <v>240</v>
      </c>
      <c r="AA96" s="1" t="n">
        <v>460</v>
      </c>
      <c r="AB96" s="1" t="n">
        <v>260</v>
      </c>
      <c r="AC96" s="1" t="n">
        <v>145</v>
      </c>
      <c r="AD96" s="1" t="n">
        <v>145</v>
      </c>
      <c r="AE96" s="1" t="n">
        <v>170</v>
      </c>
      <c r="AF96" s="1" t="n">
        <v>145</v>
      </c>
      <c r="AG96" s="1" t="n">
        <v>170</v>
      </c>
      <c r="AH96" s="1" t="n">
        <v>180</v>
      </c>
      <c r="AI96" s="1" t="n">
        <v>180</v>
      </c>
      <c r="AJ96" s="1" t="n">
        <v>145</v>
      </c>
    </row>
    <row r="97">
      <c r="T97" s="31" t="inlineStr">
        <is>
          <t>新車AMT</t>
        </is>
      </c>
      <c r="U97" s="41">
        <f>U96</f>
        <v/>
      </c>
      <c r="V97" s="41">
        <f>V96</f>
        <v/>
      </c>
      <c r="W97" s="41">
        <f>W96</f>
        <v/>
      </c>
      <c r="X97" s="41">
        <f>X96</f>
        <v/>
      </c>
      <c r="Y97" s="41">
        <f>Y96</f>
        <v/>
      </c>
      <c r="Z97" s="41">
        <f>Z96</f>
        <v/>
      </c>
      <c r="AA97" s="41">
        <f>AA96</f>
        <v/>
      </c>
      <c r="AB97" s="41">
        <f>AB96</f>
        <v/>
      </c>
      <c r="AC97" s="41">
        <f>AC96</f>
        <v/>
      </c>
      <c r="AD97" s="41">
        <f>AD96</f>
        <v/>
      </c>
      <c r="AE97" s="41">
        <f>AE96</f>
        <v/>
      </c>
      <c r="AF97" s="41">
        <f>AF96</f>
        <v/>
      </c>
      <c r="AG97" s="41">
        <f>AG96</f>
        <v/>
      </c>
      <c r="AH97" s="41">
        <f>AH96</f>
        <v/>
      </c>
      <c r="AI97" s="41">
        <f>AI96</f>
        <v/>
      </c>
      <c r="AJ97" s="41">
        <f>AJ96</f>
        <v/>
      </c>
    </row>
    <row r="98">
      <c r="T98" s="31" t="inlineStr">
        <is>
          <t>車種</t>
        </is>
      </c>
      <c r="U98" s="36" t="inlineStr">
        <is>
          <t>自普乗</t>
        </is>
      </c>
      <c r="V98" s="36" t="inlineStr">
        <is>
          <t>自普乗</t>
        </is>
      </c>
      <c r="W98" s="36" t="inlineStr">
        <is>
          <t>自普乗</t>
        </is>
      </c>
      <c r="X98" s="36" t="inlineStr">
        <is>
          <t>自普乗</t>
        </is>
      </c>
      <c r="Y98" s="36" t="inlineStr">
        <is>
          <t>自普乗</t>
        </is>
      </c>
      <c r="Z98" s="36" t="inlineStr">
        <is>
          <t>自普乗</t>
        </is>
      </c>
      <c r="AA98" s="36" t="inlineStr">
        <is>
          <t>自普乗</t>
        </is>
      </c>
      <c r="AB98" s="36" t="inlineStr">
        <is>
          <t>自普乗</t>
        </is>
      </c>
      <c r="AC98" s="36" t="inlineStr">
        <is>
          <t>自軽四乗</t>
        </is>
      </c>
      <c r="AD98" s="36" t="inlineStr">
        <is>
          <t>自軽四乗</t>
        </is>
      </c>
      <c r="AE98" s="36" t="inlineStr">
        <is>
          <t>自軽四乗</t>
        </is>
      </c>
      <c r="AF98" s="36" t="inlineStr">
        <is>
          <t>自軽四乗</t>
        </is>
      </c>
      <c r="AG98" s="36" t="inlineStr">
        <is>
          <t>自軽四乗</t>
        </is>
      </c>
      <c r="AH98" s="36" t="inlineStr">
        <is>
          <t>自軽四乗</t>
        </is>
      </c>
      <c r="AI98" s="36" t="inlineStr">
        <is>
          <t>自軽四乗</t>
        </is>
      </c>
      <c r="AJ98" s="36" t="inlineStr">
        <is>
          <t>自軽四乗</t>
        </is>
      </c>
    </row>
    <row r="99">
      <c r="T99" s="31" t="inlineStr">
        <is>
          <t>車名</t>
        </is>
      </c>
      <c r="U99" s="41" t="inlineStr">
        <is>
          <t>ヤリスクロス</t>
        </is>
      </c>
      <c r="V99" s="41" t="inlineStr">
        <is>
          <t>ヤリスクロス</t>
        </is>
      </c>
      <c r="W99" s="41" t="inlineStr">
        <is>
          <t>ハリアー</t>
        </is>
      </c>
      <c r="X99" s="41" t="inlineStr">
        <is>
          <t>ヤリスクロス</t>
        </is>
      </c>
      <c r="Y99" s="41" t="inlineStr">
        <is>
          <t>カローラクロス</t>
        </is>
      </c>
      <c r="Z99" s="41" t="inlineStr">
        <is>
          <t>ヤリスクロス</t>
        </is>
      </c>
      <c r="AA99" s="41" t="inlineStr">
        <is>
          <t>エクリプスクロス</t>
        </is>
      </c>
      <c r="AB99" s="41" t="inlineStr">
        <is>
          <t>カローラスポーツ</t>
        </is>
      </c>
      <c r="AC99" s="41" t="inlineStr">
        <is>
          <t>ワゴンRスマイル</t>
        </is>
      </c>
      <c r="AD99" s="41" t="inlineStr">
        <is>
          <t>ワゴンRスマイル</t>
        </is>
      </c>
      <c r="AE99" s="41" t="inlineStr">
        <is>
          <t>N-WGN</t>
        </is>
      </c>
      <c r="AF99" s="41" t="inlineStr">
        <is>
          <t>ワゴンRスマイル</t>
        </is>
      </c>
      <c r="AG99" s="41" t="inlineStr">
        <is>
          <t>N-WGN</t>
        </is>
      </c>
      <c r="AH99" s="41" t="inlineStr">
        <is>
          <t>タント</t>
        </is>
      </c>
      <c r="AI99" s="41" t="inlineStr">
        <is>
          <t>ワゴンR</t>
        </is>
      </c>
      <c r="AJ99" s="41" t="inlineStr">
        <is>
          <t>フレア</t>
        </is>
      </c>
    </row>
    <row r="100">
      <c r="U100" s="25">
        <f>IF(U$94*100+U$95&gt;=201905,"令和",IF(U$94*100+U$95&gt;=198901,"平成","昭和"))</f>
        <v/>
      </c>
      <c r="V100" s="25">
        <f>IF(V$94*100+V$95&gt;=201905,"令和",IF(V$94*100+V$95&gt;=198901,"平成","昭和"))</f>
        <v/>
      </c>
      <c r="W100" s="25">
        <f>IF(W$94*100+W$95&gt;=201905,"令和",IF(W$94*100+W$95&gt;=198901,"平成","昭和"))</f>
        <v/>
      </c>
      <c r="X100" s="25">
        <f>IF(X$94*100+X$95&gt;=201905,"令和",IF(X$94*100+X$95&gt;=198901,"平成","昭和"))</f>
        <v/>
      </c>
      <c r="Y100" s="25">
        <f>IF(Y$94*100+Y$95&gt;=201905,"令和",IF(Y$94*100+Y$95&gt;=198901,"平成","昭和"))</f>
        <v/>
      </c>
      <c r="Z100" s="25">
        <f>IF(Z$94*100+Z$95&gt;=201905,"令和",IF(Z$94*100+Z$95&gt;=198901,"平成","昭和"))</f>
        <v/>
      </c>
      <c r="AA100" s="25">
        <f>IF(AA$94*100+AA$95&gt;=201905,"令和",IF(AA$94*100+AA$95&gt;=198901,"平成","昭和"))</f>
        <v/>
      </c>
      <c r="AB100" s="25">
        <f>IF(AB$94*100+AB$95&gt;=201905,"令和",IF(AB$94*100+AB$95&gt;=198901,"平成","昭和"))</f>
        <v/>
      </c>
      <c r="AC100" s="25">
        <f>IF(AC$94*100+AC$95&gt;=201905,"令和",IF(AC$94*100+AC$95&gt;=198901,"平成","昭和"))</f>
        <v/>
      </c>
      <c r="AD100" s="25">
        <f>IF(AD$94*100+AD$95&gt;=201905,"令和",IF(AD$94*100+AD$95&gt;=198901,"平成","昭和"))</f>
        <v/>
      </c>
      <c r="AE100" s="25">
        <f>IF(AE$94*100+AE$95&gt;=201905,"令和",IF(AE$94*100+AE$95&gt;=198901,"平成","昭和"))</f>
        <v/>
      </c>
      <c r="AF100" s="25">
        <f>IF(AF$94*100+AF$95&gt;=201905,"令和",IF(AF$94*100+AF$95&gt;=198901,"平成","昭和"))</f>
        <v/>
      </c>
      <c r="AG100" s="25">
        <f>IF(AG$94*100+AG$95&gt;=201905,"令和",IF(AG$94*100+AG$95&gt;=198901,"平成","昭和"))</f>
        <v/>
      </c>
      <c r="AH100" s="25">
        <f>IF(AH$94*100+AH$95&gt;=201905,"令和",IF(AH$94*100+AH$95&gt;=198901,"平成","昭和"))</f>
        <v/>
      </c>
      <c r="AI100" s="25">
        <f>IF(AI$94*100+AI$95&gt;=201905,"令和",IF(AI$94*100+AI$95&gt;=198901,"平成","昭和"))</f>
        <v/>
      </c>
      <c r="AJ100" s="25">
        <f>IF(AJ$94*100+AJ$95&gt;=201905,"令和",IF(AJ$94*100+AJ$95&gt;=198901,"平成","昭和"))</f>
        <v/>
      </c>
    </row>
    <row r="101">
      <c r="U101" s="26">
        <f>IF(U$100="令和",U$94-2018,IF(U$100="平成",U$94-1988,U$94-1989+64))</f>
        <v/>
      </c>
      <c r="V101" s="26">
        <f>IF(V$100="令和",V$94-2018,IF(V$100="平成",V$94-1988,V$94-1989+64))</f>
        <v/>
      </c>
      <c r="W101" s="26">
        <f>IF(W$100="令和",W$94-2018,IF(W$100="平成",W$94-1988,W$94-1989+64))</f>
        <v/>
      </c>
      <c r="X101" s="26">
        <f>IF(X$100="令和",X$94-2018,IF(X$100="平成",X$94-1988,X$94-1989+64))</f>
        <v/>
      </c>
      <c r="Y101" s="26">
        <f>IF(Y$100="令和",Y$94-2018,IF(Y$100="平成",Y$94-1988,Y$94-1989+64))</f>
        <v/>
      </c>
      <c r="Z101" s="26">
        <f>IF(Z$100="令和",Z$94-2018,IF(Z$100="平成",Z$94-1988,Z$94-1989+64))</f>
        <v/>
      </c>
      <c r="AA101" s="26">
        <f>IF(AA$100="令和",AA$94-2018,IF(AA$100="平成",AA$94-1988,AA$94-1989+64))</f>
        <v/>
      </c>
      <c r="AB101" s="26">
        <f>IF(AB$100="令和",AB$94-2018,IF(AB$100="平成",AB$94-1988,AB$94-1989+64))</f>
        <v/>
      </c>
      <c r="AC101" s="26">
        <f>IF(AC$100="令和",AC$94-2018,IF(AC$100="平成",AC$94-1988,AC$94-1989+64))</f>
        <v/>
      </c>
      <c r="AD101" s="26">
        <f>IF(AD$100="令和",AD$94-2018,IF(AD$100="平成",AD$94-1988,AD$94-1989+64))</f>
        <v/>
      </c>
      <c r="AE101" s="26">
        <f>IF(AE$100="令和",AE$94-2018,IF(AE$100="平成",AE$94-1988,AE$94-1989+64))</f>
        <v/>
      </c>
      <c r="AF101" s="26">
        <f>IF(AF$100="令和",AF$94-2018,IF(AF$100="平成",AF$94-1988,AF$94-1989+64))</f>
        <v/>
      </c>
      <c r="AG101" s="26">
        <f>IF(AG$100="令和",AG$94-2018,IF(AG$100="平成",AG$94-1988,AG$94-1989+64))</f>
        <v/>
      </c>
      <c r="AH101" s="26">
        <f>IF(AH$100="令和",AH$94-2018,IF(AH$100="平成",AH$94-1988,AH$94-1989+64))</f>
        <v/>
      </c>
      <c r="AI101" s="26">
        <f>IF(AI$100="令和",AI$94-2018,IF(AI$100="平成",AI$94-1988,AI$94-1989+64))</f>
        <v/>
      </c>
      <c r="AJ101" s="26">
        <f>IF(AJ$100="令和",AJ$94-2018,IF(AJ$100="平成",AJ$94-1988,AJ$94-1989+64))</f>
        <v/>
      </c>
    </row>
    <row r="103">
      <c r="T103" s="35" t="inlineStr">
        <is>
          <t>対象始期</t>
        </is>
      </c>
    </row>
    <row r="104">
      <c r="T104" s="31" t="inlineStr">
        <is>
          <t>年</t>
        </is>
      </c>
      <c r="U104" s="1" t="n">
        <v>2022</v>
      </c>
    </row>
    <row r="105">
      <c r="T105" s="31" t="inlineStr">
        <is>
          <t>月</t>
        </is>
      </c>
      <c r="U105" s="1" t="n">
        <v>12</v>
      </c>
      <c r="Z105" s="60" t="inlineStr">
        <is>
          <t>車両AMTチェック用(新車割引が車両保険に適用されないなら初度年を気にする必要は無し）</t>
        </is>
      </c>
    </row>
    <row r="106">
      <c r="T106" s="31" t="inlineStr">
        <is>
          <t>日</t>
        </is>
      </c>
      <c r="U106" s="1" t="n">
        <v>1</v>
      </c>
      <c r="Z106" s="37" t="inlineStr">
        <is>
          <t>自乗</t>
        </is>
      </c>
      <c r="AA106" s="4" t="inlineStr">
        <is>
          <t>型式</t>
        </is>
      </c>
      <c r="AB106" s="4" t="inlineStr">
        <is>
          <t>初度年</t>
        </is>
      </c>
      <c r="AC106" s="4" t="inlineStr">
        <is>
          <t>初度月</t>
        </is>
      </c>
      <c r="AE106" s="37" t="inlineStr">
        <is>
          <t>軽四</t>
        </is>
      </c>
      <c r="AF106" s="4" t="inlineStr">
        <is>
          <t>型式</t>
        </is>
      </c>
      <c r="AG106" s="4" t="inlineStr">
        <is>
          <t>初度年</t>
        </is>
      </c>
      <c r="AH106" s="4" t="inlineStr">
        <is>
          <t>初度月</t>
        </is>
      </c>
    </row>
    <row r="107">
      <c r="Z107" s="12" t="n">
        <v>480</v>
      </c>
      <c r="AA107" s="39" t="inlineStr">
        <is>
          <t>HY51</t>
        </is>
      </c>
      <c r="AB107" s="1" t="n">
        <v>2019</v>
      </c>
      <c r="AC107" s="1" t="n">
        <v>1</v>
      </c>
      <c r="AE107" s="12" t="n">
        <v>270</v>
      </c>
      <c r="AF107" s="39" t="inlineStr">
        <is>
          <t>JW5</t>
        </is>
      </c>
      <c r="AG107" s="1" t="n">
        <v>2021</v>
      </c>
      <c r="AH107" s="1" t="n">
        <v>11</v>
      </c>
    </row>
    <row r="108">
      <c r="Z108" s="12">
        <f>Z107-5</f>
        <v/>
      </c>
      <c r="AA108" s="39" t="inlineStr">
        <is>
          <t>HY51</t>
        </is>
      </c>
      <c r="AB108" s="1" t="n">
        <v>2019</v>
      </c>
      <c r="AC108" s="1" t="n">
        <v>1</v>
      </c>
      <c r="AE108" s="12">
        <f>AE107-5</f>
        <v/>
      </c>
      <c r="AF108" s="39" t="inlineStr">
        <is>
          <t>JW5</t>
        </is>
      </c>
      <c r="AG108" s="1" t="n">
        <v>2021</v>
      </c>
      <c r="AH108" s="1" t="n">
        <v>11</v>
      </c>
    </row>
    <row r="109">
      <c r="T109" s="9" t="inlineStr">
        <is>
          <t>設定シート</t>
        </is>
      </c>
      <c r="U109" s="39" t="inlineStr">
        <is>
          <t>計算シートその他</t>
        </is>
      </c>
      <c r="Z109" s="12">
        <f>Z108-5</f>
        <v/>
      </c>
      <c r="AA109" s="39" t="inlineStr">
        <is>
          <t>HY51</t>
        </is>
      </c>
      <c r="AB109" s="1" t="n">
        <v>2019</v>
      </c>
      <c r="AC109" s="1" t="n">
        <v>1</v>
      </c>
      <c r="AE109" s="12">
        <f>AE108-5</f>
        <v/>
      </c>
      <c r="AF109" s="39" t="inlineStr">
        <is>
          <t>JW5</t>
        </is>
      </c>
      <c r="AG109" s="1" t="n">
        <v>2021</v>
      </c>
      <c r="AH109" s="1" t="n">
        <v>11</v>
      </c>
    </row>
    <row r="110">
      <c r="Z110" s="12">
        <f>Z109-5</f>
        <v/>
      </c>
      <c r="AA110" s="39" t="inlineStr">
        <is>
          <t>HY51</t>
        </is>
      </c>
      <c r="AB110" s="1" t="n">
        <v>2019</v>
      </c>
      <c r="AC110" s="1" t="n">
        <v>1</v>
      </c>
      <c r="AE110" s="12">
        <f>AE109-5</f>
        <v/>
      </c>
      <c r="AF110" s="39" t="inlineStr">
        <is>
          <t>JW5</t>
        </is>
      </c>
      <c r="AG110" s="1" t="n">
        <v>2021</v>
      </c>
      <c r="AH110" s="1" t="n">
        <v>11</v>
      </c>
    </row>
    <row r="111">
      <c r="Z111" s="12">
        <f>Z110-5</f>
        <v/>
      </c>
      <c r="AA111" s="39" t="inlineStr">
        <is>
          <t>HY51</t>
        </is>
      </c>
      <c r="AB111" s="1" t="n">
        <v>2019</v>
      </c>
      <c r="AC111" s="1" t="n">
        <v>1</v>
      </c>
      <c r="AE111" s="12">
        <f>AE110-5</f>
        <v/>
      </c>
      <c r="AF111" s="39" t="inlineStr">
        <is>
          <t>JW5</t>
        </is>
      </c>
      <c r="AG111" s="1" t="n">
        <v>2021</v>
      </c>
      <c r="AH111" s="1" t="n">
        <v>11</v>
      </c>
    </row>
    <row r="112">
      <c r="Z112" s="12">
        <f>Z111-5</f>
        <v/>
      </c>
      <c r="AA112" s="39" t="inlineStr">
        <is>
          <t>HY51</t>
        </is>
      </c>
      <c r="AB112" s="1" t="n">
        <v>2019</v>
      </c>
      <c r="AC112" s="1" t="n">
        <v>1</v>
      </c>
      <c r="AE112" s="12">
        <f>AE111-5</f>
        <v/>
      </c>
      <c r="AF112" s="39" t="inlineStr">
        <is>
          <t>JW5</t>
        </is>
      </c>
      <c r="AG112" s="1" t="n">
        <v>2021</v>
      </c>
      <c r="AH112" s="1" t="n">
        <v>11</v>
      </c>
    </row>
    <row r="113">
      <c r="Z113" s="12">
        <f>Z112-5</f>
        <v/>
      </c>
      <c r="AA113" s="39" t="inlineStr">
        <is>
          <t>HY51</t>
        </is>
      </c>
      <c r="AB113" s="1" t="n">
        <v>2019</v>
      </c>
      <c r="AC113" s="1" t="n">
        <v>1</v>
      </c>
      <c r="AE113" s="12">
        <f>AE112-5</f>
        <v/>
      </c>
      <c r="AF113" s="39" t="inlineStr">
        <is>
          <t>JW5</t>
        </is>
      </c>
      <c r="AG113" s="1" t="n">
        <v>2021</v>
      </c>
      <c r="AH113" s="1" t="n">
        <v>11</v>
      </c>
    </row>
    <row r="114">
      <c r="Z114" s="12">
        <f>Z113-5</f>
        <v/>
      </c>
      <c r="AA114" s="39" t="inlineStr">
        <is>
          <t>HY51</t>
        </is>
      </c>
      <c r="AB114" s="1" t="n">
        <v>2019</v>
      </c>
      <c r="AC114" s="1" t="n">
        <v>1</v>
      </c>
      <c r="AE114" s="12">
        <f>AE113-5</f>
        <v/>
      </c>
      <c r="AF114" s="39" t="inlineStr">
        <is>
          <t>JW5</t>
        </is>
      </c>
      <c r="AG114" s="1" t="n">
        <v>2021</v>
      </c>
      <c r="AH114" s="1" t="n">
        <v>11</v>
      </c>
    </row>
    <row r="115">
      <c r="Z115" s="12">
        <f>Z114-5</f>
        <v/>
      </c>
      <c r="AA115" s="39" t="inlineStr">
        <is>
          <t>HY51</t>
        </is>
      </c>
      <c r="AB115" s="1" t="n">
        <v>2019</v>
      </c>
      <c r="AC115" s="1" t="n">
        <v>1</v>
      </c>
      <c r="AE115" s="12">
        <f>AE114-5</f>
        <v/>
      </c>
      <c r="AF115" s="39" t="inlineStr">
        <is>
          <t>JW5</t>
        </is>
      </c>
      <c r="AG115" s="1" t="n">
        <v>2021</v>
      </c>
      <c r="AH115" s="1" t="n">
        <v>11</v>
      </c>
    </row>
    <row r="116">
      <c r="Z116" s="12">
        <f>Z115-5</f>
        <v/>
      </c>
      <c r="AA116" s="39" t="inlineStr">
        <is>
          <t>HY51</t>
        </is>
      </c>
      <c r="AB116" s="1" t="n">
        <v>2019</v>
      </c>
      <c r="AC116" s="1" t="n">
        <v>1</v>
      </c>
      <c r="AE116" s="12">
        <f>AE115-5</f>
        <v/>
      </c>
      <c r="AF116" s="39" t="inlineStr">
        <is>
          <t>JW5</t>
        </is>
      </c>
      <c r="AG116" s="1" t="n">
        <v>2021</v>
      </c>
      <c r="AH116" s="1" t="n">
        <v>11</v>
      </c>
    </row>
    <row r="117">
      <c r="Z117" s="12">
        <f>Z116-5</f>
        <v/>
      </c>
      <c r="AA117" s="39" t="inlineStr">
        <is>
          <t>HY51</t>
        </is>
      </c>
      <c r="AB117" s="1" t="n">
        <v>2019</v>
      </c>
      <c r="AC117" s="1" t="n">
        <v>1</v>
      </c>
      <c r="AE117" s="12">
        <f>AE116-5</f>
        <v/>
      </c>
      <c r="AF117" s="39" t="inlineStr">
        <is>
          <t>JW5</t>
        </is>
      </c>
      <c r="AG117" s="1" t="n">
        <v>2021</v>
      </c>
      <c r="AH117" s="1" t="n">
        <v>11</v>
      </c>
    </row>
    <row r="118">
      <c r="Z118" s="12">
        <f>Z117-5</f>
        <v/>
      </c>
      <c r="AA118" s="39" t="inlineStr">
        <is>
          <t>HY51</t>
        </is>
      </c>
      <c r="AB118" s="1" t="n">
        <v>2019</v>
      </c>
      <c r="AC118" s="1" t="n">
        <v>1</v>
      </c>
      <c r="AE118" s="12">
        <f>AE117-5</f>
        <v/>
      </c>
      <c r="AF118" s="39" t="inlineStr">
        <is>
          <t>JW5</t>
        </is>
      </c>
      <c r="AG118" s="1" t="n">
        <v>2021</v>
      </c>
      <c r="AH118" s="1" t="n">
        <v>11</v>
      </c>
    </row>
    <row r="119">
      <c r="Z119" s="12">
        <f>Z118-5</f>
        <v/>
      </c>
      <c r="AA119" s="39" t="inlineStr">
        <is>
          <t>HY51</t>
        </is>
      </c>
      <c r="AB119" s="1" t="n">
        <v>2019</v>
      </c>
      <c r="AC119" s="1" t="n">
        <v>1</v>
      </c>
      <c r="AE119" s="12">
        <f>AE118-5</f>
        <v/>
      </c>
      <c r="AF119" s="39" t="inlineStr">
        <is>
          <t>JW5</t>
        </is>
      </c>
      <c r="AG119" s="1" t="n">
        <v>2021</v>
      </c>
      <c r="AH119" s="1" t="n">
        <v>11</v>
      </c>
    </row>
    <row r="120">
      <c r="Z120" s="12">
        <f>Z119-5</f>
        <v/>
      </c>
      <c r="AA120" s="39" t="inlineStr">
        <is>
          <t>HY51</t>
        </is>
      </c>
      <c r="AB120" s="1" t="n">
        <v>2019</v>
      </c>
      <c r="AC120" s="1" t="n">
        <v>1</v>
      </c>
      <c r="AE120" s="12">
        <f>AE119-5</f>
        <v/>
      </c>
      <c r="AF120" s="39" t="inlineStr">
        <is>
          <t>JW5</t>
        </is>
      </c>
      <c r="AG120" s="1" t="n">
        <v>2021</v>
      </c>
      <c r="AH120" s="1" t="n">
        <v>11</v>
      </c>
    </row>
    <row r="121">
      <c r="Z121" s="12">
        <f>Z120-5</f>
        <v/>
      </c>
      <c r="AA121" s="39" t="inlineStr">
        <is>
          <t>HY51</t>
        </is>
      </c>
      <c r="AB121" s="1" t="n">
        <v>2019</v>
      </c>
      <c r="AC121" s="1" t="n">
        <v>1</v>
      </c>
      <c r="AE121" s="12">
        <f>AE120-5</f>
        <v/>
      </c>
      <c r="AF121" s="39" t="inlineStr">
        <is>
          <t>JW5</t>
        </is>
      </c>
      <c r="AG121" s="1" t="n">
        <v>2021</v>
      </c>
      <c r="AH121" s="1" t="n">
        <v>1</v>
      </c>
    </row>
    <row r="122">
      <c r="Z122" s="12">
        <f>Z121-5</f>
        <v/>
      </c>
      <c r="AA122" s="39" t="inlineStr">
        <is>
          <t>HY51</t>
        </is>
      </c>
      <c r="AB122" s="1" t="n">
        <v>2019</v>
      </c>
      <c r="AC122" s="1" t="n">
        <v>1</v>
      </c>
      <c r="AE122" s="12">
        <f>AE121-5</f>
        <v/>
      </c>
      <c r="AF122" s="39" t="inlineStr">
        <is>
          <t>JW5</t>
        </is>
      </c>
      <c r="AG122" s="1" t="n">
        <v>2021</v>
      </c>
      <c r="AH122" s="1" t="n">
        <v>1</v>
      </c>
    </row>
    <row r="123">
      <c r="Z123" s="12">
        <f>Z122-5</f>
        <v/>
      </c>
      <c r="AA123" s="39" t="inlineStr">
        <is>
          <t>HY51</t>
        </is>
      </c>
      <c r="AB123" s="1" t="n">
        <v>2019</v>
      </c>
      <c r="AC123" s="1" t="n">
        <v>1</v>
      </c>
      <c r="AE123" s="12">
        <f>AE122-5</f>
        <v/>
      </c>
      <c r="AF123" s="39" t="inlineStr">
        <is>
          <t>JW5</t>
        </is>
      </c>
      <c r="AG123" s="1" t="n">
        <v>2021</v>
      </c>
      <c r="AH123" s="1" t="n">
        <v>1</v>
      </c>
    </row>
    <row r="124">
      <c r="Z124" s="12">
        <f>Z123-5</f>
        <v/>
      </c>
      <c r="AA124" s="39" t="inlineStr">
        <is>
          <t>HY51</t>
        </is>
      </c>
      <c r="AB124" s="1" t="n">
        <v>2018</v>
      </c>
      <c r="AC124" s="1" t="n">
        <v>1</v>
      </c>
      <c r="AE124" s="12">
        <f>AE123-5</f>
        <v/>
      </c>
      <c r="AF124" s="39" t="inlineStr">
        <is>
          <t>JW5</t>
        </is>
      </c>
      <c r="AG124" s="1" t="n">
        <v>2021</v>
      </c>
      <c r="AH124" s="1" t="n">
        <v>1</v>
      </c>
    </row>
    <row r="125">
      <c r="Z125" s="12">
        <f>Z124-5</f>
        <v/>
      </c>
      <c r="AA125" s="39" t="inlineStr">
        <is>
          <t>HY51</t>
        </is>
      </c>
      <c r="AB125" s="1" t="n">
        <v>2018</v>
      </c>
      <c r="AC125" s="1" t="n">
        <v>1</v>
      </c>
      <c r="AE125" s="12">
        <f>AE124-5</f>
        <v/>
      </c>
      <c r="AF125" s="39" t="inlineStr">
        <is>
          <t>JW5</t>
        </is>
      </c>
      <c r="AG125" s="1" t="n">
        <v>2021</v>
      </c>
      <c r="AH125" s="1" t="n">
        <v>1</v>
      </c>
    </row>
    <row r="126">
      <c r="Z126" s="12">
        <f>Z125-5</f>
        <v/>
      </c>
      <c r="AA126" s="39" t="inlineStr">
        <is>
          <t>HY51</t>
        </is>
      </c>
      <c r="AB126" s="1" t="n">
        <v>2018</v>
      </c>
      <c r="AC126" s="1" t="n">
        <v>1</v>
      </c>
      <c r="AE126" s="12">
        <f>AE125-5</f>
        <v/>
      </c>
      <c r="AF126" s="39" t="inlineStr">
        <is>
          <t>JW5</t>
        </is>
      </c>
      <c r="AG126" s="1" t="n">
        <v>2021</v>
      </c>
      <c r="AH126" s="1" t="n">
        <v>1</v>
      </c>
    </row>
    <row r="127">
      <c r="Z127" s="12">
        <f>Z126-5</f>
        <v/>
      </c>
      <c r="AA127" s="39" t="inlineStr">
        <is>
          <t>HY51</t>
        </is>
      </c>
      <c r="AB127" s="1" t="n">
        <v>2018</v>
      </c>
      <c r="AC127" s="1" t="n">
        <v>1</v>
      </c>
      <c r="AE127" s="12">
        <f>AE126-5</f>
        <v/>
      </c>
      <c r="AF127" s="39" t="inlineStr">
        <is>
          <t>JW5</t>
        </is>
      </c>
      <c r="AG127" s="1" t="n">
        <v>2021</v>
      </c>
      <c r="AH127" s="1" t="n">
        <v>1</v>
      </c>
    </row>
    <row r="128">
      <c r="Z128" s="12">
        <f>Z127-5</f>
        <v/>
      </c>
      <c r="AA128" s="39" t="inlineStr">
        <is>
          <t>HY51</t>
        </is>
      </c>
      <c r="AB128" s="1" t="n">
        <v>2018</v>
      </c>
      <c r="AC128" s="1" t="n">
        <v>1</v>
      </c>
      <c r="AE128" s="12">
        <f>AE127-5</f>
        <v/>
      </c>
      <c r="AF128" s="39" t="inlineStr">
        <is>
          <t>JW5</t>
        </is>
      </c>
      <c r="AG128" s="1" t="n">
        <v>2021</v>
      </c>
      <c r="AH128" s="1" t="n">
        <v>1</v>
      </c>
    </row>
    <row r="129">
      <c r="Z129" s="12">
        <f>Z128-5</f>
        <v/>
      </c>
      <c r="AA129" s="39" t="inlineStr">
        <is>
          <t>HY51</t>
        </is>
      </c>
      <c r="AB129" s="1" t="n">
        <v>2018</v>
      </c>
      <c r="AC129" s="1" t="n">
        <v>1</v>
      </c>
      <c r="AE129" s="12">
        <f>AE128-5</f>
        <v/>
      </c>
      <c r="AF129" s="39" t="inlineStr">
        <is>
          <t>JW5</t>
        </is>
      </c>
      <c r="AG129" s="1" t="n">
        <v>2021</v>
      </c>
      <c r="AH129" s="1" t="n">
        <v>1</v>
      </c>
    </row>
    <row r="130">
      <c r="Z130" s="12">
        <f>Z129-5</f>
        <v/>
      </c>
      <c r="AA130" s="39" t="inlineStr">
        <is>
          <t>HY51</t>
        </is>
      </c>
      <c r="AB130" s="1" t="n">
        <v>2018</v>
      </c>
      <c r="AC130" s="1" t="n">
        <v>1</v>
      </c>
      <c r="AE130" s="12">
        <f>AE129-5</f>
        <v/>
      </c>
      <c r="AF130" s="39" t="inlineStr">
        <is>
          <t>JW5</t>
        </is>
      </c>
      <c r="AG130" s="1" t="n">
        <v>2018</v>
      </c>
      <c r="AH130" s="1" t="n">
        <v>1</v>
      </c>
    </row>
    <row r="131">
      <c r="Z131" s="12">
        <f>Z130-5</f>
        <v/>
      </c>
      <c r="AA131" s="39" t="inlineStr">
        <is>
          <t>HY51</t>
        </is>
      </c>
      <c r="AB131" s="1" t="n">
        <v>2018</v>
      </c>
      <c r="AC131" s="1" t="n">
        <v>1</v>
      </c>
      <c r="AE131" s="12">
        <f>AE130-5</f>
        <v/>
      </c>
      <c r="AF131" s="39" t="inlineStr">
        <is>
          <t>JW5</t>
        </is>
      </c>
      <c r="AG131" s="1" t="n">
        <v>2018</v>
      </c>
      <c r="AH131" s="1" t="n">
        <v>1</v>
      </c>
    </row>
    <row r="132">
      <c r="Z132" s="12">
        <f>Z131-5</f>
        <v/>
      </c>
      <c r="AA132" s="39" t="inlineStr">
        <is>
          <t>HY51</t>
        </is>
      </c>
      <c r="AB132" s="1" t="n">
        <v>2018</v>
      </c>
      <c r="AC132" s="1" t="n">
        <v>1</v>
      </c>
      <c r="AE132" s="12">
        <f>AE131-5</f>
        <v/>
      </c>
      <c r="AF132" s="39" t="inlineStr">
        <is>
          <t>JW5</t>
        </is>
      </c>
      <c r="AG132" s="1" t="n">
        <v>2018</v>
      </c>
      <c r="AH132" s="1" t="n">
        <v>1</v>
      </c>
    </row>
    <row r="133">
      <c r="Z133" s="12">
        <f>Z132-5</f>
        <v/>
      </c>
      <c r="AA133" s="39" t="inlineStr">
        <is>
          <t>HY51</t>
        </is>
      </c>
      <c r="AB133" s="1" t="n">
        <v>2017</v>
      </c>
      <c r="AC133" s="1" t="n">
        <v>1</v>
      </c>
      <c r="AE133" s="38">
        <f>AE132</f>
        <v/>
      </c>
      <c r="AF133" s="39" t="inlineStr">
        <is>
          <t>JG1</t>
        </is>
      </c>
      <c r="AG133" s="1" t="n">
        <v>2019</v>
      </c>
      <c r="AH133" s="1" t="n">
        <v>1</v>
      </c>
    </row>
    <row r="134">
      <c r="Z134" s="12">
        <f>Z133-5</f>
        <v/>
      </c>
      <c r="AA134" s="39" t="inlineStr">
        <is>
          <t>HY51</t>
        </is>
      </c>
      <c r="AB134" s="1" t="n">
        <v>2017</v>
      </c>
      <c r="AC134" s="1" t="n">
        <v>1</v>
      </c>
      <c r="AE134" s="12">
        <f>AE133-5</f>
        <v/>
      </c>
      <c r="AF134" s="39" t="inlineStr">
        <is>
          <t>JG1</t>
        </is>
      </c>
      <c r="AG134" s="1" t="n">
        <v>2019</v>
      </c>
      <c r="AH134" s="1" t="n">
        <v>1</v>
      </c>
    </row>
    <row r="135">
      <c r="Z135" s="12">
        <f>Z134-5</f>
        <v/>
      </c>
      <c r="AA135" s="39" t="inlineStr">
        <is>
          <t>HY51</t>
        </is>
      </c>
      <c r="AB135" s="1" t="n">
        <v>2017</v>
      </c>
      <c r="AC135" s="1" t="n">
        <v>1</v>
      </c>
      <c r="AE135" s="12">
        <f>AE134-5</f>
        <v/>
      </c>
      <c r="AF135" s="39" t="inlineStr">
        <is>
          <t>JG1</t>
        </is>
      </c>
      <c r="AG135" s="1" t="n">
        <v>2019</v>
      </c>
      <c r="AH135" s="1" t="n">
        <v>1</v>
      </c>
    </row>
    <row r="136">
      <c r="Z136" s="12">
        <f>Z135-5</f>
        <v/>
      </c>
      <c r="AA136" s="39" t="inlineStr">
        <is>
          <t>HY51</t>
        </is>
      </c>
      <c r="AB136" s="1" t="n">
        <v>2017</v>
      </c>
      <c r="AC136" s="1" t="n">
        <v>1</v>
      </c>
      <c r="AE136" s="12">
        <f>AE135-5</f>
        <v/>
      </c>
      <c r="AF136" s="39" t="inlineStr">
        <is>
          <t>JG1</t>
        </is>
      </c>
      <c r="AG136" s="1" t="n">
        <v>2019</v>
      </c>
      <c r="AH136" s="1" t="n">
        <v>1</v>
      </c>
    </row>
    <row r="137">
      <c r="Z137" s="12">
        <f>Z136-5</f>
        <v/>
      </c>
      <c r="AA137" s="39" t="inlineStr">
        <is>
          <t>HY51</t>
        </is>
      </c>
      <c r="AB137" s="1" t="n">
        <v>2017</v>
      </c>
      <c r="AC137" s="1" t="n">
        <v>1</v>
      </c>
      <c r="AE137" s="12">
        <f>AE136-5</f>
        <v/>
      </c>
      <c r="AF137" s="39" t="inlineStr">
        <is>
          <t>JG1</t>
        </is>
      </c>
      <c r="AG137" s="1" t="n">
        <v>2019</v>
      </c>
      <c r="AH137" s="1" t="n">
        <v>1</v>
      </c>
    </row>
    <row r="138">
      <c r="Z138" s="12">
        <f>Z137-5</f>
        <v/>
      </c>
      <c r="AA138" s="39" t="inlineStr">
        <is>
          <t>HY51</t>
        </is>
      </c>
      <c r="AB138" s="1" t="n">
        <v>2017</v>
      </c>
      <c r="AC138" s="1" t="n">
        <v>1</v>
      </c>
      <c r="AE138" s="12">
        <f>AE137-5</f>
        <v/>
      </c>
      <c r="AF138" s="39" t="inlineStr">
        <is>
          <t>JG1</t>
        </is>
      </c>
      <c r="AG138" s="1" t="n">
        <v>2019</v>
      </c>
      <c r="AH138" s="1" t="n">
        <v>1</v>
      </c>
    </row>
    <row r="139">
      <c r="Z139" s="12">
        <f>Z138-5</f>
        <v/>
      </c>
      <c r="AA139" s="39" t="inlineStr">
        <is>
          <t>HY51</t>
        </is>
      </c>
      <c r="AB139" s="1" t="n">
        <v>2017</v>
      </c>
      <c r="AC139" s="1" t="n">
        <v>1</v>
      </c>
      <c r="AE139" s="12">
        <f>AE138-5</f>
        <v/>
      </c>
      <c r="AF139" s="39" t="inlineStr">
        <is>
          <t>JG1</t>
        </is>
      </c>
      <c r="AG139" s="1" t="n">
        <v>2015</v>
      </c>
      <c r="AH139" s="1" t="n">
        <v>1</v>
      </c>
    </row>
    <row r="140">
      <c r="Z140" s="12">
        <f>Z139-5</f>
        <v/>
      </c>
      <c r="AA140" s="39" t="inlineStr">
        <is>
          <t>HY51</t>
        </is>
      </c>
      <c r="AB140" s="1" t="n">
        <v>2017</v>
      </c>
      <c r="AC140" s="1" t="n">
        <v>1</v>
      </c>
      <c r="AE140" s="12">
        <f>AE139-5</f>
        <v/>
      </c>
      <c r="AF140" s="39" t="inlineStr">
        <is>
          <t>JG1</t>
        </is>
      </c>
      <c r="AG140" s="1" t="n">
        <v>2015</v>
      </c>
      <c r="AH140" s="1" t="n">
        <v>1</v>
      </c>
    </row>
    <row r="141">
      <c r="Z141" s="12">
        <f>Z140-5</f>
        <v/>
      </c>
      <c r="AA141" s="39" t="inlineStr">
        <is>
          <t>HY51</t>
        </is>
      </c>
      <c r="AB141" s="1" t="n">
        <v>2017</v>
      </c>
      <c r="AC141" s="1" t="n">
        <v>1</v>
      </c>
      <c r="AE141" s="12">
        <f>AE140-5</f>
        <v/>
      </c>
      <c r="AF141" s="39" t="inlineStr">
        <is>
          <t>JG1</t>
        </is>
      </c>
      <c r="AG141" s="1" t="n">
        <v>2015</v>
      </c>
      <c r="AH141" s="1" t="n">
        <v>1</v>
      </c>
    </row>
    <row r="142">
      <c r="Z142" s="12">
        <f>Z141-5</f>
        <v/>
      </c>
      <c r="AA142" s="39" t="inlineStr">
        <is>
          <t>HY51</t>
        </is>
      </c>
      <c r="AB142" s="1" t="n">
        <v>2017</v>
      </c>
      <c r="AC142" s="1" t="n">
        <v>1</v>
      </c>
      <c r="AE142" s="12">
        <f>AE141-5</f>
        <v/>
      </c>
      <c r="AF142" s="39" t="inlineStr">
        <is>
          <t>JG1</t>
        </is>
      </c>
      <c r="AG142" s="1" t="n">
        <v>2015</v>
      </c>
      <c r="AH142" s="1" t="n">
        <v>1</v>
      </c>
    </row>
    <row r="143">
      <c r="Z143" s="12">
        <f>Z142-5</f>
        <v/>
      </c>
      <c r="AA143" s="39" t="inlineStr">
        <is>
          <t>HY51</t>
        </is>
      </c>
      <c r="AB143" s="1" t="n">
        <v>2017</v>
      </c>
      <c r="AC143" s="1" t="n">
        <v>1</v>
      </c>
      <c r="AE143" s="12">
        <f>AE142-5</f>
        <v/>
      </c>
      <c r="AF143" s="39" t="inlineStr">
        <is>
          <t>JG1</t>
        </is>
      </c>
      <c r="AG143" s="1" t="n">
        <v>2015</v>
      </c>
      <c r="AH143" s="1" t="n">
        <v>1</v>
      </c>
    </row>
    <row r="144">
      <c r="Z144" s="12">
        <f>Z143-5</f>
        <v/>
      </c>
      <c r="AA144" s="39" t="inlineStr">
        <is>
          <t>HY51</t>
        </is>
      </c>
      <c r="AB144" s="1" t="n">
        <v>2016</v>
      </c>
      <c r="AC144" s="1" t="n">
        <v>1</v>
      </c>
      <c r="AE144" s="12">
        <f>AE143-5</f>
        <v/>
      </c>
      <c r="AF144" s="39" t="inlineStr">
        <is>
          <t>JG1</t>
        </is>
      </c>
      <c r="AG144" s="1" t="n">
        <v>2015</v>
      </c>
      <c r="AH144" s="1" t="n">
        <v>1</v>
      </c>
    </row>
    <row r="145">
      <c r="Z145" s="12">
        <f>Z144-5</f>
        <v/>
      </c>
      <c r="AA145" s="39" t="inlineStr">
        <is>
          <t>HY51</t>
        </is>
      </c>
      <c r="AB145" s="1" t="n">
        <v>2016</v>
      </c>
      <c r="AC145" s="1" t="n">
        <v>1</v>
      </c>
      <c r="AE145" s="12">
        <f>AE144-5</f>
        <v/>
      </c>
      <c r="AF145" s="39" t="inlineStr">
        <is>
          <t>JG1</t>
        </is>
      </c>
      <c r="AG145" s="1" t="n">
        <v>2013</v>
      </c>
      <c r="AH145" s="1" t="n">
        <v>1</v>
      </c>
    </row>
    <row r="146">
      <c r="Z146" s="12">
        <f>Z145-5</f>
        <v/>
      </c>
      <c r="AA146" s="39" t="inlineStr">
        <is>
          <t>HY51</t>
        </is>
      </c>
      <c r="AB146" s="1" t="n">
        <v>2016</v>
      </c>
      <c r="AC146" s="1" t="n">
        <v>1</v>
      </c>
      <c r="AE146" s="12">
        <f>AE145-5</f>
        <v/>
      </c>
      <c r="AF146" s="39" t="inlineStr">
        <is>
          <t>JG1</t>
        </is>
      </c>
      <c r="AG146" s="1" t="n">
        <v>2013</v>
      </c>
      <c r="AH146" s="1" t="n">
        <v>1</v>
      </c>
    </row>
    <row r="147">
      <c r="Z147" s="12">
        <f>Z146-5</f>
        <v/>
      </c>
      <c r="AA147" s="39" t="inlineStr">
        <is>
          <t>HY51</t>
        </is>
      </c>
      <c r="AB147" s="1" t="n">
        <v>2016</v>
      </c>
      <c r="AC147" s="1" t="n">
        <v>1</v>
      </c>
      <c r="AE147" s="12">
        <f>AE146-5</f>
        <v/>
      </c>
      <c r="AF147" s="39" t="inlineStr">
        <is>
          <t>JG1</t>
        </is>
      </c>
      <c r="AG147" s="1" t="n">
        <v>2013</v>
      </c>
      <c r="AH147" s="1" t="n">
        <v>1</v>
      </c>
    </row>
    <row r="148">
      <c r="Z148" s="12">
        <f>Z147-5</f>
        <v/>
      </c>
      <c r="AA148" s="39" t="inlineStr">
        <is>
          <t>HY51</t>
        </is>
      </c>
      <c r="AB148" s="1" t="n">
        <v>2016</v>
      </c>
      <c r="AC148" s="1" t="n">
        <v>1</v>
      </c>
      <c r="AE148" s="12">
        <f>AE147-5</f>
        <v/>
      </c>
      <c r="AF148" s="39" t="inlineStr">
        <is>
          <t>JG1</t>
        </is>
      </c>
      <c r="AG148" s="1" t="n">
        <v>2013</v>
      </c>
      <c r="AH148" s="1" t="n">
        <v>1</v>
      </c>
    </row>
    <row r="149">
      <c r="Z149" s="12">
        <f>Z148-5</f>
        <v/>
      </c>
      <c r="AA149" s="39" t="inlineStr">
        <is>
          <t>HY51</t>
        </is>
      </c>
      <c r="AB149" s="1" t="n">
        <v>2016</v>
      </c>
      <c r="AC149" s="1" t="n">
        <v>1</v>
      </c>
      <c r="AE149" s="12" t="n">
        <v>70</v>
      </c>
      <c r="AF149" s="39" t="inlineStr">
        <is>
          <t>L285S</t>
        </is>
      </c>
      <c r="AG149" s="1" t="n">
        <v>2018</v>
      </c>
      <c r="AH149" s="1" t="n">
        <v>1</v>
      </c>
    </row>
    <row r="150">
      <c r="Z150" s="12">
        <f>Z149-5</f>
        <v/>
      </c>
      <c r="AA150" s="39" t="inlineStr">
        <is>
          <t>HY51</t>
        </is>
      </c>
      <c r="AB150" s="1" t="n">
        <v>2016</v>
      </c>
      <c r="AC150" s="1" t="n">
        <v>1</v>
      </c>
      <c r="AE150" s="12">
        <f>AE148-5</f>
        <v/>
      </c>
      <c r="AF150" s="39" t="inlineStr">
        <is>
          <t>L285S</t>
        </is>
      </c>
      <c r="AG150" s="1" t="n">
        <v>2018</v>
      </c>
      <c r="AH150" s="1" t="n">
        <v>1</v>
      </c>
    </row>
    <row r="151">
      <c r="Z151" s="12">
        <f>Z150-5</f>
        <v/>
      </c>
      <c r="AA151" s="39" t="inlineStr">
        <is>
          <t>HY51</t>
        </is>
      </c>
      <c r="AB151" s="1" t="n">
        <v>2016</v>
      </c>
      <c r="AC151" s="1" t="n">
        <v>1</v>
      </c>
      <c r="AE151" s="12">
        <f>AE150-5</f>
        <v/>
      </c>
      <c r="AF151" s="39" t="inlineStr">
        <is>
          <t>L285S</t>
        </is>
      </c>
      <c r="AG151" s="1" t="n">
        <v>2018</v>
      </c>
      <c r="AH151" s="1" t="n">
        <v>1</v>
      </c>
    </row>
    <row r="152">
      <c r="Z152" s="12">
        <f>Z151-5</f>
        <v/>
      </c>
      <c r="AA152" s="39" t="inlineStr">
        <is>
          <t>HY51</t>
        </is>
      </c>
      <c r="AB152" s="1" t="n">
        <v>2016</v>
      </c>
      <c r="AC152" s="1" t="n">
        <v>1</v>
      </c>
      <c r="AE152" s="12">
        <f>AE151-5</f>
        <v/>
      </c>
      <c r="AF152" s="39" t="inlineStr">
        <is>
          <t>L285S</t>
        </is>
      </c>
      <c r="AG152" s="1" t="n">
        <v>2018</v>
      </c>
      <c r="AH152" s="1" t="n">
        <v>1</v>
      </c>
    </row>
    <row r="153">
      <c r="Z153" s="12">
        <f>Z152-5</f>
        <v/>
      </c>
      <c r="AA153" s="39" t="inlineStr">
        <is>
          <t>HY51</t>
        </is>
      </c>
      <c r="AB153" s="1" t="n">
        <v>2016</v>
      </c>
      <c r="AC153" s="1" t="n">
        <v>1</v>
      </c>
      <c r="AE153" s="12">
        <f>AE152-5</f>
        <v/>
      </c>
      <c r="AF153" s="39" t="inlineStr">
        <is>
          <t>L285S</t>
        </is>
      </c>
      <c r="AG153" s="1" t="n">
        <v>2018</v>
      </c>
      <c r="AH153" s="1" t="n">
        <v>1</v>
      </c>
    </row>
    <row r="154">
      <c r="Z154" s="12">
        <f>Z153-5</f>
        <v/>
      </c>
      <c r="AA154" s="39" t="inlineStr">
        <is>
          <t>HY51</t>
        </is>
      </c>
      <c r="AB154" s="1" t="n">
        <v>2015</v>
      </c>
      <c r="AC154" s="1" t="n">
        <v>1</v>
      </c>
      <c r="AE154" s="12">
        <f>AE153-5</f>
        <v/>
      </c>
      <c r="AF154" s="39" t="inlineStr">
        <is>
          <t>L285S</t>
        </is>
      </c>
      <c r="AG154" s="1" t="n">
        <v>2016</v>
      </c>
      <c r="AH154" s="1" t="n">
        <v>1</v>
      </c>
    </row>
    <row r="155">
      <c r="Z155" s="12">
        <f>Z154-5</f>
        <v/>
      </c>
      <c r="AA155" s="39" t="inlineStr">
        <is>
          <t>HY51</t>
        </is>
      </c>
      <c r="AB155" s="1" t="n">
        <v>2015</v>
      </c>
      <c r="AC155" s="1" t="n">
        <v>1</v>
      </c>
      <c r="AE155" s="12">
        <f>AE154-5</f>
        <v/>
      </c>
      <c r="AF155" s="39" t="inlineStr">
        <is>
          <t>L285S</t>
        </is>
      </c>
      <c r="AG155" s="1" t="n">
        <v>2016</v>
      </c>
      <c r="AH155" s="1" t="n">
        <v>1</v>
      </c>
    </row>
    <row r="156">
      <c r="Z156" s="12">
        <f>Z155-5</f>
        <v/>
      </c>
      <c r="AA156" s="39" t="inlineStr">
        <is>
          <t>HY51</t>
        </is>
      </c>
      <c r="AB156" s="1" t="n">
        <v>2015</v>
      </c>
      <c r="AC156" s="1" t="n">
        <v>1</v>
      </c>
      <c r="AE156" s="12">
        <f>AE155-5</f>
        <v/>
      </c>
      <c r="AF156" s="39" t="inlineStr">
        <is>
          <t>L285S</t>
        </is>
      </c>
      <c r="AG156" s="1" t="n">
        <v>2012</v>
      </c>
      <c r="AH156" s="1" t="n">
        <v>1</v>
      </c>
    </row>
    <row r="157">
      <c r="Z157" s="12">
        <f>Z156-5</f>
        <v/>
      </c>
      <c r="AA157" s="39" t="inlineStr">
        <is>
          <t>HY51</t>
        </is>
      </c>
      <c r="AB157" s="1" t="n">
        <v>2015</v>
      </c>
      <c r="AC157" s="1" t="n">
        <v>1</v>
      </c>
      <c r="AE157" s="12">
        <f>AE156-5</f>
        <v/>
      </c>
      <c r="AF157" s="39" t="inlineStr">
        <is>
          <t>L285S</t>
        </is>
      </c>
      <c r="AG157" s="1" t="n">
        <v>2012</v>
      </c>
      <c r="AH157" s="1" t="n">
        <v>1</v>
      </c>
    </row>
    <row r="158">
      <c r="Z158" s="12">
        <f>Z157-5</f>
        <v/>
      </c>
      <c r="AA158" s="39" t="inlineStr">
        <is>
          <t>HY51</t>
        </is>
      </c>
      <c r="AB158" s="1" t="n">
        <v>2015</v>
      </c>
      <c r="AC158" s="1" t="n">
        <v>1</v>
      </c>
      <c r="AE158" s="12">
        <f>AE157-5</f>
        <v/>
      </c>
      <c r="AF158" s="39" t="inlineStr">
        <is>
          <t>L285S</t>
        </is>
      </c>
      <c r="AG158" s="1" t="n">
        <v>2012</v>
      </c>
      <c r="AH158" s="1" t="n">
        <v>1</v>
      </c>
    </row>
    <row r="159">
      <c r="Z159" s="12">
        <f>Z158-5</f>
        <v/>
      </c>
      <c r="AA159" s="39" t="inlineStr">
        <is>
          <t>HY51</t>
        </is>
      </c>
      <c r="AB159" s="1" t="n">
        <v>2015</v>
      </c>
      <c r="AC159" s="1" t="n">
        <v>1</v>
      </c>
      <c r="AE159" s="12">
        <f>AE158-5</f>
        <v/>
      </c>
      <c r="AF159" s="39" t="inlineStr">
        <is>
          <t>L285S</t>
        </is>
      </c>
      <c r="AG159" s="1" t="n">
        <v>2012</v>
      </c>
      <c r="AH159" s="1" t="n">
        <v>1</v>
      </c>
    </row>
    <row r="160">
      <c r="Z160" s="12">
        <f>Z159-5</f>
        <v/>
      </c>
      <c r="AA160" s="39" t="inlineStr">
        <is>
          <t>HY51</t>
        </is>
      </c>
      <c r="AB160" s="1" t="n">
        <v>2015</v>
      </c>
      <c r="AC160" s="1" t="n">
        <v>1</v>
      </c>
    </row>
    <row r="161">
      <c r="Z161" s="12">
        <f>Z160-5</f>
        <v/>
      </c>
      <c r="AA161" s="39" t="inlineStr">
        <is>
          <t>HY51</t>
        </is>
      </c>
      <c r="AB161" s="1" t="n">
        <v>2015</v>
      </c>
      <c r="AC161" s="1" t="n">
        <v>1</v>
      </c>
      <c r="AE161" s="9" t="inlineStr">
        <is>
          <t>Z特殊</t>
        </is>
      </c>
      <c r="AF161" s="60" t="inlineStr">
        <is>
          <t>新車割引率の推定打鍵</t>
        </is>
      </c>
    </row>
    <row r="162">
      <c r="Z162" s="12">
        <f>Z161-5</f>
        <v/>
      </c>
      <c r="AA162" s="39" t="inlineStr">
        <is>
          <t>HY51</t>
        </is>
      </c>
      <c r="AB162" s="1" t="n">
        <v>2015</v>
      </c>
      <c r="AC162" s="1" t="n">
        <v>1</v>
      </c>
    </row>
    <row r="163">
      <c r="Z163" s="12">
        <f>Z162-5</f>
        <v/>
      </c>
      <c r="AA163" s="39" t="inlineStr">
        <is>
          <t>HY51</t>
        </is>
      </c>
      <c r="AB163" s="1" t="n">
        <v>2015</v>
      </c>
      <c r="AC163" s="1" t="n">
        <v>1</v>
      </c>
      <c r="AE163" s="42" t="inlineStr">
        <is>
          <t>型式</t>
        </is>
      </c>
      <c r="AF163" s="43" t="inlineStr">
        <is>
          <t>自乗基準対人</t>
        </is>
      </c>
      <c r="AG163" s="43" t="inlineStr">
        <is>
          <t>自乗基準対物</t>
        </is>
      </c>
      <c r="AH163" s="43" t="inlineStr">
        <is>
          <t>自乗基準人傷</t>
        </is>
      </c>
      <c r="AI163" s="43" t="inlineStr">
        <is>
          <t>自乗基準車両</t>
        </is>
      </c>
      <c r="AJ163" s="43" t="inlineStr">
        <is>
          <t>自乗対抗対人</t>
        </is>
      </c>
      <c r="AK163" s="43" t="inlineStr">
        <is>
          <t>自乗対抗対物</t>
        </is>
      </c>
      <c r="AL163" s="43" t="inlineStr">
        <is>
          <t>自乗対抗人傷</t>
        </is>
      </c>
      <c r="AM163" s="43" t="inlineStr">
        <is>
          <t>自乗対抗車両</t>
        </is>
      </c>
      <c r="AN163" s="43" t="inlineStr">
        <is>
          <t>軽四基準対人</t>
        </is>
      </c>
      <c r="AO163" s="43" t="inlineStr">
        <is>
          <t>軽四基準対物</t>
        </is>
      </c>
      <c r="AP163" s="43" t="inlineStr">
        <is>
          <t>軽四基準人傷</t>
        </is>
      </c>
      <c r="AQ163" s="43" t="inlineStr">
        <is>
          <t>軽四基準車両</t>
        </is>
      </c>
      <c r="AR163" s="43" t="inlineStr">
        <is>
          <t>軽四対抗対人</t>
        </is>
      </c>
      <c r="AS163" s="43" t="inlineStr">
        <is>
          <t>軽四対抗対物</t>
        </is>
      </c>
      <c r="AT163" s="43" t="inlineStr">
        <is>
          <t>軽四対抗人傷</t>
        </is>
      </c>
      <c r="AU163" s="43" t="inlineStr">
        <is>
          <t>軽四対抗車両</t>
        </is>
      </c>
    </row>
    <row r="164">
      <c r="Z164" s="12">
        <f>Z163-5</f>
        <v/>
      </c>
      <c r="AA164" s="39" t="inlineStr">
        <is>
          <t>HY51</t>
        </is>
      </c>
      <c r="AB164" s="1" t="n">
        <v>2014</v>
      </c>
      <c r="AC164" s="1" t="n">
        <v>1</v>
      </c>
      <c r="AE164" s="31">
        <f>U104-1</f>
        <v/>
      </c>
      <c r="AF164" s="39" t="inlineStr">
        <is>
          <t>NRE161G</t>
        </is>
      </c>
      <c r="AG164" s="39" t="inlineStr">
        <is>
          <t>NRE161G</t>
        </is>
      </c>
      <c r="AH164" s="39" t="inlineStr">
        <is>
          <t>NRE161G</t>
        </is>
      </c>
      <c r="AI164" s="39" t="inlineStr">
        <is>
          <t>GB6</t>
        </is>
      </c>
      <c r="AJ164" s="39" t="inlineStr">
        <is>
          <t>GB6</t>
        </is>
      </c>
      <c r="AK164" s="39" t="inlineStr">
        <is>
          <t>M700A</t>
        </is>
      </c>
      <c r="AL164" s="39" t="inlineStr">
        <is>
          <t>SGC27</t>
        </is>
      </c>
      <c r="AM164" s="39" t="inlineStr">
        <is>
          <t>GP8</t>
        </is>
      </c>
      <c r="AN164" s="39" t="inlineStr">
        <is>
          <t>S321G</t>
        </is>
      </c>
      <c r="AO164" s="39" t="inlineStr">
        <is>
          <t>S321G</t>
        </is>
      </c>
      <c r="AP164" s="39" t="inlineStr">
        <is>
          <t>LA700S</t>
        </is>
      </c>
      <c r="AQ164" s="39" t="inlineStr">
        <is>
          <t>S321G</t>
        </is>
      </c>
      <c r="AR164" s="39" t="inlineStr">
        <is>
          <t>LA360S</t>
        </is>
      </c>
      <c r="AS164" s="39" t="inlineStr">
        <is>
          <t>LA700S</t>
        </is>
      </c>
      <c r="AT164" s="39" t="inlineStr">
        <is>
          <t>DA17W</t>
        </is>
      </c>
      <c r="AU164" s="39" t="inlineStr">
        <is>
          <t>DS17W</t>
        </is>
      </c>
    </row>
    <row r="165">
      <c r="Z165" s="12">
        <f>Z164-5</f>
        <v/>
      </c>
      <c r="AA165" s="39" t="inlineStr">
        <is>
          <t>HY51</t>
        </is>
      </c>
      <c r="AB165" s="1" t="n">
        <v>2014</v>
      </c>
      <c r="AC165" s="1" t="n">
        <v>1</v>
      </c>
      <c r="AE165" s="31">
        <f>AE164-1</f>
        <v/>
      </c>
      <c r="AF165" s="39" t="inlineStr">
        <is>
          <t>NRE161G</t>
        </is>
      </c>
      <c r="AG165" s="39" t="inlineStr">
        <is>
          <t>NRE161G</t>
        </is>
      </c>
      <c r="AH165" s="39" t="inlineStr">
        <is>
          <t>NRE161G</t>
        </is>
      </c>
      <c r="AI165" s="39" t="inlineStr">
        <is>
          <t>GB6</t>
        </is>
      </c>
      <c r="AJ165" s="39" t="inlineStr">
        <is>
          <t>GB6</t>
        </is>
      </c>
      <c r="AK165" s="39" t="inlineStr">
        <is>
          <t>M700A</t>
        </is>
      </c>
      <c r="AL165" s="39" t="inlineStr">
        <is>
          <t>SGC27</t>
        </is>
      </c>
      <c r="AM165" s="39" t="inlineStr">
        <is>
          <t>GP8</t>
        </is>
      </c>
      <c r="AN165" s="39" t="inlineStr">
        <is>
          <t>S321G</t>
        </is>
      </c>
      <c r="AO165" s="39" t="inlineStr">
        <is>
          <t>S321G</t>
        </is>
      </c>
      <c r="AP165" s="39" t="inlineStr">
        <is>
          <t>LA700S</t>
        </is>
      </c>
      <c r="AQ165" s="39" t="inlineStr">
        <is>
          <t>S321G</t>
        </is>
      </c>
      <c r="AR165" s="39" t="inlineStr">
        <is>
          <t>LA360S</t>
        </is>
      </c>
      <c r="AS165" s="39" t="inlineStr">
        <is>
          <t>LA700S</t>
        </is>
      </c>
      <c r="AT165" s="39" t="inlineStr">
        <is>
          <t>DA17W</t>
        </is>
      </c>
      <c r="AU165" s="39" t="inlineStr">
        <is>
          <t>DS17W</t>
        </is>
      </c>
    </row>
    <row r="166">
      <c r="Z166" s="12">
        <f>Z165-5</f>
        <v/>
      </c>
      <c r="AA166" s="39" t="inlineStr">
        <is>
          <t>HY51</t>
        </is>
      </c>
      <c r="AB166" s="1" t="n">
        <v>2014</v>
      </c>
      <c r="AC166" s="1" t="n">
        <v>1</v>
      </c>
      <c r="AE166" s="31">
        <f>AE165-1</f>
        <v/>
      </c>
      <c r="AF166" s="39" t="inlineStr">
        <is>
          <t>NRE161G</t>
        </is>
      </c>
      <c r="AG166" s="39" t="inlineStr">
        <is>
          <t>NRE161G</t>
        </is>
      </c>
      <c r="AH166" s="39" t="inlineStr">
        <is>
          <t>NRE161G</t>
        </is>
      </c>
      <c r="AI166" s="39" t="inlineStr">
        <is>
          <t>GB6</t>
        </is>
      </c>
      <c r="AJ166" s="39" t="inlineStr">
        <is>
          <t>GB6</t>
        </is>
      </c>
      <c r="AK166" s="39" t="inlineStr">
        <is>
          <t>M700A</t>
        </is>
      </c>
      <c r="AL166" s="39" t="inlineStr">
        <is>
          <t>SGC27</t>
        </is>
      </c>
      <c r="AM166" s="39" t="inlineStr">
        <is>
          <t>GP8</t>
        </is>
      </c>
      <c r="AN166" s="39" t="inlineStr">
        <is>
          <t>S321G</t>
        </is>
      </c>
      <c r="AO166" s="39" t="inlineStr">
        <is>
          <t>S321G</t>
        </is>
      </c>
      <c r="AP166" s="39" t="inlineStr">
        <is>
          <t>LA700S</t>
        </is>
      </c>
      <c r="AQ166" s="39" t="inlineStr">
        <is>
          <t>S321G</t>
        </is>
      </c>
      <c r="AR166" s="39" t="inlineStr">
        <is>
          <t>LA360S</t>
        </is>
      </c>
      <c r="AS166" s="39" t="inlineStr">
        <is>
          <t>LA700S</t>
        </is>
      </c>
      <c r="AT166" s="39" t="inlineStr">
        <is>
          <t>DA17W</t>
        </is>
      </c>
      <c r="AU166" s="39" t="inlineStr">
        <is>
          <t>DS17W</t>
        </is>
      </c>
    </row>
    <row r="167">
      <c r="Z167" s="12">
        <f>Z166-5</f>
        <v/>
      </c>
      <c r="AA167" s="39" t="inlineStr">
        <is>
          <t>HY51</t>
        </is>
      </c>
      <c r="AB167" s="1" t="n">
        <v>2014</v>
      </c>
      <c r="AC167" s="1" t="n">
        <v>1</v>
      </c>
      <c r="AE167" s="31">
        <f>AE166-1</f>
        <v/>
      </c>
      <c r="AF167" s="39" t="inlineStr">
        <is>
          <t>NRE161G</t>
        </is>
      </c>
      <c r="AG167" s="39" t="inlineStr">
        <is>
          <t>NRE161G</t>
        </is>
      </c>
      <c r="AH167" s="39" t="inlineStr">
        <is>
          <t>NRE161G</t>
        </is>
      </c>
      <c r="AI167" s="39" t="inlineStr">
        <is>
          <t>GB6</t>
        </is>
      </c>
      <c r="AJ167" s="39" t="inlineStr">
        <is>
          <t>GB6</t>
        </is>
      </c>
      <c r="AK167" s="39" t="inlineStr">
        <is>
          <t>M700A</t>
        </is>
      </c>
      <c r="AL167" s="39" t="inlineStr">
        <is>
          <t>SGC27</t>
        </is>
      </c>
      <c r="AM167" s="39" t="inlineStr">
        <is>
          <t>GP8</t>
        </is>
      </c>
      <c r="AN167" s="39" t="inlineStr">
        <is>
          <t>S321G</t>
        </is>
      </c>
      <c r="AO167" s="39" t="inlineStr">
        <is>
          <t>S321G</t>
        </is>
      </c>
      <c r="AP167" s="39" t="inlineStr">
        <is>
          <t>LA700S</t>
        </is>
      </c>
      <c r="AQ167" s="39" t="inlineStr">
        <is>
          <t>S321G</t>
        </is>
      </c>
      <c r="AR167" s="39" t="inlineStr">
        <is>
          <t>LA360S</t>
        </is>
      </c>
      <c r="AS167" s="39" t="inlineStr">
        <is>
          <t>LA700S</t>
        </is>
      </c>
      <c r="AT167" s="39" t="inlineStr">
        <is>
          <t>DA17W</t>
        </is>
      </c>
      <c r="AU167" s="39" t="inlineStr">
        <is>
          <t>DS17W</t>
        </is>
      </c>
    </row>
    <row r="168">
      <c r="Z168" s="12">
        <f>Z167-5</f>
        <v/>
      </c>
      <c r="AA168" s="39" t="inlineStr">
        <is>
          <t>HY51</t>
        </is>
      </c>
      <c r="AB168" s="1" t="n">
        <v>2014</v>
      </c>
      <c r="AC168" s="1" t="n">
        <v>1</v>
      </c>
      <c r="AE168" s="31">
        <f>AE167-1</f>
        <v/>
      </c>
      <c r="AF168" s="39" t="inlineStr">
        <is>
          <t>NRE161G</t>
        </is>
      </c>
      <c r="AG168" s="39" t="inlineStr">
        <is>
          <t>NRE161G</t>
        </is>
      </c>
      <c r="AH168" s="39" t="inlineStr">
        <is>
          <t>NRE161G</t>
        </is>
      </c>
      <c r="AI168" s="39" t="inlineStr">
        <is>
          <t>GB6</t>
        </is>
      </c>
      <c r="AJ168" s="39" t="inlineStr">
        <is>
          <t>GB6</t>
        </is>
      </c>
      <c r="AK168" s="39" t="inlineStr">
        <is>
          <t>M700A</t>
        </is>
      </c>
      <c r="AL168" s="39" t="inlineStr">
        <is>
          <t>SGC27</t>
        </is>
      </c>
      <c r="AM168" s="39" t="inlineStr">
        <is>
          <t>GP8</t>
        </is>
      </c>
      <c r="AN168" s="39" t="inlineStr">
        <is>
          <t>S321G</t>
        </is>
      </c>
      <c r="AO168" s="39" t="inlineStr">
        <is>
          <t>S321G</t>
        </is>
      </c>
      <c r="AP168" s="39" t="inlineStr">
        <is>
          <t>LA700S</t>
        </is>
      </c>
      <c r="AQ168" s="39" t="inlineStr">
        <is>
          <t>S321G</t>
        </is>
      </c>
      <c r="AR168" s="39" t="inlineStr">
        <is>
          <t>LA360S</t>
        </is>
      </c>
      <c r="AS168" s="39" t="inlineStr">
        <is>
          <t>LA700S</t>
        </is>
      </c>
      <c r="AT168" s="39" t="inlineStr">
        <is>
          <t>DA17W</t>
        </is>
      </c>
      <c r="AU168" s="39" t="inlineStr">
        <is>
          <t>DS17W</t>
        </is>
      </c>
    </row>
    <row r="169">
      <c r="Z169" s="12">
        <f>Z168-5</f>
        <v/>
      </c>
      <c r="AA169" s="39" t="inlineStr">
        <is>
          <t>HY51</t>
        </is>
      </c>
      <c r="AB169" s="1" t="n">
        <v>2013</v>
      </c>
      <c r="AC169" s="1" t="n">
        <v>1</v>
      </c>
    </row>
    <row r="170">
      <c r="Z170" s="12">
        <f>Z169-5</f>
        <v/>
      </c>
      <c r="AA170" s="39" t="inlineStr">
        <is>
          <t>HY51</t>
        </is>
      </c>
      <c r="AB170" s="1" t="n">
        <v>2013</v>
      </c>
      <c r="AC170" s="1" t="n">
        <v>1</v>
      </c>
      <c r="AE170" s="42" t="inlineStr">
        <is>
          <t>保険金額範囲</t>
        </is>
      </c>
      <c r="AF170" s="43" t="inlineStr">
        <is>
          <t>自乗基準対人</t>
        </is>
      </c>
      <c r="AG170" s="43" t="inlineStr">
        <is>
          <t>自乗基準対物</t>
        </is>
      </c>
      <c r="AH170" s="43" t="inlineStr">
        <is>
          <t>自乗基準人傷</t>
        </is>
      </c>
      <c r="AI170" s="43" t="inlineStr">
        <is>
          <t>自乗基準車両</t>
        </is>
      </c>
      <c r="AJ170" s="43" t="inlineStr">
        <is>
          <t>自乗対抗対人</t>
        </is>
      </c>
      <c r="AK170" s="43" t="inlineStr">
        <is>
          <t>自乗対抗対物</t>
        </is>
      </c>
      <c r="AL170" s="43" t="inlineStr">
        <is>
          <t>自乗対抗人傷</t>
        </is>
      </c>
      <c r="AM170" s="43" t="inlineStr">
        <is>
          <t>自乗対抗車両</t>
        </is>
      </c>
      <c r="AN170" s="43" t="inlineStr">
        <is>
          <t>軽四基準対人</t>
        </is>
      </c>
      <c r="AO170" s="43" t="inlineStr">
        <is>
          <t>軽四基準対物</t>
        </is>
      </c>
      <c r="AP170" s="43" t="inlineStr">
        <is>
          <t>軽四基準人傷</t>
        </is>
      </c>
      <c r="AQ170" s="43" t="inlineStr">
        <is>
          <t>軽四基準車両</t>
        </is>
      </c>
      <c r="AR170" s="43" t="inlineStr">
        <is>
          <t>軽四対抗対人</t>
        </is>
      </c>
      <c r="AS170" s="43" t="inlineStr">
        <is>
          <t>軽四対抗対物</t>
        </is>
      </c>
      <c r="AT170" s="43" t="inlineStr">
        <is>
          <t>軽四対抗人傷</t>
        </is>
      </c>
      <c r="AU170" s="43" t="inlineStr">
        <is>
          <t>軽四対抗車両</t>
        </is>
      </c>
    </row>
    <row r="171">
      <c r="Z171" s="12">
        <f>Z170-5</f>
        <v/>
      </c>
      <c r="AA171" s="39" t="inlineStr">
        <is>
          <t>HY51</t>
        </is>
      </c>
      <c r="AB171" s="1" t="n">
        <v>2013</v>
      </c>
      <c r="AC171" s="1" t="n">
        <v>1</v>
      </c>
      <c r="AE171" s="31">
        <f>AE164</f>
        <v/>
      </c>
      <c r="AF171" s="39" t="inlineStr">
        <is>
          <t>120-180</t>
        </is>
      </c>
      <c r="AG171" s="39" t="inlineStr">
        <is>
          <t>120-180</t>
        </is>
      </c>
      <c r="AH171" s="39" t="inlineStr">
        <is>
          <t>120-180</t>
        </is>
      </c>
      <c r="AI171" s="39" t="inlineStr">
        <is>
          <t>195-255</t>
        </is>
      </c>
      <c r="AJ171" s="39" t="inlineStr">
        <is>
          <t>195-255</t>
        </is>
      </c>
      <c r="AK171" s="39" t="inlineStr">
        <is>
          <t>120-160</t>
        </is>
      </c>
      <c r="AL171" s="39" t="inlineStr">
        <is>
          <t>215-280</t>
        </is>
      </c>
      <c r="AM171" s="39" t="inlineStr">
        <is>
          <t>195-255</t>
        </is>
      </c>
      <c r="AN171" s="39" t="inlineStr">
        <is>
          <t>120-160</t>
        </is>
      </c>
      <c r="AO171" s="39" t="inlineStr">
        <is>
          <t>120-160</t>
        </is>
      </c>
      <c r="AP171" s="39" t="inlineStr">
        <is>
          <t>120-160</t>
        </is>
      </c>
      <c r="AQ171" s="39" t="inlineStr">
        <is>
          <t>120-160</t>
        </is>
      </c>
      <c r="AR171" s="39" t="inlineStr">
        <is>
          <t>90-120</t>
        </is>
      </c>
      <c r="AS171" s="39" t="inlineStr">
        <is>
          <t>120-160</t>
        </is>
      </c>
      <c r="AT171" s="39" t="inlineStr">
        <is>
          <t>135-180</t>
        </is>
      </c>
      <c r="AU171" s="39" t="inlineStr">
        <is>
          <t>135-180</t>
        </is>
      </c>
    </row>
    <row r="172">
      <c r="Z172" s="12">
        <f>Z171-5</f>
        <v/>
      </c>
      <c r="AA172" s="39" t="inlineStr">
        <is>
          <t>HY51</t>
        </is>
      </c>
      <c r="AB172" s="1" t="n">
        <v>2013</v>
      </c>
      <c r="AC172" s="1" t="n">
        <v>1</v>
      </c>
      <c r="AE172" s="31">
        <f>AE165</f>
        <v/>
      </c>
      <c r="AF172" s="39" t="inlineStr">
        <is>
          <t>110-175</t>
        </is>
      </c>
      <c r="AG172" s="39" t="inlineStr">
        <is>
          <t>110-175</t>
        </is>
      </c>
      <c r="AH172" s="39" t="inlineStr">
        <is>
          <t>110-175</t>
        </is>
      </c>
      <c r="AI172" s="39" t="inlineStr">
        <is>
          <t>185-245</t>
        </is>
      </c>
      <c r="AJ172" s="39" t="inlineStr">
        <is>
          <t>185-245</t>
        </is>
      </c>
      <c r="AK172" s="39" t="inlineStr">
        <is>
          <t>110-145</t>
        </is>
      </c>
      <c r="AL172" s="39" t="inlineStr">
        <is>
          <t>195-255</t>
        </is>
      </c>
      <c r="AM172" s="39" t="inlineStr">
        <is>
          <t>180-235</t>
        </is>
      </c>
      <c r="AN172" s="39" t="inlineStr">
        <is>
          <t>110-145</t>
        </is>
      </c>
      <c r="AO172" s="39" t="inlineStr">
        <is>
          <t>110-145</t>
        </is>
      </c>
      <c r="AP172" s="39" t="inlineStr">
        <is>
          <t>115-150</t>
        </is>
      </c>
      <c r="AQ172" s="39" t="inlineStr">
        <is>
          <t>110-145</t>
        </is>
      </c>
      <c r="AR172" s="39" t="inlineStr">
        <is>
          <t>85-115</t>
        </is>
      </c>
      <c r="AS172" s="39" t="inlineStr">
        <is>
          <t>115-150</t>
        </is>
      </c>
      <c r="AT172" s="39" t="inlineStr">
        <is>
          <t>130-170</t>
        </is>
      </c>
      <c r="AU172" s="39" t="inlineStr">
        <is>
          <t>130-170</t>
        </is>
      </c>
    </row>
    <row r="173">
      <c r="Z173" s="12">
        <f>Z172-5</f>
        <v/>
      </c>
      <c r="AA173" s="39" t="inlineStr">
        <is>
          <t>HY51</t>
        </is>
      </c>
      <c r="AB173" s="1" t="n">
        <v>2012</v>
      </c>
      <c r="AC173" s="1" t="n">
        <v>1</v>
      </c>
      <c r="AE173" s="31">
        <f>AE166</f>
        <v/>
      </c>
      <c r="AF173" s="39" t="inlineStr">
        <is>
          <t>110-145</t>
        </is>
      </c>
      <c r="AG173" s="39" t="inlineStr">
        <is>
          <t>110-145</t>
        </is>
      </c>
      <c r="AH173" s="39" t="inlineStr">
        <is>
          <t>110-145</t>
        </is>
      </c>
      <c r="AI173" s="39" t="inlineStr">
        <is>
          <t>180-235</t>
        </is>
      </c>
      <c r="AJ173" s="39" t="inlineStr">
        <is>
          <t>180-235</t>
        </is>
      </c>
      <c r="AK173" s="39" t="inlineStr">
        <is>
          <t>100-130</t>
        </is>
      </c>
      <c r="AL173" s="39" t="inlineStr">
        <is>
          <t>185-245</t>
        </is>
      </c>
      <c r="AM173" s="39" t="inlineStr">
        <is>
          <t>160-210</t>
        </is>
      </c>
      <c r="AN173" s="39" t="inlineStr">
        <is>
          <t>105-140</t>
        </is>
      </c>
      <c r="AO173" s="39" t="inlineStr">
        <is>
          <t>105-140</t>
        </is>
      </c>
      <c r="AP173" s="39" t="inlineStr">
        <is>
          <t>110-145</t>
        </is>
      </c>
      <c r="AQ173" s="39" t="inlineStr">
        <is>
          <t>105-140</t>
        </is>
      </c>
      <c r="AR173" s="39" t="inlineStr">
        <is>
          <t>80-105</t>
        </is>
      </c>
      <c r="AS173" s="39" t="inlineStr">
        <is>
          <t>110-145</t>
        </is>
      </c>
      <c r="AT173" s="39" t="inlineStr">
        <is>
          <t>120-160</t>
        </is>
      </c>
      <c r="AU173" s="39" t="inlineStr">
        <is>
          <t>120-160</t>
        </is>
      </c>
    </row>
    <row r="174">
      <c r="Z174" s="12">
        <f>Z173-5</f>
        <v/>
      </c>
      <c r="AA174" s="39" t="inlineStr">
        <is>
          <t>HY51</t>
        </is>
      </c>
      <c r="AB174" s="1" t="n">
        <v>2012</v>
      </c>
      <c r="AC174" s="1" t="n">
        <v>1</v>
      </c>
      <c r="AE174" s="31">
        <f>AE167</f>
        <v/>
      </c>
      <c r="AF174" s="39" t="inlineStr">
        <is>
          <t>100-130</t>
        </is>
      </c>
      <c r="AG174" s="39" t="inlineStr">
        <is>
          <t>100-130</t>
        </is>
      </c>
      <c r="AH174" s="39" t="inlineStr">
        <is>
          <t>100-130</t>
        </is>
      </c>
      <c r="AI174" s="39" t="inlineStr">
        <is>
          <t>150-195</t>
        </is>
      </c>
      <c r="AJ174" s="39" t="inlineStr">
        <is>
          <t>150-195</t>
        </is>
      </c>
      <c r="AK174" s="39" t="inlineStr">
        <is>
          <t>90-120</t>
        </is>
      </c>
      <c r="AL174" s="39" t="inlineStr">
        <is>
          <t>170-225</t>
        </is>
      </c>
      <c r="AM174" s="39" t="inlineStr">
        <is>
          <t>140-185</t>
        </is>
      </c>
      <c r="AN174" s="39" t="inlineStr">
        <is>
          <t>100-130</t>
        </is>
      </c>
      <c r="AO174" s="39" t="inlineStr">
        <is>
          <t>100-130</t>
        </is>
      </c>
      <c r="AP174" s="39" t="inlineStr">
        <is>
          <t>105-140</t>
        </is>
      </c>
      <c r="AQ174" s="39" t="inlineStr">
        <is>
          <t>100-130</t>
        </is>
      </c>
      <c r="AR174" s="39" t="inlineStr">
        <is>
          <t>75-100</t>
        </is>
      </c>
      <c r="AS174" s="39" t="inlineStr">
        <is>
          <t>105-140</t>
        </is>
      </c>
      <c r="AT174" s="39" t="inlineStr">
        <is>
          <t>115-150</t>
        </is>
      </c>
      <c r="AU174" s="39" t="inlineStr">
        <is>
          <t>115-150</t>
        </is>
      </c>
    </row>
    <row r="175">
      <c r="Z175" s="12">
        <f>Z174-5</f>
        <v/>
      </c>
      <c r="AA175" s="39" t="inlineStr">
        <is>
          <t>HY51</t>
        </is>
      </c>
      <c r="AB175" s="1" t="n">
        <v>2012</v>
      </c>
      <c r="AC175" s="1" t="n">
        <v>1</v>
      </c>
      <c r="AE175" s="31">
        <f>AE168</f>
        <v/>
      </c>
      <c r="AF175" s="39" t="inlineStr">
        <is>
          <t>85-115</t>
        </is>
      </c>
      <c r="AG175" s="39" t="inlineStr">
        <is>
          <t>85-115</t>
        </is>
      </c>
      <c r="AH175" s="39" t="inlineStr">
        <is>
          <t>85-115</t>
        </is>
      </c>
      <c r="AI175" s="39" t="inlineStr">
        <is>
          <t>140-185</t>
        </is>
      </c>
      <c r="AJ175" s="39" t="inlineStr">
        <is>
          <t>140-185</t>
        </is>
      </c>
      <c r="AK175" s="39" t="inlineStr">
        <is>
          <t>80-105</t>
        </is>
      </c>
      <c r="AL175" s="39" t="inlineStr">
        <is>
          <t>155-205</t>
        </is>
      </c>
      <c r="AM175" s="39" t="inlineStr">
        <is>
          <t>130-170</t>
        </is>
      </c>
      <c r="AN175" s="39" t="inlineStr">
        <is>
          <t>95-125</t>
        </is>
      </c>
      <c r="AO175" s="39" t="inlineStr">
        <is>
          <t>95-125</t>
        </is>
      </c>
      <c r="AP175" s="39" t="inlineStr">
        <is>
          <t>95-125</t>
        </is>
      </c>
      <c r="AQ175" s="39" t="inlineStr">
        <is>
          <t>95-125</t>
        </is>
      </c>
      <c r="AR175" s="39" t="inlineStr">
        <is>
          <t>70-95</t>
        </is>
      </c>
      <c r="AS175" s="39" t="inlineStr">
        <is>
          <t>95-125</t>
        </is>
      </c>
      <c r="AT175" s="39" t="inlineStr">
        <is>
          <t>110-145</t>
        </is>
      </c>
      <c r="AU175" s="39" t="inlineStr">
        <is>
          <t>110-145</t>
        </is>
      </c>
    </row>
    <row r="176">
      <c r="Z176" s="12">
        <f>Z175-5</f>
        <v/>
      </c>
      <c r="AA176" s="39" t="inlineStr">
        <is>
          <t>HY51</t>
        </is>
      </c>
      <c r="AB176" s="1" t="n">
        <v>2012</v>
      </c>
      <c r="AC176" s="1" t="n">
        <v>1</v>
      </c>
    </row>
    <row r="177">
      <c r="Z177" s="12">
        <f>Z176-5</f>
        <v/>
      </c>
      <c r="AA177" s="39" t="inlineStr">
        <is>
          <t>HY51</t>
        </is>
      </c>
      <c r="AB177" s="1" t="n">
        <v>2011</v>
      </c>
      <c r="AC177" s="1" t="n">
        <v>1</v>
      </c>
      <c r="AE177" s="42" t="inlineStr">
        <is>
          <t>保険金額設定</t>
        </is>
      </c>
      <c r="AF177" s="43" t="inlineStr">
        <is>
          <t>自乗基準対人</t>
        </is>
      </c>
      <c r="AG177" s="43" t="inlineStr">
        <is>
          <t>自乗基準対物</t>
        </is>
      </c>
      <c r="AH177" s="43" t="inlineStr">
        <is>
          <t>自乗基準人傷</t>
        </is>
      </c>
      <c r="AI177" s="43" t="inlineStr">
        <is>
          <t>自乗基準車両</t>
        </is>
      </c>
      <c r="AJ177" s="43" t="inlineStr">
        <is>
          <t>自乗対抗対人</t>
        </is>
      </c>
      <c r="AK177" s="43" t="inlineStr">
        <is>
          <t>自乗対抗対物</t>
        </is>
      </c>
      <c r="AL177" s="43" t="inlineStr">
        <is>
          <t>自乗対抗人傷</t>
        </is>
      </c>
      <c r="AM177" s="43" t="inlineStr">
        <is>
          <t>自乗対抗車両</t>
        </is>
      </c>
      <c r="AN177" s="43" t="inlineStr">
        <is>
          <t>軽四基準対人</t>
        </is>
      </c>
      <c r="AO177" s="43" t="inlineStr">
        <is>
          <t>軽四基準対物</t>
        </is>
      </c>
      <c r="AP177" s="43" t="inlineStr">
        <is>
          <t>軽四基準人傷</t>
        </is>
      </c>
      <c r="AQ177" s="43" t="inlineStr">
        <is>
          <t>軽四基準車両</t>
        </is>
      </c>
      <c r="AR177" s="43" t="inlineStr">
        <is>
          <t>軽四対抗対人</t>
        </is>
      </c>
      <c r="AS177" s="43" t="inlineStr">
        <is>
          <t>軽四対抗対物</t>
        </is>
      </c>
      <c r="AT177" s="43" t="inlineStr">
        <is>
          <t>軽四対抗人傷</t>
        </is>
      </c>
      <c r="AU177" s="43" t="inlineStr">
        <is>
          <t>軽四対抗車両</t>
        </is>
      </c>
    </row>
    <row r="178">
      <c r="Z178" s="12">
        <f>Z177-5</f>
        <v/>
      </c>
      <c r="AA178" s="39" t="inlineStr">
        <is>
          <t>HY51</t>
        </is>
      </c>
      <c r="AB178" s="1" t="n">
        <v>2011</v>
      </c>
      <c r="AC178" s="1" t="n">
        <v>1</v>
      </c>
      <c r="AE178" s="31">
        <f>AE171</f>
        <v/>
      </c>
      <c r="AF178" s="39" t="n">
        <v>150</v>
      </c>
      <c r="AG178" s="39" t="n">
        <v>150</v>
      </c>
      <c r="AH178" s="39" t="n">
        <v>150</v>
      </c>
      <c r="AI178" s="39" t="n">
        <v>220</v>
      </c>
      <c r="AJ178" s="39" t="n">
        <v>220</v>
      </c>
      <c r="AK178" s="39" t="n">
        <v>140</v>
      </c>
      <c r="AL178" s="39" t="n">
        <v>240</v>
      </c>
      <c r="AM178" s="39" t="n">
        <v>220</v>
      </c>
      <c r="AN178" s="39" t="n">
        <v>140</v>
      </c>
      <c r="AO178" s="39" t="n">
        <v>140</v>
      </c>
      <c r="AP178" s="39" t="n">
        <v>140</v>
      </c>
      <c r="AQ178" s="39" t="n">
        <v>140</v>
      </c>
      <c r="AR178" s="39" t="n">
        <v>110</v>
      </c>
      <c r="AS178" s="39" t="n">
        <v>140</v>
      </c>
      <c r="AT178" s="39" t="n">
        <v>160</v>
      </c>
      <c r="AU178" s="39" t="n">
        <v>140</v>
      </c>
    </row>
    <row r="179">
      <c r="Z179" s="12">
        <f>Z178-5</f>
        <v/>
      </c>
      <c r="AA179" s="39" t="inlineStr">
        <is>
          <t>HY51</t>
        </is>
      </c>
      <c r="AB179" s="1" t="n">
        <v>2011</v>
      </c>
      <c r="AC179" s="1" t="n">
        <v>1</v>
      </c>
      <c r="AE179" s="31">
        <f>AE172</f>
        <v/>
      </c>
      <c r="AF179" s="39" t="n">
        <v>150</v>
      </c>
      <c r="AG179" s="39" t="n">
        <v>150</v>
      </c>
      <c r="AH179" s="39" t="n">
        <v>150</v>
      </c>
      <c r="AI179" s="39" t="n">
        <v>210</v>
      </c>
      <c r="AJ179" s="39" t="n">
        <v>210</v>
      </c>
      <c r="AK179" s="39" t="n">
        <v>125</v>
      </c>
      <c r="AL179" s="39" t="n">
        <v>220</v>
      </c>
      <c r="AM179" s="39" t="n">
        <v>210</v>
      </c>
      <c r="AN179" s="39" t="n">
        <v>140</v>
      </c>
      <c r="AO179" s="39" t="n">
        <v>140</v>
      </c>
      <c r="AP179" s="39" t="n">
        <v>130</v>
      </c>
      <c r="AQ179" s="39" t="n">
        <v>140</v>
      </c>
      <c r="AR179" s="39" t="n">
        <v>100</v>
      </c>
      <c r="AS179" s="39" t="n">
        <v>130</v>
      </c>
      <c r="AT179" s="39" t="n">
        <v>150</v>
      </c>
      <c r="AU179" s="39" t="n">
        <v>140</v>
      </c>
    </row>
    <row r="180">
      <c r="Z180" s="12">
        <f>Z179-5</f>
        <v/>
      </c>
      <c r="AA180" s="39" t="inlineStr">
        <is>
          <t>HY51</t>
        </is>
      </c>
      <c r="AB180" s="1" t="n">
        <v>2010</v>
      </c>
      <c r="AC180" s="1" t="n">
        <v>12</v>
      </c>
      <c r="AE180" s="31">
        <f>AE173</f>
        <v/>
      </c>
      <c r="AF180" s="39" t="n">
        <v>125</v>
      </c>
      <c r="AG180" s="39" t="n">
        <v>125</v>
      </c>
      <c r="AH180" s="39" t="n">
        <v>125</v>
      </c>
      <c r="AI180" s="39" t="n">
        <v>190</v>
      </c>
      <c r="AJ180" s="39" t="n">
        <v>190</v>
      </c>
      <c r="AK180" s="39" t="n">
        <v>115</v>
      </c>
      <c r="AL180" s="39" t="n">
        <v>200</v>
      </c>
      <c r="AM180" s="39" t="n">
        <v>190</v>
      </c>
      <c r="AN180" s="39" t="n">
        <v>130</v>
      </c>
      <c r="AO180" s="39" t="n">
        <v>130</v>
      </c>
      <c r="AP180" s="39" t="n">
        <v>120</v>
      </c>
      <c r="AQ180" s="39" t="n">
        <v>130</v>
      </c>
      <c r="AR180" s="39" t="n">
        <v>90</v>
      </c>
      <c r="AS180" s="39" t="n">
        <v>120</v>
      </c>
      <c r="AT180" s="39" t="n">
        <v>140</v>
      </c>
      <c r="AU180" s="39" t="n">
        <v>130</v>
      </c>
    </row>
    <row r="181">
      <c r="Z181" s="12">
        <f>Z180-5</f>
        <v/>
      </c>
      <c r="AA181" s="39" t="inlineStr">
        <is>
          <t>HY51</t>
        </is>
      </c>
      <c r="AB181" s="1" t="n">
        <v>2010</v>
      </c>
      <c r="AC181" s="1" t="n">
        <v>12</v>
      </c>
      <c r="AE181" s="31">
        <f>AE174</f>
        <v/>
      </c>
      <c r="AF181" s="39" t="n">
        <v>115</v>
      </c>
      <c r="AG181" s="39" t="n">
        <v>115</v>
      </c>
      <c r="AH181" s="39" t="n">
        <v>115</v>
      </c>
      <c r="AI181" s="39" t="n">
        <v>160</v>
      </c>
      <c r="AJ181" s="39" t="n">
        <v>160</v>
      </c>
      <c r="AK181" s="39" t="n">
        <v>110</v>
      </c>
      <c r="AL181" s="39" t="n">
        <v>200</v>
      </c>
      <c r="AM181" s="39" t="n">
        <v>160</v>
      </c>
      <c r="AN181" s="39" t="n">
        <v>125</v>
      </c>
      <c r="AO181" s="39" t="n">
        <v>125</v>
      </c>
      <c r="AP181" s="39" t="n">
        <v>120</v>
      </c>
      <c r="AQ181" s="39" t="n">
        <v>125</v>
      </c>
      <c r="AR181" s="39" t="n">
        <v>85</v>
      </c>
      <c r="AS181" s="39" t="n">
        <v>120</v>
      </c>
      <c r="AT181" s="39" t="n">
        <v>130</v>
      </c>
      <c r="AU181" s="39" t="n">
        <v>125</v>
      </c>
    </row>
    <row r="182">
      <c r="Z182" s="12">
        <f>Z181-5</f>
        <v/>
      </c>
      <c r="AA182" s="39" t="inlineStr">
        <is>
          <t>HY51</t>
        </is>
      </c>
      <c r="AB182" s="1" t="n">
        <v>2010</v>
      </c>
      <c r="AC182" s="1" t="n">
        <v>12</v>
      </c>
      <c r="AE182" s="31">
        <f>AE175</f>
        <v/>
      </c>
      <c r="AF182" s="39" t="n">
        <v>100</v>
      </c>
      <c r="AG182" s="39" t="n">
        <v>100</v>
      </c>
      <c r="AH182" s="39" t="n">
        <v>100</v>
      </c>
      <c r="AI182" s="39" t="n">
        <v>150</v>
      </c>
      <c r="AJ182" s="39" t="n">
        <v>150</v>
      </c>
      <c r="AK182" s="39" t="n">
        <v>95</v>
      </c>
      <c r="AL182" s="39" t="n">
        <v>180</v>
      </c>
      <c r="AM182" s="39" t="n">
        <v>150</v>
      </c>
      <c r="AN182" s="39" t="n">
        <v>115</v>
      </c>
      <c r="AO182" s="39" t="n">
        <v>115</v>
      </c>
      <c r="AP182" s="39" t="n">
        <v>110</v>
      </c>
      <c r="AQ182" s="39" t="n">
        <v>115</v>
      </c>
      <c r="AR182" s="39" t="n">
        <v>80</v>
      </c>
      <c r="AS182" s="39" t="n">
        <v>110</v>
      </c>
      <c r="AT182" s="39" t="n">
        <v>130</v>
      </c>
      <c r="AU182" s="39" t="n">
        <v>115</v>
      </c>
    </row>
    <row r="183">
      <c r="Z183" s="12" t="n">
        <v>105</v>
      </c>
      <c r="AA183" s="39" t="inlineStr">
        <is>
          <t>Z12</t>
        </is>
      </c>
      <c r="AB183" s="1" t="n">
        <v>2017</v>
      </c>
      <c r="AC183" s="1" t="n">
        <v>12</v>
      </c>
    </row>
    <row r="184">
      <c r="Z184" s="12">
        <f>Z183-5</f>
        <v/>
      </c>
      <c r="AA184" s="39" t="inlineStr">
        <is>
          <t>Z12</t>
        </is>
      </c>
      <c r="AB184" s="1" t="n">
        <v>2017</v>
      </c>
      <c r="AC184" s="1" t="n">
        <v>12</v>
      </c>
      <c r="AE184" s="31" t="inlineStr">
        <is>
          <t>対人</t>
        </is>
      </c>
      <c r="AF184" s="35" t="n">
        <v>7</v>
      </c>
      <c r="AG184" s="35" t="n">
        <v>7</v>
      </c>
      <c r="AH184" s="35" t="n">
        <v>7</v>
      </c>
      <c r="AI184" s="35" t="n">
        <v>5</v>
      </c>
      <c r="AJ184" s="35" t="n">
        <v>5</v>
      </c>
      <c r="AK184" s="35" t="n">
        <v>7</v>
      </c>
      <c r="AL184" s="35" t="n">
        <v>7</v>
      </c>
      <c r="AM184" s="35" t="n">
        <v>5</v>
      </c>
      <c r="AN184" s="35" t="n">
        <v>3</v>
      </c>
      <c r="AO184" s="35" t="n">
        <v>3</v>
      </c>
      <c r="AP184" s="35" t="n">
        <v>3</v>
      </c>
      <c r="AQ184" s="35" t="n">
        <v>3</v>
      </c>
      <c r="AR184" s="35" t="n">
        <v>2</v>
      </c>
      <c r="AS184" s="35" t="n">
        <v>3</v>
      </c>
      <c r="AT184" s="35" t="n">
        <v>3</v>
      </c>
      <c r="AU184" s="35" t="n">
        <v>3</v>
      </c>
    </row>
    <row r="185">
      <c r="Z185" s="12">
        <f>Z184-5</f>
        <v/>
      </c>
      <c r="AA185" s="39" t="inlineStr">
        <is>
          <t>Z12</t>
        </is>
      </c>
      <c r="AB185" s="1" t="n">
        <v>2017</v>
      </c>
      <c r="AC185" s="1" t="n">
        <v>12</v>
      </c>
      <c r="AE185" s="31" t="inlineStr">
        <is>
          <t>対物</t>
        </is>
      </c>
      <c r="AF185" s="35" t="n">
        <v>6</v>
      </c>
      <c r="AG185" s="35" t="n">
        <v>6</v>
      </c>
      <c r="AH185" s="35" t="n">
        <v>6</v>
      </c>
      <c r="AI185" s="35" t="n">
        <v>6</v>
      </c>
      <c r="AJ185" s="35" t="n">
        <v>6</v>
      </c>
      <c r="AK185" s="35" t="n">
        <v>7</v>
      </c>
      <c r="AL185" s="35" t="n">
        <v>6</v>
      </c>
      <c r="AM185" s="35" t="n">
        <v>6</v>
      </c>
      <c r="AN185" s="35" t="n">
        <v>3</v>
      </c>
      <c r="AO185" s="35" t="n">
        <v>3</v>
      </c>
      <c r="AP185" s="35" t="n">
        <v>1</v>
      </c>
      <c r="AQ185" s="35" t="n">
        <v>3</v>
      </c>
      <c r="AR185" s="35" t="n">
        <v>1</v>
      </c>
      <c r="AS185" s="35" t="n">
        <v>1</v>
      </c>
      <c r="AT185" s="35" t="n">
        <v>1</v>
      </c>
      <c r="AU185" s="35" t="n">
        <v>3</v>
      </c>
    </row>
    <row r="186">
      <c r="Z186" s="12">
        <f>Z185-5</f>
        <v/>
      </c>
      <c r="AA186" s="39" t="inlineStr">
        <is>
          <t>Z12</t>
        </is>
      </c>
      <c r="AB186" s="1" t="n">
        <v>2017</v>
      </c>
      <c r="AC186" s="1" t="n">
        <v>12</v>
      </c>
      <c r="AE186" s="31" t="inlineStr">
        <is>
          <t>搭傷</t>
        </is>
      </c>
      <c r="AF186" s="35" t="n">
        <v>6</v>
      </c>
      <c r="AG186" s="35" t="n">
        <v>6</v>
      </c>
      <c r="AH186" s="35" t="n">
        <v>6</v>
      </c>
      <c r="AI186" s="35" t="n">
        <v>6</v>
      </c>
      <c r="AJ186" s="35" t="n">
        <v>6</v>
      </c>
      <c r="AK186" s="35" t="n">
        <v>6</v>
      </c>
      <c r="AL186" s="35" t="n">
        <v>9</v>
      </c>
      <c r="AM186" s="35" t="n">
        <v>6</v>
      </c>
      <c r="AN186" s="35" t="n">
        <v>2</v>
      </c>
      <c r="AO186" s="35" t="n">
        <v>2</v>
      </c>
      <c r="AP186" s="35" t="n">
        <v>2</v>
      </c>
      <c r="AQ186" s="35" t="n">
        <v>2</v>
      </c>
      <c r="AR186" s="35" t="n">
        <v>2</v>
      </c>
      <c r="AS186" s="35" t="n">
        <v>2</v>
      </c>
      <c r="AT186" s="35" t="n">
        <v>3</v>
      </c>
      <c r="AU186" s="35" t="n">
        <v>2</v>
      </c>
    </row>
    <row r="187">
      <c r="Z187" s="12">
        <f>Z186-5</f>
        <v/>
      </c>
      <c r="AA187" s="39" t="inlineStr">
        <is>
          <t>Z12</t>
        </is>
      </c>
      <c r="AB187" s="1" t="n">
        <v>2017</v>
      </c>
      <c r="AC187" s="1" t="n">
        <v>12</v>
      </c>
      <c r="AE187" s="31" t="inlineStr">
        <is>
          <t>車両</t>
        </is>
      </c>
      <c r="AF187" s="35" t="n">
        <v>5</v>
      </c>
      <c r="AG187" s="35" t="n">
        <v>5</v>
      </c>
      <c r="AH187" s="35" t="n">
        <v>5</v>
      </c>
      <c r="AI187" s="35" t="n">
        <v>6</v>
      </c>
      <c r="AJ187" s="35" t="n">
        <v>6</v>
      </c>
      <c r="AK187" s="35" t="n">
        <v>5</v>
      </c>
      <c r="AL187" s="35" t="n">
        <v>7</v>
      </c>
      <c r="AM187" s="35" t="n">
        <v>9</v>
      </c>
      <c r="AN187" s="35" t="n">
        <v>1</v>
      </c>
      <c r="AO187" s="35" t="n">
        <v>1</v>
      </c>
      <c r="AP187" s="35" t="n">
        <v>2</v>
      </c>
      <c r="AQ187" s="35" t="n">
        <v>1</v>
      </c>
      <c r="AR187" s="35" t="n">
        <v>2</v>
      </c>
      <c r="AS187" s="35" t="n">
        <v>2</v>
      </c>
      <c r="AT187" s="35" t="n">
        <v>3</v>
      </c>
      <c r="AU187" s="35" t="n">
        <v>3</v>
      </c>
    </row>
    <row r="188">
      <c r="Z188" s="12">
        <f>Z187-5</f>
        <v/>
      </c>
      <c r="AA188" s="39" t="inlineStr">
        <is>
          <t>Z12</t>
        </is>
      </c>
      <c r="AB188" s="1" t="n">
        <v>2017</v>
      </c>
      <c r="AC188" s="1" t="n">
        <v>12</v>
      </c>
      <c r="AF188" s="39">
        <f>AF164</f>
        <v/>
      </c>
      <c r="AG188" s="39">
        <f>AG164</f>
        <v/>
      </c>
      <c r="AH188" s="39">
        <f>AH164</f>
        <v/>
      </c>
      <c r="AI188" s="39">
        <f>AI164</f>
        <v/>
      </c>
      <c r="AJ188" s="39">
        <f>AJ164</f>
        <v/>
      </c>
      <c r="AK188" s="39">
        <f>AK164</f>
        <v/>
      </c>
      <c r="AL188" s="39">
        <f>AL164</f>
        <v/>
      </c>
      <c r="AM188" s="39">
        <f>AM164</f>
        <v/>
      </c>
      <c r="AN188" s="39">
        <f>AN164</f>
        <v/>
      </c>
      <c r="AO188" s="39">
        <f>AO164</f>
        <v/>
      </c>
      <c r="AP188" s="39">
        <f>AP164</f>
        <v/>
      </c>
      <c r="AQ188" s="39">
        <f>AQ164</f>
        <v/>
      </c>
      <c r="AR188" s="39">
        <f>AR164</f>
        <v/>
      </c>
      <c r="AS188" s="39">
        <f>AS164</f>
        <v/>
      </c>
      <c r="AT188" s="39">
        <f>AT164</f>
        <v/>
      </c>
      <c r="AU188" s="39">
        <f>AU164</f>
        <v/>
      </c>
    </row>
    <row r="189">
      <c r="Z189" s="12">
        <f>Z188-5</f>
        <v/>
      </c>
      <c r="AA189" s="39" t="inlineStr">
        <is>
          <t>Z12</t>
        </is>
      </c>
      <c r="AB189" s="1" t="n">
        <v>2016</v>
      </c>
      <c r="AC189" s="1" t="n">
        <v>12</v>
      </c>
    </row>
    <row r="190">
      <c r="Z190" s="12">
        <f>Z189-5</f>
        <v/>
      </c>
      <c r="AA190" s="39" t="inlineStr">
        <is>
          <t>Z12</t>
        </is>
      </c>
      <c r="AB190" s="1" t="n">
        <v>2016</v>
      </c>
      <c r="AC190" s="1" t="n">
        <v>12</v>
      </c>
    </row>
    <row r="191">
      <c r="Z191" s="12">
        <f>Z190-5</f>
        <v/>
      </c>
      <c r="AA191" s="39" t="inlineStr">
        <is>
          <t>Z12</t>
        </is>
      </c>
      <c r="AB191" s="1" t="n">
        <v>2016</v>
      </c>
      <c r="AC191" s="1" t="n">
        <v>12</v>
      </c>
      <c r="AE191" s="42" t="inlineStr">
        <is>
          <t>用途車種</t>
        </is>
      </c>
      <c r="AF191" s="43" t="inlineStr">
        <is>
          <t>自乗基準対人</t>
        </is>
      </c>
      <c r="AG191" s="43" t="inlineStr">
        <is>
          <t>自乗基準対物</t>
        </is>
      </c>
      <c r="AH191" s="43" t="inlineStr">
        <is>
          <t>自乗基準人傷</t>
        </is>
      </c>
      <c r="AI191" s="43" t="inlineStr">
        <is>
          <t>自乗基準車両</t>
        </is>
      </c>
      <c r="AJ191" s="43" t="inlineStr">
        <is>
          <t>自乗対抗対人</t>
        </is>
      </c>
      <c r="AK191" s="43" t="inlineStr">
        <is>
          <t>自乗対抗対物</t>
        </is>
      </c>
      <c r="AL191" s="43" t="inlineStr">
        <is>
          <t>自乗対抗人傷</t>
        </is>
      </c>
      <c r="AM191" s="43" t="inlineStr">
        <is>
          <t>自乗対抗車両</t>
        </is>
      </c>
      <c r="AN191" s="43" t="inlineStr">
        <is>
          <t>軽四基準対人</t>
        </is>
      </c>
      <c r="AO191" s="43" t="inlineStr">
        <is>
          <t>軽四基準対物</t>
        </is>
      </c>
      <c r="AP191" s="43" t="inlineStr">
        <is>
          <t>軽四基準人傷</t>
        </is>
      </c>
      <c r="AQ191" s="43" t="inlineStr">
        <is>
          <t>軽四基準車両</t>
        </is>
      </c>
      <c r="AR191" s="43" t="inlineStr">
        <is>
          <t>軽四対抗対人</t>
        </is>
      </c>
      <c r="AS191" s="43" t="inlineStr">
        <is>
          <t>軽四対抗対物</t>
        </is>
      </c>
      <c r="AT191" s="43" t="inlineStr">
        <is>
          <t>軽四対抗人傷</t>
        </is>
      </c>
      <c r="AU191" s="43" t="inlineStr">
        <is>
          <t>軽四対抗車両</t>
        </is>
      </c>
    </row>
    <row r="192">
      <c r="Z192" s="12">
        <f>Z191-5</f>
        <v/>
      </c>
      <c r="AA192" s="39" t="inlineStr">
        <is>
          <t>Z12</t>
        </is>
      </c>
      <c r="AB192" s="1" t="n">
        <v>2015</v>
      </c>
      <c r="AC192" s="1" t="n">
        <v>12</v>
      </c>
      <c r="AE192" s="31">
        <f>AE178</f>
        <v/>
      </c>
      <c r="AF192" s="39" t="inlineStr">
        <is>
          <t>自小乗</t>
        </is>
      </c>
      <c r="AG192" s="39" t="inlineStr">
        <is>
          <t>自小乗</t>
        </is>
      </c>
      <c r="AH192" s="39" t="inlineStr">
        <is>
          <t>自小乗</t>
        </is>
      </c>
      <c r="AI192" s="39" t="inlineStr">
        <is>
          <t>自小乗</t>
        </is>
      </c>
      <c r="AJ192" s="39" t="inlineStr">
        <is>
          <t>自小乗</t>
        </is>
      </c>
      <c r="AK192" s="39" t="inlineStr">
        <is>
          <t>自小乗</t>
        </is>
      </c>
      <c r="AL192" s="39" t="inlineStr">
        <is>
          <t>自小乗</t>
        </is>
      </c>
      <c r="AM192" s="39" t="inlineStr">
        <is>
          <t>自小乗</t>
        </is>
      </c>
      <c r="AN192" s="39" t="inlineStr">
        <is>
          <t>自軽四乗</t>
        </is>
      </c>
      <c r="AO192" s="39" t="inlineStr">
        <is>
          <t>自軽四乗</t>
        </is>
      </c>
      <c r="AP192" s="39" t="inlineStr">
        <is>
          <t>自軽四乗</t>
        </is>
      </c>
      <c r="AQ192" s="39" t="inlineStr">
        <is>
          <t>自軽四乗</t>
        </is>
      </c>
      <c r="AR192" s="39" t="inlineStr">
        <is>
          <t>自軽四乗</t>
        </is>
      </c>
      <c r="AS192" s="39" t="inlineStr">
        <is>
          <t>自軽四乗</t>
        </is>
      </c>
      <c r="AT192" s="39" t="inlineStr">
        <is>
          <t>自軽四乗</t>
        </is>
      </c>
      <c r="AU192" s="39" t="inlineStr">
        <is>
          <t>自軽四乗</t>
        </is>
      </c>
    </row>
    <row r="193">
      <c r="Z193" s="12">
        <f>Z192-5</f>
        <v/>
      </c>
      <c r="AA193" s="39" t="inlineStr">
        <is>
          <t>Z12</t>
        </is>
      </c>
      <c r="AB193" s="1" t="n">
        <v>2015</v>
      </c>
      <c r="AC193" s="1" t="n">
        <v>12</v>
      </c>
      <c r="AE193" s="31">
        <f>AE179</f>
        <v/>
      </c>
      <c r="AF193" s="39" t="inlineStr">
        <is>
          <t>自小乗</t>
        </is>
      </c>
      <c r="AG193" s="39" t="inlineStr">
        <is>
          <t>自小乗</t>
        </is>
      </c>
      <c r="AH193" s="39" t="inlineStr">
        <is>
          <t>自小乗</t>
        </is>
      </c>
      <c r="AI193" s="39" t="inlineStr">
        <is>
          <t>自小乗</t>
        </is>
      </c>
      <c r="AJ193" s="39" t="inlineStr">
        <is>
          <t>自小乗</t>
        </is>
      </c>
      <c r="AK193" s="39" t="inlineStr">
        <is>
          <t>自小乗</t>
        </is>
      </c>
      <c r="AL193" s="39" t="inlineStr">
        <is>
          <t>自小乗</t>
        </is>
      </c>
      <c r="AM193" s="39" t="inlineStr">
        <is>
          <t>自小乗</t>
        </is>
      </c>
      <c r="AN193" s="39" t="inlineStr">
        <is>
          <t>自軽四乗</t>
        </is>
      </c>
      <c r="AO193" s="39" t="inlineStr">
        <is>
          <t>自軽四乗</t>
        </is>
      </c>
      <c r="AP193" s="39" t="inlineStr">
        <is>
          <t>自軽四乗</t>
        </is>
      </c>
      <c r="AQ193" s="39" t="inlineStr">
        <is>
          <t>自軽四乗</t>
        </is>
      </c>
      <c r="AR193" s="39" t="inlineStr">
        <is>
          <t>自軽四乗</t>
        </is>
      </c>
      <c r="AS193" s="39" t="inlineStr">
        <is>
          <t>自軽四乗</t>
        </is>
      </c>
      <c r="AT193" s="39" t="inlineStr">
        <is>
          <t>自軽四乗</t>
        </is>
      </c>
      <c r="AU193" s="39" t="inlineStr">
        <is>
          <t>自軽四乗</t>
        </is>
      </c>
    </row>
    <row r="194">
      <c r="Z194" s="12">
        <f>Z193-5</f>
        <v/>
      </c>
      <c r="AA194" s="39" t="inlineStr">
        <is>
          <t>Z12</t>
        </is>
      </c>
      <c r="AB194" s="1" t="n">
        <v>2015</v>
      </c>
      <c r="AC194" s="1" t="n">
        <v>12</v>
      </c>
      <c r="AE194" s="31">
        <f>AE180</f>
        <v/>
      </c>
      <c r="AF194" s="39" t="inlineStr">
        <is>
          <t>自小乗</t>
        </is>
      </c>
      <c r="AG194" s="39" t="inlineStr">
        <is>
          <t>自小乗</t>
        </is>
      </c>
      <c r="AH194" s="39" t="inlineStr">
        <is>
          <t>自小乗</t>
        </is>
      </c>
      <c r="AI194" s="39" t="inlineStr">
        <is>
          <t>自小乗</t>
        </is>
      </c>
      <c r="AJ194" s="39" t="inlineStr">
        <is>
          <t>自小乗</t>
        </is>
      </c>
      <c r="AK194" s="39" t="inlineStr">
        <is>
          <t>自小乗</t>
        </is>
      </c>
      <c r="AL194" s="39" t="inlineStr">
        <is>
          <t>自小乗</t>
        </is>
      </c>
      <c r="AM194" s="39" t="inlineStr">
        <is>
          <t>自小乗</t>
        </is>
      </c>
      <c r="AN194" s="39" t="inlineStr">
        <is>
          <t>自軽四乗</t>
        </is>
      </c>
      <c r="AO194" s="39" t="inlineStr">
        <is>
          <t>自軽四乗</t>
        </is>
      </c>
      <c r="AP194" s="39" t="inlineStr">
        <is>
          <t>自軽四乗</t>
        </is>
      </c>
      <c r="AQ194" s="39" t="inlineStr">
        <is>
          <t>自軽四乗</t>
        </is>
      </c>
      <c r="AR194" s="39" t="inlineStr">
        <is>
          <t>自軽四乗</t>
        </is>
      </c>
      <c r="AS194" s="39" t="inlineStr">
        <is>
          <t>自軽四乗</t>
        </is>
      </c>
      <c r="AT194" s="39" t="inlineStr">
        <is>
          <t>自軽四乗</t>
        </is>
      </c>
      <c r="AU194" s="39" t="inlineStr">
        <is>
          <t>自軽四乗</t>
        </is>
      </c>
    </row>
    <row r="195">
      <c r="Z195" s="12">
        <f>Z194-5</f>
        <v/>
      </c>
      <c r="AA195" s="39" t="inlineStr">
        <is>
          <t>Z12</t>
        </is>
      </c>
      <c r="AB195" s="1" t="n">
        <v>2014</v>
      </c>
      <c r="AC195" s="1" t="n">
        <v>12</v>
      </c>
      <c r="AE195" s="31">
        <f>AE181</f>
        <v/>
      </c>
      <c r="AF195" s="39" t="inlineStr">
        <is>
          <t>自小乗</t>
        </is>
      </c>
      <c r="AG195" s="39" t="inlineStr">
        <is>
          <t>自小乗</t>
        </is>
      </c>
      <c r="AH195" s="39" t="inlineStr">
        <is>
          <t>自小乗</t>
        </is>
      </c>
      <c r="AI195" s="39" t="inlineStr">
        <is>
          <t>自小乗</t>
        </is>
      </c>
      <c r="AJ195" s="39" t="inlineStr">
        <is>
          <t>自小乗</t>
        </is>
      </c>
      <c r="AK195" s="39" t="inlineStr">
        <is>
          <t>自小乗</t>
        </is>
      </c>
      <c r="AL195" s="39" t="inlineStr">
        <is>
          <t>自小乗</t>
        </is>
      </c>
      <c r="AM195" s="39" t="inlineStr">
        <is>
          <t>自小乗</t>
        </is>
      </c>
      <c r="AN195" s="39" t="inlineStr">
        <is>
          <t>自軽四乗</t>
        </is>
      </c>
      <c r="AO195" s="39" t="inlineStr">
        <is>
          <t>自軽四乗</t>
        </is>
      </c>
      <c r="AP195" s="39" t="inlineStr">
        <is>
          <t>自軽四乗</t>
        </is>
      </c>
      <c r="AQ195" s="39" t="inlineStr">
        <is>
          <t>自軽四乗</t>
        </is>
      </c>
      <c r="AR195" s="39" t="inlineStr">
        <is>
          <t>自軽四乗</t>
        </is>
      </c>
      <c r="AS195" s="39" t="inlineStr">
        <is>
          <t>自軽四乗</t>
        </is>
      </c>
      <c r="AT195" s="39" t="inlineStr">
        <is>
          <t>自軽四乗</t>
        </is>
      </c>
      <c r="AU195" s="39" t="inlineStr">
        <is>
          <t>自軽四乗</t>
        </is>
      </c>
    </row>
    <row r="196">
      <c r="Z196" s="12">
        <f>Z195-5</f>
        <v/>
      </c>
      <c r="AA196" s="39" t="inlineStr">
        <is>
          <t>Z12</t>
        </is>
      </c>
      <c r="AB196" s="1" t="n">
        <v>2013</v>
      </c>
      <c r="AC196" s="1" t="n">
        <v>12</v>
      </c>
      <c r="AE196" s="31">
        <f>AE182</f>
        <v/>
      </c>
      <c r="AF196" s="39" t="inlineStr">
        <is>
          <t>自小乗</t>
        </is>
      </c>
      <c r="AG196" s="39" t="inlineStr">
        <is>
          <t>自小乗</t>
        </is>
      </c>
      <c r="AH196" s="39" t="inlineStr">
        <is>
          <t>自小乗</t>
        </is>
      </c>
      <c r="AI196" s="39" t="inlineStr">
        <is>
          <t>自小乗</t>
        </is>
      </c>
      <c r="AJ196" s="39" t="inlineStr">
        <is>
          <t>自小乗</t>
        </is>
      </c>
      <c r="AK196" s="39" t="inlineStr">
        <is>
          <t>自小乗</t>
        </is>
      </c>
      <c r="AL196" s="39" t="inlineStr">
        <is>
          <t>自小乗</t>
        </is>
      </c>
      <c r="AM196" s="39" t="inlineStr">
        <is>
          <t>自小乗</t>
        </is>
      </c>
      <c r="AN196" s="39" t="inlineStr">
        <is>
          <t>自軽四乗</t>
        </is>
      </c>
      <c r="AO196" s="39" t="inlineStr">
        <is>
          <t>自軽四乗</t>
        </is>
      </c>
      <c r="AP196" s="39" t="inlineStr">
        <is>
          <t>自軽四乗</t>
        </is>
      </c>
      <c r="AQ196" s="39" t="inlineStr">
        <is>
          <t>自軽四乗</t>
        </is>
      </c>
      <c r="AR196" s="39" t="inlineStr">
        <is>
          <t>自軽四乗</t>
        </is>
      </c>
      <c r="AS196" s="39" t="inlineStr">
        <is>
          <t>自軽四乗</t>
        </is>
      </c>
      <c r="AT196" s="39" t="inlineStr">
        <is>
          <t>自軽四乗</t>
        </is>
      </c>
      <c r="AU196" s="39" t="inlineStr">
        <is>
          <t>自軽四乗</t>
        </is>
      </c>
    </row>
    <row r="197">
      <c r="Z197" s="12">
        <f>Z196-5</f>
        <v/>
      </c>
      <c r="AA197" s="39" t="inlineStr">
        <is>
          <t>Z12</t>
        </is>
      </c>
      <c r="AB197" s="1" t="n">
        <v>2011</v>
      </c>
      <c r="AC197" s="1" t="n">
        <v>12</v>
      </c>
    </row>
    <row r="198">
      <c r="Z198" s="12">
        <f>Z197-5</f>
        <v/>
      </c>
      <c r="AA198" s="39" t="inlineStr">
        <is>
          <t>Z12</t>
        </is>
      </c>
      <c r="AB198" s="1" t="n">
        <v>2011</v>
      </c>
      <c r="AC198" s="1" t="n">
        <v>12</v>
      </c>
    </row>
    <row r="199">
      <c r="Z199" s="12">
        <f>Z198-5</f>
        <v/>
      </c>
      <c r="AA199" s="39"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M1" zoomScale="293" zoomScaleNormal="70" workbookViewId="0">
      <pane ySplit="1" topLeftCell="A2" activePane="bottomLeft" state="frozen"/>
      <selection pane="bottomLeft" activeCell="BP1" sqref="BP1"/>
    </sheetView>
  </sheetViews>
  <sheetFormatPr baseColWidth="10" defaultColWidth="8.83203125" defaultRowHeight="14" outlineLevelCol="0"/>
  <cols>
    <col width="6.1640625" customWidth="1" style="60" min="1" max="1"/>
    <col width="9" customWidth="1" style="7" min="2" max="11"/>
    <col width="9" customWidth="1" style="15" min="12" max="12"/>
    <col width="9" customWidth="1" style="7" min="13" max="26"/>
    <col width="14.1640625" customWidth="1" style="7" min="27" max="27"/>
    <col width="9" customWidth="1" style="7"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3" t="inlineStr">
        <is>
          <t>生まれ月</t>
        </is>
      </c>
      <c r="M1" s="4" t="inlineStr">
        <is>
          <t>生まれ日</t>
        </is>
      </c>
      <c r="N1" s="4" t="inlineStr">
        <is>
          <t>地域</t>
        </is>
      </c>
      <c r="O1" s="4" t="inlineStr">
        <is>
          <t>免許</t>
        </is>
      </c>
      <c r="P1" s="4" t="inlineStr">
        <is>
          <t>使用目的</t>
        </is>
      </c>
      <c r="Q1" s="4" t="inlineStr">
        <is>
          <t>走行距離</t>
        </is>
      </c>
      <c r="R1" s="14" t="inlineStr">
        <is>
          <t>年齢限定修正</t>
        </is>
      </c>
      <c r="S1" s="14" t="inlineStr">
        <is>
          <t>運限修正</t>
        </is>
      </c>
      <c r="T1" s="14" t="inlineStr">
        <is>
          <t>対物AMT</t>
        </is>
      </c>
      <c r="U1" s="14" t="inlineStr">
        <is>
          <t>対物LL</t>
        </is>
      </c>
      <c r="V1" s="14" t="inlineStr">
        <is>
          <t>搭乗者</t>
        </is>
      </c>
      <c r="W1" s="14" t="inlineStr">
        <is>
          <t>人傷種類</t>
        </is>
      </c>
      <c r="X1" s="14" t="inlineStr">
        <is>
          <t>人傷AMT</t>
        </is>
      </c>
      <c r="Y1" s="14" t="inlineStr">
        <is>
          <t>車両保険種類</t>
        </is>
      </c>
      <c r="Z1" s="14" t="inlineStr">
        <is>
          <t>車両AMT</t>
        </is>
      </c>
      <c r="AA1" s="14" t="inlineStr">
        <is>
          <t>車両免責</t>
        </is>
      </c>
      <c r="AB1" s="14" t="inlineStr">
        <is>
          <t>積載動産</t>
        </is>
      </c>
      <c r="AC1" s="14" t="inlineStr">
        <is>
          <t>代車費用</t>
        </is>
      </c>
      <c r="AD1" s="14" t="inlineStr">
        <is>
          <t>地噴津</t>
        </is>
      </c>
      <c r="AE1" s="14" t="inlineStr">
        <is>
          <t>弁特</t>
        </is>
      </c>
      <c r="AF1" s="14" t="inlineStr">
        <is>
          <t>原付</t>
        </is>
      </c>
      <c r="AG1" s="14" t="inlineStr">
        <is>
          <t>個賠</t>
        </is>
      </c>
      <c r="AH1" s="14" t="inlineStr">
        <is>
          <t>傷害</t>
        </is>
      </c>
      <c r="AI1" s="14" t="inlineStr">
        <is>
          <t>地噴津死亡傷害</t>
        </is>
      </c>
      <c r="AJ1" s="6" t="inlineStr">
        <is>
          <t>西暦2</t>
        </is>
      </c>
      <c r="AK1" s="6" t="inlineStr">
        <is>
          <t>月2</t>
        </is>
      </c>
      <c r="AL1" s="6" t="inlineStr">
        <is>
          <t>日2</t>
        </is>
      </c>
      <c r="AM1" s="6" t="inlineStr">
        <is>
          <t>NF2</t>
        </is>
      </c>
      <c r="AN1" s="6" t="inlineStr">
        <is>
          <t>背番号2</t>
        </is>
      </c>
      <c r="AO1" s="6" t="inlineStr">
        <is>
          <t>年齢限定2</t>
        </is>
      </c>
      <c r="AP1" s="6" t="inlineStr">
        <is>
          <t>初度年2</t>
        </is>
      </c>
      <c r="AQ1" s="6" t="inlineStr">
        <is>
          <t>初度月2</t>
        </is>
      </c>
      <c r="AR1" s="6" t="inlineStr">
        <is>
          <t>型式2</t>
        </is>
      </c>
      <c r="AS1" s="6" t="inlineStr">
        <is>
          <t>ASV2</t>
        </is>
      </c>
      <c r="AT1" s="6" t="inlineStr">
        <is>
          <t>生年2</t>
        </is>
      </c>
      <c r="AU1" s="6" t="inlineStr">
        <is>
          <t>生まれ月2</t>
        </is>
      </c>
      <c r="AV1" s="6" t="inlineStr">
        <is>
          <t>生まれ日2</t>
        </is>
      </c>
      <c r="AW1" s="6" t="inlineStr">
        <is>
          <t>地域2</t>
        </is>
      </c>
      <c r="AX1" s="6" t="inlineStr">
        <is>
          <t>免許2</t>
        </is>
      </c>
      <c r="AY1" s="6" t="inlineStr">
        <is>
          <t>使用目的2</t>
        </is>
      </c>
      <c r="AZ1" s="6" t="inlineStr">
        <is>
          <t>走行距離2</t>
        </is>
      </c>
      <c r="BA1" s="6" t="inlineStr">
        <is>
          <t>年齢限定修正2</t>
        </is>
      </c>
      <c r="BB1" s="6" t="inlineStr">
        <is>
          <t>運限修正2</t>
        </is>
      </c>
      <c r="BC1" s="6" t="inlineStr">
        <is>
          <t>対物AMT2</t>
        </is>
      </c>
      <c r="BD1" s="6" t="inlineStr">
        <is>
          <t>対物LL2</t>
        </is>
      </c>
      <c r="BE1" s="6" t="inlineStr">
        <is>
          <t>搭乗者2</t>
        </is>
      </c>
      <c r="BF1" s="6" t="inlineStr">
        <is>
          <t>人傷種類2</t>
        </is>
      </c>
      <c r="BG1" s="6" t="inlineStr">
        <is>
          <t>人傷AMT2</t>
        </is>
      </c>
      <c r="BH1" s="6" t="inlineStr">
        <is>
          <t>車両保険種類2</t>
        </is>
      </c>
      <c r="BI1" s="6" t="inlineStr">
        <is>
          <t>車両AMT2</t>
        </is>
      </c>
      <c r="BJ1" s="6" t="inlineStr">
        <is>
          <t>車両免責2</t>
        </is>
      </c>
      <c r="BK1" s="6" t="inlineStr">
        <is>
          <t>積載動産2</t>
        </is>
      </c>
      <c r="BL1" s="6" t="inlineStr">
        <is>
          <t>代車費用2</t>
        </is>
      </c>
      <c r="BM1" s="6" t="inlineStr">
        <is>
          <t>地噴津2</t>
        </is>
      </c>
      <c r="BN1" s="6" t="inlineStr">
        <is>
          <t>弁特2</t>
        </is>
      </c>
      <c r="BO1" s="6" t="inlineStr">
        <is>
          <t>原付2</t>
        </is>
      </c>
      <c r="BP1" s="6" t="inlineStr">
        <is>
          <t>個賠2</t>
        </is>
      </c>
      <c r="BQ1" s="6" t="inlineStr">
        <is>
          <t>傷害2</t>
        </is>
      </c>
      <c r="BR1" s="6" t="inlineStr">
        <is>
          <t>地噴津死亡傷害2</t>
        </is>
      </c>
      <c r="BS1" s="6" t="inlineStr">
        <is>
          <t>純新規フラグ2</t>
        </is>
      </c>
      <c r="BT1" s="6" t="inlineStr">
        <is>
          <t>連結2</t>
        </is>
      </c>
      <c r="BU1" s="8" t="inlineStr">
        <is>
          <t>車有P</t>
        </is>
      </c>
      <c r="BV1" s="8" t="inlineStr">
        <is>
          <t>車無P</t>
        </is>
      </c>
      <c r="BW1" s="8" t="inlineStr">
        <is>
          <t>イ割車有</t>
        </is>
      </c>
      <c r="BX1" s="8" t="inlineStr">
        <is>
          <t>イ割車無</t>
        </is>
      </c>
      <c r="BY1" s="8"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2018</v>
      </c>
      <c r="H2" s="60" t="n">
        <v>11</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2018(平成30)</t>
        </is>
      </c>
      <c r="AQ2" s="60" t="n">
        <v>11</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7" t="n">
        <v>29640</v>
      </c>
      <c r="BV2" s="17" t="n">
        <v>17540</v>
      </c>
      <c r="BW2" s="17" t="n">
        <v>9000</v>
      </c>
      <c r="BX2" s="17" t="n">
        <v>5000</v>
      </c>
      <c r="BY2" s="60" t="n">
        <v>0</v>
      </c>
      <c r="BZ2" s="60" t="inlineStr"/>
      <c r="CA2" s="60" t="inlineStr"/>
    </row>
    <row r="3">
      <c r="A3" s="60" t="n">
        <v>2022</v>
      </c>
      <c r="B3" s="60" t="n">
        <v>12</v>
      </c>
      <c r="C3" s="60" t="n">
        <v>1</v>
      </c>
      <c r="D3" s="60" t="n">
        <v>20</v>
      </c>
      <c r="E3" s="60" t="inlineStr">
        <is>
          <t>なし</t>
        </is>
      </c>
      <c r="F3" s="60" t="inlineStr">
        <is>
          <t>30歳以上</t>
        </is>
      </c>
      <c r="G3" s="60" t="n">
        <v>2018</v>
      </c>
      <c r="H3" s="60" t="n">
        <v>11</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2018(平成30)</t>
        </is>
      </c>
      <c r="AQ3" s="60" t="n">
        <v>11</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7" t="inlineStr">
        <is>
          <t>E</t>
        </is>
      </c>
      <c r="BV3" s="17"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[0x00C35FD3+2187219]
	Ordinal0 [0x00BCE6D1+1763025]
	Ordinal0 [0x00AE3D40+802112]
	Ordinal0 [0x00B12C03+994307]
	Ordinal0 [0x00B089B3+952755]
	Ordinal0 [0x00B2CB8C+1100684]
	Ordinal0 [0x00B08394+951188]
	Ordinal0 [0x00B2CDA4+1101220]
	Ordinal0 [0x00B3CFC2+1167298]
	Ordinal0 [0x00B2C9A6+1100198]
	Ordinal0 [0x00B06F80+946048]
	Ordinal0 [0x00B07E76+949878]
	GetHandleVerifier [0x00ED90C2+2721218]
	GetHandleVerifier [0x00ECAAF0+2662384]
	GetHandleVerifier [0x00CC137A+526458]
	GetHandleVerifier [0x00CC0416+522518]
	Ordinal0 [0x00BD4EAB+1789611]
	Ordinal0 [0x00BD97A8+1808296]
	Ordinal0 [0x00BD9895+1808533]
	Ordinal0 [0x00BE26C1+1844929]
	BaseThreadInitThunk [0x7715FA29+25]
	RtlGetAppContainerNamedObjectPath [0x772A7BBE+286]
	RtlGetAppContainerNamedObjectPath [0x772A7B8E+238]
</t>
        </is>
      </c>
      <c r="BW3" s="17" t="n">
        <v>9000</v>
      </c>
      <c r="BX3" s="17" t="n">
        <v>5000</v>
      </c>
      <c r="BY3" s="60" t="n">
        <v>0</v>
      </c>
      <c r="BZ3" s="60" t="inlineStr"/>
      <c r="CA3" s="60" t="inlineStr"/>
    </row>
    <row r="4">
      <c r="A4" s="60" t="n">
        <v>2022</v>
      </c>
      <c r="B4" s="60" t="n">
        <v>12</v>
      </c>
      <c r="C4" s="60" t="n">
        <v>1</v>
      </c>
      <c r="D4" s="60" t="n">
        <v>20</v>
      </c>
      <c r="E4" s="60" t="inlineStr">
        <is>
          <t>なし</t>
        </is>
      </c>
      <c r="F4" s="60" t="inlineStr">
        <is>
          <t>30歳以上</t>
        </is>
      </c>
      <c r="G4" s="60" t="n">
        <v>2018</v>
      </c>
      <c r="H4" s="60" t="n">
        <v>11</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2018(平成30)</t>
        </is>
      </c>
      <c r="AQ4" s="60" t="n">
        <v>11</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7" t="n">
        <v>29730</v>
      </c>
      <c r="BV4" s="17" t="n">
        <v>17650</v>
      </c>
      <c r="BW4" s="17" t="n">
        <v>9000</v>
      </c>
      <c r="BX4" s="17" t="n">
        <v>5000</v>
      </c>
      <c r="BY4" s="60" t="n">
        <v>0</v>
      </c>
      <c r="BZ4" s="60" t="inlineStr"/>
      <c r="CA4" s="60" t="inlineStr"/>
    </row>
    <row r="5">
      <c r="A5" s="60" t="n">
        <v>2022</v>
      </c>
      <c r="B5" s="60" t="n">
        <v>12</v>
      </c>
      <c r="C5" s="60" t="n">
        <v>1</v>
      </c>
      <c r="D5" s="60" t="n">
        <v>20</v>
      </c>
      <c r="E5" s="60" t="inlineStr">
        <is>
          <t>なし</t>
        </is>
      </c>
      <c r="F5" s="60" t="inlineStr">
        <is>
          <t>30歳以上</t>
        </is>
      </c>
      <c r="G5" s="60" t="n">
        <v>2018</v>
      </c>
      <c r="H5" s="60" t="n">
        <v>11</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2018(平成30)</t>
        </is>
      </c>
      <c r="AQ5" s="60" t="n">
        <v>11</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7" t="inlineStr">
        <is>
          <t>E</t>
        </is>
      </c>
      <c r="BV5" s="17"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[0x00C35FD3+2187219]
	Ordinal0 [0x00BCE6D1+1763025]
	Ordinal0 [0x00AE3E78+802424]
	Ordinal0 [0x00B11C10+990224]
	Ordinal0 [0x00B11EAB+990891]
	Ordinal0 [0x00B3EC92+1174674]
	Ordinal0 [0x00B2CBD4+1100756]
	Ordinal0 [0x00B3CFC2+1167298]
	Ordinal0 [0x00B2C9A6+1100198]
	Ordinal0 [0x00B06F80+946048]
	Ordinal0 [0x00B07E76+949878]
	GetHandleVerifier [0x00ED90C2+2721218]
	GetHandleVerifier [0x00ECAAF0+2662384]
	GetHandleVerifier [0x00CC137A+526458]
	GetHandleVerifier [0x00CC0416+522518]
	Ordinal0 [0x00BD4EAB+1789611]
	Ordinal0 [0x00BD97A8+1808296]
	Ordinal0 [0x00BD9895+1808533]
	Ordinal0 [0x00BE26C1+1844929]
	BaseThreadInitThunk [0x7715FA29+25]
	RtlGetAppContainerNamedObjectPath [0x772A7BBE+286]
	RtlGetAppContainerNamedObjectPath [0x772A7B8E+238]
</t>
        </is>
      </c>
      <c r="BW5" s="17" t="n"/>
      <c r="BX5" s="17" t="n"/>
      <c r="BY5" s="60" t="n"/>
      <c r="BZ5" s="60" t="inlineStr"/>
      <c r="CA5" s="60" t="inlineStr"/>
    </row>
    <row r="6">
      <c r="A6" s="60" t="n">
        <v>2022</v>
      </c>
      <c r="B6" s="60" t="n">
        <v>12</v>
      </c>
      <c r="C6" s="60" t="n">
        <v>1</v>
      </c>
      <c r="D6" s="60" t="n">
        <v>20</v>
      </c>
      <c r="E6" s="60" t="inlineStr">
        <is>
          <t>なし</t>
        </is>
      </c>
      <c r="F6" s="60" t="inlineStr">
        <is>
          <t>30歳以上</t>
        </is>
      </c>
      <c r="G6" s="60" t="n">
        <v>2018</v>
      </c>
      <c r="H6" s="60" t="n">
        <v>11</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2018(平成30)</t>
        </is>
      </c>
      <c r="AQ6" s="60" t="n">
        <v>11</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7" t="n">
        <v>29650</v>
      </c>
      <c r="BV6" s="17" t="n">
        <v>17630</v>
      </c>
      <c r="BW6" s="17" t="n">
        <v>10000</v>
      </c>
      <c r="BX6" s="17" t="n">
        <v>5000</v>
      </c>
      <c r="BY6" s="60" t="n">
        <v>0</v>
      </c>
      <c r="BZ6" s="60" t="inlineStr"/>
      <c r="CA6" s="60" t="inlineStr"/>
    </row>
    <row r="7">
      <c r="A7" s="60" t="n">
        <v>2022</v>
      </c>
      <c r="B7" s="60" t="n">
        <v>12</v>
      </c>
      <c r="C7" s="60" t="n">
        <v>1</v>
      </c>
      <c r="D7" s="60" t="n">
        <v>20</v>
      </c>
      <c r="E7" s="60" t="inlineStr">
        <is>
          <t>なし</t>
        </is>
      </c>
      <c r="F7" s="60" t="inlineStr">
        <is>
          <t>30歳以上</t>
        </is>
      </c>
      <c r="G7" s="60" t="n">
        <v>2018</v>
      </c>
      <c r="H7" s="60" t="n">
        <v>11</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2018(平成30)</t>
        </is>
      </c>
      <c r="AQ7" s="60" t="n">
        <v>11</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7" t="n">
        <v>31900</v>
      </c>
      <c r="BV7" s="17" t="n">
        <v>18280</v>
      </c>
      <c r="BW7" s="17" t="n">
        <v>10000</v>
      </c>
      <c r="BX7" s="17" t="n">
        <v>5000</v>
      </c>
      <c r="BY7" s="60" t="n">
        <v>0</v>
      </c>
      <c r="BZ7" s="60" t="inlineStr"/>
      <c r="CA7" s="60" t="inlineStr"/>
    </row>
    <row r="8">
      <c r="A8" s="60" t="n">
        <v>2022</v>
      </c>
      <c r="B8" s="60" t="n">
        <v>12</v>
      </c>
      <c r="C8" s="60" t="n">
        <v>1</v>
      </c>
      <c r="D8" s="60" t="n">
        <v>20</v>
      </c>
      <c r="E8" s="60" t="inlineStr">
        <is>
          <t>なし</t>
        </is>
      </c>
      <c r="F8" s="60" t="inlineStr">
        <is>
          <t>30歳以上</t>
        </is>
      </c>
      <c r="G8" s="60" t="n">
        <v>2018</v>
      </c>
      <c r="H8" s="60" t="n">
        <v>11</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2018(平成30)</t>
        </is>
      </c>
      <c r="AQ8" s="60" t="n">
        <v>11</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7" t="n">
        <v>36670</v>
      </c>
      <c r="BV8" s="17" t="n">
        <v>20920</v>
      </c>
      <c r="BW8" s="17" t="n">
        <v>13000</v>
      </c>
      <c r="BX8" s="17" t="n">
        <v>6000</v>
      </c>
      <c r="BY8" s="60" t="n">
        <v>0</v>
      </c>
      <c r="BZ8" s="60" t="inlineStr"/>
      <c r="CA8" s="60" t="inlineStr"/>
    </row>
    <row r="9">
      <c r="A9" s="60" t="n">
        <v>2022</v>
      </c>
      <c r="B9" s="60" t="n">
        <v>12</v>
      </c>
      <c r="C9" s="60" t="n">
        <v>1</v>
      </c>
      <c r="D9" s="60" t="n">
        <v>20</v>
      </c>
      <c r="E9" s="60" t="inlineStr">
        <is>
          <t>なし</t>
        </is>
      </c>
      <c r="F9" s="60" t="inlineStr">
        <is>
          <t>30歳以上</t>
        </is>
      </c>
      <c r="G9" s="60" t="n">
        <v>2018</v>
      </c>
      <c r="H9" s="60" t="n">
        <v>11</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2018(平成30)</t>
        </is>
      </c>
      <c r="AQ9" s="60" t="n">
        <v>11</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n">
        <v>34340</v>
      </c>
      <c r="BV9" s="60" t="n">
        <v>19960</v>
      </c>
      <c r="BW9" s="60" t="n">
        <v>10000</v>
      </c>
      <c r="BX9" s="60" t="n">
        <v>6000</v>
      </c>
      <c r="BY9" s="60" t="n">
        <v>0</v>
      </c>
      <c r="BZ9" s="60" t="inlineStr"/>
      <c r="CA9" s="60" t="inlineStr"/>
    </row>
    <row r="10">
      <c r="A10" s="60" t="n">
        <v>2022</v>
      </c>
      <c r="B10" s="60" t="n">
        <v>12</v>
      </c>
      <c r="C10" s="60" t="n">
        <v>1</v>
      </c>
      <c r="D10" s="60" t="n">
        <v>20</v>
      </c>
      <c r="E10" s="60" t="inlineStr">
        <is>
          <t>なし</t>
        </is>
      </c>
      <c r="F10" s="60" t="inlineStr">
        <is>
          <t>30歳以上</t>
        </is>
      </c>
      <c r="G10" s="60" t="n">
        <v>2018</v>
      </c>
      <c r="H10" s="60" t="n">
        <v>11</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2018(平成30)</t>
        </is>
      </c>
      <c r="AQ10" s="60" t="n">
        <v>11</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n">
        <v>34100</v>
      </c>
      <c r="BV10" s="60" t="n">
        <v>19840</v>
      </c>
      <c r="BW10" s="60" t="n">
        <v>10000</v>
      </c>
      <c r="BX10" s="60" t="n">
        <v>6000</v>
      </c>
      <c r="BY10" s="60" t="n">
        <v>0</v>
      </c>
      <c r="BZ10" s="60" t="inlineStr"/>
      <c r="CA10" s="60" t="inlineStr"/>
    </row>
    <row r="11">
      <c r="A11" s="60" t="n">
        <v>2022</v>
      </c>
      <c r="B11" s="60" t="n">
        <v>12</v>
      </c>
      <c r="C11" s="60" t="n">
        <v>1</v>
      </c>
      <c r="D11" s="60" t="n">
        <v>20</v>
      </c>
      <c r="E11" s="60" t="inlineStr">
        <is>
          <t>なし</t>
        </is>
      </c>
      <c r="F11" s="60" t="inlineStr">
        <is>
          <t>30歳以上</t>
        </is>
      </c>
      <c r="G11" s="60" t="n">
        <v>2018</v>
      </c>
      <c r="H11" s="60" t="n">
        <v>11</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2018(平成30)</t>
        </is>
      </c>
      <c r="AQ11" s="60" t="n">
        <v>11</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n">
        <v>34430</v>
      </c>
      <c r="BV11" s="60" t="n">
        <v>20070</v>
      </c>
      <c r="BW11" s="60" t="n">
        <v>10000</v>
      </c>
      <c r="BX11" s="60" t="n">
        <v>6000</v>
      </c>
      <c r="BY11" s="60" t="n">
        <v>0</v>
      </c>
      <c r="BZ11" s="60" t="inlineStr"/>
      <c r="CA11" s="60" t="inlineStr"/>
    </row>
    <row r="12">
      <c r="A12" s="60" t="n">
        <v>2022</v>
      </c>
      <c r="B12" s="60" t="n">
        <v>12</v>
      </c>
      <c r="C12" s="60" t="n">
        <v>1</v>
      </c>
      <c r="D12" s="60" t="n">
        <v>20</v>
      </c>
      <c r="E12" s="60" t="inlineStr">
        <is>
          <t>なし</t>
        </is>
      </c>
      <c r="F12" s="60" t="inlineStr">
        <is>
          <t>30歳以上</t>
        </is>
      </c>
      <c r="G12" s="60" t="n">
        <v>2018</v>
      </c>
      <c r="H12" s="60" t="n">
        <v>11</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2018(平成30)</t>
        </is>
      </c>
      <c r="AQ12" s="60" t="n">
        <v>11</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n">
        <v>32190</v>
      </c>
      <c r="BV12" s="60" t="n">
        <v>20120</v>
      </c>
      <c r="BW12" s="60" t="n">
        <v>13000</v>
      </c>
      <c r="BX12" s="60" t="n">
        <v>6000</v>
      </c>
      <c r="BY12" s="60" t="n">
        <v>0</v>
      </c>
      <c r="BZ12" s="60" t="inlineStr"/>
      <c r="CA12" s="60" t="inlineStr"/>
    </row>
    <row r="13">
      <c r="A13" s="60" t="n">
        <v>2022</v>
      </c>
      <c r="B13" s="60" t="n">
        <v>12</v>
      </c>
      <c r="C13" s="60" t="n">
        <v>1</v>
      </c>
      <c r="D13" s="60" t="n">
        <v>20</v>
      </c>
      <c r="E13" s="60" t="inlineStr">
        <is>
          <t>なし</t>
        </is>
      </c>
      <c r="F13" s="60" t="inlineStr">
        <is>
          <t>30歳以上</t>
        </is>
      </c>
      <c r="G13" s="60" t="n">
        <v>2018</v>
      </c>
      <c r="H13" s="60" t="n">
        <v>11</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2018(平成30)</t>
        </is>
      </c>
      <c r="AQ13" s="60" t="n">
        <v>11</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n">
        <v>32460</v>
      </c>
      <c r="BV13" s="60" t="n">
        <v>20020</v>
      </c>
      <c r="BW13" s="60" t="n">
        <v>13000</v>
      </c>
      <c r="BX13" s="60" t="n">
        <v>6000</v>
      </c>
      <c r="BY13" s="60" t="n">
        <v>0</v>
      </c>
      <c r="BZ13" s="60" t="inlineStr"/>
      <c r="CA13" s="60" t="inlineStr"/>
    </row>
    <row r="14">
      <c r="A14" s="60" t="n">
        <v>2022</v>
      </c>
      <c r="B14" s="60" t="n">
        <v>12</v>
      </c>
      <c r="C14" s="60" t="n">
        <v>1</v>
      </c>
      <c r="D14" s="60" t="n">
        <v>20</v>
      </c>
      <c r="E14" s="60" t="inlineStr">
        <is>
          <t>なし</t>
        </is>
      </c>
      <c r="F14" s="60" t="inlineStr">
        <is>
          <t>30歳以上</t>
        </is>
      </c>
      <c r="G14" s="60" t="n">
        <v>2018</v>
      </c>
      <c r="H14" s="60" t="n">
        <v>11</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2018(平成30)</t>
        </is>
      </c>
      <c r="AQ14" s="60" t="n">
        <v>11</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n">
        <v>35120</v>
      </c>
      <c r="BV14" s="60" t="n">
        <v>20820</v>
      </c>
      <c r="BW14" s="60" t="n">
        <v>13000</v>
      </c>
      <c r="BX14" s="60" t="n">
        <v>6000</v>
      </c>
      <c r="BY14" s="60" t="n">
        <v>0</v>
      </c>
      <c r="BZ14" s="60" t="inlineStr"/>
      <c r="CA14" s="60" t="inlineStr"/>
    </row>
    <row r="15">
      <c r="A15" s="60" t="n">
        <v>2022</v>
      </c>
      <c r="B15" s="60" t="n">
        <v>12</v>
      </c>
      <c r="C15" s="60" t="n">
        <v>1</v>
      </c>
      <c r="D15" s="60" t="n">
        <v>20</v>
      </c>
      <c r="E15" s="60" t="inlineStr">
        <is>
          <t>なし</t>
        </is>
      </c>
      <c r="F15" s="60" t="inlineStr">
        <is>
          <t>30歳以上</t>
        </is>
      </c>
      <c r="G15" s="60" t="n">
        <v>2018</v>
      </c>
      <c r="H15" s="60" t="n">
        <v>11</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2018(平成30)</t>
        </is>
      </c>
      <c r="AQ15" s="60" t="n">
        <v>11</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n">
        <v>42340</v>
      </c>
      <c r="BV15" s="60" t="n">
        <v>22280</v>
      </c>
      <c r="BW15" s="60" t="n">
        <v>15000</v>
      </c>
      <c r="BX15" s="60" t="n">
        <v>9000</v>
      </c>
      <c r="BY15" s="60" t="n">
        <v>0</v>
      </c>
      <c r="BZ15" s="60" t="inlineStr"/>
      <c r="CA15" s="60" t="inlineStr"/>
    </row>
    <row r="16">
      <c r="A16" s="60" t="n">
        <v>2022</v>
      </c>
      <c r="B16" s="60" t="n">
        <v>12</v>
      </c>
      <c r="C16" s="60" t="n">
        <v>1</v>
      </c>
      <c r="D16" s="60" t="n">
        <v>20</v>
      </c>
      <c r="E16" s="60" t="inlineStr">
        <is>
          <t>なし</t>
        </is>
      </c>
      <c r="F16" s="60" t="inlineStr">
        <is>
          <t>30歳以上</t>
        </is>
      </c>
      <c r="G16" s="60" t="n">
        <v>2018</v>
      </c>
      <c r="H16" s="60" t="n">
        <v>11</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2018(平成30)</t>
        </is>
      </c>
      <c r="AQ16" s="60" t="n">
        <v>11</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inlineStr">
        <is>
          <t>E</t>
        </is>
      </c>
      <c r="BV16" s="60"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6" s="60" t="n"/>
      <c r="BX16" s="60" t="n"/>
      <c r="BY16" s="60" t="n"/>
      <c r="BZ16" s="60" t="inlineStr"/>
      <c r="CA16" s="60" t="inlineStr"/>
    </row>
    <row r="17">
      <c r="A17" s="60" t="n">
        <v>2022</v>
      </c>
      <c r="B17" s="60" t="n">
        <v>12</v>
      </c>
      <c r="C17" s="60" t="n">
        <v>1</v>
      </c>
      <c r="D17" s="60" t="n">
        <v>20</v>
      </c>
      <c r="E17" s="60" t="inlineStr">
        <is>
          <t>なし</t>
        </is>
      </c>
      <c r="F17" s="60" t="inlineStr">
        <is>
          <t>30歳以上</t>
        </is>
      </c>
      <c r="G17" s="60" t="n">
        <v>2018</v>
      </c>
      <c r="H17" s="60" t="n">
        <v>11</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2018(平成30)</t>
        </is>
      </c>
      <c r="AQ17" s="60" t="n">
        <v>11</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n">
        <v>35160</v>
      </c>
      <c r="BV17" s="60" t="n">
        <v>21010</v>
      </c>
      <c r="BW17" s="60" t="n">
        <v>13000</v>
      </c>
      <c r="BX17" s="60" t="n">
        <v>6000</v>
      </c>
      <c r="BY17" s="60" t="n">
        <v>0</v>
      </c>
      <c r="BZ17" s="60" t="inlineStr"/>
      <c r="CA17" s="60" t="inlineStr"/>
    </row>
    <row r="18">
      <c r="A18" s="60" t="n">
        <v>2022</v>
      </c>
      <c r="B18" s="60" t="n">
        <v>12</v>
      </c>
      <c r="C18" s="60" t="n">
        <v>1</v>
      </c>
      <c r="D18" s="60" t="n">
        <v>20</v>
      </c>
      <c r="E18" s="60" t="inlineStr">
        <is>
          <t>なし</t>
        </is>
      </c>
      <c r="F18" s="60" t="inlineStr">
        <is>
          <t>30歳以上</t>
        </is>
      </c>
      <c r="G18" s="60" t="n">
        <v>2018</v>
      </c>
      <c r="H18" s="60" t="n">
        <v>11</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2018(平成30)</t>
        </is>
      </c>
      <c r="AQ18" s="60" t="n">
        <v>11</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n">
        <v>35520</v>
      </c>
      <c r="BV18" s="60" t="n">
        <v>21240</v>
      </c>
      <c r="BW18" s="60" t="n">
        <v>13000</v>
      </c>
      <c r="BX18" s="60" t="n">
        <v>6000</v>
      </c>
      <c r="BY18" s="60" t="n">
        <v>0</v>
      </c>
      <c r="BZ18" s="60" t="inlineStr"/>
      <c r="CA18" s="60" t="inlineStr"/>
    </row>
    <row r="19">
      <c r="A19" s="60" t="n">
        <v>2022</v>
      </c>
      <c r="B19" s="60" t="n">
        <v>12</v>
      </c>
      <c r="C19" s="60" t="n">
        <v>1</v>
      </c>
      <c r="D19" s="60" t="n">
        <v>20</v>
      </c>
      <c r="E19" s="60" t="inlineStr">
        <is>
          <t>なし</t>
        </is>
      </c>
      <c r="F19" s="60" t="inlineStr">
        <is>
          <t>30歳以上</t>
        </is>
      </c>
      <c r="G19" s="60" t="n">
        <v>2018</v>
      </c>
      <c r="H19" s="60" t="n">
        <v>11</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2018(平成30)</t>
        </is>
      </c>
      <c r="AQ19" s="60" t="n">
        <v>11</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n">
        <v>36410</v>
      </c>
      <c r="BV19" s="60" t="n">
        <v>21310</v>
      </c>
      <c r="BW19" s="60" t="n">
        <v>13000</v>
      </c>
      <c r="BX19" s="60" t="n">
        <v>6000</v>
      </c>
      <c r="BY19" s="60" t="n">
        <v>0</v>
      </c>
      <c r="BZ19" s="60" t="inlineStr"/>
      <c r="CA19" s="60" t="inlineStr"/>
    </row>
    <row r="20">
      <c r="A20" s="60" t="n">
        <v>2022</v>
      </c>
      <c r="B20" s="60" t="n">
        <v>12</v>
      </c>
      <c r="C20" s="60" t="n">
        <v>1</v>
      </c>
      <c r="D20" s="60" t="n">
        <v>20</v>
      </c>
      <c r="E20" s="60" t="inlineStr">
        <is>
          <t>なし</t>
        </is>
      </c>
      <c r="F20" s="60" t="inlineStr">
        <is>
          <t>30歳以上</t>
        </is>
      </c>
      <c r="G20" s="60" t="n">
        <v>2018</v>
      </c>
      <c r="H20" s="60" t="n">
        <v>11</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2018(平成30)</t>
        </is>
      </c>
      <c r="AQ20" s="60" t="n">
        <v>11</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n">
        <v>36770</v>
      </c>
      <c r="BV20" s="60" t="n">
        <v>21230</v>
      </c>
      <c r="BW20" s="60" t="n">
        <v>13000</v>
      </c>
      <c r="BX20" s="60" t="n">
        <v>6000</v>
      </c>
      <c r="BY20" s="60" t="n">
        <v>0</v>
      </c>
      <c r="BZ20" s="60" t="inlineStr"/>
      <c r="CA20" s="60" t="inlineStr"/>
    </row>
    <row r="21">
      <c r="A21" s="60" t="n">
        <v>2022</v>
      </c>
      <c r="B21" s="60" t="n">
        <v>12</v>
      </c>
      <c r="C21" s="60" t="n">
        <v>1</v>
      </c>
      <c r="D21" s="60" t="n">
        <v>20</v>
      </c>
      <c r="E21" s="60" t="inlineStr">
        <is>
          <t>なし</t>
        </is>
      </c>
      <c r="F21" s="60" t="inlineStr">
        <is>
          <t>30歳以上</t>
        </is>
      </c>
      <c r="G21" s="60" t="n">
        <v>2018</v>
      </c>
      <c r="H21" s="60" t="n">
        <v>11</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2018(平成30)</t>
        </is>
      </c>
      <c r="AQ21" s="60" t="n">
        <v>11</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s="60" t="n">
        <v>39820</v>
      </c>
      <c r="BV21" s="60" t="n">
        <v>22110</v>
      </c>
      <c r="BW21" s="60" t="n">
        <v>13000</v>
      </c>
      <c r="BX21" s="60" t="n">
        <v>6000</v>
      </c>
      <c r="BY21" s="60" t="n">
        <v>0</v>
      </c>
      <c r="BZ21" s="60" t="inlineStr"/>
      <c r="CA21" s="60" t="inlineStr"/>
    </row>
    <row r="22">
      <c r="A22" s="60" t="n">
        <v>2022</v>
      </c>
      <c r="B22" s="60" t="n">
        <v>12</v>
      </c>
      <c r="C22" s="60" t="n">
        <v>1</v>
      </c>
      <c r="D22" s="60" t="n">
        <v>20</v>
      </c>
      <c r="E22" s="60" t="inlineStr">
        <is>
          <t>なし</t>
        </is>
      </c>
      <c r="F22" s="60" t="inlineStr">
        <is>
          <t>30歳以上</t>
        </is>
      </c>
      <c r="G22" s="60" t="n">
        <v>2018</v>
      </c>
      <c r="H22" s="60" t="n">
        <v>11</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2018(平成30)</t>
        </is>
      </c>
      <c r="AQ22" s="60" t="n">
        <v>11</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c r="BU22" s="60" t="n">
        <v>47170</v>
      </c>
      <c r="BV22" s="60" t="n">
        <v>23890</v>
      </c>
      <c r="BW22" s="60" t="n">
        <v>16000</v>
      </c>
      <c r="BX22" s="60" t="n">
        <v>9000</v>
      </c>
      <c r="BY22" s="60" t="n">
        <v>0</v>
      </c>
      <c r="BZ22" s="60" t="inlineStr"/>
      <c r="CA22" s="60" t="inlineStr"/>
    </row>
    <row r="23">
      <c r="A23" s="60" t="n">
        <v>2022</v>
      </c>
      <c r="B23" s="60" t="n">
        <v>12</v>
      </c>
      <c r="C23" s="60" t="n">
        <v>1</v>
      </c>
      <c r="D23" s="60" t="n">
        <v>20</v>
      </c>
      <c r="E23" s="60" t="inlineStr">
        <is>
          <t>なし</t>
        </is>
      </c>
      <c r="F23" s="60" t="inlineStr">
        <is>
          <t>30歳以上</t>
        </is>
      </c>
      <c r="G23" s="60" t="n">
        <v>2018</v>
      </c>
      <c r="H23" s="60" t="n">
        <v>11</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2018(平成30)</t>
        </is>
      </c>
      <c r="AQ23" s="60" t="n">
        <v>11</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c r="BU23" s="60" t="n">
        <v>43570</v>
      </c>
      <c r="BV23" s="60" t="n">
        <v>24330</v>
      </c>
      <c r="BW23" s="60" t="n">
        <v>16000</v>
      </c>
      <c r="BX23" s="60" t="n">
        <v>9000</v>
      </c>
      <c r="BY23" s="60" t="n">
        <v>0</v>
      </c>
      <c r="BZ23" s="60" t="inlineStr"/>
      <c r="CA23" s="60" t="inlineStr"/>
    </row>
    <row r="24">
      <c r="A24" s="60" t="n">
        <v>2022</v>
      </c>
      <c r="B24" s="60" t="n">
        <v>12</v>
      </c>
      <c r="C24" s="60" t="n">
        <v>1</v>
      </c>
      <c r="D24" s="60" t="n">
        <v>20</v>
      </c>
      <c r="E24" s="60" t="inlineStr">
        <is>
          <t>なし</t>
        </is>
      </c>
      <c r="F24" s="60" t="inlineStr">
        <is>
          <t>30歳以上</t>
        </is>
      </c>
      <c r="G24" s="60" t="n">
        <v>2018</v>
      </c>
      <c r="H24" s="60" t="n">
        <v>11</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2018(平成30)</t>
        </is>
      </c>
      <c r="AQ24" s="60" t="n">
        <v>11</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c r="BU24" s="60" t="n">
        <v>44260</v>
      </c>
      <c r="BV24" s="60" t="n">
        <v>24200</v>
      </c>
      <c r="BW24" s="60" t="n">
        <v>15000</v>
      </c>
      <c r="BX24" s="60" t="n">
        <v>9000</v>
      </c>
      <c r="BY24" s="60" t="n">
        <v>0</v>
      </c>
      <c r="BZ24" s="60" t="inlineStr"/>
      <c r="CA24" s="60" t="inlineStr"/>
    </row>
    <row r="25">
      <c r="A25" s="60" t="n">
        <v>2022</v>
      </c>
      <c r="B25" s="60" t="n">
        <v>12</v>
      </c>
      <c r="C25" s="60" t="n">
        <v>1</v>
      </c>
      <c r="D25" s="60" t="n">
        <v>20</v>
      </c>
      <c r="E25" s="60" t="inlineStr">
        <is>
          <t>なし</t>
        </is>
      </c>
      <c r="F25" s="60" t="inlineStr">
        <is>
          <t>30歳以上</t>
        </is>
      </c>
      <c r="G25" s="60" t="n">
        <v>2018</v>
      </c>
      <c r="H25" s="60" t="n">
        <v>11</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2018(平成30)</t>
        </is>
      </c>
      <c r="AQ25" s="60" t="n">
        <v>11</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c r="BU25" s="60" t="n">
        <v>43730</v>
      </c>
      <c r="BV25" s="60" t="n">
        <v>24510</v>
      </c>
      <c r="BW25" s="60" t="n">
        <v>16000</v>
      </c>
      <c r="BX25" s="60" t="n">
        <v>9000</v>
      </c>
      <c r="BY25" s="60" t="n">
        <v>0</v>
      </c>
      <c r="BZ25" s="60" t="inlineStr"/>
      <c r="CA25" s="60" t="inlineStr"/>
    </row>
    <row r="26">
      <c r="A26" s="60" t="n">
        <v>2022</v>
      </c>
      <c r="B26" s="60" t="n">
        <v>12</v>
      </c>
      <c r="C26" s="60" t="n">
        <v>1</v>
      </c>
      <c r="D26" s="60" t="n">
        <v>20</v>
      </c>
      <c r="E26" s="60" t="inlineStr">
        <is>
          <t>なし</t>
        </is>
      </c>
      <c r="F26" s="60" t="inlineStr">
        <is>
          <t>30歳以上</t>
        </is>
      </c>
      <c r="G26" s="60" t="n">
        <v>2018</v>
      </c>
      <c r="H26" s="60" t="n">
        <v>11</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2018(平成30)</t>
        </is>
      </c>
      <c r="AQ26" s="60" t="n">
        <v>11</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c r="BU26" s="60" t="n">
        <v>44840</v>
      </c>
      <c r="BV26" s="60" t="n">
        <v>24600</v>
      </c>
      <c r="BW26" s="60" t="n">
        <v>16000</v>
      </c>
      <c r="BX26" s="60" t="n">
        <v>9000</v>
      </c>
      <c r="BY26" s="60" t="n">
        <v>0</v>
      </c>
      <c r="BZ26" s="60" t="inlineStr"/>
      <c r="CA26" s="60" t="inlineStr"/>
    </row>
    <row r="27">
      <c r="A27" s="60" t="n">
        <v>2022</v>
      </c>
      <c r="B27" s="60" t="n">
        <v>12</v>
      </c>
      <c r="C27" s="60" t="n">
        <v>1</v>
      </c>
      <c r="D27" s="60" t="n">
        <v>20</v>
      </c>
      <c r="E27" s="60" t="inlineStr">
        <is>
          <t>なし</t>
        </is>
      </c>
      <c r="F27" s="60" t="inlineStr">
        <is>
          <t>30歳以上</t>
        </is>
      </c>
      <c r="G27" s="60" t="n">
        <v>2018</v>
      </c>
      <c r="H27" s="60" t="n">
        <v>11</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2018(平成30)</t>
        </is>
      </c>
      <c r="AQ27" s="60" t="n">
        <v>11</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c r="BU27" s="60" t="n">
        <v>45290</v>
      </c>
      <c r="BV27" s="60" t="n">
        <v>24500</v>
      </c>
      <c r="BW27" s="60" t="n">
        <v>16000</v>
      </c>
      <c r="BX27" s="60" t="n">
        <v>9000</v>
      </c>
      <c r="BY27" s="60" t="n">
        <v>0</v>
      </c>
      <c r="BZ27" s="60" t="inlineStr"/>
      <c r="CA27" s="60" t="inlineStr"/>
    </row>
    <row r="28">
      <c r="A28" s="60" t="n">
        <v>2022</v>
      </c>
      <c r="B28" s="60" t="n">
        <v>12</v>
      </c>
      <c r="C28" s="60" t="n">
        <v>1</v>
      </c>
      <c r="D28" s="60" t="n">
        <v>20</v>
      </c>
      <c r="E28" s="60" t="inlineStr">
        <is>
          <t>なし</t>
        </is>
      </c>
      <c r="F28" s="60" t="inlineStr">
        <is>
          <t>30歳以上</t>
        </is>
      </c>
      <c r="G28" s="60" t="n">
        <v>2018</v>
      </c>
      <c r="H28" s="60" t="n">
        <v>11</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2018(平成30)</t>
        </is>
      </c>
      <c r="AQ28" s="60" t="n">
        <v>11</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c r="BU28" s="60" t="n">
        <v>49150</v>
      </c>
      <c r="BV28" s="60" t="n">
        <v>25660</v>
      </c>
      <c r="BW28" s="60" t="n">
        <v>16000</v>
      </c>
      <c r="BX28" s="60" t="n">
        <v>9000</v>
      </c>
      <c r="BY28" s="60" t="n">
        <v>0</v>
      </c>
      <c r="BZ28" s="60" t="inlineStr"/>
      <c r="CA28" s="60" t="inlineStr"/>
    </row>
    <row r="29">
      <c r="A29" s="60" t="n">
        <v>2022</v>
      </c>
      <c r="B29" s="60" t="n">
        <v>12</v>
      </c>
      <c r="C29" s="60" t="n">
        <v>1</v>
      </c>
      <c r="D29" s="60" t="n">
        <v>20</v>
      </c>
      <c r="E29" s="60" t="inlineStr">
        <is>
          <t>なし</t>
        </is>
      </c>
      <c r="F29" s="60" t="inlineStr">
        <is>
          <t>30歳以上</t>
        </is>
      </c>
      <c r="G29" s="60" t="n">
        <v>2018</v>
      </c>
      <c r="H29" s="60" t="n">
        <v>11</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2018(平成30)</t>
        </is>
      </c>
      <c r="AQ29" s="60" t="n">
        <v>11</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c r="BU29" s="60" t="n">
        <v>62380</v>
      </c>
      <c r="BV29" s="60" t="n">
        <v>30940</v>
      </c>
      <c r="BW29" s="60" t="n">
        <v>16000</v>
      </c>
      <c r="BX29" s="60" t="n">
        <v>10000</v>
      </c>
      <c r="BY29" s="60" t="n">
        <v>0</v>
      </c>
      <c r="BZ29" s="60" t="inlineStr"/>
      <c r="CA29" s="60" t="inlineStr"/>
    </row>
    <row r="30">
      <c r="A30" s="60" t="n">
        <v>2022</v>
      </c>
      <c r="B30" s="60" t="n">
        <v>12</v>
      </c>
      <c r="C30" s="60" t="n">
        <v>1</v>
      </c>
      <c r="D30" s="60" t="n">
        <v>17</v>
      </c>
      <c r="E30" s="60" t="inlineStr">
        <is>
          <t>なし</t>
        </is>
      </c>
      <c r="F30" s="60" t="inlineStr">
        <is>
          <t>30歳以上</t>
        </is>
      </c>
      <c r="G30" s="60" t="n">
        <v>2018</v>
      </c>
      <c r="H30" s="60" t="n">
        <v>11</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2018(平成30)</t>
        </is>
      </c>
      <c r="AQ30" s="60" t="n">
        <v>11</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c r="BU30" s="60" t="n">
        <v>32380</v>
      </c>
      <c r="BV30" s="60" t="n">
        <v>19570</v>
      </c>
      <c r="BW30" s="60" t="n">
        <v>13000</v>
      </c>
      <c r="BX30" s="60" t="n">
        <v>6000</v>
      </c>
      <c r="BY30" s="60" t="n">
        <v>0</v>
      </c>
      <c r="BZ30" s="60" t="inlineStr"/>
      <c r="CA30" s="60" t="inlineStr"/>
    </row>
    <row r="31">
      <c r="A31" s="60" t="n">
        <v>2022</v>
      </c>
      <c r="B31" s="60" t="n">
        <v>12</v>
      </c>
      <c r="C31" s="60" t="n">
        <v>1</v>
      </c>
      <c r="D31" s="60" t="n">
        <v>17</v>
      </c>
      <c r="E31" s="60" t="inlineStr">
        <is>
          <t>なし</t>
        </is>
      </c>
      <c r="F31" s="60" t="inlineStr">
        <is>
          <t>30歳以上</t>
        </is>
      </c>
      <c r="G31" s="60" t="n">
        <v>2018</v>
      </c>
      <c r="H31" s="60" t="n">
        <v>11</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2018(平成30)</t>
        </is>
      </c>
      <c r="AQ31" s="60" t="n">
        <v>11</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c r="BU31" s="60" t="n">
        <v>32140</v>
      </c>
      <c r="BV31" s="60" t="n">
        <v>19460</v>
      </c>
      <c r="BW31" s="60" t="n">
        <v>13000</v>
      </c>
      <c r="BX31" s="60" t="n">
        <v>6000</v>
      </c>
      <c r="BY31" s="60" t="n">
        <v>0</v>
      </c>
      <c r="BZ31" s="60" t="inlineStr"/>
      <c r="CA31" s="60" t="inlineStr"/>
    </row>
    <row r="32">
      <c r="A32" s="60" t="n">
        <v>2022</v>
      </c>
      <c r="B32" s="60" t="n">
        <v>12</v>
      </c>
      <c r="C32" s="60" t="n">
        <v>1</v>
      </c>
      <c r="D32" s="60" t="n">
        <v>17</v>
      </c>
      <c r="E32" s="60" t="inlineStr">
        <is>
          <t>なし</t>
        </is>
      </c>
      <c r="F32" s="60" t="inlineStr">
        <is>
          <t>30歳以上</t>
        </is>
      </c>
      <c r="G32" s="60" t="n">
        <v>2018</v>
      </c>
      <c r="H32" s="60" t="n">
        <v>11</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2018(平成30)</t>
        </is>
      </c>
      <c r="AQ32" s="60" t="n">
        <v>11</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c r="BU32" s="60" t="n">
        <v>32480</v>
      </c>
      <c r="BV32" s="60" t="n">
        <v>19690</v>
      </c>
      <c r="BW32" s="60" t="n">
        <v>13000</v>
      </c>
      <c r="BX32" s="60" t="n">
        <v>6000</v>
      </c>
      <c r="BY32" s="60" t="n">
        <v>0</v>
      </c>
      <c r="BZ32" s="60" t="inlineStr"/>
      <c r="CA32" s="60" t="inlineStr"/>
    </row>
    <row r="33">
      <c r="A33" s="60" t="n">
        <v>2022</v>
      </c>
      <c r="B33" s="60" t="n">
        <v>12</v>
      </c>
      <c r="C33" s="60" t="n">
        <v>1</v>
      </c>
      <c r="D33" s="60" t="n">
        <v>17</v>
      </c>
      <c r="E33" s="60" t="inlineStr">
        <is>
          <t>なし</t>
        </is>
      </c>
      <c r="F33" s="60" t="inlineStr">
        <is>
          <t>30歳以上</t>
        </is>
      </c>
      <c r="G33" s="60" t="n">
        <v>2018</v>
      </c>
      <c r="H33" s="60" t="n">
        <v>11</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2018(平成30)</t>
        </is>
      </c>
      <c r="AQ33" s="60" t="n">
        <v>11</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c r="BU33" s="60" t="n">
        <v>33310</v>
      </c>
      <c r="BV33" s="60" t="n">
        <v>19750</v>
      </c>
      <c r="BW33" s="60" t="n">
        <v>13000</v>
      </c>
      <c r="BX33" s="60" t="n">
        <v>6000</v>
      </c>
      <c r="BY33" s="60" t="n">
        <v>0</v>
      </c>
      <c r="BZ33" s="60" t="inlineStr"/>
      <c r="CA33" s="60" t="inlineStr"/>
    </row>
    <row r="34">
      <c r="A34" s="60" t="n">
        <v>2022</v>
      </c>
      <c r="B34" s="60" t="n">
        <v>12</v>
      </c>
      <c r="C34" s="60" t="n">
        <v>1</v>
      </c>
      <c r="D34" s="60" t="n">
        <v>17</v>
      </c>
      <c r="E34" s="60" t="inlineStr">
        <is>
          <t>なし</t>
        </is>
      </c>
      <c r="F34" s="60" t="inlineStr">
        <is>
          <t>30歳以上</t>
        </is>
      </c>
      <c r="G34" s="60" t="n">
        <v>2018</v>
      </c>
      <c r="H34" s="60" t="n">
        <v>11</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2018(平成30)</t>
        </is>
      </c>
      <c r="AQ34" s="60" t="n">
        <v>11</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c r="BU34" s="60" t="n">
        <v>33620</v>
      </c>
      <c r="BV34" s="60" t="n">
        <v>19660</v>
      </c>
      <c r="BW34" s="60" t="n">
        <v>13000</v>
      </c>
      <c r="BX34" s="60" t="n">
        <v>6000</v>
      </c>
      <c r="BY34" s="60" t="n">
        <v>0</v>
      </c>
      <c r="BZ34" s="60" t="inlineStr"/>
      <c r="CA34" s="60" t="inlineStr"/>
    </row>
    <row r="35">
      <c r="A35" s="60" t="n">
        <v>2022</v>
      </c>
      <c r="B35" s="60" t="n">
        <v>12</v>
      </c>
      <c r="C35" s="60" t="n">
        <v>1</v>
      </c>
      <c r="D35" s="60" t="n">
        <v>17</v>
      </c>
      <c r="E35" s="60" t="inlineStr">
        <is>
          <t>なし</t>
        </is>
      </c>
      <c r="F35" s="60" t="inlineStr">
        <is>
          <t>30歳以上</t>
        </is>
      </c>
      <c r="G35" s="60" t="n">
        <v>2018</v>
      </c>
      <c r="H35" s="60" t="n">
        <v>11</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2018(平成30)</t>
        </is>
      </c>
      <c r="AQ35" s="60" t="n">
        <v>11</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c r="BU35" s="60" t="n">
        <v>36460</v>
      </c>
      <c r="BV35" s="60" t="n">
        <v>20490</v>
      </c>
      <c r="BW35" s="60" t="n">
        <v>13000</v>
      </c>
      <c r="BX35" s="60" t="n">
        <v>6000</v>
      </c>
      <c r="BY35" s="60" t="n">
        <v>0</v>
      </c>
      <c r="BZ35" s="60" t="inlineStr"/>
      <c r="CA35" s="60" t="inlineStr"/>
    </row>
    <row r="36">
      <c r="A36" s="60" t="n">
        <v>2022</v>
      </c>
      <c r="B36" s="60" t="n">
        <v>12</v>
      </c>
      <c r="C36" s="60" t="n">
        <v>1</v>
      </c>
      <c r="D36" s="60" t="n">
        <v>17</v>
      </c>
      <c r="E36" s="60" t="inlineStr">
        <is>
          <t>なし</t>
        </is>
      </c>
      <c r="F36" s="60" t="inlineStr">
        <is>
          <t>30歳以上</t>
        </is>
      </c>
      <c r="G36" s="60" t="n">
        <v>2018</v>
      </c>
      <c r="H36" s="60" t="n">
        <v>11</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2018(平成30)</t>
        </is>
      </c>
      <c r="AQ36" s="60" t="n">
        <v>11</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c r="BU36" s="60" t="n">
        <v>44180</v>
      </c>
      <c r="BV36" s="60" t="n">
        <v>22050</v>
      </c>
      <c r="BW36" s="60" t="n">
        <v>15000</v>
      </c>
      <c r="BX36" s="60" t="n">
        <v>9000</v>
      </c>
      <c r="BY36" s="60" t="n">
        <v>0</v>
      </c>
      <c r="BZ36" s="60" t="inlineStr"/>
      <c r="CA36" s="60" t="inlineStr"/>
    </row>
    <row r="37">
      <c r="A37" s="60" t="n">
        <v>2022</v>
      </c>
      <c r="B37" s="60" t="n">
        <v>12</v>
      </c>
      <c r="C37" s="60" t="n">
        <v>1</v>
      </c>
      <c r="D37" s="60" t="n">
        <v>17</v>
      </c>
      <c r="E37" s="60" t="inlineStr">
        <is>
          <t>なし</t>
        </is>
      </c>
      <c r="F37" s="60" t="inlineStr">
        <is>
          <t>30歳以上</t>
        </is>
      </c>
      <c r="G37" s="60" t="n">
        <v>2018</v>
      </c>
      <c r="H37" s="60" t="n">
        <v>11</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2018(平成30)</t>
        </is>
      </c>
      <c r="AQ37" s="60" t="n">
        <v>11</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c r="BU37" s="60" t="n">
        <v>39500</v>
      </c>
      <c r="BV37" s="60" t="n">
        <v>20830</v>
      </c>
      <c r="BW37" s="60" t="n">
        <v>13000</v>
      </c>
      <c r="BX37" s="60" t="n">
        <v>9000</v>
      </c>
      <c r="BY37" s="60" t="n">
        <v>0</v>
      </c>
      <c r="BZ37" s="60" t="inlineStr"/>
      <c r="CA37" s="60" t="inlineStr"/>
    </row>
    <row r="38">
      <c r="A38" s="60" t="n">
        <v>2022</v>
      </c>
      <c r="B38" s="60" t="n">
        <v>12</v>
      </c>
      <c r="C38" s="60" t="n">
        <v>1</v>
      </c>
      <c r="D38" s="60" t="n">
        <v>17</v>
      </c>
      <c r="E38" s="60" t="inlineStr">
        <is>
          <t>なし</t>
        </is>
      </c>
      <c r="F38" s="60" t="inlineStr">
        <is>
          <t>30歳以上</t>
        </is>
      </c>
      <c r="G38" s="60" t="n">
        <v>2018</v>
      </c>
      <c r="H38" s="60" t="n">
        <v>11</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2018(平成30)</t>
        </is>
      </c>
      <c r="AQ38" s="60" t="n">
        <v>11</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c r="BU38" s="60" t="n">
        <v>39210</v>
      </c>
      <c r="BV38" s="60" t="n">
        <v>20700</v>
      </c>
      <c r="BW38" s="60" t="n">
        <v>13000</v>
      </c>
      <c r="BX38" s="60" t="n">
        <v>9000</v>
      </c>
      <c r="BY38" s="60" t="n">
        <v>0</v>
      </c>
      <c r="BZ38" s="60" t="inlineStr"/>
      <c r="CA38" s="60" t="inlineStr"/>
    </row>
    <row r="39">
      <c r="A39" s="60" t="n">
        <v>2022</v>
      </c>
      <c r="B39" s="60" t="n">
        <v>12</v>
      </c>
      <c r="C39" s="60" t="n">
        <v>1</v>
      </c>
      <c r="D39" s="60" t="n">
        <v>17</v>
      </c>
      <c r="E39" s="60" t="inlineStr">
        <is>
          <t>なし</t>
        </is>
      </c>
      <c r="F39" s="60" t="inlineStr">
        <is>
          <t>30歳以上</t>
        </is>
      </c>
      <c r="G39" s="60" t="n">
        <v>2018</v>
      </c>
      <c r="H39" s="60" t="n">
        <v>11</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2018(平成30)</t>
        </is>
      </c>
      <c r="AQ39" s="60" t="n">
        <v>11</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c r="BU39" s="60" t="n">
        <v>39600</v>
      </c>
      <c r="BV39" s="60" t="n">
        <v>20960</v>
      </c>
      <c r="BW39" s="60" t="n">
        <v>13000</v>
      </c>
      <c r="BX39" s="60" t="n">
        <v>9000</v>
      </c>
      <c r="BY39" s="60" t="n">
        <v>0</v>
      </c>
      <c r="BZ39" s="60" t="inlineStr"/>
      <c r="CA39" s="60" t="inlineStr"/>
    </row>
    <row r="40">
      <c r="A40" s="60" t="n">
        <v>2022</v>
      </c>
      <c r="B40" s="60" t="n">
        <v>12</v>
      </c>
      <c r="C40" s="60" t="n">
        <v>1</v>
      </c>
      <c r="D40" s="60" t="n">
        <v>17</v>
      </c>
      <c r="E40" s="60" t="inlineStr">
        <is>
          <t>なし</t>
        </is>
      </c>
      <c r="F40" s="60" t="inlineStr">
        <is>
          <t>30歳以上</t>
        </is>
      </c>
      <c r="G40" s="60" t="n">
        <v>2018</v>
      </c>
      <c r="H40" s="60" t="n">
        <v>11</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2018(平成30)</t>
        </is>
      </c>
      <c r="AQ40" s="60" t="n">
        <v>11</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c r="BU40" s="60" t="n">
        <v>40570</v>
      </c>
      <c r="BV40" s="60" t="n">
        <v>21040</v>
      </c>
      <c r="BW40" s="60" t="n">
        <v>13000</v>
      </c>
      <c r="BX40" s="60" t="n">
        <v>9000</v>
      </c>
      <c r="BY40" s="60" t="n">
        <v>0</v>
      </c>
      <c r="BZ40" s="60" t="inlineStr"/>
      <c r="CA40" s="60" t="inlineStr"/>
    </row>
    <row r="41">
      <c r="A41" s="60" t="n">
        <v>2022</v>
      </c>
      <c r="B41" s="60" t="n">
        <v>12</v>
      </c>
      <c r="C41" s="60" t="n">
        <v>1</v>
      </c>
      <c r="D41" s="60" t="n">
        <v>17</v>
      </c>
      <c r="E41" s="60" t="inlineStr">
        <is>
          <t>なし</t>
        </is>
      </c>
      <c r="F41" s="60" t="inlineStr">
        <is>
          <t>30歳以上</t>
        </is>
      </c>
      <c r="G41" s="60" t="n">
        <v>2018</v>
      </c>
      <c r="H41" s="60" t="n">
        <v>11</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2018(平成30)</t>
        </is>
      </c>
      <c r="AQ41" s="60" t="n">
        <v>11</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c r="BU41" s="60" t="n">
        <v>40910</v>
      </c>
      <c r="BV41" s="60" t="n">
        <v>20920</v>
      </c>
      <c r="BW41" s="60" t="n">
        <v>13000</v>
      </c>
      <c r="BX41" s="60" t="n">
        <v>9000</v>
      </c>
      <c r="BY41" s="60" t="n">
        <v>0</v>
      </c>
      <c r="BZ41" s="60" t="inlineStr"/>
      <c r="CA41" s="60" t="inlineStr"/>
    </row>
    <row r="42">
      <c r="A42" s="60" t="n">
        <v>2022</v>
      </c>
      <c r="B42" s="60" t="n">
        <v>12</v>
      </c>
      <c r="C42" s="60" t="n">
        <v>1</v>
      </c>
      <c r="D42" s="60" t="n">
        <v>17</v>
      </c>
      <c r="E42" s="60" t="inlineStr">
        <is>
          <t>なし</t>
        </is>
      </c>
      <c r="F42" s="60" t="inlineStr">
        <is>
          <t>30歳以上</t>
        </is>
      </c>
      <c r="G42" s="60" t="n">
        <v>2018</v>
      </c>
      <c r="H42" s="60" t="n">
        <v>11</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2018(平成30)</t>
        </is>
      </c>
      <c r="AQ42" s="60" t="n">
        <v>11</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c r="BU42" s="60" t="n">
        <v>42240</v>
      </c>
      <c r="BV42" s="60" t="n">
        <v>21930</v>
      </c>
      <c r="BW42" s="60" t="n">
        <v>15000</v>
      </c>
      <c r="BX42" s="60" t="n">
        <v>9000</v>
      </c>
      <c r="BY42" s="60" t="n">
        <v>0</v>
      </c>
      <c r="BZ42" s="60" t="inlineStr"/>
      <c r="CA42" s="60" t="inlineStr"/>
    </row>
    <row r="43">
      <c r="A43" s="60" t="n">
        <v>2022</v>
      </c>
      <c r="B43" s="60" t="n">
        <v>12</v>
      </c>
      <c r="C43" s="60" t="n">
        <v>1</v>
      </c>
      <c r="D43" s="60" t="n">
        <v>17</v>
      </c>
      <c r="E43" s="60" t="inlineStr">
        <is>
          <t>なし</t>
        </is>
      </c>
      <c r="F43" s="60" t="inlineStr">
        <is>
          <t>30歳以上</t>
        </is>
      </c>
      <c r="G43" s="60" t="n">
        <v>2018</v>
      </c>
      <c r="H43" s="60" t="n">
        <v>11</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2018(平成30)</t>
        </is>
      </c>
      <c r="AQ43" s="60" t="n">
        <v>11</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c r="BU43" s="60" t="n">
        <v>52750</v>
      </c>
      <c r="BV43" s="60" t="n">
        <v>27490</v>
      </c>
      <c r="BW43" s="60" t="n">
        <v>16000</v>
      </c>
      <c r="BX43" s="60" t="n">
        <v>9000</v>
      </c>
      <c r="BY43" s="60" t="n">
        <v>0</v>
      </c>
      <c r="BZ43" s="60" t="inlineStr"/>
      <c r="CA43" s="60" t="inlineStr"/>
    </row>
    <row r="44">
      <c r="A44" s="60" t="n">
        <v>2022</v>
      </c>
      <c r="B44" s="60" t="n">
        <v>12</v>
      </c>
      <c r="C44" s="60" t="n">
        <v>1</v>
      </c>
      <c r="D44" s="60" t="n">
        <v>17</v>
      </c>
      <c r="E44" s="60" t="inlineStr">
        <is>
          <t>なし</t>
        </is>
      </c>
      <c r="F44" s="60" t="inlineStr">
        <is>
          <t>30歳以上</t>
        </is>
      </c>
      <c r="G44" s="60" t="n">
        <v>2018</v>
      </c>
      <c r="H44" s="60" t="n">
        <v>11</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2018(平成30)</t>
        </is>
      </c>
      <c r="AQ44" s="60" t="n">
        <v>11</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c r="BU44" s="60" t="n">
        <v>42640</v>
      </c>
      <c r="BV44" s="60" t="n">
        <v>22330</v>
      </c>
      <c r="BW44" s="60" t="n">
        <v>15000</v>
      </c>
      <c r="BX44" s="60" t="n">
        <v>9000</v>
      </c>
      <c r="BY44" s="60" t="n">
        <v>0</v>
      </c>
      <c r="BZ44" s="60" t="inlineStr"/>
      <c r="CA44" s="60" t="inlineStr"/>
    </row>
    <row r="45">
      <c r="A45" s="60" t="n">
        <v>2022</v>
      </c>
      <c r="B45" s="60" t="n">
        <v>12</v>
      </c>
      <c r="C45" s="60" t="n">
        <v>1</v>
      </c>
      <c r="D45" s="60" t="n">
        <v>17</v>
      </c>
      <c r="E45" s="60" t="inlineStr">
        <is>
          <t>なし</t>
        </is>
      </c>
      <c r="F45" s="60" t="inlineStr">
        <is>
          <t>30歳以上</t>
        </is>
      </c>
      <c r="G45" s="60" t="n">
        <v>2018</v>
      </c>
      <c r="H45" s="60" t="n">
        <v>11</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2018(平成30)</t>
        </is>
      </c>
      <c r="AQ45" s="60" t="n">
        <v>11</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c r="BU45" s="60" t="n">
        <v>42290</v>
      </c>
      <c r="BV45" s="60" t="n">
        <v>22160</v>
      </c>
      <c r="BW45" s="60" t="n">
        <v>15000</v>
      </c>
      <c r="BX45" s="60" t="n">
        <v>9000</v>
      </c>
      <c r="BY45" s="60" t="n">
        <v>0</v>
      </c>
      <c r="BZ45" s="60" t="inlineStr"/>
      <c r="CA45" s="60" t="inlineStr"/>
    </row>
    <row r="46">
      <c r="A46" s="60" t="n">
        <v>2022</v>
      </c>
      <c r="B46" s="60" t="n">
        <v>12</v>
      </c>
      <c r="C46" s="60" t="n">
        <v>1</v>
      </c>
      <c r="D46" s="60" t="n">
        <v>17</v>
      </c>
      <c r="E46" s="60" t="inlineStr">
        <is>
          <t>なし</t>
        </is>
      </c>
      <c r="F46" s="60" t="inlineStr">
        <is>
          <t>30歳以上</t>
        </is>
      </c>
      <c r="G46" s="60" t="n">
        <v>2018</v>
      </c>
      <c r="H46" s="60" t="n">
        <v>11</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2018(平成30)</t>
        </is>
      </c>
      <c r="AQ46" s="60" t="n">
        <v>11</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c r="BU46" s="60" t="n">
        <v>42730</v>
      </c>
      <c r="BV46" s="60" t="n">
        <v>22450</v>
      </c>
      <c r="BW46" s="60" t="n">
        <v>15000</v>
      </c>
      <c r="BX46" s="60" t="n">
        <v>9000</v>
      </c>
      <c r="BY46" s="60" t="n">
        <v>0</v>
      </c>
      <c r="BZ46" s="60" t="inlineStr"/>
      <c r="CA46" s="60" t="inlineStr"/>
    </row>
    <row r="47">
      <c r="A47" s="60" t="n">
        <v>2022</v>
      </c>
      <c r="B47" s="60" t="n">
        <v>12</v>
      </c>
      <c r="C47" s="60" t="n">
        <v>1</v>
      </c>
      <c r="D47" s="60" t="n">
        <v>17</v>
      </c>
      <c r="E47" s="60" t="inlineStr">
        <is>
          <t>なし</t>
        </is>
      </c>
      <c r="F47" s="60" t="inlineStr">
        <is>
          <t>30歳以上</t>
        </is>
      </c>
      <c r="G47" s="60" t="n">
        <v>2018</v>
      </c>
      <c r="H47" s="60" t="n">
        <v>11</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2018(平成30)</t>
        </is>
      </c>
      <c r="AQ47" s="60" t="n">
        <v>11</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c r="BU47" s="60" t="n">
        <v>43830</v>
      </c>
      <c r="BV47" s="60" t="n">
        <v>22520</v>
      </c>
      <c r="BW47" s="60" t="n">
        <v>15000</v>
      </c>
      <c r="BX47" s="60" t="n">
        <v>9000</v>
      </c>
      <c r="BY47" s="60" t="n">
        <v>0</v>
      </c>
      <c r="BZ47" s="60" t="inlineStr"/>
      <c r="CA47" s="60" t="inlineStr"/>
    </row>
    <row r="48">
      <c r="A48" s="60" t="n">
        <v>2022</v>
      </c>
      <c r="B48" s="60" t="n">
        <v>12</v>
      </c>
      <c r="C48" s="60" t="n">
        <v>1</v>
      </c>
      <c r="D48" s="60" t="n">
        <v>17</v>
      </c>
      <c r="E48" s="60" t="inlineStr">
        <is>
          <t>なし</t>
        </is>
      </c>
      <c r="F48" s="60" t="inlineStr">
        <is>
          <t>30歳以上</t>
        </is>
      </c>
      <c r="G48" s="60" t="n">
        <v>2018</v>
      </c>
      <c r="H48" s="60" t="n">
        <v>11</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2018(平成30)</t>
        </is>
      </c>
      <c r="AQ48" s="60" t="n">
        <v>11</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c r="BU48" s="60" t="n">
        <v>44290</v>
      </c>
      <c r="BV48" s="60" t="n">
        <v>22430</v>
      </c>
      <c r="BW48" s="60" t="n">
        <v>15000</v>
      </c>
      <c r="BX48" s="60" t="n">
        <v>9000</v>
      </c>
      <c r="BY48" s="60" t="n">
        <v>0</v>
      </c>
      <c r="BZ48" s="60" t="inlineStr"/>
      <c r="CA48" s="60" t="inlineStr"/>
    </row>
    <row r="49">
      <c r="A49" s="60" t="n">
        <v>2022</v>
      </c>
      <c r="B49" s="60" t="n">
        <v>12</v>
      </c>
      <c r="C49" s="60" t="n">
        <v>1</v>
      </c>
      <c r="D49" s="60" t="n">
        <v>17</v>
      </c>
      <c r="E49" s="60" t="inlineStr">
        <is>
          <t>なし</t>
        </is>
      </c>
      <c r="F49" s="60" t="inlineStr">
        <is>
          <t>30歳以上</t>
        </is>
      </c>
      <c r="G49" s="60" t="n">
        <v>2018</v>
      </c>
      <c r="H49" s="60" t="n">
        <v>11</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2018(平成30)</t>
        </is>
      </c>
      <c r="AQ49" s="60" t="n">
        <v>11</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c r="BU49" s="60" t="n">
        <v>47090</v>
      </c>
      <c r="BV49" s="60" t="n">
        <v>23520</v>
      </c>
      <c r="BW49" s="60" t="n">
        <v>16000</v>
      </c>
      <c r="BX49" s="60" t="n">
        <v>9000</v>
      </c>
      <c r="BY49" s="60" t="n">
        <v>0</v>
      </c>
      <c r="BZ49" s="60" t="inlineStr"/>
      <c r="CA49" s="60" t="inlineStr"/>
    </row>
    <row r="50">
      <c r="A50" s="60" t="n">
        <v>2022</v>
      </c>
      <c r="B50" s="7" t="n">
        <v>12</v>
      </c>
      <c r="C50" s="7" t="n">
        <v>1</v>
      </c>
      <c r="D50" s="7" t="n">
        <v>17</v>
      </c>
      <c r="E50" s="7" t="inlineStr">
        <is>
          <t>なし</t>
        </is>
      </c>
      <c r="F50" s="7" t="inlineStr">
        <is>
          <t>30歳以上</t>
        </is>
      </c>
      <c r="G50" s="7" t="n">
        <v>2018</v>
      </c>
      <c r="H50" s="7" t="n">
        <v>11</v>
      </c>
      <c r="I50" s="7" t="inlineStr">
        <is>
          <t>DJ5FS</t>
        </is>
      </c>
      <c r="J50" s="7" t="inlineStr">
        <is>
          <t>なし</t>
        </is>
      </c>
      <c r="K50" s="7" t="n">
        <v>1952</v>
      </c>
      <c r="L50" s="15" t="n">
        <v>12</v>
      </c>
      <c r="M50" s="7" t="n">
        <v>1</v>
      </c>
      <c r="N50" s="7" t="inlineStr">
        <is>
          <t>関東</t>
        </is>
      </c>
      <c r="O50" s="7" t="inlineStr">
        <is>
          <t>ゴールド</t>
        </is>
      </c>
      <c r="P50" s="7" t="inlineStr">
        <is>
          <t>通勤</t>
        </is>
      </c>
      <c r="Q50" s="7" t="n">
        <v>3000</v>
      </c>
      <c r="R50" s="7" t="inlineStr">
        <is>
          <t>30歳以上</t>
        </is>
      </c>
      <c r="S50" s="7" t="inlineStr">
        <is>
          <t>本配</t>
        </is>
      </c>
      <c r="T50" s="7" t="inlineStr">
        <is>
          <t>無制限</t>
        </is>
      </c>
      <c r="U50" s="7" t="inlineStr">
        <is>
          <t>なし</t>
        </is>
      </c>
      <c r="V50" s="7" t="n">
        <v>1000</v>
      </c>
      <c r="W50" s="7" t="inlineStr">
        <is>
          <t>車内外</t>
        </is>
      </c>
      <c r="X50" s="7" t="n">
        <v>3000</v>
      </c>
      <c r="Y50" s="7" t="inlineStr">
        <is>
          <t>一般</t>
        </is>
      </c>
      <c r="Z50" s="7" t="n">
        <v>110</v>
      </c>
      <c r="AA50" s="7" t="inlineStr">
        <is>
          <t>免責金額なし</t>
        </is>
      </c>
      <c r="AB50" s="7" t="inlineStr">
        <is>
          <t>なし</t>
        </is>
      </c>
      <c r="AC50" s="7" t="inlineStr">
        <is>
          <t>なし</t>
        </is>
      </c>
      <c r="AD50" s="7" t="inlineStr">
        <is>
          <t>なし</t>
        </is>
      </c>
      <c r="AE50" s="7" t="inlineStr">
        <is>
          <t>あり</t>
        </is>
      </c>
      <c r="AF50" s="7" t="inlineStr">
        <is>
          <t>なし</t>
        </is>
      </c>
      <c r="AG50" s="7" t="inlineStr">
        <is>
          <t>なし</t>
        </is>
      </c>
      <c r="AH50" s="7" t="inlineStr">
        <is>
          <t>なし</t>
        </is>
      </c>
      <c r="AI50" s="7"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2018(平成30)</t>
        </is>
      </c>
      <c r="AQ50" s="60" t="n">
        <v>11</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c r="BU50" s="60" t="n">
        <v>60050</v>
      </c>
      <c r="BV50" s="60" t="n">
        <v>29510</v>
      </c>
      <c r="BW50" s="60" t="n">
        <v>16000</v>
      </c>
      <c r="BX50" s="60" t="n">
        <v>9000</v>
      </c>
      <c r="BY50" s="60" t="n">
        <v>0</v>
      </c>
      <c r="BZ50" s="60" t="inlineStr"/>
      <c r="CA50" s="60" t="inlineStr"/>
    </row>
    <row r="51">
      <c r="A51" s="60" t="n">
        <v>2022</v>
      </c>
      <c r="B51" s="7" t="n">
        <v>12</v>
      </c>
      <c r="C51" s="7" t="n">
        <v>1</v>
      </c>
      <c r="D51" s="7" t="n">
        <v>17</v>
      </c>
      <c r="E51" s="7" t="inlineStr">
        <is>
          <t>なし</t>
        </is>
      </c>
      <c r="F51" s="7" t="inlineStr">
        <is>
          <t>30歳以上</t>
        </is>
      </c>
      <c r="G51" s="7" t="n">
        <v>2018</v>
      </c>
      <c r="H51" s="7" t="n">
        <v>11</v>
      </c>
      <c r="I51" s="7" t="inlineStr">
        <is>
          <t>DJ5FS</t>
        </is>
      </c>
      <c r="J51" s="7" t="inlineStr">
        <is>
          <t>なし</t>
        </is>
      </c>
      <c r="K51" s="7" t="n">
        <v>1992</v>
      </c>
      <c r="L51" s="15" t="n">
        <v>12</v>
      </c>
      <c r="M51" s="7" t="n">
        <v>1</v>
      </c>
      <c r="N51" s="7" t="inlineStr">
        <is>
          <t>関東</t>
        </is>
      </c>
      <c r="O51" s="7" t="inlineStr">
        <is>
          <t>ゴールド</t>
        </is>
      </c>
      <c r="P51" s="7" t="inlineStr">
        <is>
          <t>通勤</t>
        </is>
      </c>
      <c r="Q51" s="7" t="n">
        <v>7000</v>
      </c>
      <c r="R51" s="7" t="inlineStr">
        <is>
          <t>30歳以上</t>
        </is>
      </c>
      <c r="S51" s="7" t="inlineStr">
        <is>
          <t>本配</t>
        </is>
      </c>
      <c r="T51" s="7" t="inlineStr">
        <is>
          <t>無制限</t>
        </is>
      </c>
      <c r="U51" s="7" t="inlineStr">
        <is>
          <t>なし</t>
        </is>
      </c>
      <c r="V51" s="7" t="n">
        <v>1000</v>
      </c>
      <c r="W51" s="7" t="inlineStr">
        <is>
          <t>車内外</t>
        </is>
      </c>
      <c r="X51" s="7" t="n">
        <v>3000</v>
      </c>
      <c r="Y51" s="7" t="inlineStr">
        <is>
          <t>一般</t>
        </is>
      </c>
      <c r="Z51" s="7" t="n">
        <v>110</v>
      </c>
      <c r="AA51" s="7" t="inlineStr">
        <is>
          <t>免責金額なし</t>
        </is>
      </c>
      <c r="AB51" s="7" t="inlineStr">
        <is>
          <t>なし</t>
        </is>
      </c>
      <c r="AC51" s="7" t="inlineStr">
        <is>
          <t>なし</t>
        </is>
      </c>
      <c r="AD51" s="7" t="inlineStr">
        <is>
          <t>なし</t>
        </is>
      </c>
      <c r="AE51" s="7" t="inlineStr">
        <is>
          <t>あり</t>
        </is>
      </c>
      <c r="AF51" s="7" t="inlineStr">
        <is>
          <t>なし</t>
        </is>
      </c>
      <c r="AG51" s="7" t="inlineStr">
        <is>
          <t>なし</t>
        </is>
      </c>
      <c r="AH51" s="7" t="inlineStr">
        <is>
          <t>なし</t>
        </is>
      </c>
      <c r="AI51" s="7"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2018(平成30)</t>
        </is>
      </c>
      <c r="AQ51" s="60" t="n">
        <v>11</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c r="BU51" s="60" t="n">
        <v>55560</v>
      </c>
      <c r="BV51" s="60" t="n">
        <v>30070</v>
      </c>
      <c r="BW51" s="60" t="n">
        <v>16000</v>
      </c>
      <c r="BX51" s="60" t="n">
        <v>9000</v>
      </c>
      <c r="BY51" s="60" t="n">
        <v>0</v>
      </c>
      <c r="BZ51" s="60" t="inlineStr"/>
      <c r="CA51" s="60" t="inlineStr"/>
    </row>
    <row r="52">
      <c r="A52" s="60" t="n">
        <v>2022</v>
      </c>
      <c r="B52" s="7" t="n">
        <v>12</v>
      </c>
      <c r="C52" s="7" t="n">
        <v>1</v>
      </c>
      <c r="D52" s="7" t="n">
        <v>17</v>
      </c>
      <c r="E52" s="7" t="inlineStr">
        <is>
          <t>なし</t>
        </is>
      </c>
      <c r="F52" s="7" t="inlineStr">
        <is>
          <t>30歳以上</t>
        </is>
      </c>
      <c r="G52" s="7" t="n">
        <v>2018</v>
      </c>
      <c r="H52" s="7" t="n">
        <v>11</v>
      </c>
      <c r="I52" s="7" t="inlineStr">
        <is>
          <t>DJ5FS</t>
        </is>
      </c>
      <c r="J52" s="7" t="inlineStr">
        <is>
          <t>なし</t>
        </is>
      </c>
      <c r="K52" s="7" t="n">
        <v>1987</v>
      </c>
      <c r="L52" s="15" t="n">
        <v>12</v>
      </c>
      <c r="M52" s="7" t="n">
        <v>1</v>
      </c>
      <c r="N52" s="7" t="inlineStr">
        <is>
          <t>関東</t>
        </is>
      </c>
      <c r="O52" s="7" t="inlineStr">
        <is>
          <t>ゴールド</t>
        </is>
      </c>
      <c r="P52" s="7" t="inlineStr">
        <is>
          <t>通勤</t>
        </is>
      </c>
      <c r="Q52" s="7" t="n">
        <v>7000</v>
      </c>
      <c r="R52" s="7" t="inlineStr">
        <is>
          <t>30歳以上</t>
        </is>
      </c>
      <c r="S52" s="7" t="inlineStr">
        <is>
          <t>本配</t>
        </is>
      </c>
      <c r="T52" s="7" t="inlineStr">
        <is>
          <t>無制限</t>
        </is>
      </c>
      <c r="U52" s="7" t="inlineStr">
        <is>
          <t>なし</t>
        </is>
      </c>
      <c r="V52" s="7" t="n">
        <v>1000</v>
      </c>
      <c r="W52" s="7" t="inlineStr">
        <is>
          <t>車内外</t>
        </is>
      </c>
      <c r="X52" s="7" t="n">
        <v>3000</v>
      </c>
      <c r="Y52" s="7" t="inlineStr">
        <is>
          <t>一般</t>
        </is>
      </c>
      <c r="Z52" s="7" t="n">
        <v>110</v>
      </c>
      <c r="AA52" s="7" t="inlineStr">
        <is>
          <t>免責金額なし</t>
        </is>
      </c>
      <c r="AB52" s="7" t="inlineStr">
        <is>
          <t>なし</t>
        </is>
      </c>
      <c r="AC52" s="7" t="inlineStr">
        <is>
          <t>なし</t>
        </is>
      </c>
      <c r="AD52" s="7" t="inlineStr">
        <is>
          <t>なし</t>
        </is>
      </c>
      <c r="AE52" s="7" t="inlineStr">
        <is>
          <t>あり</t>
        </is>
      </c>
      <c r="AF52" s="7" t="inlineStr">
        <is>
          <t>なし</t>
        </is>
      </c>
      <c r="AG52" s="7" t="inlineStr">
        <is>
          <t>なし</t>
        </is>
      </c>
      <c r="AH52" s="7" t="inlineStr">
        <is>
          <t>なし</t>
        </is>
      </c>
      <c r="AI52" s="7"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2018(平成30)</t>
        </is>
      </c>
      <c r="AQ52" s="60" t="n">
        <v>11</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c r="BU52" s="60" t="n">
        <v>55160</v>
      </c>
      <c r="BV52" s="60" t="n">
        <v>29900</v>
      </c>
      <c r="BW52" s="60" t="n">
        <v>16000</v>
      </c>
      <c r="BX52" s="60" t="n">
        <v>9000</v>
      </c>
      <c r="BY52" s="60" t="n">
        <v>0</v>
      </c>
      <c r="BZ52" s="60" t="inlineStr"/>
      <c r="CA52" s="60" t="inlineStr"/>
    </row>
    <row r="53">
      <c r="A53" s="60" t="n">
        <v>2022</v>
      </c>
      <c r="B53" s="7" t="n">
        <v>12</v>
      </c>
      <c r="C53" s="7" t="n">
        <v>1</v>
      </c>
      <c r="D53" s="7" t="n">
        <v>17</v>
      </c>
      <c r="E53" s="7" t="inlineStr">
        <is>
          <t>なし</t>
        </is>
      </c>
      <c r="F53" s="7" t="inlineStr">
        <is>
          <t>30歳以上</t>
        </is>
      </c>
      <c r="G53" s="7" t="n">
        <v>2018</v>
      </c>
      <c r="H53" s="7" t="n">
        <v>11</v>
      </c>
      <c r="I53" s="7" t="inlineStr">
        <is>
          <t>DJ5FS</t>
        </is>
      </c>
      <c r="J53" s="7" t="inlineStr">
        <is>
          <t>なし</t>
        </is>
      </c>
      <c r="K53" s="7" t="n">
        <v>1982</v>
      </c>
      <c r="L53" s="15" t="n">
        <v>12</v>
      </c>
      <c r="M53" s="7" t="n">
        <v>1</v>
      </c>
      <c r="N53" s="7" t="inlineStr">
        <is>
          <t>関東</t>
        </is>
      </c>
      <c r="O53" s="7" t="inlineStr">
        <is>
          <t>ゴールド</t>
        </is>
      </c>
      <c r="P53" s="7" t="inlineStr">
        <is>
          <t>通勤</t>
        </is>
      </c>
      <c r="Q53" s="7" t="n">
        <v>7000</v>
      </c>
      <c r="R53" s="7" t="inlineStr">
        <is>
          <t>30歳以上</t>
        </is>
      </c>
      <c r="S53" s="7" t="inlineStr">
        <is>
          <t>本配</t>
        </is>
      </c>
      <c r="T53" s="7" t="inlineStr">
        <is>
          <t>無制限</t>
        </is>
      </c>
      <c r="U53" s="7" t="inlineStr">
        <is>
          <t>なし</t>
        </is>
      </c>
      <c r="V53" s="7" t="n">
        <v>1000</v>
      </c>
      <c r="W53" s="7" t="inlineStr">
        <is>
          <t>車内外</t>
        </is>
      </c>
      <c r="X53" s="7" t="n">
        <v>3000</v>
      </c>
      <c r="Y53" s="7" t="inlineStr">
        <is>
          <t>一般</t>
        </is>
      </c>
      <c r="Z53" s="7" t="n">
        <v>110</v>
      </c>
      <c r="AA53" s="7" t="inlineStr">
        <is>
          <t>免責金額なし</t>
        </is>
      </c>
      <c r="AB53" s="7" t="inlineStr">
        <is>
          <t>なし</t>
        </is>
      </c>
      <c r="AC53" s="7" t="inlineStr">
        <is>
          <t>なし</t>
        </is>
      </c>
      <c r="AD53" s="7" t="inlineStr">
        <is>
          <t>なし</t>
        </is>
      </c>
      <c r="AE53" s="7" t="inlineStr">
        <is>
          <t>あり</t>
        </is>
      </c>
      <c r="AF53" s="7" t="inlineStr">
        <is>
          <t>なし</t>
        </is>
      </c>
      <c r="AG53" s="7" t="inlineStr">
        <is>
          <t>なし</t>
        </is>
      </c>
      <c r="AH53" s="7" t="inlineStr">
        <is>
          <t>なし</t>
        </is>
      </c>
      <c r="AI53" s="7"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2018(平成30)</t>
        </is>
      </c>
      <c r="AQ53" s="60" t="n">
        <v>11</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c r="BU53" s="60" t="n">
        <v>55740</v>
      </c>
      <c r="BV53" s="60" t="n">
        <v>30280</v>
      </c>
      <c r="BW53" s="60" t="n">
        <v>16000</v>
      </c>
      <c r="BX53" s="60" t="n">
        <v>9000</v>
      </c>
      <c r="BY53" s="60" t="n">
        <v>0</v>
      </c>
      <c r="BZ53" s="60" t="inlineStr"/>
      <c r="CA53" s="60" t="inlineStr"/>
    </row>
    <row r="54">
      <c r="A54" s="60" t="n">
        <v>2022</v>
      </c>
      <c r="B54" s="7" t="n">
        <v>12</v>
      </c>
      <c r="C54" s="7" t="n">
        <v>1</v>
      </c>
      <c r="D54" s="7" t="n">
        <v>17</v>
      </c>
      <c r="E54" s="7" t="inlineStr">
        <is>
          <t>なし</t>
        </is>
      </c>
      <c r="F54" s="7" t="inlineStr">
        <is>
          <t>30歳以上</t>
        </is>
      </c>
      <c r="G54" s="7" t="n">
        <v>2018</v>
      </c>
      <c r="H54" s="7" t="n">
        <v>11</v>
      </c>
      <c r="I54" s="7" t="inlineStr">
        <is>
          <t>DJ5FS</t>
        </is>
      </c>
      <c r="J54" s="7" t="inlineStr">
        <is>
          <t>なし</t>
        </is>
      </c>
      <c r="K54" s="7" t="n">
        <v>1977</v>
      </c>
      <c r="L54" s="15" t="n">
        <v>12</v>
      </c>
      <c r="M54" s="7" t="n">
        <v>1</v>
      </c>
      <c r="N54" s="7" t="inlineStr">
        <is>
          <t>関東</t>
        </is>
      </c>
      <c r="O54" s="7" t="inlineStr">
        <is>
          <t>ゴールド</t>
        </is>
      </c>
      <c r="P54" s="7" t="inlineStr">
        <is>
          <t>通勤</t>
        </is>
      </c>
      <c r="Q54" s="7" t="n">
        <v>7000</v>
      </c>
      <c r="R54" s="7" t="inlineStr">
        <is>
          <t>30歳以上</t>
        </is>
      </c>
      <c r="S54" s="7" t="inlineStr">
        <is>
          <t>本配</t>
        </is>
      </c>
      <c r="T54" s="7" t="inlineStr">
        <is>
          <t>無制限</t>
        </is>
      </c>
      <c r="U54" s="7" t="inlineStr">
        <is>
          <t>なし</t>
        </is>
      </c>
      <c r="V54" s="7" t="n">
        <v>1000</v>
      </c>
      <c r="W54" s="7" t="inlineStr">
        <is>
          <t>車内外</t>
        </is>
      </c>
      <c r="X54" s="7" t="n">
        <v>3000</v>
      </c>
      <c r="Y54" s="7" t="inlineStr">
        <is>
          <t>一般</t>
        </is>
      </c>
      <c r="Z54" s="7" t="n">
        <v>110</v>
      </c>
      <c r="AA54" s="7" t="inlineStr">
        <is>
          <t>免責金額なし</t>
        </is>
      </c>
      <c r="AB54" s="7" t="inlineStr">
        <is>
          <t>なし</t>
        </is>
      </c>
      <c r="AC54" s="7" t="inlineStr">
        <is>
          <t>なし</t>
        </is>
      </c>
      <c r="AD54" s="7" t="inlineStr">
        <is>
          <t>なし</t>
        </is>
      </c>
      <c r="AE54" s="7" t="inlineStr">
        <is>
          <t>あり</t>
        </is>
      </c>
      <c r="AF54" s="7" t="inlineStr">
        <is>
          <t>なし</t>
        </is>
      </c>
      <c r="AG54" s="7" t="inlineStr">
        <is>
          <t>なし</t>
        </is>
      </c>
      <c r="AH54" s="7" t="inlineStr">
        <is>
          <t>なし</t>
        </is>
      </c>
      <c r="AI54" s="7"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2018(平成30)</t>
        </is>
      </c>
      <c r="AQ54" s="60" t="n">
        <v>11</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c r="BU54" s="60" t="inlineStr">
        <is>
          <t>E</t>
        </is>
      </c>
      <c r="BV54" s="60" t="inlineStr">
        <is>
          <t xml:space="preserve">Traceback (most recent call last):
  File "C:\Users\safic\Documents\Z\Z_func.py", line 208,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chrome=103.0.5060.134)
Stacktrace:
Backtrace:
	Ordinal0 [0x007A5FD3+2187219]
	Ordinal0 [0x0073E6D1+1763025]
	Ordinal0 [0x00653E78+802424]
	Ordinal0 [0x00681C10+990224]
	Ordinal0 [0x00681EAB+990891]
	Ordinal0 [0x006AEC92+1174674]
	Ordinal0 [0x0069CBD4+1100756]
	Ordinal0 [0x006ACFC2+1167298]
	Ordinal0 [0x0069C9A6+1100198]
	Ordinal0 [0x00676F80+946048]
	Ordinal0 [0x00677E76+949878]
	GetHandleVerifier [0x00A490C2+2721218]
	GetHandleVerifier [0x00A3AAF0+2662384]
	GetHandleVerifier [0x0083137A+526458]
	GetHandleVerifier [0x00830416+522518]
	Ordinal0 [0x00744EAB+1789611]
	Ordinal0 [0x007497A8+1808296]
	Ordinal0 [0x00749895+1808533]
	Ordinal0 [0x007526C1+1844929]
	BaseThreadInitThunk [0x74F8FA29+25]
	RtlGetAppContainerNamedObjectPath [0x77007BBE+286]
	RtlGetAppContainerNamedObjectPath [0x77007B8E+238]
</t>
        </is>
      </c>
      <c r="BW54" s="60" t="n"/>
      <c r="BX54" s="60" t="n"/>
      <c r="BY54" s="60" t="n"/>
      <c r="BZ54" s="60" t="inlineStr"/>
      <c r="CA54" s="60" t="inlineStr"/>
    </row>
    <row r="55">
      <c r="A55" s="60" t="n">
        <v>2022</v>
      </c>
      <c r="B55" s="7" t="n">
        <v>12</v>
      </c>
      <c r="C55" s="7" t="n">
        <v>1</v>
      </c>
      <c r="D55" s="7" t="n">
        <v>17</v>
      </c>
      <c r="E55" s="7" t="inlineStr">
        <is>
          <t>なし</t>
        </is>
      </c>
      <c r="F55" s="7" t="inlineStr">
        <is>
          <t>30歳以上</t>
        </is>
      </c>
      <c r="G55" s="7" t="n">
        <v>2018</v>
      </c>
      <c r="H55" s="7" t="n">
        <v>11</v>
      </c>
      <c r="I55" s="7" t="inlineStr">
        <is>
          <t>DJ5FS</t>
        </is>
      </c>
      <c r="J55" s="7" t="inlineStr">
        <is>
          <t>なし</t>
        </is>
      </c>
      <c r="K55" s="7" t="n">
        <v>1972</v>
      </c>
      <c r="L55" s="15" t="n">
        <v>12</v>
      </c>
      <c r="M55" s="7" t="n">
        <v>1</v>
      </c>
      <c r="N55" s="7" t="inlineStr">
        <is>
          <t>関東</t>
        </is>
      </c>
      <c r="O55" s="7" t="inlineStr">
        <is>
          <t>ゴールド</t>
        </is>
      </c>
      <c r="P55" s="7" t="inlineStr">
        <is>
          <t>通勤</t>
        </is>
      </c>
      <c r="Q55" s="7" t="n">
        <v>7000</v>
      </c>
      <c r="R55" s="7" t="inlineStr">
        <is>
          <t>30歳以上</t>
        </is>
      </c>
      <c r="S55" s="7" t="inlineStr">
        <is>
          <t>本配</t>
        </is>
      </c>
      <c r="T55" s="7" t="inlineStr">
        <is>
          <t>無制限</t>
        </is>
      </c>
      <c r="U55" s="7" t="inlineStr">
        <is>
          <t>なし</t>
        </is>
      </c>
      <c r="V55" s="7" t="n">
        <v>1000</v>
      </c>
      <c r="W55" s="7" t="inlineStr">
        <is>
          <t>車内外</t>
        </is>
      </c>
      <c r="X55" s="7" t="n">
        <v>3000</v>
      </c>
      <c r="Y55" s="7" t="inlineStr">
        <is>
          <t>一般</t>
        </is>
      </c>
      <c r="Z55" s="7" t="n">
        <v>110</v>
      </c>
      <c r="AA55" s="7" t="inlineStr">
        <is>
          <t>免責金額なし</t>
        </is>
      </c>
      <c r="AB55" s="7" t="inlineStr">
        <is>
          <t>なし</t>
        </is>
      </c>
      <c r="AC55" s="7" t="inlineStr">
        <is>
          <t>なし</t>
        </is>
      </c>
      <c r="AD55" s="7" t="inlineStr">
        <is>
          <t>なし</t>
        </is>
      </c>
      <c r="AE55" s="7" t="inlineStr">
        <is>
          <t>あり</t>
        </is>
      </c>
      <c r="AF55" s="7" t="inlineStr">
        <is>
          <t>なし</t>
        </is>
      </c>
      <c r="AG55" s="7" t="inlineStr">
        <is>
          <t>なし</t>
        </is>
      </c>
      <c r="AH55" s="7" t="inlineStr">
        <is>
          <t>なし</t>
        </is>
      </c>
      <c r="AI55" s="7"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2018(平成30)</t>
        </is>
      </c>
      <c r="AQ55" s="60" t="n">
        <v>11</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c r="BU55" s="60" t="n">
        <v>57690</v>
      </c>
      <c r="BV55" s="60" t="n">
        <v>30270</v>
      </c>
      <c r="BW55" s="60" t="n">
        <v>16000</v>
      </c>
      <c r="BX55" s="60" t="n">
        <v>9000</v>
      </c>
      <c r="BY55" s="60" t="n">
        <v>0</v>
      </c>
      <c r="BZ55" s="60" t="inlineStr"/>
      <c r="CA55" s="60" t="inlineStr"/>
    </row>
    <row r="56">
      <c r="A56" s="60" t="n">
        <v>2022</v>
      </c>
      <c r="B56" s="7" t="n">
        <v>12</v>
      </c>
      <c r="C56" s="7" t="n">
        <v>1</v>
      </c>
      <c r="D56" s="7" t="n">
        <v>17</v>
      </c>
      <c r="E56" s="7" t="inlineStr">
        <is>
          <t>なし</t>
        </is>
      </c>
      <c r="F56" s="7" t="inlineStr">
        <is>
          <t>30歳以上</t>
        </is>
      </c>
      <c r="G56" s="7" t="n">
        <v>2018</v>
      </c>
      <c r="H56" s="7" t="n">
        <v>11</v>
      </c>
      <c r="I56" s="7" t="inlineStr">
        <is>
          <t>DJ5FS</t>
        </is>
      </c>
      <c r="J56" s="7" t="inlineStr">
        <is>
          <t>なし</t>
        </is>
      </c>
      <c r="K56" s="7" t="n">
        <v>1962</v>
      </c>
      <c r="L56" s="15" t="n">
        <v>12</v>
      </c>
      <c r="M56" s="7" t="n">
        <v>1</v>
      </c>
      <c r="N56" s="7" t="inlineStr">
        <is>
          <t>関東</t>
        </is>
      </c>
      <c r="O56" s="7" t="inlineStr">
        <is>
          <t>ゴールド</t>
        </is>
      </c>
      <c r="P56" s="7" t="inlineStr">
        <is>
          <t>通勤</t>
        </is>
      </c>
      <c r="Q56" s="7" t="n">
        <v>7000</v>
      </c>
      <c r="R56" s="7" t="inlineStr">
        <is>
          <t>30歳以上</t>
        </is>
      </c>
      <c r="S56" s="7" t="inlineStr">
        <is>
          <t>本配</t>
        </is>
      </c>
      <c r="T56" s="7" t="inlineStr">
        <is>
          <t>無制限</t>
        </is>
      </c>
      <c r="U56" s="7" t="inlineStr">
        <is>
          <t>なし</t>
        </is>
      </c>
      <c r="V56" s="7" t="n">
        <v>1000</v>
      </c>
      <c r="W56" s="7" t="inlineStr">
        <is>
          <t>車内外</t>
        </is>
      </c>
      <c r="X56" s="7" t="n">
        <v>3000</v>
      </c>
      <c r="Y56" s="7" t="inlineStr">
        <is>
          <t>一般</t>
        </is>
      </c>
      <c r="Z56" s="7" t="n">
        <v>110</v>
      </c>
      <c r="AA56" s="7" t="inlineStr">
        <is>
          <t>免責金額なし</t>
        </is>
      </c>
      <c r="AB56" s="7" t="inlineStr">
        <is>
          <t>なし</t>
        </is>
      </c>
      <c r="AC56" s="7" t="inlineStr">
        <is>
          <t>なし</t>
        </is>
      </c>
      <c r="AD56" s="7" t="inlineStr">
        <is>
          <t>なし</t>
        </is>
      </c>
      <c r="AE56" s="7" t="inlineStr">
        <is>
          <t>あり</t>
        </is>
      </c>
      <c r="AF56" s="7" t="inlineStr">
        <is>
          <t>なし</t>
        </is>
      </c>
      <c r="AG56" s="7" t="inlineStr">
        <is>
          <t>なし</t>
        </is>
      </c>
      <c r="AH56" s="7" t="inlineStr">
        <is>
          <t>なし</t>
        </is>
      </c>
      <c r="AI56" s="7"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2018(平成30)</t>
        </is>
      </c>
      <c r="AQ56" s="60" t="n">
        <v>11</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c r="BU56" s="60" t="n">
        <v>62510</v>
      </c>
      <c r="BV56" s="60" t="n">
        <v>30710</v>
      </c>
      <c r="BW56" s="60" t="n">
        <v>16000</v>
      </c>
      <c r="BX56" s="60" t="n">
        <v>10000</v>
      </c>
      <c r="BY56" s="60" t="n">
        <v>0</v>
      </c>
      <c r="BZ56" s="60" t="inlineStr"/>
      <c r="CA56" s="60" t="inlineStr"/>
    </row>
    <row r="57">
      <c r="A57" s="60" t="n">
        <v>2022</v>
      </c>
      <c r="B57" s="7" t="n">
        <v>12</v>
      </c>
      <c r="C57" s="7" t="n">
        <v>1</v>
      </c>
      <c r="D57" s="7" t="n">
        <v>17</v>
      </c>
      <c r="E57" s="7" t="inlineStr">
        <is>
          <t>なし</t>
        </is>
      </c>
      <c r="F57" s="7" t="inlineStr">
        <is>
          <t>30歳以上</t>
        </is>
      </c>
      <c r="G57" s="7" t="n">
        <v>2018</v>
      </c>
      <c r="H57" s="7" t="n">
        <v>11</v>
      </c>
      <c r="I57" s="7" t="inlineStr">
        <is>
          <t>DJ5FS</t>
        </is>
      </c>
      <c r="J57" s="7" t="inlineStr">
        <is>
          <t>なし</t>
        </is>
      </c>
      <c r="K57" s="7" t="n">
        <v>1952</v>
      </c>
      <c r="L57" s="15" t="n">
        <v>12</v>
      </c>
      <c r="M57" s="7" t="n">
        <v>1</v>
      </c>
      <c r="N57" s="7" t="inlineStr">
        <is>
          <t>関東</t>
        </is>
      </c>
      <c r="O57" s="7" t="inlineStr">
        <is>
          <t>ゴールド</t>
        </is>
      </c>
      <c r="P57" s="7" t="inlineStr">
        <is>
          <t>通勤</t>
        </is>
      </c>
      <c r="Q57" s="7" t="n">
        <v>7000</v>
      </c>
      <c r="R57" s="7" t="inlineStr">
        <is>
          <t>30歳以上</t>
        </is>
      </c>
      <c r="S57" s="7" t="inlineStr">
        <is>
          <t>本配</t>
        </is>
      </c>
      <c r="T57" s="7" t="inlineStr">
        <is>
          <t>無制限</t>
        </is>
      </c>
      <c r="U57" s="7" t="inlineStr">
        <is>
          <t>なし</t>
        </is>
      </c>
      <c r="V57" s="7" t="n">
        <v>1000</v>
      </c>
      <c r="W57" s="7" t="inlineStr">
        <is>
          <t>車内外</t>
        </is>
      </c>
      <c r="X57" s="7" t="n">
        <v>3000</v>
      </c>
      <c r="Y57" s="7" t="inlineStr">
        <is>
          <t>一般</t>
        </is>
      </c>
      <c r="Z57" s="7" t="n">
        <v>110</v>
      </c>
      <c r="AA57" s="7" t="inlineStr">
        <is>
          <t>免責金額なし</t>
        </is>
      </c>
      <c r="AB57" s="7" t="inlineStr">
        <is>
          <t>なし</t>
        </is>
      </c>
      <c r="AC57" s="7" t="inlineStr">
        <is>
          <t>なし</t>
        </is>
      </c>
      <c r="AD57" s="7" t="inlineStr">
        <is>
          <t>なし</t>
        </is>
      </c>
      <c r="AE57" s="7" t="inlineStr">
        <is>
          <t>あり</t>
        </is>
      </c>
      <c r="AF57" s="7" t="inlineStr">
        <is>
          <t>なし</t>
        </is>
      </c>
      <c r="AG57" s="7" t="inlineStr">
        <is>
          <t>なし</t>
        </is>
      </c>
      <c r="AH57" s="7" t="inlineStr">
        <is>
          <t>なし</t>
        </is>
      </c>
      <c r="AI57" s="7"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2018(平成30)</t>
        </is>
      </c>
      <c r="AQ57" s="60" t="n">
        <v>11</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c r="BU57" s="60" t="n">
        <v>79060</v>
      </c>
      <c r="BV57" s="60" t="n">
        <v>35570</v>
      </c>
      <c r="BW57" s="60" t="n">
        <v>16000</v>
      </c>
      <c r="BX57" s="60" t="n">
        <v>13000</v>
      </c>
      <c r="BY57" s="60" t="n">
        <v>0</v>
      </c>
      <c r="BZ57" s="60" t="inlineStr"/>
      <c r="CA57" s="60" t="inlineStr"/>
    </row>
    <row r="58">
      <c r="A58" s="60" t="n">
        <v>2022</v>
      </c>
      <c r="B58" s="7" t="n">
        <v>12</v>
      </c>
      <c r="C58" s="7" t="n">
        <v>1</v>
      </c>
      <c r="D58" s="7" t="n">
        <v>10</v>
      </c>
      <c r="E58" s="7" t="inlineStr">
        <is>
          <t>なし</t>
        </is>
      </c>
      <c r="F58" s="7" t="inlineStr">
        <is>
          <t>30歳以上</t>
        </is>
      </c>
      <c r="G58" s="7" t="n">
        <v>2018</v>
      </c>
      <c r="H58" s="7" t="n">
        <v>11</v>
      </c>
      <c r="I58" s="7" t="inlineStr">
        <is>
          <t>DJ5FS</t>
        </is>
      </c>
      <c r="J58" s="7" t="inlineStr">
        <is>
          <t>なし</t>
        </is>
      </c>
      <c r="K58" s="7" t="n">
        <v>1992</v>
      </c>
      <c r="L58" s="15" t="n">
        <v>12</v>
      </c>
      <c r="M58" s="7" t="n">
        <v>1</v>
      </c>
      <c r="N58" s="7" t="inlineStr">
        <is>
          <t>関東</t>
        </is>
      </c>
      <c r="O58" s="7" t="inlineStr">
        <is>
          <t>ゴールド</t>
        </is>
      </c>
      <c r="P58" s="7" t="inlineStr">
        <is>
          <t>日常</t>
        </is>
      </c>
      <c r="Q58" s="7" t="n">
        <v>3000</v>
      </c>
      <c r="R58" s="7" t="inlineStr">
        <is>
          <t>30歳以上</t>
        </is>
      </c>
      <c r="S58" s="7" t="inlineStr">
        <is>
          <t>本配</t>
        </is>
      </c>
      <c r="T58" s="7" t="inlineStr">
        <is>
          <t>無制限</t>
        </is>
      </c>
      <c r="U58" s="7" t="inlineStr">
        <is>
          <t>なし</t>
        </is>
      </c>
      <c r="V58" s="7" t="n">
        <v>1000</v>
      </c>
      <c r="W58" s="7" t="inlineStr">
        <is>
          <t>車内外</t>
        </is>
      </c>
      <c r="X58" s="7" t="n">
        <v>3000</v>
      </c>
      <c r="Y58" s="7" t="inlineStr">
        <is>
          <t>一般</t>
        </is>
      </c>
      <c r="Z58" s="7" t="n">
        <v>110</v>
      </c>
      <c r="AA58" s="7" t="inlineStr">
        <is>
          <t>免責金額なし</t>
        </is>
      </c>
      <c r="AB58" s="7" t="inlineStr">
        <is>
          <t>なし</t>
        </is>
      </c>
      <c r="AC58" s="7" t="inlineStr">
        <is>
          <t>なし</t>
        </is>
      </c>
      <c r="AD58" s="7" t="inlineStr">
        <is>
          <t>なし</t>
        </is>
      </c>
      <c r="AE58" s="7" t="inlineStr">
        <is>
          <t>あり</t>
        </is>
      </c>
      <c r="AF58" s="7" t="inlineStr">
        <is>
          <t>なし</t>
        </is>
      </c>
      <c r="AG58" s="7" t="inlineStr">
        <is>
          <t>なし</t>
        </is>
      </c>
      <c r="AH58" s="7" t="inlineStr">
        <is>
          <t>なし</t>
        </is>
      </c>
      <c r="AI58" s="7"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2018(平成30)</t>
        </is>
      </c>
      <c r="AQ58" s="60" t="n">
        <v>11</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c r="BU58" s="60" t="n">
        <v>41480</v>
      </c>
      <c r="BV58" s="60" t="n">
        <v>21130</v>
      </c>
      <c r="BW58" s="60" t="n">
        <v>13000</v>
      </c>
      <c r="BX58" s="60" t="n">
        <v>9000</v>
      </c>
      <c r="BY58" s="60" t="n">
        <v>0</v>
      </c>
      <c r="BZ58" s="60" t="inlineStr"/>
      <c r="CA58" s="60" t="inlineStr"/>
    </row>
    <row r="59">
      <c r="A59" s="60" t="n">
        <v>2022</v>
      </c>
      <c r="B59" s="7" t="n">
        <v>12</v>
      </c>
      <c r="C59" s="7" t="n">
        <v>1</v>
      </c>
      <c r="D59" s="7" t="n">
        <v>10</v>
      </c>
      <c r="E59" s="7" t="inlineStr">
        <is>
          <t>なし</t>
        </is>
      </c>
      <c r="F59" s="7" t="inlineStr">
        <is>
          <t>30歳以上</t>
        </is>
      </c>
      <c r="G59" s="7" t="n">
        <v>2018</v>
      </c>
      <c r="H59" s="7" t="n">
        <v>11</v>
      </c>
      <c r="I59" s="7" t="inlineStr">
        <is>
          <t>DJ5FS</t>
        </is>
      </c>
      <c r="J59" s="7" t="inlineStr">
        <is>
          <t>なし</t>
        </is>
      </c>
      <c r="K59" s="7" t="n">
        <v>1987</v>
      </c>
      <c r="L59" s="15" t="n">
        <v>12</v>
      </c>
      <c r="M59" s="7" t="n">
        <v>1</v>
      </c>
      <c r="N59" s="7" t="inlineStr">
        <is>
          <t>関東</t>
        </is>
      </c>
      <c r="O59" s="7" t="inlineStr">
        <is>
          <t>ゴールド</t>
        </is>
      </c>
      <c r="P59" s="7" t="inlineStr">
        <is>
          <t>日常</t>
        </is>
      </c>
      <c r="Q59" s="7" t="n">
        <v>3000</v>
      </c>
      <c r="R59" s="7" t="inlineStr">
        <is>
          <t>30歳以上</t>
        </is>
      </c>
      <c r="S59" s="7" t="inlineStr">
        <is>
          <t>本配</t>
        </is>
      </c>
      <c r="T59" s="7" t="inlineStr">
        <is>
          <t>無制限</t>
        </is>
      </c>
      <c r="U59" s="7" t="inlineStr">
        <is>
          <t>なし</t>
        </is>
      </c>
      <c r="V59" s="7" t="n">
        <v>1000</v>
      </c>
      <c r="W59" s="7" t="inlineStr">
        <is>
          <t>車内外</t>
        </is>
      </c>
      <c r="X59" s="7" t="n">
        <v>3000</v>
      </c>
      <c r="Y59" s="7" t="inlineStr">
        <is>
          <t>一般</t>
        </is>
      </c>
      <c r="Z59" s="7" t="n">
        <v>110</v>
      </c>
      <c r="AA59" s="7" t="inlineStr">
        <is>
          <t>免責金額なし</t>
        </is>
      </c>
      <c r="AB59" s="7" t="inlineStr">
        <is>
          <t>なし</t>
        </is>
      </c>
      <c r="AC59" s="7" t="inlineStr">
        <is>
          <t>なし</t>
        </is>
      </c>
      <c r="AD59" s="7" t="inlineStr">
        <is>
          <t>なし</t>
        </is>
      </c>
      <c r="AE59" s="7" t="inlineStr">
        <is>
          <t>あり</t>
        </is>
      </c>
      <c r="AF59" s="7" t="inlineStr">
        <is>
          <t>なし</t>
        </is>
      </c>
      <c r="AG59" s="7" t="inlineStr">
        <is>
          <t>なし</t>
        </is>
      </c>
      <c r="AH59" s="7" t="inlineStr">
        <is>
          <t>なし</t>
        </is>
      </c>
      <c r="AI59" s="7"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2018(平成30)</t>
        </is>
      </c>
      <c r="AQ59" s="60" t="n">
        <v>11</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c r="BU59" s="60" t="n">
        <v>41170</v>
      </c>
      <c r="BV59" s="60" t="n">
        <v>20990</v>
      </c>
      <c r="BW59" s="60" t="n">
        <v>13000</v>
      </c>
      <c r="BX59" s="60" t="n">
        <v>9000</v>
      </c>
      <c r="BY59" s="60" t="n">
        <v>0</v>
      </c>
      <c r="BZ59" s="60" t="inlineStr"/>
      <c r="CA59" s="60" t="inlineStr"/>
    </row>
    <row r="60">
      <c r="A60" s="60" t="n">
        <v>2022</v>
      </c>
      <c r="B60" s="7" t="n">
        <v>12</v>
      </c>
      <c r="C60" s="7" t="n">
        <v>1</v>
      </c>
      <c r="D60" s="7" t="n">
        <v>10</v>
      </c>
      <c r="E60" s="7" t="inlineStr">
        <is>
          <t>なし</t>
        </is>
      </c>
      <c r="F60" s="7" t="inlineStr">
        <is>
          <t>30歳以上</t>
        </is>
      </c>
      <c r="G60" s="7" t="n">
        <v>2018</v>
      </c>
      <c r="H60" s="7" t="n">
        <v>11</v>
      </c>
      <c r="I60" s="7" t="inlineStr">
        <is>
          <t>DJ5FS</t>
        </is>
      </c>
      <c r="J60" s="7" t="inlineStr">
        <is>
          <t>なし</t>
        </is>
      </c>
      <c r="K60" s="7" t="n">
        <v>1982</v>
      </c>
      <c r="L60" s="15" t="n">
        <v>12</v>
      </c>
      <c r="M60" s="7" t="n">
        <v>1</v>
      </c>
      <c r="N60" s="7" t="inlineStr">
        <is>
          <t>関東</t>
        </is>
      </c>
      <c r="O60" s="7" t="inlineStr">
        <is>
          <t>ゴールド</t>
        </is>
      </c>
      <c r="P60" s="7" t="inlineStr">
        <is>
          <t>日常</t>
        </is>
      </c>
      <c r="Q60" s="7" t="n">
        <v>3000</v>
      </c>
      <c r="R60" s="7" t="inlineStr">
        <is>
          <t>30歳以上</t>
        </is>
      </c>
      <c r="S60" s="7" t="inlineStr">
        <is>
          <t>本配</t>
        </is>
      </c>
      <c r="T60" s="7" t="inlineStr">
        <is>
          <t>無制限</t>
        </is>
      </c>
      <c r="U60" s="7" t="inlineStr">
        <is>
          <t>なし</t>
        </is>
      </c>
      <c r="V60" s="7" t="n">
        <v>1000</v>
      </c>
      <c r="W60" s="7" t="inlineStr">
        <is>
          <t>車内外</t>
        </is>
      </c>
      <c r="X60" s="7" t="n">
        <v>3000</v>
      </c>
      <c r="Y60" s="7" t="inlineStr">
        <is>
          <t>一般</t>
        </is>
      </c>
      <c r="Z60" s="7" t="n">
        <v>110</v>
      </c>
      <c r="AA60" s="7" t="inlineStr">
        <is>
          <t>免責金額なし</t>
        </is>
      </c>
      <c r="AB60" s="7" t="inlineStr">
        <is>
          <t>なし</t>
        </is>
      </c>
      <c r="AC60" s="7" t="inlineStr">
        <is>
          <t>なし</t>
        </is>
      </c>
      <c r="AD60" s="7" t="inlineStr">
        <is>
          <t>なし</t>
        </is>
      </c>
      <c r="AE60" s="7" t="inlineStr">
        <is>
          <t>あり</t>
        </is>
      </c>
      <c r="AF60" s="7" t="inlineStr">
        <is>
          <t>なし</t>
        </is>
      </c>
      <c r="AG60" s="7" t="inlineStr">
        <is>
          <t>なし</t>
        </is>
      </c>
      <c r="AH60" s="7" t="inlineStr">
        <is>
          <t>なし</t>
        </is>
      </c>
      <c r="AI60" s="7"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2018(平成30)</t>
        </is>
      </c>
      <c r="AQ60" s="60" t="n">
        <v>11</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c r="BU60" s="60" t="n">
        <v>39600</v>
      </c>
      <c r="BV60" s="60" t="n">
        <v>21280</v>
      </c>
      <c r="BW60" s="60" t="n">
        <v>15000</v>
      </c>
      <c r="BX60" s="60" t="n">
        <v>9000</v>
      </c>
      <c r="BY60" s="60" t="n">
        <v>0</v>
      </c>
      <c r="BZ60" s="60" t="inlineStr"/>
      <c r="CA60" s="60" t="inlineStr"/>
    </row>
    <row r="61">
      <c r="A61" s="60" t="n">
        <v>2022</v>
      </c>
      <c r="B61" s="7" t="n">
        <v>12</v>
      </c>
      <c r="C61" s="7" t="n">
        <v>1</v>
      </c>
      <c r="D61" s="7" t="n">
        <v>10</v>
      </c>
      <c r="E61" s="7" t="inlineStr">
        <is>
          <t>なし</t>
        </is>
      </c>
      <c r="F61" s="7" t="inlineStr">
        <is>
          <t>30歳以上</t>
        </is>
      </c>
      <c r="G61" s="7" t="n">
        <v>2018</v>
      </c>
      <c r="H61" s="7" t="n">
        <v>11</v>
      </c>
      <c r="I61" s="7" t="inlineStr">
        <is>
          <t>DJ5FS</t>
        </is>
      </c>
      <c r="J61" s="7" t="inlineStr">
        <is>
          <t>なし</t>
        </is>
      </c>
      <c r="K61" s="7" t="n">
        <v>1977</v>
      </c>
      <c r="L61" s="15" t="n">
        <v>12</v>
      </c>
      <c r="M61" s="7" t="n">
        <v>1</v>
      </c>
      <c r="N61" s="7" t="inlineStr">
        <is>
          <t>関東</t>
        </is>
      </c>
      <c r="O61" s="7" t="inlineStr">
        <is>
          <t>ゴールド</t>
        </is>
      </c>
      <c r="P61" s="7" t="inlineStr">
        <is>
          <t>日常</t>
        </is>
      </c>
      <c r="Q61" s="7" t="n">
        <v>3000</v>
      </c>
      <c r="R61" s="7" t="inlineStr">
        <is>
          <t>30歳以上</t>
        </is>
      </c>
      <c r="S61" s="7" t="inlineStr">
        <is>
          <t>本配</t>
        </is>
      </c>
      <c r="T61" s="7" t="inlineStr">
        <is>
          <t>無制限</t>
        </is>
      </c>
      <c r="U61" s="7" t="inlineStr">
        <is>
          <t>なし</t>
        </is>
      </c>
      <c r="V61" s="7" t="n">
        <v>1000</v>
      </c>
      <c r="W61" s="7" t="inlineStr">
        <is>
          <t>車内外</t>
        </is>
      </c>
      <c r="X61" s="7" t="n">
        <v>3000</v>
      </c>
      <c r="Y61" s="7" t="inlineStr">
        <is>
          <t>一般</t>
        </is>
      </c>
      <c r="Z61" s="7" t="n">
        <v>110</v>
      </c>
      <c r="AA61" s="7" t="inlineStr">
        <is>
          <t>免責金額なし</t>
        </is>
      </c>
      <c r="AB61" s="7" t="inlineStr">
        <is>
          <t>なし</t>
        </is>
      </c>
      <c r="AC61" s="7" t="inlineStr">
        <is>
          <t>なし</t>
        </is>
      </c>
      <c r="AD61" s="7" t="inlineStr">
        <is>
          <t>なし</t>
        </is>
      </c>
      <c r="AE61" s="7" t="inlineStr">
        <is>
          <t>あり</t>
        </is>
      </c>
      <c r="AF61" s="7" t="inlineStr">
        <is>
          <t>なし</t>
        </is>
      </c>
      <c r="AG61" s="7" t="inlineStr">
        <is>
          <t>なし</t>
        </is>
      </c>
      <c r="AH61" s="7" t="inlineStr">
        <is>
          <t>なし</t>
        </is>
      </c>
      <c r="AI61" s="7"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2018(平成30)</t>
        </is>
      </c>
      <c r="AQ61" s="60" t="n">
        <v>11</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c r="BU61" s="60" t="n">
        <v>40630</v>
      </c>
      <c r="BV61" s="60" t="n">
        <v>21360</v>
      </c>
      <c r="BW61" s="60" t="n">
        <v>15000</v>
      </c>
      <c r="BX61" s="60" t="n">
        <v>9000</v>
      </c>
      <c r="BY61" s="60" t="n">
        <v>0</v>
      </c>
      <c r="BZ61" s="60" t="inlineStr"/>
      <c r="CA61" s="60" t="inlineStr"/>
    </row>
    <row r="62">
      <c r="A62" s="60" t="n">
        <v>2022</v>
      </c>
      <c r="B62" s="7" t="n">
        <v>12</v>
      </c>
      <c r="C62" s="7" t="n">
        <v>1</v>
      </c>
      <c r="D62" s="7" t="n">
        <v>10</v>
      </c>
      <c r="E62" s="7" t="inlineStr">
        <is>
          <t>なし</t>
        </is>
      </c>
      <c r="F62" s="7" t="inlineStr">
        <is>
          <t>30歳以上</t>
        </is>
      </c>
      <c r="G62" s="7" t="n">
        <v>2018</v>
      </c>
      <c r="H62" s="7" t="n">
        <v>11</v>
      </c>
      <c r="I62" s="7" t="inlineStr">
        <is>
          <t>DJ5FS</t>
        </is>
      </c>
      <c r="J62" s="7" t="inlineStr">
        <is>
          <t>なし</t>
        </is>
      </c>
      <c r="K62" s="7" t="n">
        <v>1972</v>
      </c>
      <c r="L62" s="15" t="n">
        <v>12</v>
      </c>
      <c r="M62" s="7" t="n">
        <v>1</v>
      </c>
      <c r="N62" s="7" t="inlineStr">
        <is>
          <t>関東</t>
        </is>
      </c>
      <c r="O62" s="7" t="inlineStr">
        <is>
          <t>ゴールド</t>
        </is>
      </c>
      <c r="P62" s="7" t="inlineStr">
        <is>
          <t>日常</t>
        </is>
      </c>
      <c r="Q62" s="7" t="n">
        <v>3000</v>
      </c>
      <c r="R62" s="7" t="inlineStr">
        <is>
          <t>30歳以上</t>
        </is>
      </c>
      <c r="S62" s="7" t="inlineStr">
        <is>
          <t>本配</t>
        </is>
      </c>
      <c r="T62" s="7" t="inlineStr">
        <is>
          <t>無制限</t>
        </is>
      </c>
      <c r="U62" s="7" t="inlineStr">
        <is>
          <t>なし</t>
        </is>
      </c>
      <c r="V62" s="7" t="n">
        <v>1000</v>
      </c>
      <c r="W62" s="7" t="inlineStr">
        <is>
          <t>車内外</t>
        </is>
      </c>
      <c r="X62" s="7" t="n">
        <v>3000</v>
      </c>
      <c r="Y62" s="7" t="inlineStr">
        <is>
          <t>一般</t>
        </is>
      </c>
      <c r="Z62" s="7" t="n">
        <v>110</v>
      </c>
      <c r="AA62" s="7" t="inlineStr">
        <is>
          <t>免責金額なし</t>
        </is>
      </c>
      <c r="AB62" s="7" t="inlineStr">
        <is>
          <t>なし</t>
        </is>
      </c>
      <c r="AC62" s="7" t="inlineStr">
        <is>
          <t>なし</t>
        </is>
      </c>
      <c r="AD62" s="7" t="inlineStr">
        <is>
          <t>なし</t>
        </is>
      </c>
      <c r="AE62" s="7" t="inlineStr">
        <is>
          <t>あり</t>
        </is>
      </c>
      <c r="AF62" s="7" t="inlineStr">
        <is>
          <t>なし</t>
        </is>
      </c>
      <c r="AG62" s="7" t="inlineStr">
        <is>
          <t>なし</t>
        </is>
      </c>
      <c r="AH62" s="7" t="inlineStr">
        <is>
          <t>なし</t>
        </is>
      </c>
      <c r="AI62" s="7"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2018(平成30)</t>
        </is>
      </c>
      <c r="AQ62" s="60" t="n">
        <v>11</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c r="BU62" s="60" t="n">
        <v>41030</v>
      </c>
      <c r="BV62" s="60" t="n">
        <v>21250</v>
      </c>
      <c r="BW62" s="60" t="n">
        <v>15000</v>
      </c>
      <c r="BX62" s="60" t="n">
        <v>9000</v>
      </c>
      <c r="BY62" s="60" t="n">
        <v>0</v>
      </c>
      <c r="BZ62" s="60" t="inlineStr"/>
      <c r="CA62" s="60" t="inlineStr"/>
    </row>
    <row r="63">
      <c r="A63" s="60" t="n">
        <v>2022</v>
      </c>
      <c r="B63" s="7" t="n">
        <v>12</v>
      </c>
      <c r="C63" s="7" t="n">
        <v>1</v>
      </c>
      <c r="D63" s="7" t="n">
        <v>10</v>
      </c>
      <c r="E63" s="7" t="inlineStr">
        <is>
          <t>なし</t>
        </is>
      </c>
      <c r="F63" s="7" t="inlineStr">
        <is>
          <t>30歳以上</t>
        </is>
      </c>
      <c r="G63" s="7" t="n">
        <v>2018</v>
      </c>
      <c r="H63" s="7" t="n">
        <v>11</v>
      </c>
      <c r="I63" s="7" t="inlineStr">
        <is>
          <t>DJ5FS</t>
        </is>
      </c>
      <c r="J63" s="7" t="inlineStr">
        <is>
          <t>なし</t>
        </is>
      </c>
      <c r="K63" s="7" t="n">
        <v>1962</v>
      </c>
      <c r="L63" s="15" t="n">
        <v>12</v>
      </c>
      <c r="M63" s="7" t="n">
        <v>1</v>
      </c>
      <c r="N63" s="7" t="inlineStr">
        <is>
          <t>関東</t>
        </is>
      </c>
      <c r="O63" s="7" t="inlineStr">
        <is>
          <t>ゴールド</t>
        </is>
      </c>
      <c r="P63" s="7" t="inlineStr">
        <is>
          <t>日常</t>
        </is>
      </c>
      <c r="Q63" s="7" t="n">
        <v>3000</v>
      </c>
      <c r="R63" s="7" t="inlineStr">
        <is>
          <t>30歳以上</t>
        </is>
      </c>
      <c r="S63" s="7" t="inlineStr">
        <is>
          <t>本配</t>
        </is>
      </c>
      <c r="T63" s="7" t="inlineStr">
        <is>
          <t>無制限</t>
        </is>
      </c>
      <c r="U63" s="7" t="inlineStr">
        <is>
          <t>なし</t>
        </is>
      </c>
      <c r="V63" s="7" t="n">
        <v>1000</v>
      </c>
      <c r="W63" s="7" t="inlineStr">
        <is>
          <t>車内外</t>
        </is>
      </c>
      <c r="X63" s="7" t="n">
        <v>3000</v>
      </c>
      <c r="Y63" s="7" t="inlineStr">
        <is>
          <t>一般</t>
        </is>
      </c>
      <c r="Z63" s="7" t="n">
        <v>110</v>
      </c>
      <c r="AA63" s="7" t="inlineStr">
        <is>
          <t>免責金額なし</t>
        </is>
      </c>
      <c r="AB63" s="7" t="inlineStr">
        <is>
          <t>なし</t>
        </is>
      </c>
      <c r="AC63" s="7" t="inlineStr">
        <is>
          <t>なし</t>
        </is>
      </c>
      <c r="AD63" s="7" t="inlineStr">
        <is>
          <t>なし</t>
        </is>
      </c>
      <c r="AE63" s="7" t="inlineStr">
        <is>
          <t>あり</t>
        </is>
      </c>
      <c r="AF63" s="7" t="inlineStr">
        <is>
          <t>なし</t>
        </is>
      </c>
      <c r="AG63" s="7" t="inlineStr">
        <is>
          <t>なし</t>
        </is>
      </c>
      <c r="AH63" s="7" t="inlineStr">
        <is>
          <t>なし</t>
        </is>
      </c>
      <c r="AI63" s="7"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2018(平成30)</t>
        </is>
      </c>
      <c r="AQ63" s="60" t="n">
        <v>11</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c r="BU63" s="60" t="n">
        <v>43550</v>
      </c>
      <c r="BV63" s="60" t="n">
        <v>22270</v>
      </c>
      <c r="BW63" s="60" t="n">
        <v>16000</v>
      </c>
      <c r="BX63" s="60" t="n">
        <v>9000</v>
      </c>
      <c r="BY63" s="60" t="n">
        <v>0</v>
      </c>
      <c r="BZ63" s="60" t="inlineStr"/>
      <c r="CA63" s="60" t="inlineStr"/>
    </row>
    <row r="64">
      <c r="A64" s="60" t="n">
        <v>2022</v>
      </c>
      <c r="B64" s="7" t="n">
        <v>12</v>
      </c>
      <c r="C64" s="7" t="n">
        <v>1</v>
      </c>
      <c r="D64" s="7" t="n">
        <v>10</v>
      </c>
      <c r="E64" s="7" t="inlineStr">
        <is>
          <t>なし</t>
        </is>
      </c>
      <c r="F64" s="7" t="inlineStr">
        <is>
          <t>30歳以上</t>
        </is>
      </c>
      <c r="G64" s="7" t="n">
        <v>2018</v>
      </c>
      <c r="H64" s="7" t="n">
        <v>11</v>
      </c>
      <c r="I64" s="7" t="inlineStr">
        <is>
          <t>DJ5FS</t>
        </is>
      </c>
      <c r="J64" s="7" t="inlineStr">
        <is>
          <t>なし</t>
        </is>
      </c>
      <c r="K64" s="7" t="n">
        <v>1952</v>
      </c>
      <c r="L64" s="15" t="n">
        <v>12</v>
      </c>
      <c r="M64" s="7" t="n">
        <v>1</v>
      </c>
      <c r="N64" s="7" t="inlineStr">
        <is>
          <t>関東</t>
        </is>
      </c>
      <c r="O64" s="7" t="inlineStr">
        <is>
          <t>ゴールド</t>
        </is>
      </c>
      <c r="P64" s="7" t="inlineStr">
        <is>
          <t>日常</t>
        </is>
      </c>
      <c r="Q64" s="7" t="n">
        <v>3000</v>
      </c>
      <c r="R64" s="7" t="inlineStr">
        <is>
          <t>30歳以上</t>
        </is>
      </c>
      <c r="S64" s="7" t="inlineStr">
        <is>
          <t>本配</t>
        </is>
      </c>
      <c r="T64" s="7" t="inlineStr">
        <is>
          <t>無制限</t>
        </is>
      </c>
      <c r="U64" s="7" t="inlineStr">
        <is>
          <t>なし</t>
        </is>
      </c>
      <c r="V64" s="7" t="n">
        <v>1000</v>
      </c>
      <c r="W64" s="7" t="inlineStr">
        <is>
          <t>車内外</t>
        </is>
      </c>
      <c r="X64" s="7" t="n">
        <v>3000</v>
      </c>
      <c r="Y64" s="7" t="inlineStr">
        <is>
          <t>一般</t>
        </is>
      </c>
      <c r="Z64" s="7" t="n">
        <v>110</v>
      </c>
      <c r="AA64" s="7" t="inlineStr">
        <is>
          <t>免責金額なし</t>
        </is>
      </c>
      <c r="AB64" s="7" t="inlineStr">
        <is>
          <t>なし</t>
        </is>
      </c>
      <c r="AC64" s="7" t="inlineStr">
        <is>
          <t>なし</t>
        </is>
      </c>
      <c r="AD64" s="7" t="inlineStr">
        <is>
          <t>なし</t>
        </is>
      </c>
      <c r="AE64" s="7" t="inlineStr">
        <is>
          <t>あり</t>
        </is>
      </c>
      <c r="AF64" s="7" t="inlineStr">
        <is>
          <t>なし</t>
        </is>
      </c>
      <c r="AG64" s="7" t="inlineStr">
        <is>
          <t>なし</t>
        </is>
      </c>
      <c r="AH64" s="7" t="inlineStr">
        <is>
          <t>なし</t>
        </is>
      </c>
      <c r="AI64" s="7"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2018(平成30)</t>
        </is>
      </c>
      <c r="AQ64" s="60" t="n">
        <v>11</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c r="BU64" s="60" t="n">
        <v>55630</v>
      </c>
      <c r="BV64" s="60" t="n">
        <v>27930</v>
      </c>
      <c r="BW64" s="60" t="n">
        <v>16000</v>
      </c>
      <c r="BX64" s="60" t="n">
        <v>9000</v>
      </c>
      <c r="BY64" s="60" t="n">
        <v>0</v>
      </c>
      <c r="BZ64" s="60" t="inlineStr"/>
      <c r="CA64" s="60" t="inlineStr"/>
    </row>
    <row r="65">
      <c r="A65" s="60" t="n">
        <v>2022</v>
      </c>
      <c r="B65" s="7" t="n">
        <v>12</v>
      </c>
      <c r="C65" s="7" t="n">
        <v>1</v>
      </c>
      <c r="D65" s="7" t="n">
        <v>10</v>
      </c>
      <c r="E65" s="7" t="inlineStr">
        <is>
          <t>なし</t>
        </is>
      </c>
      <c r="F65" s="7" t="inlineStr">
        <is>
          <t>30歳以上</t>
        </is>
      </c>
      <c r="G65" s="7" t="n">
        <v>2018</v>
      </c>
      <c r="H65" s="7" t="n">
        <v>11</v>
      </c>
      <c r="I65" s="7" t="inlineStr">
        <is>
          <t>DJ5FS</t>
        </is>
      </c>
      <c r="J65" s="7" t="inlineStr">
        <is>
          <t>なし</t>
        </is>
      </c>
      <c r="K65" s="7" t="n">
        <v>1992</v>
      </c>
      <c r="L65" s="15" t="n">
        <v>12</v>
      </c>
      <c r="M65" s="7" t="n">
        <v>1</v>
      </c>
      <c r="N65" s="7" t="inlineStr">
        <is>
          <t>関東</t>
        </is>
      </c>
      <c r="O65" s="7" t="inlineStr">
        <is>
          <t>ゴールド</t>
        </is>
      </c>
      <c r="P65" s="7" t="inlineStr">
        <is>
          <t>日常</t>
        </is>
      </c>
      <c r="Q65" s="7" t="n">
        <v>7000</v>
      </c>
      <c r="R65" s="7" t="inlineStr">
        <is>
          <t>30歳以上</t>
        </is>
      </c>
      <c r="S65" s="7" t="inlineStr">
        <is>
          <t>本配</t>
        </is>
      </c>
      <c r="T65" s="7" t="inlineStr">
        <is>
          <t>無制限</t>
        </is>
      </c>
      <c r="U65" s="7" t="inlineStr">
        <is>
          <t>なし</t>
        </is>
      </c>
      <c r="V65" s="7" t="n">
        <v>1000</v>
      </c>
      <c r="W65" s="7" t="inlineStr">
        <is>
          <t>車内外</t>
        </is>
      </c>
      <c r="X65" s="7" t="n">
        <v>3000</v>
      </c>
      <c r="Y65" s="7" t="inlineStr">
        <is>
          <t>一般</t>
        </is>
      </c>
      <c r="Z65" s="7" t="n">
        <v>110</v>
      </c>
      <c r="AA65" s="7" t="inlineStr">
        <is>
          <t>免責金額なし</t>
        </is>
      </c>
      <c r="AB65" s="7" t="inlineStr">
        <is>
          <t>なし</t>
        </is>
      </c>
      <c r="AC65" s="7" t="inlineStr">
        <is>
          <t>なし</t>
        </is>
      </c>
      <c r="AD65" s="7" t="inlineStr">
        <is>
          <t>なし</t>
        </is>
      </c>
      <c r="AE65" s="7" t="inlineStr">
        <is>
          <t>あり</t>
        </is>
      </c>
      <c r="AF65" s="7" t="inlineStr">
        <is>
          <t>なし</t>
        </is>
      </c>
      <c r="AG65" s="7" t="inlineStr">
        <is>
          <t>なし</t>
        </is>
      </c>
      <c r="AH65" s="7" t="inlineStr">
        <is>
          <t>なし</t>
        </is>
      </c>
      <c r="AI65" s="7"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2018(平成30)</t>
        </is>
      </c>
      <c r="AQ65" s="60" t="n">
        <v>11</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c r="BU65" s="60" t="n">
        <v>47330</v>
      </c>
      <c r="BV65" s="60" t="n">
        <v>26430</v>
      </c>
      <c r="BW65" s="60" t="n">
        <v>16000</v>
      </c>
      <c r="BX65" s="60" t="n">
        <v>9000</v>
      </c>
      <c r="BY65" s="60" t="n">
        <v>0</v>
      </c>
      <c r="BZ65" s="60" t="inlineStr"/>
      <c r="CA65" s="60" t="inlineStr"/>
    </row>
    <row r="66">
      <c r="A66" s="60" t="n">
        <v>2022</v>
      </c>
      <c r="B66" s="7" t="n">
        <v>12</v>
      </c>
      <c r="C66" s="7" t="n">
        <v>1</v>
      </c>
      <c r="D66" s="7" t="n">
        <v>10</v>
      </c>
      <c r="E66" s="7" t="inlineStr">
        <is>
          <t>なし</t>
        </is>
      </c>
      <c r="F66" s="7" t="inlineStr">
        <is>
          <t>30歳以上</t>
        </is>
      </c>
      <c r="G66" s="7" t="n">
        <v>2018</v>
      </c>
      <c r="H66" s="7" t="n">
        <v>11</v>
      </c>
      <c r="I66" s="7" t="inlineStr">
        <is>
          <t>DJ5FS</t>
        </is>
      </c>
      <c r="J66" s="7" t="inlineStr">
        <is>
          <t>なし</t>
        </is>
      </c>
      <c r="K66" s="7" t="n">
        <v>1987</v>
      </c>
      <c r="L66" s="15" t="n">
        <v>12</v>
      </c>
      <c r="M66" s="7" t="n">
        <v>1</v>
      </c>
      <c r="N66" s="7" t="inlineStr">
        <is>
          <t>関東</t>
        </is>
      </c>
      <c r="O66" s="7" t="inlineStr">
        <is>
          <t>ゴールド</t>
        </is>
      </c>
      <c r="P66" s="7" t="inlineStr">
        <is>
          <t>日常</t>
        </is>
      </c>
      <c r="Q66" s="7" t="n">
        <v>7000</v>
      </c>
      <c r="R66" s="7" t="inlineStr">
        <is>
          <t>30歳以上</t>
        </is>
      </c>
      <c r="S66" s="7" t="inlineStr">
        <is>
          <t>本配</t>
        </is>
      </c>
      <c r="T66" s="7" t="inlineStr">
        <is>
          <t>無制限</t>
        </is>
      </c>
      <c r="U66" s="7" t="inlineStr">
        <is>
          <t>なし</t>
        </is>
      </c>
      <c r="V66" s="7" t="n">
        <v>1000</v>
      </c>
      <c r="W66" s="7" t="inlineStr">
        <is>
          <t>車内外</t>
        </is>
      </c>
      <c r="X66" s="7" t="n">
        <v>3000</v>
      </c>
      <c r="Y66" s="7" t="inlineStr">
        <is>
          <t>一般</t>
        </is>
      </c>
      <c r="Z66" s="7" t="n">
        <v>110</v>
      </c>
      <c r="AA66" s="7" t="inlineStr">
        <is>
          <t>免責金額なし</t>
        </is>
      </c>
      <c r="AB66" s="7" t="inlineStr">
        <is>
          <t>なし</t>
        </is>
      </c>
      <c r="AC66" s="7" t="inlineStr">
        <is>
          <t>なし</t>
        </is>
      </c>
      <c r="AD66" s="7" t="inlineStr">
        <is>
          <t>なし</t>
        </is>
      </c>
      <c r="AE66" s="7" t="inlineStr">
        <is>
          <t>あり</t>
        </is>
      </c>
      <c r="AF66" s="7" t="inlineStr">
        <is>
          <t>なし</t>
        </is>
      </c>
      <c r="AG66" s="7" t="inlineStr">
        <is>
          <t>なし</t>
        </is>
      </c>
      <c r="AH66" s="7" t="inlineStr">
        <is>
          <t>なし</t>
        </is>
      </c>
      <c r="AI66" s="7"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2018(平成30)</t>
        </is>
      </c>
      <c r="AQ66" s="60" t="n">
        <v>11</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c r="BU66" s="60" t="n">
        <v>46970</v>
      </c>
      <c r="BV66" s="60" t="n">
        <v>26260</v>
      </c>
      <c r="BW66" s="60" t="n">
        <v>16000</v>
      </c>
      <c r="BX66" s="60" t="n">
        <v>9000</v>
      </c>
      <c r="BY66" s="60" t="n">
        <v>0</v>
      </c>
      <c r="BZ66" s="60" t="inlineStr"/>
      <c r="CA66" s="60" t="inlineStr"/>
    </row>
    <row r="67">
      <c r="A67" s="60" t="n">
        <v>2022</v>
      </c>
      <c r="B67" s="7" t="n">
        <v>12</v>
      </c>
      <c r="C67" s="7" t="n">
        <v>1</v>
      </c>
      <c r="D67" s="7" t="n">
        <v>10</v>
      </c>
      <c r="E67" s="7" t="inlineStr">
        <is>
          <t>なし</t>
        </is>
      </c>
      <c r="F67" s="7" t="inlineStr">
        <is>
          <t>30歳以上</t>
        </is>
      </c>
      <c r="G67" s="7" t="n">
        <v>2018</v>
      </c>
      <c r="H67" s="7" t="n">
        <v>11</v>
      </c>
      <c r="I67" s="7" t="inlineStr">
        <is>
          <t>DJ5FS</t>
        </is>
      </c>
      <c r="J67" s="7" t="inlineStr">
        <is>
          <t>なし</t>
        </is>
      </c>
      <c r="K67" s="7" t="n">
        <v>1982</v>
      </c>
      <c r="L67" s="15" t="n">
        <v>12</v>
      </c>
      <c r="M67" s="7" t="n">
        <v>1</v>
      </c>
      <c r="N67" s="7" t="inlineStr">
        <is>
          <t>関東</t>
        </is>
      </c>
      <c r="O67" s="7" t="inlineStr">
        <is>
          <t>ゴールド</t>
        </is>
      </c>
      <c r="P67" s="7" t="inlineStr">
        <is>
          <t>日常</t>
        </is>
      </c>
      <c r="Q67" s="7" t="n">
        <v>7000</v>
      </c>
      <c r="R67" s="7" t="inlineStr">
        <is>
          <t>30歳以上</t>
        </is>
      </c>
      <c r="S67" s="7" t="inlineStr">
        <is>
          <t>本配</t>
        </is>
      </c>
      <c r="T67" s="7" t="inlineStr">
        <is>
          <t>無制限</t>
        </is>
      </c>
      <c r="U67" s="7" t="inlineStr">
        <is>
          <t>なし</t>
        </is>
      </c>
      <c r="V67" s="7" t="n">
        <v>1000</v>
      </c>
      <c r="W67" s="7" t="inlineStr">
        <is>
          <t>車内外</t>
        </is>
      </c>
      <c r="X67" s="7" t="n">
        <v>3000</v>
      </c>
      <c r="Y67" s="7" t="inlineStr">
        <is>
          <t>一般</t>
        </is>
      </c>
      <c r="Z67" s="7" t="n">
        <v>110</v>
      </c>
      <c r="AA67" s="7" t="inlineStr">
        <is>
          <t>免責金額なし</t>
        </is>
      </c>
      <c r="AB67" s="7" t="inlineStr">
        <is>
          <t>なし</t>
        </is>
      </c>
      <c r="AC67" s="7" t="inlineStr">
        <is>
          <t>なし</t>
        </is>
      </c>
      <c r="AD67" s="7" t="inlineStr">
        <is>
          <t>なし</t>
        </is>
      </c>
      <c r="AE67" s="7" t="inlineStr">
        <is>
          <t>あり</t>
        </is>
      </c>
      <c r="AF67" s="7" t="inlineStr">
        <is>
          <t>なし</t>
        </is>
      </c>
      <c r="AG67" s="7" t="inlineStr">
        <is>
          <t>なし</t>
        </is>
      </c>
      <c r="AH67" s="7" t="inlineStr">
        <is>
          <t>なし</t>
        </is>
      </c>
      <c r="AI67" s="7"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2018(平成30)</t>
        </is>
      </c>
      <c r="AQ67" s="60" t="n">
        <v>11</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c r="BU67" s="60" t="n">
        <v>47470</v>
      </c>
      <c r="BV67" s="60" t="n">
        <v>26600</v>
      </c>
      <c r="BW67" s="60" t="n">
        <v>16000</v>
      </c>
      <c r="BX67" s="60" t="n">
        <v>9000</v>
      </c>
      <c r="BY67" s="60" t="n">
        <v>0</v>
      </c>
      <c r="BZ67" s="60" t="inlineStr"/>
      <c r="CA67" s="60" t="inlineStr"/>
    </row>
    <row r="68">
      <c r="A68" s="60" t="n">
        <v>2022</v>
      </c>
      <c r="B68" s="7" t="n">
        <v>12</v>
      </c>
      <c r="C68" s="7" t="n">
        <v>1</v>
      </c>
      <c r="D68" s="7" t="n">
        <v>10</v>
      </c>
      <c r="E68" s="7" t="inlineStr">
        <is>
          <t>なし</t>
        </is>
      </c>
      <c r="F68" s="7" t="inlineStr">
        <is>
          <t>30歳以上</t>
        </is>
      </c>
      <c r="G68" s="7" t="n">
        <v>2018</v>
      </c>
      <c r="H68" s="7" t="n">
        <v>11</v>
      </c>
      <c r="I68" s="7" t="inlineStr">
        <is>
          <t>DJ5FS</t>
        </is>
      </c>
      <c r="J68" s="7" t="inlineStr">
        <is>
          <t>なし</t>
        </is>
      </c>
      <c r="K68" s="7" t="n">
        <v>1977</v>
      </c>
      <c r="L68" s="15" t="n">
        <v>12</v>
      </c>
      <c r="M68" s="7" t="n">
        <v>1</v>
      </c>
      <c r="N68" s="7" t="inlineStr">
        <is>
          <t>関東</t>
        </is>
      </c>
      <c r="O68" s="7" t="inlineStr">
        <is>
          <t>ゴールド</t>
        </is>
      </c>
      <c r="P68" s="7" t="inlineStr">
        <is>
          <t>日常</t>
        </is>
      </c>
      <c r="Q68" s="7" t="n">
        <v>7000</v>
      </c>
      <c r="R68" s="7" t="inlineStr">
        <is>
          <t>30歳以上</t>
        </is>
      </c>
      <c r="S68" s="7" t="inlineStr">
        <is>
          <t>本配</t>
        </is>
      </c>
      <c r="T68" s="7" t="inlineStr">
        <is>
          <t>無制限</t>
        </is>
      </c>
      <c r="U68" s="7" t="inlineStr">
        <is>
          <t>なし</t>
        </is>
      </c>
      <c r="V68" s="7" t="n">
        <v>1000</v>
      </c>
      <c r="W68" s="7" t="inlineStr">
        <is>
          <t>車内外</t>
        </is>
      </c>
      <c r="X68" s="7" t="n">
        <v>3000</v>
      </c>
      <c r="Y68" s="7" t="inlineStr">
        <is>
          <t>一般</t>
        </is>
      </c>
      <c r="Z68" s="7" t="n">
        <v>110</v>
      </c>
      <c r="AA68" s="7" t="inlineStr">
        <is>
          <t>免責金額なし</t>
        </is>
      </c>
      <c r="AB68" s="7" t="inlineStr">
        <is>
          <t>なし</t>
        </is>
      </c>
      <c r="AC68" s="7" t="inlineStr">
        <is>
          <t>なし</t>
        </is>
      </c>
      <c r="AD68" s="7" t="inlineStr">
        <is>
          <t>なし</t>
        </is>
      </c>
      <c r="AE68" s="7" t="inlineStr">
        <is>
          <t>あり</t>
        </is>
      </c>
      <c r="AF68" s="7" t="inlineStr">
        <is>
          <t>なし</t>
        </is>
      </c>
      <c r="AG68" s="7" t="inlineStr">
        <is>
          <t>なし</t>
        </is>
      </c>
      <c r="AH68" s="7" t="inlineStr">
        <is>
          <t>なし</t>
        </is>
      </c>
      <c r="AI68" s="7"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2018(平成30)</t>
        </is>
      </c>
      <c r="AQ68" s="60" t="n">
        <v>11</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c r="BU68" s="60" t="n">
        <v>48660</v>
      </c>
      <c r="BV68" s="60" t="n">
        <v>26690</v>
      </c>
      <c r="BW68" s="60" t="n">
        <v>16000</v>
      </c>
      <c r="BX68" s="60" t="n">
        <v>9000</v>
      </c>
      <c r="BY68" s="60" t="n">
        <v>0</v>
      </c>
      <c r="BZ68" s="60" t="inlineStr"/>
      <c r="CA68" s="60" t="inlineStr"/>
    </row>
    <row r="69">
      <c r="A69" s="60" t="n">
        <v>2022</v>
      </c>
      <c r="B69" s="7" t="n">
        <v>12</v>
      </c>
      <c r="C69" s="7" t="n">
        <v>1</v>
      </c>
      <c r="D69" s="7" t="n">
        <v>10</v>
      </c>
      <c r="E69" s="7" t="inlineStr">
        <is>
          <t>なし</t>
        </is>
      </c>
      <c r="F69" s="7" t="inlineStr">
        <is>
          <t>30歳以上</t>
        </is>
      </c>
      <c r="G69" s="7" t="n">
        <v>2018</v>
      </c>
      <c r="H69" s="7" t="n">
        <v>11</v>
      </c>
      <c r="I69" s="7" t="inlineStr">
        <is>
          <t>DJ5FS</t>
        </is>
      </c>
      <c r="J69" s="7" t="inlineStr">
        <is>
          <t>なし</t>
        </is>
      </c>
      <c r="K69" s="7" t="n">
        <v>1972</v>
      </c>
      <c r="L69" s="15" t="n">
        <v>12</v>
      </c>
      <c r="M69" s="7" t="n">
        <v>1</v>
      </c>
      <c r="N69" s="7" t="inlineStr">
        <is>
          <t>関東</t>
        </is>
      </c>
      <c r="O69" s="7" t="inlineStr">
        <is>
          <t>ゴールド</t>
        </is>
      </c>
      <c r="P69" s="7" t="inlineStr">
        <is>
          <t>日常</t>
        </is>
      </c>
      <c r="Q69" s="7" t="n">
        <v>7000</v>
      </c>
      <c r="R69" s="7" t="inlineStr">
        <is>
          <t>30歳以上</t>
        </is>
      </c>
      <c r="S69" s="7" t="inlineStr">
        <is>
          <t>本配</t>
        </is>
      </c>
      <c r="T69" s="7" t="inlineStr">
        <is>
          <t>無制限</t>
        </is>
      </c>
      <c r="U69" s="7" t="inlineStr">
        <is>
          <t>なし</t>
        </is>
      </c>
      <c r="V69" s="7" t="n">
        <v>1000</v>
      </c>
      <c r="W69" s="7" t="inlineStr">
        <is>
          <t>車内外</t>
        </is>
      </c>
      <c r="X69" s="7" t="n">
        <v>3000</v>
      </c>
      <c r="Y69" s="7" t="inlineStr">
        <is>
          <t>一般</t>
        </is>
      </c>
      <c r="Z69" s="7" t="n">
        <v>110</v>
      </c>
      <c r="AA69" s="7" t="inlineStr">
        <is>
          <t>免責金額なし</t>
        </is>
      </c>
      <c r="AB69" s="7" t="inlineStr">
        <is>
          <t>なし</t>
        </is>
      </c>
      <c r="AC69" s="7" t="inlineStr">
        <is>
          <t>なし</t>
        </is>
      </c>
      <c r="AD69" s="7" t="inlineStr">
        <is>
          <t>なし</t>
        </is>
      </c>
      <c r="AE69" s="7" t="inlineStr">
        <is>
          <t>あり</t>
        </is>
      </c>
      <c r="AF69" s="7" t="inlineStr">
        <is>
          <t>なし</t>
        </is>
      </c>
      <c r="AG69" s="7" t="inlineStr">
        <is>
          <t>なし</t>
        </is>
      </c>
      <c r="AH69" s="7" t="inlineStr">
        <is>
          <t>なし</t>
        </is>
      </c>
      <c r="AI69" s="7"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2018(平成30)</t>
        </is>
      </c>
      <c r="AQ69" s="60" t="n">
        <v>11</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c r="BU69" s="60" t="n">
        <v>49080</v>
      </c>
      <c r="BV69" s="60" t="n">
        <v>26530</v>
      </c>
      <c r="BW69" s="60" t="n">
        <v>16000</v>
      </c>
      <c r="BX69" s="60" t="n">
        <v>9000</v>
      </c>
      <c r="BY69" s="60" t="n">
        <v>0</v>
      </c>
      <c r="BZ69" s="60" t="inlineStr"/>
      <c r="CA69" s="60" t="inlineStr"/>
    </row>
    <row r="70">
      <c r="A70" s="60" t="n">
        <v>2022</v>
      </c>
      <c r="B70" s="7" t="n">
        <v>12</v>
      </c>
      <c r="C70" s="7" t="n">
        <v>1</v>
      </c>
      <c r="D70" s="7" t="n">
        <v>10</v>
      </c>
      <c r="E70" s="7" t="inlineStr">
        <is>
          <t>なし</t>
        </is>
      </c>
      <c r="F70" s="7" t="inlineStr">
        <is>
          <t>30歳以上</t>
        </is>
      </c>
      <c r="G70" s="7" t="n">
        <v>2018</v>
      </c>
      <c r="H70" s="7" t="n">
        <v>11</v>
      </c>
      <c r="I70" s="7" t="inlineStr">
        <is>
          <t>DJ5FS</t>
        </is>
      </c>
      <c r="J70" s="7" t="inlineStr">
        <is>
          <t>なし</t>
        </is>
      </c>
      <c r="K70" s="7" t="n">
        <v>1962</v>
      </c>
      <c r="L70" s="15" t="n">
        <v>12</v>
      </c>
      <c r="M70" s="7" t="n">
        <v>1</v>
      </c>
      <c r="N70" s="7" t="inlineStr">
        <is>
          <t>関東</t>
        </is>
      </c>
      <c r="O70" s="7" t="inlineStr">
        <is>
          <t>ゴールド</t>
        </is>
      </c>
      <c r="P70" s="7" t="inlineStr">
        <is>
          <t>日常</t>
        </is>
      </c>
      <c r="Q70" s="7" t="n">
        <v>7000</v>
      </c>
      <c r="R70" s="7" t="inlineStr">
        <is>
          <t>30歳以上</t>
        </is>
      </c>
      <c r="S70" s="7" t="inlineStr">
        <is>
          <t>本配</t>
        </is>
      </c>
      <c r="T70" s="7" t="inlineStr">
        <is>
          <t>無制限</t>
        </is>
      </c>
      <c r="U70" s="7" t="inlineStr">
        <is>
          <t>なし</t>
        </is>
      </c>
      <c r="V70" s="7" t="n">
        <v>1000</v>
      </c>
      <c r="W70" s="7" t="inlineStr">
        <is>
          <t>車内外</t>
        </is>
      </c>
      <c r="X70" s="7" t="n">
        <v>3000</v>
      </c>
      <c r="Y70" s="7" t="inlineStr">
        <is>
          <t>一般</t>
        </is>
      </c>
      <c r="Z70" s="7" t="n">
        <v>110</v>
      </c>
      <c r="AA70" s="7" t="inlineStr">
        <is>
          <t>免責金額なし</t>
        </is>
      </c>
      <c r="AB70" s="7" t="inlineStr">
        <is>
          <t>なし</t>
        </is>
      </c>
      <c r="AC70" s="7" t="inlineStr">
        <is>
          <t>なし</t>
        </is>
      </c>
      <c r="AD70" s="7" t="inlineStr">
        <is>
          <t>なし</t>
        </is>
      </c>
      <c r="AE70" s="7" t="inlineStr">
        <is>
          <t>あり</t>
        </is>
      </c>
      <c r="AF70" s="7" t="inlineStr">
        <is>
          <t>なし</t>
        </is>
      </c>
      <c r="AG70" s="7" t="inlineStr">
        <is>
          <t>なし</t>
        </is>
      </c>
      <c r="AH70" s="7" t="inlineStr">
        <is>
          <t>なし</t>
        </is>
      </c>
      <c r="AI70" s="7"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2018(平成30)</t>
        </is>
      </c>
      <c r="AQ70" s="60" t="n">
        <v>11</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c r="BU70" s="60" t="n">
        <v>53220</v>
      </c>
      <c r="BV70" s="60" t="n">
        <v>27780</v>
      </c>
      <c r="BW70" s="60" t="n">
        <v>16000</v>
      </c>
      <c r="BX70" s="60" t="n">
        <v>9000</v>
      </c>
      <c r="BY70" s="60" t="n">
        <v>0</v>
      </c>
      <c r="BZ70" s="60" t="inlineStr"/>
      <c r="CA70" s="60" t="inlineStr"/>
    </row>
    <row r="71">
      <c r="A71" s="60" t="n">
        <v>2022</v>
      </c>
      <c r="B71" s="7" t="n">
        <v>12</v>
      </c>
      <c r="C71" s="7" t="n">
        <v>1</v>
      </c>
      <c r="D71" s="7" t="n">
        <v>10</v>
      </c>
      <c r="E71" s="7" t="inlineStr">
        <is>
          <t>なし</t>
        </is>
      </c>
      <c r="F71" s="7" t="inlineStr">
        <is>
          <t>30歳以上</t>
        </is>
      </c>
      <c r="G71" s="7" t="n">
        <v>2018</v>
      </c>
      <c r="H71" s="7" t="n">
        <v>11</v>
      </c>
      <c r="I71" s="7" t="inlineStr">
        <is>
          <t>DJ5FS</t>
        </is>
      </c>
      <c r="J71" s="7" t="inlineStr">
        <is>
          <t>なし</t>
        </is>
      </c>
      <c r="K71" s="7" t="n">
        <v>1952</v>
      </c>
      <c r="L71" s="15" t="n">
        <v>12</v>
      </c>
      <c r="M71" s="7" t="n">
        <v>1</v>
      </c>
      <c r="N71" s="7" t="inlineStr">
        <is>
          <t>関東</t>
        </is>
      </c>
      <c r="O71" s="7" t="inlineStr">
        <is>
          <t>ゴールド</t>
        </is>
      </c>
      <c r="P71" s="7" t="inlineStr">
        <is>
          <t>日常</t>
        </is>
      </c>
      <c r="Q71" s="7" t="n">
        <v>7000</v>
      </c>
      <c r="R71" s="7" t="inlineStr">
        <is>
          <t>30歳以上</t>
        </is>
      </c>
      <c r="S71" s="7" t="inlineStr">
        <is>
          <t>本配</t>
        </is>
      </c>
      <c r="T71" s="7" t="inlineStr">
        <is>
          <t>無制限</t>
        </is>
      </c>
      <c r="U71" s="7" t="inlineStr">
        <is>
          <t>なし</t>
        </is>
      </c>
      <c r="V71" s="7" t="n">
        <v>1000</v>
      </c>
      <c r="W71" s="7" t="inlineStr">
        <is>
          <t>車内外</t>
        </is>
      </c>
      <c r="X71" s="7" t="n">
        <v>3000</v>
      </c>
      <c r="Y71" s="7" t="inlineStr">
        <is>
          <t>一般</t>
        </is>
      </c>
      <c r="Z71" s="7" t="n">
        <v>110</v>
      </c>
      <c r="AA71" s="7" t="inlineStr">
        <is>
          <t>免責金額なし</t>
        </is>
      </c>
      <c r="AB71" s="7" t="inlineStr">
        <is>
          <t>なし</t>
        </is>
      </c>
      <c r="AC71" s="7" t="inlineStr">
        <is>
          <t>なし</t>
        </is>
      </c>
      <c r="AD71" s="7" t="inlineStr">
        <is>
          <t>なし</t>
        </is>
      </c>
      <c r="AE71" s="7" t="inlineStr">
        <is>
          <t>あり</t>
        </is>
      </c>
      <c r="AF71" s="7" t="inlineStr">
        <is>
          <t>なし</t>
        </is>
      </c>
      <c r="AG71" s="7" t="inlineStr">
        <is>
          <t>なし</t>
        </is>
      </c>
      <c r="AH71" s="7" t="inlineStr">
        <is>
          <t>なし</t>
        </is>
      </c>
      <c r="AI71" s="7"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2018(平成30)</t>
        </is>
      </c>
      <c r="AQ71" s="60" t="n">
        <v>11</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c r="BU71" s="60" t="n">
        <v>67550</v>
      </c>
      <c r="BV71" s="60" t="n">
        <v>33700</v>
      </c>
      <c r="BW71" s="60" t="n">
        <v>16000</v>
      </c>
      <c r="BX71" s="60" t="n">
        <v>10000</v>
      </c>
      <c r="BY71" s="60" t="n">
        <v>0</v>
      </c>
      <c r="BZ71" s="60" t="inlineStr"/>
      <c r="CA71" s="60" t="inlineStr"/>
    </row>
    <row r="72">
      <c r="A72" s="60" t="n">
        <v>2022</v>
      </c>
      <c r="B72" s="7" t="n">
        <v>12</v>
      </c>
      <c r="C72" s="7" t="n">
        <v>1</v>
      </c>
      <c r="D72" s="7" t="n">
        <v>10</v>
      </c>
      <c r="E72" s="7" t="inlineStr">
        <is>
          <t>なし</t>
        </is>
      </c>
      <c r="F72" s="7" t="inlineStr">
        <is>
          <t>30歳以上</t>
        </is>
      </c>
      <c r="G72" s="7" t="n">
        <v>2018</v>
      </c>
      <c r="H72" s="7" t="n">
        <v>11</v>
      </c>
      <c r="I72" s="7" t="inlineStr">
        <is>
          <t>DJ5FS</t>
        </is>
      </c>
      <c r="J72" s="7" t="inlineStr">
        <is>
          <t>なし</t>
        </is>
      </c>
      <c r="K72" s="7" t="n">
        <v>1992</v>
      </c>
      <c r="L72" s="15" t="n">
        <v>12</v>
      </c>
      <c r="M72" s="7" t="n">
        <v>1</v>
      </c>
      <c r="N72" s="7" t="inlineStr">
        <is>
          <t>関東</t>
        </is>
      </c>
      <c r="O72" s="7" t="inlineStr">
        <is>
          <t>ゴールド</t>
        </is>
      </c>
      <c r="P72" s="7" t="inlineStr">
        <is>
          <t>通勤</t>
        </is>
      </c>
      <c r="Q72" s="7" t="n">
        <v>3000</v>
      </c>
      <c r="R72" s="7" t="inlineStr">
        <is>
          <t>30歳以上</t>
        </is>
      </c>
      <c r="S72" s="7" t="inlineStr">
        <is>
          <t>本配</t>
        </is>
      </c>
      <c r="T72" s="7" t="inlineStr">
        <is>
          <t>無制限</t>
        </is>
      </c>
      <c r="U72" s="7" t="inlineStr">
        <is>
          <t>なし</t>
        </is>
      </c>
      <c r="V72" s="7" t="n">
        <v>1000</v>
      </c>
      <c r="W72" s="7" t="inlineStr">
        <is>
          <t>車内外</t>
        </is>
      </c>
      <c r="X72" s="7" t="n">
        <v>3000</v>
      </c>
      <c r="Y72" s="7" t="inlineStr">
        <is>
          <t>一般</t>
        </is>
      </c>
      <c r="Z72" s="7" t="n">
        <v>110</v>
      </c>
      <c r="AA72" s="7" t="inlineStr">
        <is>
          <t>免責金額なし</t>
        </is>
      </c>
      <c r="AB72" s="7" t="inlineStr">
        <is>
          <t>なし</t>
        </is>
      </c>
      <c r="AC72" s="7" t="inlineStr">
        <is>
          <t>なし</t>
        </is>
      </c>
      <c r="AD72" s="7" t="inlineStr">
        <is>
          <t>なし</t>
        </is>
      </c>
      <c r="AE72" s="7" t="inlineStr">
        <is>
          <t>あり</t>
        </is>
      </c>
      <c r="AF72" s="7" t="inlineStr">
        <is>
          <t>なし</t>
        </is>
      </c>
      <c r="AG72" s="7" t="inlineStr">
        <is>
          <t>なし</t>
        </is>
      </c>
      <c r="AH72" s="7" t="inlineStr">
        <is>
          <t>なし</t>
        </is>
      </c>
      <c r="AI72" s="7"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2018(平成30)</t>
        </is>
      </c>
      <c r="AQ72" s="60" t="n">
        <v>11</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c r="BU72" s="60" t="n">
        <v>53720</v>
      </c>
      <c r="BV72" s="60" t="n">
        <v>28280</v>
      </c>
      <c r="BW72" s="60" t="n">
        <v>16000</v>
      </c>
      <c r="BX72" s="60" t="n">
        <v>9000</v>
      </c>
      <c r="BY72" s="60" t="n">
        <v>0</v>
      </c>
      <c r="BZ72" s="60" t="inlineStr"/>
      <c r="CA72" s="60" t="inlineStr"/>
    </row>
    <row r="73">
      <c r="A73" s="60" t="n">
        <v>2022</v>
      </c>
      <c r="B73" s="7" t="n">
        <v>12</v>
      </c>
      <c r="C73" s="7" t="n">
        <v>1</v>
      </c>
      <c r="D73" s="7" t="n">
        <v>10</v>
      </c>
      <c r="E73" s="7" t="inlineStr">
        <is>
          <t>なし</t>
        </is>
      </c>
      <c r="F73" s="7" t="inlineStr">
        <is>
          <t>30歳以上</t>
        </is>
      </c>
      <c r="G73" s="7" t="n">
        <v>2018</v>
      </c>
      <c r="H73" s="7" t="n">
        <v>11</v>
      </c>
      <c r="I73" s="7" t="inlineStr">
        <is>
          <t>DJ5FS</t>
        </is>
      </c>
      <c r="J73" s="7" t="inlineStr">
        <is>
          <t>なし</t>
        </is>
      </c>
      <c r="K73" s="7" t="n">
        <v>1987</v>
      </c>
      <c r="L73" s="15" t="n">
        <v>12</v>
      </c>
      <c r="M73" s="7" t="n">
        <v>1</v>
      </c>
      <c r="N73" s="7" t="inlineStr">
        <is>
          <t>関東</t>
        </is>
      </c>
      <c r="O73" s="7" t="inlineStr">
        <is>
          <t>ゴールド</t>
        </is>
      </c>
      <c r="P73" s="7" t="inlineStr">
        <is>
          <t>通勤</t>
        </is>
      </c>
      <c r="Q73" s="7" t="n">
        <v>3000</v>
      </c>
      <c r="R73" s="7" t="inlineStr">
        <is>
          <t>30歳以上</t>
        </is>
      </c>
      <c r="S73" s="7" t="inlineStr">
        <is>
          <t>本配</t>
        </is>
      </c>
      <c r="T73" s="7" t="inlineStr">
        <is>
          <t>無制限</t>
        </is>
      </c>
      <c r="U73" s="7" t="inlineStr">
        <is>
          <t>なし</t>
        </is>
      </c>
      <c r="V73" s="7" t="n">
        <v>1000</v>
      </c>
      <c r="W73" s="7" t="inlineStr">
        <is>
          <t>車内外</t>
        </is>
      </c>
      <c r="X73" s="7" t="n">
        <v>3000</v>
      </c>
      <c r="Y73" s="7" t="inlineStr">
        <is>
          <t>一般</t>
        </is>
      </c>
      <c r="Z73" s="7" t="n">
        <v>110</v>
      </c>
      <c r="AA73" s="7" t="inlineStr">
        <is>
          <t>免責金額なし</t>
        </is>
      </c>
      <c r="AB73" s="7" t="inlineStr">
        <is>
          <t>なし</t>
        </is>
      </c>
      <c r="AC73" s="7" t="inlineStr">
        <is>
          <t>なし</t>
        </is>
      </c>
      <c r="AD73" s="7" t="inlineStr">
        <is>
          <t>なし</t>
        </is>
      </c>
      <c r="AE73" s="7" t="inlineStr">
        <is>
          <t>あり</t>
        </is>
      </c>
      <c r="AF73" s="7" t="inlineStr">
        <is>
          <t>なし</t>
        </is>
      </c>
      <c r="AG73" s="7" t="inlineStr">
        <is>
          <t>なし</t>
        </is>
      </c>
      <c r="AH73" s="7" t="inlineStr">
        <is>
          <t>なし</t>
        </is>
      </c>
      <c r="AI73" s="7"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2018(平成30)</t>
        </is>
      </c>
      <c r="AQ73" s="60" t="n">
        <v>11</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c r="BU73" s="60" t="n">
        <v>53290</v>
      </c>
      <c r="BV73" s="60" t="n">
        <v>28080</v>
      </c>
      <c r="BW73" s="60" t="n">
        <v>16000</v>
      </c>
      <c r="BX73" s="60" t="n">
        <v>9000</v>
      </c>
      <c r="BY73" s="60" t="n">
        <v>0</v>
      </c>
      <c r="BZ73" s="60" t="inlineStr"/>
      <c r="CA73" s="60" t="inlineStr"/>
    </row>
    <row r="74">
      <c r="A74" s="60" t="n">
        <v>2022</v>
      </c>
      <c r="B74" s="7" t="n">
        <v>12</v>
      </c>
      <c r="C74" s="7" t="n">
        <v>1</v>
      </c>
      <c r="D74" s="7" t="n">
        <v>10</v>
      </c>
      <c r="E74" s="7" t="inlineStr">
        <is>
          <t>なし</t>
        </is>
      </c>
      <c r="F74" s="7" t="inlineStr">
        <is>
          <t>30歳以上</t>
        </is>
      </c>
      <c r="G74" s="7" t="n">
        <v>2018</v>
      </c>
      <c r="H74" s="7" t="n">
        <v>11</v>
      </c>
      <c r="I74" s="7" t="inlineStr">
        <is>
          <t>DJ5FS</t>
        </is>
      </c>
      <c r="J74" s="7" t="inlineStr">
        <is>
          <t>なし</t>
        </is>
      </c>
      <c r="K74" s="7" t="n">
        <v>1982</v>
      </c>
      <c r="L74" s="15" t="n">
        <v>12</v>
      </c>
      <c r="M74" s="7" t="n">
        <v>1</v>
      </c>
      <c r="N74" s="7" t="inlineStr">
        <is>
          <t>関東</t>
        </is>
      </c>
      <c r="O74" s="7" t="inlineStr">
        <is>
          <t>ゴールド</t>
        </is>
      </c>
      <c r="P74" s="7" t="inlineStr">
        <is>
          <t>通勤</t>
        </is>
      </c>
      <c r="Q74" s="7" t="n">
        <v>3000</v>
      </c>
      <c r="R74" s="7" t="inlineStr">
        <is>
          <t>30歳以上</t>
        </is>
      </c>
      <c r="S74" s="7" t="inlineStr">
        <is>
          <t>本配</t>
        </is>
      </c>
      <c r="T74" s="7" t="inlineStr">
        <is>
          <t>無制限</t>
        </is>
      </c>
      <c r="U74" s="7" t="inlineStr">
        <is>
          <t>なし</t>
        </is>
      </c>
      <c r="V74" s="7" t="n">
        <v>1000</v>
      </c>
      <c r="W74" s="7" t="inlineStr">
        <is>
          <t>車内外</t>
        </is>
      </c>
      <c r="X74" s="7" t="n">
        <v>3000</v>
      </c>
      <c r="Y74" s="7" t="inlineStr">
        <is>
          <t>一般</t>
        </is>
      </c>
      <c r="Z74" s="7" t="n">
        <v>110</v>
      </c>
      <c r="AA74" s="7" t="inlineStr">
        <is>
          <t>免責金額なし</t>
        </is>
      </c>
      <c r="AB74" s="7" t="inlineStr">
        <is>
          <t>なし</t>
        </is>
      </c>
      <c r="AC74" s="7" t="inlineStr">
        <is>
          <t>なし</t>
        </is>
      </c>
      <c r="AD74" s="7" t="inlineStr">
        <is>
          <t>なし</t>
        </is>
      </c>
      <c r="AE74" s="7" t="inlineStr">
        <is>
          <t>あり</t>
        </is>
      </c>
      <c r="AF74" s="7" t="inlineStr">
        <is>
          <t>なし</t>
        </is>
      </c>
      <c r="AG74" s="7" t="inlineStr">
        <is>
          <t>なし</t>
        </is>
      </c>
      <c r="AH74" s="7" t="inlineStr">
        <is>
          <t>なし</t>
        </is>
      </c>
      <c r="AI74" s="7"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2018(平成30)</t>
        </is>
      </c>
      <c r="AQ74" s="60" t="n">
        <v>11</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c r="BU74" s="60" t="n">
        <v>53830</v>
      </c>
      <c r="BV74" s="60" t="n">
        <v>28430</v>
      </c>
      <c r="BW74" s="60" t="n">
        <v>16000</v>
      </c>
      <c r="BX74" s="60" t="n">
        <v>9000</v>
      </c>
      <c r="BY74" s="60" t="n">
        <v>0</v>
      </c>
      <c r="BZ74" s="60" t="inlineStr"/>
      <c r="CA74" s="60" t="inlineStr"/>
    </row>
    <row r="75">
      <c r="A75" s="60" t="n">
        <v>2022</v>
      </c>
      <c r="B75" s="7" t="n">
        <v>12</v>
      </c>
      <c r="C75" s="7" t="n">
        <v>1</v>
      </c>
      <c r="D75" s="7" t="n">
        <v>10</v>
      </c>
      <c r="E75" s="7" t="inlineStr">
        <is>
          <t>なし</t>
        </is>
      </c>
      <c r="F75" s="7" t="inlineStr">
        <is>
          <t>30歳以上</t>
        </is>
      </c>
      <c r="G75" s="7" t="n">
        <v>2018</v>
      </c>
      <c r="H75" s="7" t="n">
        <v>11</v>
      </c>
      <c r="I75" s="7" t="inlineStr">
        <is>
          <t>DJ5FS</t>
        </is>
      </c>
      <c r="J75" s="7" t="inlineStr">
        <is>
          <t>なし</t>
        </is>
      </c>
      <c r="K75" s="7" t="n">
        <v>1977</v>
      </c>
      <c r="L75" s="15" t="n">
        <v>12</v>
      </c>
      <c r="M75" s="7" t="n">
        <v>1</v>
      </c>
      <c r="N75" s="7" t="inlineStr">
        <is>
          <t>関東</t>
        </is>
      </c>
      <c r="O75" s="7" t="inlineStr">
        <is>
          <t>ゴールド</t>
        </is>
      </c>
      <c r="P75" s="7" t="inlineStr">
        <is>
          <t>通勤</t>
        </is>
      </c>
      <c r="Q75" s="7" t="n">
        <v>3000</v>
      </c>
      <c r="R75" s="7" t="inlineStr">
        <is>
          <t>30歳以上</t>
        </is>
      </c>
      <c r="S75" s="7" t="inlineStr">
        <is>
          <t>本配</t>
        </is>
      </c>
      <c r="T75" s="7" t="inlineStr">
        <is>
          <t>無制限</t>
        </is>
      </c>
      <c r="U75" s="7" t="inlineStr">
        <is>
          <t>なし</t>
        </is>
      </c>
      <c r="V75" s="7" t="n">
        <v>1000</v>
      </c>
      <c r="W75" s="7" t="inlineStr">
        <is>
          <t>車内外</t>
        </is>
      </c>
      <c r="X75" s="7" t="n">
        <v>3000</v>
      </c>
      <c r="Y75" s="7" t="inlineStr">
        <is>
          <t>一般</t>
        </is>
      </c>
      <c r="Z75" s="7" t="n">
        <v>110</v>
      </c>
      <c r="AA75" s="7" t="inlineStr">
        <is>
          <t>免責金額なし</t>
        </is>
      </c>
      <c r="AB75" s="7" t="inlineStr">
        <is>
          <t>なし</t>
        </is>
      </c>
      <c r="AC75" s="7" t="inlineStr">
        <is>
          <t>なし</t>
        </is>
      </c>
      <c r="AD75" s="7" t="inlineStr">
        <is>
          <t>なし</t>
        </is>
      </c>
      <c r="AE75" s="7" t="inlineStr">
        <is>
          <t>あり</t>
        </is>
      </c>
      <c r="AF75" s="7" t="inlineStr">
        <is>
          <t>なし</t>
        </is>
      </c>
      <c r="AG75" s="7" t="inlineStr">
        <is>
          <t>なし</t>
        </is>
      </c>
      <c r="AH75" s="7" t="inlineStr">
        <is>
          <t>なし</t>
        </is>
      </c>
      <c r="AI75" s="7"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2018(平成30)</t>
        </is>
      </c>
      <c r="AQ75" s="60" t="n">
        <v>11</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c r="BU75" s="60" t="n">
        <v>55210</v>
      </c>
      <c r="BV75" s="60" t="n">
        <v>28520</v>
      </c>
      <c r="BW75" s="60" t="n">
        <v>16000</v>
      </c>
      <c r="BX75" s="60" t="n">
        <v>9000</v>
      </c>
      <c r="BY75" s="60" t="n">
        <v>0</v>
      </c>
      <c r="BZ75" s="60" t="inlineStr"/>
      <c r="CA75" s="60" t="inlineStr"/>
    </row>
    <row r="76">
      <c r="A76" s="60" t="n">
        <v>2022</v>
      </c>
      <c r="B76" s="7" t="n">
        <v>12</v>
      </c>
      <c r="C76" s="7" t="n">
        <v>1</v>
      </c>
      <c r="D76" s="7" t="n">
        <v>10</v>
      </c>
      <c r="E76" s="7" t="inlineStr">
        <is>
          <t>なし</t>
        </is>
      </c>
      <c r="F76" s="7" t="inlineStr">
        <is>
          <t>30歳以上</t>
        </is>
      </c>
      <c r="G76" s="7" t="n">
        <v>2018</v>
      </c>
      <c r="H76" s="7" t="n">
        <v>11</v>
      </c>
      <c r="I76" s="7" t="inlineStr">
        <is>
          <t>DJ5FS</t>
        </is>
      </c>
      <c r="J76" s="7" t="inlineStr">
        <is>
          <t>なし</t>
        </is>
      </c>
      <c r="K76" s="7" t="n">
        <v>1972</v>
      </c>
      <c r="L76" s="15" t="n">
        <v>12</v>
      </c>
      <c r="M76" s="7" t="n">
        <v>1</v>
      </c>
      <c r="N76" s="7" t="inlineStr">
        <is>
          <t>関東</t>
        </is>
      </c>
      <c r="O76" s="7" t="inlineStr">
        <is>
          <t>ゴールド</t>
        </is>
      </c>
      <c r="P76" s="7" t="inlineStr">
        <is>
          <t>通勤</t>
        </is>
      </c>
      <c r="Q76" s="7" t="n">
        <v>3000</v>
      </c>
      <c r="R76" s="7" t="inlineStr">
        <is>
          <t>30歳以上</t>
        </is>
      </c>
      <c r="S76" s="7" t="inlineStr">
        <is>
          <t>本配</t>
        </is>
      </c>
      <c r="T76" s="7" t="inlineStr">
        <is>
          <t>無制限</t>
        </is>
      </c>
      <c r="U76" s="7" t="inlineStr">
        <is>
          <t>なし</t>
        </is>
      </c>
      <c r="V76" s="7" t="n">
        <v>1000</v>
      </c>
      <c r="W76" s="7" t="inlineStr">
        <is>
          <t>車内外</t>
        </is>
      </c>
      <c r="X76" s="7" t="n">
        <v>3000</v>
      </c>
      <c r="Y76" s="7" t="inlineStr">
        <is>
          <t>一般</t>
        </is>
      </c>
      <c r="Z76" s="7" t="n">
        <v>110</v>
      </c>
      <c r="AA76" s="7" t="inlineStr">
        <is>
          <t>免責金額なし</t>
        </is>
      </c>
      <c r="AB76" s="7" t="inlineStr">
        <is>
          <t>なし</t>
        </is>
      </c>
      <c r="AC76" s="7" t="inlineStr">
        <is>
          <t>なし</t>
        </is>
      </c>
      <c r="AD76" s="7" t="inlineStr">
        <is>
          <t>なし</t>
        </is>
      </c>
      <c r="AE76" s="7" t="inlineStr">
        <is>
          <t>あり</t>
        </is>
      </c>
      <c r="AF76" s="7" t="inlineStr">
        <is>
          <t>なし</t>
        </is>
      </c>
      <c r="AG76" s="7" t="inlineStr">
        <is>
          <t>なし</t>
        </is>
      </c>
      <c r="AH76" s="7" t="inlineStr">
        <is>
          <t>なし</t>
        </is>
      </c>
      <c r="AI76" s="7"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2018(平成30)</t>
        </is>
      </c>
      <c r="AQ76" s="60" t="n">
        <v>11</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c r="BU76" s="60" t="n">
        <v>55760</v>
      </c>
      <c r="BV76" s="60" t="n">
        <v>28400</v>
      </c>
      <c r="BW76" s="60" t="n">
        <v>16000</v>
      </c>
      <c r="BX76" s="60" t="n">
        <v>9000</v>
      </c>
      <c r="BY76" s="60" t="n">
        <v>0</v>
      </c>
      <c r="BZ76" s="60" t="inlineStr"/>
      <c r="CA76" s="60" t="inlineStr"/>
    </row>
    <row r="77">
      <c r="A77" s="60" t="n">
        <v>2022</v>
      </c>
      <c r="B77" s="7" t="n">
        <v>12</v>
      </c>
      <c r="C77" s="7" t="n">
        <v>1</v>
      </c>
      <c r="D77" s="7" t="n">
        <v>10</v>
      </c>
      <c r="E77" s="7" t="inlineStr">
        <is>
          <t>なし</t>
        </is>
      </c>
      <c r="F77" s="7" t="inlineStr">
        <is>
          <t>30歳以上</t>
        </is>
      </c>
      <c r="G77" s="7" t="n">
        <v>2018</v>
      </c>
      <c r="H77" s="7" t="n">
        <v>11</v>
      </c>
      <c r="I77" s="7" t="inlineStr">
        <is>
          <t>DJ5FS</t>
        </is>
      </c>
      <c r="J77" s="7" t="inlineStr">
        <is>
          <t>なし</t>
        </is>
      </c>
      <c r="K77" s="7" t="n">
        <v>1962</v>
      </c>
      <c r="L77" s="15" t="n">
        <v>12</v>
      </c>
      <c r="M77" s="7" t="n">
        <v>1</v>
      </c>
      <c r="N77" s="7" t="inlineStr">
        <is>
          <t>関東</t>
        </is>
      </c>
      <c r="O77" s="7" t="inlineStr">
        <is>
          <t>ゴールド</t>
        </is>
      </c>
      <c r="P77" s="7" t="inlineStr">
        <is>
          <t>通勤</t>
        </is>
      </c>
      <c r="Q77" s="7" t="n">
        <v>3000</v>
      </c>
      <c r="R77" s="7" t="inlineStr">
        <is>
          <t>30歳以上</t>
        </is>
      </c>
      <c r="S77" s="7" t="inlineStr">
        <is>
          <t>本配</t>
        </is>
      </c>
      <c r="T77" s="7" t="inlineStr">
        <is>
          <t>無制限</t>
        </is>
      </c>
      <c r="U77" s="7" t="inlineStr">
        <is>
          <t>なし</t>
        </is>
      </c>
      <c r="V77" s="7" t="n">
        <v>1000</v>
      </c>
      <c r="W77" s="7" t="inlineStr">
        <is>
          <t>車内外</t>
        </is>
      </c>
      <c r="X77" s="7" t="n">
        <v>3000</v>
      </c>
      <c r="Y77" s="7" t="inlineStr">
        <is>
          <t>一般</t>
        </is>
      </c>
      <c r="Z77" s="7" t="n">
        <v>110</v>
      </c>
      <c r="AA77" s="7" t="inlineStr">
        <is>
          <t>免責金額なし</t>
        </is>
      </c>
      <c r="AB77" s="7" t="inlineStr">
        <is>
          <t>なし</t>
        </is>
      </c>
      <c r="AC77" s="7" t="inlineStr">
        <is>
          <t>なし</t>
        </is>
      </c>
      <c r="AD77" s="7" t="inlineStr">
        <is>
          <t>なし</t>
        </is>
      </c>
      <c r="AE77" s="7" t="inlineStr">
        <is>
          <t>あり</t>
        </is>
      </c>
      <c r="AF77" s="7" t="inlineStr">
        <is>
          <t>なし</t>
        </is>
      </c>
      <c r="AG77" s="7" t="inlineStr">
        <is>
          <t>なし</t>
        </is>
      </c>
      <c r="AH77" s="7" t="inlineStr">
        <is>
          <t>なし</t>
        </is>
      </c>
      <c r="AI77" s="7"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2018(平成30)</t>
        </is>
      </c>
      <c r="AQ77" s="60" t="n">
        <v>11</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c r="BU77" s="60" t="n">
        <v>60510</v>
      </c>
      <c r="BV77" s="60" t="n">
        <v>29770</v>
      </c>
      <c r="BW77" s="60" t="n">
        <v>16000</v>
      </c>
      <c r="BX77" s="60" t="n">
        <v>9000</v>
      </c>
      <c r="BY77" s="60" t="n">
        <v>0</v>
      </c>
      <c r="BZ77" s="60" t="inlineStr"/>
      <c r="CA77" s="60" t="inlineStr"/>
    </row>
    <row r="78">
      <c r="A78" s="60" t="n">
        <v>2022</v>
      </c>
      <c r="B78" s="7" t="n">
        <v>12</v>
      </c>
      <c r="C78" s="7" t="n">
        <v>1</v>
      </c>
      <c r="D78" s="7" t="n">
        <v>10</v>
      </c>
      <c r="E78" s="7" t="inlineStr">
        <is>
          <t>なし</t>
        </is>
      </c>
      <c r="F78" s="7" t="inlineStr">
        <is>
          <t>30歳以上</t>
        </is>
      </c>
      <c r="G78" s="7" t="n">
        <v>2018</v>
      </c>
      <c r="H78" s="7" t="n">
        <v>11</v>
      </c>
      <c r="I78" s="7" t="inlineStr">
        <is>
          <t>DJ5FS</t>
        </is>
      </c>
      <c r="J78" s="7" t="inlineStr">
        <is>
          <t>なし</t>
        </is>
      </c>
      <c r="K78" s="7" t="n">
        <v>1952</v>
      </c>
      <c r="L78" s="15" t="n">
        <v>12</v>
      </c>
      <c r="M78" s="7" t="n">
        <v>1</v>
      </c>
      <c r="N78" s="7" t="inlineStr">
        <is>
          <t>関東</t>
        </is>
      </c>
      <c r="O78" s="7" t="inlineStr">
        <is>
          <t>ゴールド</t>
        </is>
      </c>
      <c r="P78" s="7" t="inlineStr">
        <is>
          <t>通勤</t>
        </is>
      </c>
      <c r="Q78" s="7" t="n">
        <v>3000</v>
      </c>
      <c r="R78" s="7" t="inlineStr">
        <is>
          <t>30歳以上</t>
        </is>
      </c>
      <c r="S78" s="7" t="inlineStr">
        <is>
          <t>本配</t>
        </is>
      </c>
      <c r="T78" s="7" t="inlineStr">
        <is>
          <t>無制限</t>
        </is>
      </c>
      <c r="U78" s="7" t="inlineStr">
        <is>
          <t>なし</t>
        </is>
      </c>
      <c r="V78" s="7" t="n">
        <v>1000</v>
      </c>
      <c r="W78" s="7" t="inlineStr">
        <is>
          <t>車内外</t>
        </is>
      </c>
      <c r="X78" s="7" t="n">
        <v>3000</v>
      </c>
      <c r="Y78" s="7" t="inlineStr">
        <is>
          <t>一般</t>
        </is>
      </c>
      <c r="Z78" s="7" t="n">
        <v>110</v>
      </c>
      <c r="AA78" s="7" t="inlineStr">
        <is>
          <t>免責金額なし</t>
        </is>
      </c>
      <c r="AB78" s="7" t="inlineStr">
        <is>
          <t>なし</t>
        </is>
      </c>
      <c r="AC78" s="7" t="inlineStr">
        <is>
          <t>なし</t>
        </is>
      </c>
      <c r="AD78" s="7" t="inlineStr">
        <is>
          <t>なし</t>
        </is>
      </c>
      <c r="AE78" s="7" t="inlineStr">
        <is>
          <t>あり</t>
        </is>
      </c>
      <c r="AF78" s="7" t="inlineStr">
        <is>
          <t>なし</t>
        </is>
      </c>
      <c r="AG78" s="7" t="inlineStr">
        <is>
          <t>なし</t>
        </is>
      </c>
      <c r="AH78" s="7" t="inlineStr">
        <is>
          <t>なし</t>
        </is>
      </c>
      <c r="AI78" s="7"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2018(平成30)</t>
        </is>
      </c>
      <c r="AQ78" s="60" t="n">
        <v>11</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c r="BU78" s="60" t="n">
        <v>76640</v>
      </c>
      <c r="BV78" s="60" t="n">
        <v>33230</v>
      </c>
      <c r="BW78" s="60" t="n">
        <v>16000</v>
      </c>
      <c r="BX78" s="60" t="n">
        <v>13000</v>
      </c>
      <c r="BY78" s="60" t="n">
        <v>0</v>
      </c>
      <c r="BZ78" s="60" t="inlineStr"/>
      <c r="CA78" s="60" t="inlineStr"/>
    </row>
    <row r="79">
      <c r="A79" s="60" t="n">
        <v>2022</v>
      </c>
      <c r="B79" s="7" t="n">
        <v>12</v>
      </c>
      <c r="C79" s="7" t="n">
        <v>1</v>
      </c>
      <c r="D79" s="7" t="n">
        <v>10</v>
      </c>
      <c r="E79" s="7" t="inlineStr">
        <is>
          <t>なし</t>
        </is>
      </c>
      <c r="F79" s="7" t="inlineStr">
        <is>
          <t>30歳以上</t>
        </is>
      </c>
      <c r="G79" s="7" t="n">
        <v>2018</v>
      </c>
      <c r="H79" s="7" t="n">
        <v>11</v>
      </c>
      <c r="I79" s="7" t="inlineStr">
        <is>
          <t>DJ5FS</t>
        </is>
      </c>
      <c r="J79" s="7" t="inlineStr">
        <is>
          <t>なし</t>
        </is>
      </c>
      <c r="K79" s="7" t="n">
        <v>1992</v>
      </c>
      <c r="L79" s="15" t="n">
        <v>12</v>
      </c>
      <c r="M79" s="7" t="n">
        <v>1</v>
      </c>
      <c r="N79" s="7" t="inlineStr">
        <is>
          <t>関東</t>
        </is>
      </c>
      <c r="O79" s="7" t="inlineStr">
        <is>
          <t>ゴールド</t>
        </is>
      </c>
      <c r="P79" s="7" t="inlineStr">
        <is>
          <t>通勤</t>
        </is>
      </c>
      <c r="Q79" s="7" t="n">
        <v>7000</v>
      </c>
      <c r="R79" s="7" t="inlineStr">
        <is>
          <t>30歳以上</t>
        </is>
      </c>
      <c r="S79" s="7" t="inlineStr">
        <is>
          <t>本配</t>
        </is>
      </c>
      <c r="T79" s="7" t="inlineStr">
        <is>
          <t>無制限</t>
        </is>
      </c>
      <c r="U79" s="7" t="inlineStr">
        <is>
          <t>なし</t>
        </is>
      </c>
      <c r="V79" s="7" t="n">
        <v>1000</v>
      </c>
      <c r="W79" s="7" t="inlineStr">
        <is>
          <t>車内外</t>
        </is>
      </c>
      <c r="X79" s="7" t="n">
        <v>3000</v>
      </c>
      <c r="Y79" s="7" t="inlineStr">
        <is>
          <t>一般</t>
        </is>
      </c>
      <c r="Z79" s="7" t="n">
        <v>110</v>
      </c>
      <c r="AA79" s="7" t="inlineStr">
        <is>
          <t>免責金額なし</t>
        </is>
      </c>
      <c r="AB79" s="7" t="inlineStr">
        <is>
          <t>なし</t>
        </is>
      </c>
      <c r="AC79" s="7" t="inlineStr">
        <is>
          <t>なし</t>
        </is>
      </c>
      <c r="AD79" s="7" t="inlineStr">
        <is>
          <t>なし</t>
        </is>
      </c>
      <c r="AE79" s="7" t="inlineStr">
        <is>
          <t>あり</t>
        </is>
      </c>
      <c r="AF79" s="7" t="inlineStr">
        <is>
          <t>なし</t>
        </is>
      </c>
      <c r="AG79" s="7" t="inlineStr">
        <is>
          <t>なし</t>
        </is>
      </c>
      <c r="AH79" s="7" t="inlineStr">
        <is>
          <t>なし</t>
        </is>
      </c>
      <c r="AI79" s="7"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2018(平成30)</t>
        </is>
      </c>
      <c r="AQ79" s="60" t="n">
        <v>11</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c r="BU79" s="60" t="n">
        <v>71050</v>
      </c>
      <c r="BV79" s="60" t="n">
        <v>33920</v>
      </c>
      <c r="BW79" s="60" t="n">
        <v>16000</v>
      </c>
      <c r="BX79" s="60" t="n">
        <v>13000</v>
      </c>
      <c r="BY79" s="60" t="n">
        <v>0</v>
      </c>
      <c r="BZ79" s="60" t="inlineStr"/>
      <c r="CA79" s="60" t="inlineStr"/>
    </row>
    <row r="80">
      <c r="A80" s="60" t="n">
        <v>2022</v>
      </c>
      <c r="B80" s="7" t="n">
        <v>12</v>
      </c>
      <c r="C80" s="7" t="n">
        <v>1</v>
      </c>
      <c r="D80" s="7" t="n">
        <v>10</v>
      </c>
      <c r="E80" s="7" t="inlineStr">
        <is>
          <t>なし</t>
        </is>
      </c>
      <c r="F80" s="7" t="inlineStr">
        <is>
          <t>30歳以上</t>
        </is>
      </c>
      <c r="G80" s="7" t="n">
        <v>2018</v>
      </c>
      <c r="H80" s="7" t="n">
        <v>11</v>
      </c>
      <c r="I80" s="7" t="inlineStr">
        <is>
          <t>DJ5FS</t>
        </is>
      </c>
      <c r="J80" s="7" t="inlineStr">
        <is>
          <t>なし</t>
        </is>
      </c>
      <c r="K80" s="7" t="n">
        <v>1987</v>
      </c>
      <c r="L80" s="15" t="n">
        <v>12</v>
      </c>
      <c r="M80" s="7" t="n">
        <v>1</v>
      </c>
      <c r="N80" s="7" t="inlineStr">
        <is>
          <t>関東</t>
        </is>
      </c>
      <c r="O80" s="7" t="inlineStr">
        <is>
          <t>ゴールド</t>
        </is>
      </c>
      <c r="P80" s="7" t="inlineStr">
        <is>
          <t>通勤</t>
        </is>
      </c>
      <c r="Q80" s="7" t="n">
        <v>7000</v>
      </c>
      <c r="R80" s="7" t="inlineStr">
        <is>
          <t>30歳以上</t>
        </is>
      </c>
      <c r="S80" s="7" t="inlineStr">
        <is>
          <t>本配</t>
        </is>
      </c>
      <c r="T80" s="7" t="inlineStr">
        <is>
          <t>無制限</t>
        </is>
      </c>
      <c r="U80" s="7" t="inlineStr">
        <is>
          <t>なし</t>
        </is>
      </c>
      <c r="V80" s="7" t="n">
        <v>1000</v>
      </c>
      <c r="W80" s="7" t="inlineStr">
        <is>
          <t>車内外</t>
        </is>
      </c>
      <c r="X80" s="7" t="n">
        <v>3000</v>
      </c>
      <c r="Y80" s="7" t="inlineStr">
        <is>
          <t>一般</t>
        </is>
      </c>
      <c r="Z80" s="7" t="n">
        <v>110</v>
      </c>
      <c r="AA80" s="7" t="inlineStr">
        <is>
          <t>免責金額なし</t>
        </is>
      </c>
      <c r="AB80" s="7" t="inlineStr">
        <is>
          <t>なし</t>
        </is>
      </c>
      <c r="AC80" s="7" t="inlineStr">
        <is>
          <t>なし</t>
        </is>
      </c>
      <c r="AD80" s="7" t="inlineStr">
        <is>
          <t>なし</t>
        </is>
      </c>
      <c r="AE80" s="7" t="inlineStr">
        <is>
          <t>あり</t>
        </is>
      </c>
      <c r="AF80" s="7" t="inlineStr">
        <is>
          <t>なし</t>
        </is>
      </c>
      <c r="AG80" s="7" t="inlineStr">
        <is>
          <t>なし</t>
        </is>
      </c>
      <c r="AH80" s="7" t="inlineStr">
        <is>
          <t>なし</t>
        </is>
      </c>
      <c r="AI80" s="7"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2018(平成30)</t>
        </is>
      </c>
      <c r="AQ80" s="60" t="n">
        <v>11</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c r="BU80" s="60" t="inlineStr">
        <is>
          <t>E</t>
        </is>
      </c>
      <c r="BV80" s="60" t="inlineStr">
        <is>
          <t xml:space="preserve">Traceback (most recent call last):
  File "C:\Users\Python\Documents\Z\Z_func.py", line 235, in Z_func
    Select(browser.find_element(By.CSS_SELECTOR, '#calculatePremiumForm\:propertyDifferenceExceededClause_plan1')).select_by_visible_text(data['対物LL2'])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80" s="60" t="n"/>
      <c r="BX80" s="60" t="n"/>
      <c r="BY80" s="60" t="n"/>
      <c r="BZ80" s="60" t="inlineStr"/>
      <c r="CA80" s="60" t="inlineStr"/>
    </row>
    <row r="81">
      <c r="A81" s="60" t="n">
        <v>2022</v>
      </c>
      <c r="B81" s="7" t="n">
        <v>12</v>
      </c>
      <c r="C81" s="7" t="n">
        <v>1</v>
      </c>
      <c r="D81" s="7" t="n">
        <v>10</v>
      </c>
      <c r="E81" s="7" t="inlineStr">
        <is>
          <t>なし</t>
        </is>
      </c>
      <c r="F81" s="7" t="inlineStr">
        <is>
          <t>30歳以上</t>
        </is>
      </c>
      <c r="G81" s="7" t="n">
        <v>2018</v>
      </c>
      <c r="H81" s="7" t="n">
        <v>11</v>
      </c>
      <c r="I81" s="7" t="inlineStr">
        <is>
          <t>DJ5FS</t>
        </is>
      </c>
      <c r="J81" s="7" t="inlineStr">
        <is>
          <t>なし</t>
        </is>
      </c>
      <c r="K81" s="7" t="n">
        <v>1982</v>
      </c>
      <c r="L81" s="15" t="n">
        <v>12</v>
      </c>
      <c r="M81" s="7" t="n">
        <v>1</v>
      </c>
      <c r="N81" s="7" t="inlineStr">
        <is>
          <t>関東</t>
        </is>
      </c>
      <c r="O81" s="7" t="inlineStr">
        <is>
          <t>ゴールド</t>
        </is>
      </c>
      <c r="P81" s="7" t="inlineStr">
        <is>
          <t>通勤</t>
        </is>
      </c>
      <c r="Q81" s="7" t="n">
        <v>7000</v>
      </c>
      <c r="R81" s="7" t="inlineStr">
        <is>
          <t>30歳以上</t>
        </is>
      </c>
      <c r="S81" s="7" t="inlineStr">
        <is>
          <t>本配</t>
        </is>
      </c>
      <c r="T81" s="7" t="inlineStr">
        <is>
          <t>無制限</t>
        </is>
      </c>
      <c r="U81" s="7" t="inlineStr">
        <is>
          <t>なし</t>
        </is>
      </c>
      <c r="V81" s="7" t="n">
        <v>1000</v>
      </c>
      <c r="W81" s="7" t="inlineStr">
        <is>
          <t>車内外</t>
        </is>
      </c>
      <c r="X81" s="7" t="n">
        <v>3000</v>
      </c>
      <c r="Y81" s="7" t="inlineStr">
        <is>
          <t>一般</t>
        </is>
      </c>
      <c r="Z81" s="7" t="n">
        <v>110</v>
      </c>
      <c r="AA81" s="7" t="inlineStr">
        <is>
          <t>免責金額なし</t>
        </is>
      </c>
      <c r="AB81" s="7" t="inlineStr">
        <is>
          <t>なし</t>
        </is>
      </c>
      <c r="AC81" s="7" t="inlineStr">
        <is>
          <t>なし</t>
        </is>
      </c>
      <c r="AD81" s="7" t="inlineStr">
        <is>
          <t>なし</t>
        </is>
      </c>
      <c r="AE81" s="7" t="inlineStr">
        <is>
          <t>あり</t>
        </is>
      </c>
      <c r="AF81" s="7" t="inlineStr">
        <is>
          <t>なし</t>
        </is>
      </c>
      <c r="AG81" s="7" t="inlineStr">
        <is>
          <t>なし</t>
        </is>
      </c>
      <c r="AH81" s="7" t="inlineStr">
        <is>
          <t>なし</t>
        </is>
      </c>
      <c r="AI81" s="7"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2018(平成30)</t>
        </is>
      </c>
      <c r="AQ81" s="60" t="n">
        <v>11</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c r="BU81" s="60" t="n">
        <v>71280</v>
      </c>
      <c r="BV81" s="60" t="n">
        <v>34190</v>
      </c>
      <c r="BW81" s="60" t="n">
        <v>16000</v>
      </c>
      <c r="BX81" s="60" t="n">
        <v>13000</v>
      </c>
      <c r="BY81" s="60" t="n">
        <v>0</v>
      </c>
      <c r="BZ81" s="60" t="inlineStr"/>
      <c r="CA81" s="60" t="inlineStr"/>
    </row>
    <row r="82">
      <c r="A82" s="60" t="n">
        <v>2022</v>
      </c>
      <c r="B82" s="7" t="n">
        <v>12</v>
      </c>
      <c r="C82" s="7" t="n">
        <v>1</v>
      </c>
      <c r="D82" s="7" t="n">
        <v>10</v>
      </c>
      <c r="E82" s="7" t="inlineStr">
        <is>
          <t>なし</t>
        </is>
      </c>
      <c r="F82" s="7" t="inlineStr">
        <is>
          <t>30歳以上</t>
        </is>
      </c>
      <c r="G82" s="7" t="n">
        <v>2018</v>
      </c>
      <c r="H82" s="7" t="n">
        <v>11</v>
      </c>
      <c r="I82" s="7" t="inlineStr">
        <is>
          <t>DJ5FS</t>
        </is>
      </c>
      <c r="J82" s="7" t="inlineStr">
        <is>
          <t>なし</t>
        </is>
      </c>
      <c r="K82" s="7" t="n">
        <v>1977</v>
      </c>
      <c r="L82" s="15" t="n">
        <v>12</v>
      </c>
      <c r="M82" s="7" t="n">
        <v>1</v>
      </c>
      <c r="N82" s="7" t="inlineStr">
        <is>
          <t>関東</t>
        </is>
      </c>
      <c r="O82" s="7" t="inlineStr">
        <is>
          <t>ゴールド</t>
        </is>
      </c>
      <c r="P82" s="7" t="inlineStr">
        <is>
          <t>通勤</t>
        </is>
      </c>
      <c r="Q82" s="7" t="n">
        <v>7000</v>
      </c>
      <c r="R82" s="7" t="inlineStr">
        <is>
          <t>30歳以上</t>
        </is>
      </c>
      <c r="S82" s="7" t="inlineStr">
        <is>
          <t>本配</t>
        </is>
      </c>
      <c r="T82" s="7" t="inlineStr">
        <is>
          <t>無制限</t>
        </is>
      </c>
      <c r="U82" s="7" t="inlineStr">
        <is>
          <t>なし</t>
        </is>
      </c>
      <c r="V82" s="7" t="n">
        <v>1000</v>
      </c>
      <c r="W82" s="7" t="inlineStr">
        <is>
          <t>車内外</t>
        </is>
      </c>
      <c r="X82" s="7" t="n">
        <v>3000</v>
      </c>
      <c r="Y82" s="7" t="inlineStr">
        <is>
          <t>一般</t>
        </is>
      </c>
      <c r="Z82" s="7" t="n">
        <v>110</v>
      </c>
      <c r="AA82" s="7" t="inlineStr">
        <is>
          <t>免責金額なし</t>
        </is>
      </c>
      <c r="AB82" s="7" t="inlineStr">
        <is>
          <t>なし</t>
        </is>
      </c>
      <c r="AC82" s="7" t="inlineStr">
        <is>
          <t>なし</t>
        </is>
      </c>
      <c r="AD82" s="7" t="inlineStr">
        <is>
          <t>なし</t>
        </is>
      </c>
      <c r="AE82" s="7" t="inlineStr">
        <is>
          <t>あり</t>
        </is>
      </c>
      <c r="AF82" s="7" t="inlineStr">
        <is>
          <t>なし</t>
        </is>
      </c>
      <c r="AG82" s="7" t="inlineStr">
        <is>
          <t>なし</t>
        </is>
      </c>
      <c r="AH82" s="7" t="inlineStr">
        <is>
          <t>なし</t>
        </is>
      </c>
      <c r="AI82" s="7"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2018(平成30)</t>
        </is>
      </c>
      <c r="AQ82" s="60" t="n">
        <v>11</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c r="BU82" s="60" t="n">
        <v>73000</v>
      </c>
      <c r="BV82" s="60" t="n">
        <v>34320</v>
      </c>
      <c r="BW82" s="60" t="n">
        <v>16000</v>
      </c>
      <c r="BX82" s="60" t="n">
        <v>13000</v>
      </c>
      <c r="BY82" s="60" t="n">
        <v>0</v>
      </c>
      <c r="BZ82" s="60" t="inlineStr"/>
      <c r="CA82" s="60" t="inlineStr"/>
    </row>
    <row r="83">
      <c r="A83" s="60" t="n">
        <v>2022</v>
      </c>
      <c r="B83" s="7" t="n">
        <v>12</v>
      </c>
      <c r="C83" s="7" t="n">
        <v>1</v>
      </c>
      <c r="D83" s="7" t="n">
        <v>10</v>
      </c>
      <c r="E83" s="7" t="inlineStr">
        <is>
          <t>なし</t>
        </is>
      </c>
      <c r="F83" s="7" t="inlineStr">
        <is>
          <t>30歳以上</t>
        </is>
      </c>
      <c r="G83" s="7" t="n">
        <v>2018</v>
      </c>
      <c r="H83" s="7" t="n">
        <v>11</v>
      </c>
      <c r="I83" s="7" t="inlineStr">
        <is>
          <t>DJ5FS</t>
        </is>
      </c>
      <c r="J83" s="7" t="inlineStr">
        <is>
          <t>なし</t>
        </is>
      </c>
      <c r="K83" s="7" t="n">
        <v>1972</v>
      </c>
      <c r="L83" s="15" t="n">
        <v>12</v>
      </c>
      <c r="M83" s="7" t="n">
        <v>1</v>
      </c>
      <c r="N83" s="7" t="inlineStr">
        <is>
          <t>関東</t>
        </is>
      </c>
      <c r="O83" s="7" t="inlineStr">
        <is>
          <t>ゴールド</t>
        </is>
      </c>
      <c r="P83" s="7" t="inlineStr">
        <is>
          <t>通勤</t>
        </is>
      </c>
      <c r="Q83" s="7" t="n">
        <v>7000</v>
      </c>
      <c r="R83" s="7" t="inlineStr">
        <is>
          <t>30歳以上</t>
        </is>
      </c>
      <c r="S83" s="7" t="inlineStr">
        <is>
          <t>本配</t>
        </is>
      </c>
      <c r="T83" s="7" t="inlineStr">
        <is>
          <t>無制限</t>
        </is>
      </c>
      <c r="U83" s="7" t="inlineStr">
        <is>
          <t>なし</t>
        </is>
      </c>
      <c r="V83" s="7" t="n">
        <v>1000</v>
      </c>
      <c r="W83" s="7" t="inlineStr">
        <is>
          <t>車内外</t>
        </is>
      </c>
      <c r="X83" s="7" t="n">
        <v>3000</v>
      </c>
      <c r="Y83" s="7" t="inlineStr">
        <is>
          <t>一般</t>
        </is>
      </c>
      <c r="Z83" s="7" t="n">
        <v>110</v>
      </c>
      <c r="AA83" s="7" t="inlineStr">
        <is>
          <t>免責金額なし</t>
        </is>
      </c>
      <c r="AB83" s="7" t="inlineStr">
        <is>
          <t>なし</t>
        </is>
      </c>
      <c r="AC83" s="7" t="inlineStr">
        <is>
          <t>なし</t>
        </is>
      </c>
      <c r="AD83" s="7" t="inlineStr">
        <is>
          <t>なし</t>
        </is>
      </c>
      <c r="AE83" s="7" t="inlineStr">
        <is>
          <t>あり</t>
        </is>
      </c>
      <c r="AF83" s="7" t="inlineStr">
        <is>
          <t>なし</t>
        </is>
      </c>
      <c r="AG83" s="7" t="inlineStr">
        <is>
          <t>なし</t>
        </is>
      </c>
      <c r="AH83" s="7" t="inlineStr">
        <is>
          <t>なし</t>
        </is>
      </c>
      <c r="AI83" s="7"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2018(平成30)</t>
        </is>
      </c>
      <c r="AQ83" s="60" t="n">
        <v>11</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c r="BU83" s="60" t="inlineStr">
        <is>
          <t>E</t>
        </is>
      </c>
      <c r="BV83"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3" s="60" t="n"/>
      <c r="BX83" s="60" t="n"/>
      <c r="BY83" s="60" t="n"/>
      <c r="BZ83" s="60" t="inlineStr"/>
      <c r="CA83" s="60" t="inlineStr"/>
    </row>
    <row r="84">
      <c r="A84" s="60" t="n">
        <v>2022</v>
      </c>
      <c r="B84" s="7" t="n">
        <v>12</v>
      </c>
      <c r="C84" s="7" t="n">
        <v>1</v>
      </c>
      <c r="D84" s="7" t="n">
        <v>10</v>
      </c>
      <c r="E84" s="7" t="inlineStr">
        <is>
          <t>なし</t>
        </is>
      </c>
      <c r="F84" s="7" t="inlineStr">
        <is>
          <t>30歳以上</t>
        </is>
      </c>
      <c r="G84" s="7" t="n">
        <v>2018</v>
      </c>
      <c r="H84" s="7" t="n">
        <v>11</v>
      </c>
      <c r="I84" s="7" t="inlineStr">
        <is>
          <t>DJ5FS</t>
        </is>
      </c>
      <c r="J84" s="7" t="inlineStr">
        <is>
          <t>なし</t>
        </is>
      </c>
      <c r="K84" s="7" t="n">
        <v>1962</v>
      </c>
      <c r="L84" s="15" t="n">
        <v>12</v>
      </c>
      <c r="M84" s="7" t="n">
        <v>1</v>
      </c>
      <c r="N84" s="7" t="inlineStr">
        <is>
          <t>関東</t>
        </is>
      </c>
      <c r="O84" s="7" t="inlineStr">
        <is>
          <t>ゴールド</t>
        </is>
      </c>
      <c r="P84" s="7" t="inlineStr">
        <is>
          <t>通勤</t>
        </is>
      </c>
      <c r="Q84" s="7" t="n">
        <v>7000</v>
      </c>
      <c r="R84" s="7" t="inlineStr">
        <is>
          <t>30歳以上</t>
        </is>
      </c>
      <c r="S84" s="7" t="inlineStr">
        <is>
          <t>本配</t>
        </is>
      </c>
      <c r="T84" s="7" t="inlineStr">
        <is>
          <t>無制限</t>
        </is>
      </c>
      <c r="U84" s="7" t="inlineStr">
        <is>
          <t>なし</t>
        </is>
      </c>
      <c r="V84" s="7" t="n">
        <v>1000</v>
      </c>
      <c r="W84" s="7" t="inlineStr">
        <is>
          <t>車内外</t>
        </is>
      </c>
      <c r="X84" s="7" t="n">
        <v>3000</v>
      </c>
      <c r="Y84" s="7" t="inlineStr">
        <is>
          <t>一般</t>
        </is>
      </c>
      <c r="Z84" s="7" t="n">
        <v>110</v>
      </c>
      <c r="AA84" s="7" t="inlineStr">
        <is>
          <t>免責金額なし</t>
        </is>
      </c>
      <c r="AB84" s="7" t="inlineStr">
        <is>
          <t>なし</t>
        </is>
      </c>
      <c r="AC84" s="7" t="inlineStr">
        <is>
          <t>なし</t>
        </is>
      </c>
      <c r="AD84" s="7" t="inlineStr">
        <is>
          <t>なし</t>
        </is>
      </c>
      <c r="AE84" s="7" t="inlineStr">
        <is>
          <t>あり</t>
        </is>
      </c>
      <c r="AF84" s="7" t="inlineStr">
        <is>
          <t>なし</t>
        </is>
      </c>
      <c r="AG84" s="7" t="inlineStr">
        <is>
          <t>なし</t>
        </is>
      </c>
      <c r="AH84" s="7" t="inlineStr">
        <is>
          <t>なし</t>
        </is>
      </c>
      <c r="AI84" s="7"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2018(平成30)</t>
        </is>
      </c>
      <c r="AQ84" s="60" t="n">
        <v>11</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c r="BU84" s="60" t="inlineStr">
        <is>
          <t>E</t>
        </is>
      </c>
      <c r="BV84"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4" s="60" t="n"/>
      <c r="BX84" s="60" t="n"/>
      <c r="BY84" s="60" t="n"/>
      <c r="BZ84" s="60" t="inlineStr"/>
      <c r="CA84" s="60" t="inlineStr"/>
    </row>
    <row r="85">
      <c r="A85" s="60" t="n">
        <v>2022</v>
      </c>
      <c r="B85" s="7" t="n">
        <v>12</v>
      </c>
      <c r="C85" s="7" t="n">
        <v>1</v>
      </c>
      <c r="D85" s="7" t="n">
        <v>10</v>
      </c>
      <c r="E85" s="7" t="inlineStr">
        <is>
          <t>なし</t>
        </is>
      </c>
      <c r="F85" s="7" t="inlineStr">
        <is>
          <t>30歳以上</t>
        </is>
      </c>
      <c r="G85" s="7" t="n">
        <v>2018</v>
      </c>
      <c r="H85" s="7" t="n">
        <v>11</v>
      </c>
      <c r="I85" s="7" t="inlineStr">
        <is>
          <t>DJ5FS</t>
        </is>
      </c>
      <c r="J85" s="7" t="inlineStr">
        <is>
          <t>なし</t>
        </is>
      </c>
      <c r="K85" s="7" t="n">
        <v>1952</v>
      </c>
      <c r="L85" s="15" t="n">
        <v>12</v>
      </c>
      <c r="M85" s="7" t="n">
        <v>1</v>
      </c>
      <c r="N85" s="7" t="inlineStr">
        <is>
          <t>関東</t>
        </is>
      </c>
      <c r="O85" s="7" t="inlineStr">
        <is>
          <t>ゴールド</t>
        </is>
      </c>
      <c r="P85" s="7" t="inlineStr">
        <is>
          <t>通勤</t>
        </is>
      </c>
      <c r="Q85" s="7" t="n">
        <v>7000</v>
      </c>
      <c r="R85" s="7" t="inlineStr">
        <is>
          <t>30歳以上</t>
        </is>
      </c>
      <c r="S85" s="7" t="inlineStr">
        <is>
          <t>本配</t>
        </is>
      </c>
      <c r="T85" s="7" t="inlineStr">
        <is>
          <t>無制限</t>
        </is>
      </c>
      <c r="U85" s="7" t="inlineStr">
        <is>
          <t>なし</t>
        </is>
      </c>
      <c r="V85" s="7" t="n">
        <v>1000</v>
      </c>
      <c r="W85" s="7" t="inlineStr">
        <is>
          <t>車内外</t>
        </is>
      </c>
      <c r="X85" s="7" t="n">
        <v>3000</v>
      </c>
      <c r="Y85" s="7" t="inlineStr">
        <is>
          <t>一般</t>
        </is>
      </c>
      <c r="Z85" s="7" t="n">
        <v>110</v>
      </c>
      <c r="AA85" s="7" t="inlineStr">
        <is>
          <t>免責金額なし</t>
        </is>
      </c>
      <c r="AB85" s="7" t="inlineStr">
        <is>
          <t>なし</t>
        </is>
      </c>
      <c r="AC85" s="7" t="inlineStr">
        <is>
          <t>なし</t>
        </is>
      </c>
      <c r="AD85" s="7" t="inlineStr">
        <is>
          <t>なし</t>
        </is>
      </c>
      <c r="AE85" s="7" t="inlineStr">
        <is>
          <t>あり</t>
        </is>
      </c>
      <c r="AF85" s="7" t="inlineStr">
        <is>
          <t>なし</t>
        </is>
      </c>
      <c r="AG85" s="7" t="inlineStr">
        <is>
          <t>なし</t>
        </is>
      </c>
      <c r="AH85" s="7" t="inlineStr">
        <is>
          <t>なし</t>
        </is>
      </c>
      <c r="AI85" s="7"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2018(平成30)</t>
        </is>
      </c>
      <c r="AQ85" s="60" t="n">
        <v>11</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c r="BU85" s="60" t="inlineStr">
        <is>
          <t>E</t>
        </is>
      </c>
      <c r="BV85"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5" s="60" t="n"/>
      <c r="BX85" s="60" t="n"/>
      <c r="BY85" s="60" t="n"/>
      <c r="BZ85" s="60" t="inlineStr"/>
      <c r="CA85" s="60" t="inlineStr"/>
    </row>
    <row r="86">
      <c r="A86" s="60" t="n">
        <v>2022</v>
      </c>
      <c r="B86" s="7" t="n">
        <v>12</v>
      </c>
      <c r="C86" s="7" t="n">
        <v>1</v>
      </c>
      <c r="D86" s="7" t="inlineStr">
        <is>
          <t>6S</t>
        </is>
      </c>
      <c r="E86" s="7" t="inlineStr">
        <is>
          <t>なし</t>
        </is>
      </c>
      <c r="F86" s="7" t="inlineStr">
        <is>
          <t>30歳以上</t>
        </is>
      </c>
      <c r="G86" s="7" t="n">
        <v>2018</v>
      </c>
      <c r="H86" s="7" t="n">
        <v>11</v>
      </c>
      <c r="I86" s="7" t="inlineStr">
        <is>
          <t>DJ5FS</t>
        </is>
      </c>
      <c r="J86" s="7" t="inlineStr">
        <is>
          <t>なし</t>
        </is>
      </c>
      <c r="K86" s="7" t="n">
        <v>1992</v>
      </c>
      <c r="L86" s="15" t="n">
        <v>12</v>
      </c>
      <c r="M86" s="7" t="n">
        <v>1</v>
      </c>
      <c r="N86" s="7" t="inlineStr">
        <is>
          <t>関東</t>
        </is>
      </c>
      <c r="O86" s="7" t="inlineStr">
        <is>
          <t>ゴールド</t>
        </is>
      </c>
      <c r="P86" s="7" t="inlineStr">
        <is>
          <t>日常</t>
        </is>
      </c>
      <c r="Q86" s="7" t="n">
        <v>3000</v>
      </c>
      <c r="R86" s="7" t="inlineStr">
        <is>
          <t>30歳以上</t>
        </is>
      </c>
      <c r="S86" s="7" t="inlineStr">
        <is>
          <t>本配</t>
        </is>
      </c>
      <c r="T86" s="7" t="inlineStr">
        <is>
          <t>無制限</t>
        </is>
      </c>
      <c r="U86" s="7" t="inlineStr">
        <is>
          <t>なし</t>
        </is>
      </c>
      <c r="V86" s="7" t="n">
        <v>1000</v>
      </c>
      <c r="W86" s="7" t="inlineStr">
        <is>
          <t>車内外</t>
        </is>
      </c>
      <c r="X86" s="7" t="n">
        <v>3000</v>
      </c>
      <c r="Y86" s="7" t="inlineStr">
        <is>
          <t>一般</t>
        </is>
      </c>
      <c r="Z86" s="7" t="n">
        <v>110</v>
      </c>
      <c r="AA86" s="7" t="inlineStr">
        <is>
          <t>免責金額なし</t>
        </is>
      </c>
      <c r="AB86" s="7" t="inlineStr">
        <is>
          <t>なし</t>
        </is>
      </c>
      <c r="AC86" s="7" t="inlineStr">
        <is>
          <t>なし</t>
        </is>
      </c>
      <c r="AD86" s="7" t="inlineStr">
        <is>
          <t>なし</t>
        </is>
      </c>
      <c r="AE86" s="7" t="inlineStr">
        <is>
          <t>あり</t>
        </is>
      </c>
      <c r="AF86" s="7" t="inlineStr">
        <is>
          <t>なし</t>
        </is>
      </c>
      <c r="AG86" s="7" t="inlineStr">
        <is>
          <t>なし</t>
        </is>
      </c>
      <c r="AH86" s="7" t="inlineStr">
        <is>
          <t>なし</t>
        </is>
      </c>
      <c r="AI86" s="7" t="inlineStr">
        <is>
          <t>なし</t>
        </is>
      </c>
      <c r="AJ86" s="60" t="inlineStr">
        <is>
          <t>2022(令和04)</t>
        </is>
      </c>
      <c r="AK86" s="60" t="n">
        <v>12</v>
      </c>
      <c r="AL86" s="60" t="n">
        <v>1</v>
      </c>
      <c r="AM86" s="60" t="inlineStr">
        <is>
          <t>6S</t>
        </is>
      </c>
      <c r="AN86" s="60" t="inlineStr">
        <is>
          <t>なし</t>
        </is>
      </c>
      <c r="AO86" s="60" t="inlineStr">
        <is>
          <t>35歳以上補償</t>
        </is>
      </c>
      <c r="AP86" s="60" t="inlineStr">
        <is>
          <t>2018(平成30)</t>
        </is>
      </c>
      <c r="AQ86" s="60" t="n">
        <v>11</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c r="BU86" s="60" t="inlineStr">
        <is>
          <t>E</t>
        </is>
      </c>
      <c r="BV86"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6" s="60" t="n"/>
      <c r="BX86" s="60" t="n"/>
      <c r="BY86" s="60" t="n"/>
      <c r="BZ86" s="60" t="inlineStr"/>
      <c r="CA86" s="60" t="inlineStr"/>
    </row>
    <row r="87">
      <c r="A87" s="60" t="n">
        <v>2022</v>
      </c>
      <c r="B87" s="7" t="n">
        <v>12</v>
      </c>
      <c r="C87" s="7" t="n">
        <v>1</v>
      </c>
      <c r="D87" s="7" t="inlineStr">
        <is>
          <t>6S</t>
        </is>
      </c>
      <c r="E87" s="7" t="inlineStr">
        <is>
          <t>なし</t>
        </is>
      </c>
      <c r="F87" s="7" t="inlineStr">
        <is>
          <t>30歳以上</t>
        </is>
      </c>
      <c r="G87" s="7" t="n">
        <v>2018</v>
      </c>
      <c r="H87" s="7" t="n">
        <v>11</v>
      </c>
      <c r="I87" s="7" t="inlineStr">
        <is>
          <t>DJ5FS</t>
        </is>
      </c>
      <c r="J87" s="7" t="inlineStr">
        <is>
          <t>なし</t>
        </is>
      </c>
      <c r="K87" s="7" t="n">
        <v>1987</v>
      </c>
      <c r="L87" s="15" t="n">
        <v>12</v>
      </c>
      <c r="M87" s="7" t="n">
        <v>1</v>
      </c>
      <c r="N87" s="7" t="inlineStr">
        <is>
          <t>関東</t>
        </is>
      </c>
      <c r="O87" s="7" t="inlineStr">
        <is>
          <t>ゴールド</t>
        </is>
      </c>
      <c r="P87" s="7" t="inlineStr">
        <is>
          <t>日常</t>
        </is>
      </c>
      <c r="Q87" s="7" t="n">
        <v>3000</v>
      </c>
      <c r="R87" s="7" t="inlineStr">
        <is>
          <t>30歳以上</t>
        </is>
      </c>
      <c r="S87" s="7" t="inlineStr">
        <is>
          <t>本配</t>
        </is>
      </c>
      <c r="T87" s="7" t="inlineStr">
        <is>
          <t>無制限</t>
        </is>
      </c>
      <c r="U87" s="7" t="inlineStr">
        <is>
          <t>なし</t>
        </is>
      </c>
      <c r="V87" s="7" t="n">
        <v>1000</v>
      </c>
      <c r="W87" s="7" t="inlineStr">
        <is>
          <t>車内外</t>
        </is>
      </c>
      <c r="X87" s="7" t="n">
        <v>3000</v>
      </c>
      <c r="Y87" s="7" t="inlineStr">
        <is>
          <t>一般</t>
        </is>
      </c>
      <c r="Z87" s="7" t="n">
        <v>110</v>
      </c>
      <c r="AA87" s="7" t="inlineStr">
        <is>
          <t>免責金額なし</t>
        </is>
      </c>
      <c r="AB87" s="7" t="inlineStr">
        <is>
          <t>なし</t>
        </is>
      </c>
      <c r="AC87" s="7" t="inlineStr">
        <is>
          <t>なし</t>
        </is>
      </c>
      <c r="AD87" s="7" t="inlineStr">
        <is>
          <t>なし</t>
        </is>
      </c>
      <c r="AE87" s="7" t="inlineStr">
        <is>
          <t>あり</t>
        </is>
      </c>
      <c r="AF87" s="7" t="inlineStr">
        <is>
          <t>なし</t>
        </is>
      </c>
      <c r="AG87" s="7" t="inlineStr">
        <is>
          <t>なし</t>
        </is>
      </c>
      <c r="AH87" s="7" t="inlineStr">
        <is>
          <t>なし</t>
        </is>
      </c>
      <c r="AI87" s="7" t="inlineStr">
        <is>
          <t>なし</t>
        </is>
      </c>
      <c r="AJ87" s="60" t="inlineStr">
        <is>
          <t>2022(令和04)</t>
        </is>
      </c>
      <c r="AK87" s="60" t="n">
        <v>12</v>
      </c>
      <c r="AL87" s="60" t="n">
        <v>1</v>
      </c>
      <c r="AM87" s="60" t="inlineStr">
        <is>
          <t>6S</t>
        </is>
      </c>
      <c r="AN87" s="60" t="inlineStr">
        <is>
          <t>なし</t>
        </is>
      </c>
      <c r="AO87" s="60" t="inlineStr">
        <is>
          <t>35歳以上補償</t>
        </is>
      </c>
      <c r="AP87" s="60" t="inlineStr">
        <is>
          <t>2018(平成30)</t>
        </is>
      </c>
      <c r="AQ87" s="60" t="n">
        <v>11</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c r="BU87" s="60" t="inlineStr">
        <is>
          <t>E</t>
        </is>
      </c>
      <c r="BV87"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7" s="60" t="n"/>
      <c r="BX87" s="60" t="n"/>
      <c r="BY87" s="60" t="n"/>
      <c r="BZ87" s="60" t="inlineStr"/>
      <c r="CA87" s="60" t="inlineStr"/>
    </row>
    <row r="88">
      <c r="A88" s="60" t="n">
        <v>2022</v>
      </c>
      <c r="B88" s="7" t="n">
        <v>12</v>
      </c>
      <c r="C88" s="7" t="n">
        <v>1</v>
      </c>
      <c r="D88" s="7" t="inlineStr">
        <is>
          <t>6S</t>
        </is>
      </c>
      <c r="E88" s="7" t="inlineStr">
        <is>
          <t>なし</t>
        </is>
      </c>
      <c r="F88" s="7" t="inlineStr">
        <is>
          <t>30歳以上</t>
        </is>
      </c>
      <c r="G88" s="7" t="n">
        <v>2018</v>
      </c>
      <c r="H88" s="7" t="n">
        <v>11</v>
      </c>
      <c r="I88" s="7" t="inlineStr">
        <is>
          <t>DJ5FS</t>
        </is>
      </c>
      <c r="J88" s="7" t="inlineStr">
        <is>
          <t>なし</t>
        </is>
      </c>
      <c r="K88" s="7" t="n">
        <v>1982</v>
      </c>
      <c r="L88" s="15" t="n">
        <v>12</v>
      </c>
      <c r="M88" s="7" t="n">
        <v>1</v>
      </c>
      <c r="N88" s="7" t="inlineStr">
        <is>
          <t>関東</t>
        </is>
      </c>
      <c r="O88" s="7" t="inlineStr">
        <is>
          <t>ゴールド</t>
        </is>
      </c>
      <c r="P88" s="7" t="inlineStr">
        <is>
          <t>日常</t>
        </is>
      </c>
      <c r="Q88" s="7" t="n">
        <v>3000</v>
      </c>
      <c r="R88" s="7" t="inlineStr">
        <is>
          <t>30歳以上</t>
        </is>
      </c>
      <c r="S88" s="7" t="inlineStr">
        <is>
          <t>本配</t>
        </is>
      </c>
      <c r="T88" s="7" t="inlineStr">
        <is>
          <t>無制限</t>
        </is>
      </c>
      <c r="U88" s="7" t="inlineStr">
        <is>
          <t>なし</t>
        </is>
      </c>
      <c r="V88" s="7" t="n">
        <v>1000</v>
      </c>
      <c r="W88" s="7" t="inlineStr">
        <is>
          <t>車内外</t>
        </is>
      </c>
      <c r="X88" s="7" t="n">
        <v>3000</v>
      </c>
      <c r="Y88" s="7" t="inlineStr">
        <is>
          <t>一般</t>
        </is>
      </c>
      <c r="Z88" s="7" t="n">
        <v>110</v>
      </c>
      <c r="AA88" s="7" t="inlineStr">
        <is>
          <t>免責金額なし</t>
        </is>
      </c>
      <c r="AB88" s="7" t="inlineStr">
        <is>
          <t>なし</t>
        </is>
      </c>
      <c r="AC88" s="7" t="inlineStr">
        <is>
          <t>なし</t>
        </is>
      </c>
      <c r="AD88" s="7" t="inlineStr">
        <is>
          <t>なし</t>
        </is>
      </c>
      <c r="AE88" s="7" t="inlineStr">
        <is>
          <t>あり</t>
        </is>
      </c>
      <c r="AF88" s="7" t="inlineStr">
        <is>
          <t>なし</t>
        </is>
      </c>
      <c r="AG88" s="7" t="inlineStr">
        <is>
          <t>なし</t>
        </is>
      </c>
      <c r="AH88" s="7" t="inlineStr">
        <is>
          <t>なし</t>
        </is>
      </c>
      <c r="AI88" s="7" t="inlineStr">
        <is>
          <t>なし</t>
        </is>
      </c>
      <c r="AJ88" s="60" t="inlineStr">
        <is>
          <t>2022(令和04)</t>
        </is>
      </c>
      <c r="AK88" s="60" t="n">
        <v>12</v>
      </c>
      <c r="AL88" s="60" t="n">
        <v>1</v>
      </c>
      <c r="AM88" s="60" t="inlineStr">
        <is>
          <t>6S</t>
        </is>
      </c>
      <c r="AN88" s="60" t="inlineStr">
        <is>
          <t>なし</t>
        </is>
      </c>
      <c r="AO88" s="60" t="inlineStr">
        <is>
          <t>35歳以上補償</t>
        </is>
      </c>
      <c r="AP88" s="60" t="inlineStr">
        <is>
          <t>2018(平成30)</t>
        </is>
      </c>
      <c r="AQ88" s="60" t="n">
        <v>11</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c r="BU88" s="60" t="inlineStr">
        <is>
          <t>E</t>
        </is>
      </c>
      <c r="BV88"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8" s="60" t="n"/>
      <c r="BX88" s="60" t="n"/>
      <c r="BY88" s="60" t="n"/>
      <c r="BZ88" s="60" t="inlineStr"/>
      <c r="CA88" s="60" t="inlineStr"/>
    </row>
    <row r="89">
      <c r="A89" s="60" t="n">
        <v>2022</v>
      </c>
      <c r="B89" s="7" t="n">
        <v>12</v>
      </c>
      <c r="C89" s="7" t="n">
        <v>1</v>
      </c>
      <c r="D89" s="7" t="inlineStr">
        <is>
          <t>6S</t>
        </is>
      </c>
      <c r="E89" s="7" t="inlineStr">
        <is>
          <t>なし</t>
        </is>
      </c>
      <c r="F89" s="7" t="inlineStr">
        <is>
          <t>30歳以上</t>
        </is>
      </c>
      <c r="G89" s="7" t="n">
        <v>2018</v>
      </c>
      <c r="H89" s="7" t="n">
        <v>11</v>
      </c>
      <c r="I89" s="7" t="inlineStr">
        <is>
          <t>DJ5FS</t>
        </is>
      </c>
      <c r="J89" s="7" t="inlineStr">
        <is>
          <t>なし</t>
        </is>
      </c>
      <c r="K89" s="7" t="n">
        <v>1977</v>
      </c>
      <c r="L89" s="15" t="n">
        <v>12</v>
      </c>
      <c r="M89" s="7" t="n">
        <v>1</v>
      </c>
      <c r="N89" s="7" t="inlineStr">
        <is>
          <t>関東</t>
        </is>
      </c>
      <c r="O89" s="7" t="inlineStr">
        <is>
          <t>ゴールド</t>
        </is>
      </c>
      <c r="P89" s="7" t="inlineStr">
        <is>
          <t>日常</t>
        </is>
      </c>
      <c r="Q89" s="7" t="n">
        <v>3000</v>
      </c>
      <c r="R89" s="7" t="inlineStr">
        <is>
          <t>30歳以上</t>
        </is>
      </c>
      <c r="S89" s="7" t="inlineStr">
        <is>
          <t>本配</t>
        </is>
      </c>
      <c r="T89" s="7" t="inlineStr">
        <is>
          <t>無制限</t>
        </is>
      </c>
      <c r="U89" s="7" t="inlineStr">
        <is>
          <t>なし</t>
        </is>
      </c>
      <c r="V89" s="7" t="n">
        <v>1000</v>
      </c>
      <c r="W89" s="7" t="inlineStr">
        <is>
          <t>車内外</t>
        </is>
      </c>
      <c r="X89" s="7" t="n">
        <v>3000</v>
      </c>
      <c r="Y89" s="7" t="inlineStr">
        <is>
          <t>一般</t>
        </is>
      </c>
      <c r="Z89" s="7" t="n">
        <v>110</v>
      </c>
      <c r="AA89" s="7" t="inlineStr">
        <is>
          <t>免責金額なし</t>
        </is>
      </c>
      <c r="AB89" s="7" t="inlineStr">
        <is>
          <t>なし</t>
        </is>
      </c>
      <c r="AC89" s="7" t="inlineStr">
        <is>
          <t>なし</t>
        </is>
      </c>
      <c r="AD89" s="7" t="inlineStr">
        <is>
          <t>なし</t>
        </is>
      </c>
      <c r="AE89" s="7" t="inlineStr">
        <is>
          <t>あり</t>
        </is>
      </c>
      <c r="AF89" s="7" t="inlineStr">
        <is>
          <t>なし</t>
        </is>
      </c>
      <c r="AG89" s="7" t="inlineStr">
        <is>
          <t>なし</t>
        </is>
      </c>
      <c r="AH89" s="7" t="inlineStr">
        <is>
          <t>なし</t>
        </is>
      </c>
      <c r="AI89" s="7" t="inlineStr">
        <is>
          <t>なし</t>
        </is>
      </c>
      <c r="AJ89" s="60" t="inlineStr">
        <is>
          <t>2022(令和04)</t>
        </is>
      </c>
      <c r="AK89" s="60" t="n">
        <v>12</v>
      </c>
      <c r="AL89" s="60" t="n">
        <v>1</v>
      </c>
      <c r="AM89" s="60" t="inlineStr">
        <is>
          <t>6S</t>
        </is>
      </c>
      <c r="AN89" s="60" t="inlineStr">
        <is>
          <t>なし</t>
        </is>
      </c>
      <c r="AO89" s="60" t="inlineStr">
        <is>
          <t>35歳以上補償</t>
        </is>
      </c>
      <c r="AP89" s="60" t="inlineStr">
        <is>
          <t>2018(平成30)</t>
        </is>
      </c>
      <c r="AQ89" s="60" t="n">
        <v>11</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c r="BU89" s="60" t="inlineStr">
        <is>
          <t>E</t>
        </is>
      </c>
      <c r="BV89"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9" s="60" t="n"/>
      <c r="BX89" s="60" t="n"/>
      <c r="BY89" s="60" t="n"/>
      <c r="BZ89" s="60" t="inlineStr"/>
      <c r="CA89" s="60" t="inlineStr"/>
    </row>
    <row r="90">
      <c r="A90" s="60" t="n">
        <v>2022</v>
      </c>
      <c r="B90" s="7" t="n">
        <v>12</v>
      </c>
      <c r="C90" s="7" t="n">
        <v>1</v>
      </c>
      <c r="D90" s="7" t="inlineStr">
        <is>
          <t>6S</t>
        </is>
      </c>
      <c r="E90" s="7" t="inlineStr">
        <is>
          <t>なし</t>
        </is>
      </c>
      <c r="F90" s="7" t="inlineStr">
        <is>
          <t>30歳以上</t>
        </is>
      </c>
      <c r="G90" s="7" t="n">
        <v>2018</v>
      </c>
      <c r="H90" s="7" t="n">
        <v>11</v>
      </c>
      <c r="I90" s="7" t="inlineStr">
        <is>
          <t>DJ5FS</t>
        </is>
      </c>
      <c r="J90" s="7" t="inlineStr">
        <is>
          <t>なし</t>
        </is>
      </c>
      <c r="K90" s="7" t="n">
        <v>1972</v>
      </c>
      <c r="L90" s="15" t="n">
        <v>12</v>
      </c>
      <c r="M90" s="7" t="n">
        <v>1</v>
      </c>
      <c r="N90" s="7" t="inlineStr">
        <is>
          <t>関東</t>
        </is>
      </c>
      <c r="O90" s="7" t="inlineStr">
        <is>
          <t>ゴールド</t>
        </is>
      </c>
      <c r="P90" s="7" t="inlineStr">
        <is>
          <t>日常</t>
        </is>
      </c>
      <c r="Q90" s="7" t="n">
        <v>3000</v>
      </c>
      <c r="R90" s="7" t="inlineStr">
        <is>
          <t>30歳以上</t>
        </is>
      </c>
      <c r="S90" s="7" t="inlineStr">
        <is>
          <t>本配</t>
        </is>
      </c>
      <c r="T90" s="7" t="inlineStr">
        <is>
          <t>無制限</t>
        </is>
      </c>
      <c r="U90" s="7" t="inlineStr">
        <is>
          <t>なし</t>
        </is>
      </c>
      <c r="V90" s="7" t="n">
        <v>1000</v>
      </c>
      <c r="W90" s="7" t="inlineStr">
        <is>
          <t>車内外</t>
        </is>
      </c>
      <c r="X90" s="7" t="n">
        <v>3000</v>
      </c>
      <c r="Y90" s="7" t="inlineStr">
        <is>
          <t>一般</t>
        </is>
      </c>
      <c r="Z90" s="7" t="n">
        <v>110</v>
      </c>
      <c r="AA90" s="7" t="inlineStr">
        <is>
          <t>免責金額なし</t>
        </is>
      </c>
      <c r="AB90" s="7" t="inlineStr">
        <is>
          <t>なし</t>
        </is>
      </c>
      <c r="AC90" s="7" t="inlineStr">
        <is>
          <t>なし</t>
        </is>
      </c>
      <c r="AD90" s="7" t="inlineStr">
        <is>
          <t>なし</t>
        </is>
      </c>
      <c r="AE90" s="7" t="inlineStr">
        <is>
          <t>あり</t>
        </is>
      </c>
      <c r="AF90" s="7" t="inlineStr">
        <is>
          <t>なし</t>
        </is>
      </c>
      <c r="AG90" s="7" t="inlineStr">
        <is>
          <t>なし</t>
        </is>
      </c>
      <c r="AH90" s="7" t="inlineStr">
        <is>
          <t>なし</t>
        </is>
      </c>
      <c r="AI90" s="7" t="inlineStr">
        <is>
          <t>なし</t>
        </is>
      </c>
      <c r="AJ90" s="60" t="inlineStr">
        <is>
          <t>2022(令和04)</t>
        </is>
      </c>
      <c r="AK90" s="60" t="n">
        <v>12</v>
      </c>
      <c r="AL90" s="60" t="n">
        <v>1</v>
      </c>
      <c r="AM90" s="60" t="inlineStr">
        <is>
          <t>6S</t>
        </is>
      </c>
      <c r="AN90" s="60" t="inlineStr">
        <is>
          <t>なし</t>
        </is>
      </c>
      <c r="AO90" s="60" t="inlineStr">
        <is>
          <t>35歳以上補償</t>
        </is>
      </c>
      <c r="AP90" s="60" t="inlineStr">
        <is>
          <t>2018(平成30)</t>
        </is>
      </c>
      <c r="AQ90" s="60" t="n">
        <v>11</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c r="BU90" s="60" t="inlineStr">
        <is>
          <t>打鍵中</t>
        </is>
      </c>
    </row>
    <row r="91">
      <c r="A91" s="60" t="n">
        <v>2022</v>
      </c>
      <c r="B91" s="7" t="n">
        <v>12</v>
      </c>
      <c r="C91" s="7" t="n">
        <v>1</v>
      </c>
      <c r="D91" s="7" t="inlineStr">
        <is>
          <t>6S</t>
        </is>
      </c>
      <c r="E91" s="7" t="inlineStr">
        <is>
          <t>なし</t>
        </is>
      </c>
      <c r="F91" s="7" t="inlineStr">
        <is>
          <t>30歳以上</t>
        </is>
      </c>
      <c r="G91" s="7" t="n">
        <v>2018</v>
      </c>
      <c r="H91" s="7" t="n">
        <v>11</v>
      </c>
      <c r="I91" s="7" t="inlineStr">
        <is>
          <t>DJ5FS</t>
        </is>
      </c>
      <c r="J91" s="7" t="inlineStr">
        <is>
          <t>なし</t>
        </is>
      </c>
      <c r="K91" s="7" t="n">
        <v>1962</v>
      </c>
      <c r="L91" s="15" t="n">
        <v>12</v>
      </c>
      <c r="M91" s="7" t="n">
        <v>1</v>
      </c>
      <c r="N91" s="7" t="inlineStr">
        <is>
          <t>関東</t>
        </is>
      </c>
      <c r="O91" s="7" t="inlineStr">
        <is>
          <t>ゴールド</t>
        </is>
      </c>
      <c r="P91" s="7" t="inlineStr">
        <is>
          <t>日常</t>
        </is>
      </c>
      <c r="Q91" s="7" t="n">
        <v>3000</v>
      </c>
      <c r="R91" s="7" t="inlineStr">
        <is>
          <t>30歳以上</t>
        </is>
      </c>
      <c r="S91" s="7" t="inlineStr">
        <is>
          <t>本配</t>
        </is>
      </c>
      <c r="T91" s="7" t="inlineStr">
        <is>
          <t>無制限</t>
        </is>
      </c>
      <c r="U91" s="7" t="inlineStr">
        <is>
          <t>なし</t>
        </is>
      </c>
      <c r="V91" s="7" t="n">
        <v>1000</v>
      </c>
      <c r="W91" s="7" t="inlineStr">
        <is>
          <t>車内外</t>
        </is>
      </c>
      <c r="X91" s="7" t="n">
        <v>3000</v>
      </c>
      <c r="Y91" s="7" t="inlineStr">
        <is>
          <t>一般</t>
        </is>
      </c>
      <c r="Z91" s="7" t="n">
        <v>110</v>
      </c>
      <c r="AA91" s="7" t="inlineStr">
        <is>
          <t>免責金額なし</t>
        </is>
      </c>
      <c r="AB91" s="7" t="inlineStr">
        <is>
          <t>なし</t>
        </is>
      </c>
      <c r="AC91" s="7" t="inlineStr">
        <is>
          <t>なし</t>
        </is>
      </c>
      <c r="AD91" s="7" t="inlineStr">
        <is>
          <t>なし</t>
        </is>
      </c>
      <c r="AE91" s="7" t="inlineStr">
        <is>
          <t>あり</t>
        </is>
      </c>
      <c r="AF91" s="7" t="inlineStr">
        <is>
          <t>なし</t>
        </is>
      </c>
      <c r="AG91" s="7" t="inlineStr">
        <is>
          <t>なし</t>
        </is>
      </c>
      <c r="AH91" s="7" t="inlineStr">
        <is>
          <t>なし</t>
        </is>
      </c>
      <c r="AI91" s="7" t="inlineStr">
        <is>
          <t>なし</t>
        </is>
      </c>
      <c r="AJ91" s="60" t="inlineStr">
        <is>
          <t>2022(令和04)</t>
        </is>
      </c>
      <c r="AK91" s="60" t="n">
        <v>12</v>
      </c>
      <c r="AL91" s="60" t="n">
        <v>1</v>
      </c>
      <c r="AM91" s="60" t="inlineStr">
        <is>
          <t>6S</t>
        </is>
      </c>
      <c r="AN91" s="60" t="inlineStr">
        <is>
          <t>なし</t>
        </is>
      </c>
      <c r="AO91" s="60" t="inlineStr">
        <is>
          <t>35歳以上補償</t>
        </is>
      </c>
      <c r="AP91" s="60" t="inlineStr">
        <is>
          <t>2018(平成30)</t>
        </is>
      </c>
      <c r="AQ91" s="60" t="n">
        <v>11</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c r="BU91" s="60" t="inlineStr">
        <is>
          <t>打鍵中</t>
        </is>
      </c>
    </row>
    <row r="92">
      <c r="A92" s="60" t="n">
        <v>2022</v>
      </c>
      <c r="B92" s="7" t="n">
        <v>12</v>
      </c>
      <c r="C92" s="7" t="n">
        <v>1</v>
      </c>
      <c r="D92" s="7" t="inlineStr">
        <is>
          <t>6S</t>
        </is>
      </c>
      <c r="E92" s="7" t="inlineStr">
        <is>
          <t>なし</t>
        </is>
      </c>
      <c r="F92" s="7" t="inlineStr">
        <is>
          <t>30歳以上</t>
        </is>
      </c>
      <c r="G92" s="7" t="n">
        <v>2018</v>
      </c>
      <c r="H92" s="7" t="n">
        <v>11</v>
      </c>
      <c r="I92" s="7" t="inlineStr">
        <is>
          <t>DJ5FS</t>
        </is>
      </c>
      <c r="J92" s="7" t="inlineStr">
        <is>
          <t>なし</t>
        </is>
      </c>
      <c r="K92" s="7" t="n">
        <v>1952</v>
      </c>
      <c r="L92" s="15" t="n">
        <v>12</v>
      </c>
      <c r="M92" s="7" t="n">
        <v>1</v>
      </c>
      <c r="N92" s="7" t="inlineStr">
        <is>
          <t>関東</t>
        </is>
      </c>
      <c r="O92" s="7" t="inlineStr">
        <is>
          <t>ゴールド</t>
        </is>
      </c>
      <c r="P92" s="7" t="inlineStr">
        <is>
          <t>日常</t>
        </is>
      </c>
      <c r="Q92" s="7" t="n">
        <v>3000</v>
      </c>
      <c r="R92" s="7" t="inlineStr">
        <is>
          <t>30歳以上</t>
        </is>
      </c>
      <c r="S92" s="7" t="inlineStr">
        <is>
          <t>本配</t>
        </is>
      </c>
      <c r="T92" s="7" t="inlineStr">
        <is>
          <t>無制限</t>
        </is>
      </c>
      <c r="U92" s="7" t="inlineStr">
        <is>
          <t>なし</t>
        </is>
      </c>
      <c r="V92" s="7" t="n">
        <v>1000</v>
      </c>
      <c r="W92" s="7" t="inlineStr">
        <is>
          <t>車内外</t>
        </is>
      </c>
      <c r="X92" s="7" t="n">
        <v>3000</v>
      </c>
      <c r="Y92" s="7" t="inlineStr">
        <is>
          <t>一般</t>
        </is>
      </c>
      <c r="Z92" s="7" t="n">
        <v>110</v>
      </c>
      <c r="AA92" s="7" t="inlineStr">
        <is>
          <t>免責金額なし</t>
        </is>
      </c>
      <c r="AB92" s="7" t="inlineStr">
        <is>
          <t>なし</t>
        </is>
      </c>
      <c r="AC92" s="7" t="inlineStr">
        <is>
          <t>なし</t>
        </is>
      </c>
      <c r="AD92" s="7" t="inlineStr">
        <is>
          <t>なし</t>
        </is>
      </c>
      <c r="AE92" s="7" t="inlineStr">
        <is>
          <t>あり</t>
        </is>
      </c>
      <c r="AF92" s="7" t="inlineStr">
        <is>
          <t>なし</t>
        </is>
      </c>
      <c r="AG92" s="7" t="inlineStr">
        <is>
          <t>なし</t>
        </is>
      </c>
      <c r="AH92" s="7" t="inlineStr">
        <is>
          <t>なし</t>
        </is>
      </c>
      <c r="AI92" s="7" t="inlineStr">
        <is>
          <t>なし</t>
        </is>
      </c>
      <c r="AJ92" s="60" t="inlineStr">
        <is>
          <t>2022(令和04)</t>
        </is>
      </c>
      <c r="AK92" s="60" t="n">
        <v>12</v>
      </c>
      <c r="AL92" s="60" t="n">
        <v>1</v>
      </c>
      <c r="AM92" s="60" t="inlineStr">
        <is>
          <t>6S</t>
        </is>
      </c>
      <c r="AN92" s="60" t="inlineStr">
        <is>
          <t>なし</t>
        </is>
      </c>
      <c r="AO92" s="60" t="inlineStr">
        <is>
          <t>35歳以上補償</t>
        </is>
      </c>
      <c r="AP92" s="60" t="inlineStr">
        <is>
          <t>2018(平成30)</t>
        </is>
      </c>
      <c r="AQ92" s="60" t="n">
        <v>11</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c r="BU92" s="60" t="inlineStr">
        <is>
          <t>打鍵中</t>
        </is>
      </c>
    </row>
    <row r="93">
      <c r="A93" s="60" t="n">
        <v>2022</v>
      </c>
      <c r="B93" s="7" t="n">
        <v>12</v>
      </c>
      <c r="C93" s="7" t="n">
        <v>1</v>
      </c>
      <c r="D93" s="7" t="inlineStr">
        <is>
          <t>6S</t>
        </is>
      </c>
      <c r="E93" s="7" t="inlineStr">
        <is>
          <t>なし</t>
        </is>
      </c>
      <c r="F93" s="7" t="inlineStr">
        <is>
          <t>30歳以上</t>
        </is>
      </c>
      <c r="G93" s="7" t="n">
        <v>2018</v>
      </c>
      <c r="H93" s="7" t="n">
        <v>11</v>
      </c>
      <c r="I93" s="7" t="inlineStr">
        <is>
          <t>DJ5FS</t>
        </is>
      </c>
      <c r="J93" s="7" t="inlineStr">
        <is>
          <t>なし</t>
        </is>
      </c>
      <c r="K93" s="7" t="n">
        <v>1992</v>
      </c>
      <c r="L93" s="15" t="n">
        <v>12</v>
      </c>
      <c r="M93" s="7" t="n">
        <v>1</v>
      </c>
      <c r="N93" s="7" t="inlineStr">
        <is>
          <t>関東</t>
        </is>
      </c>
      <c r="O93" s="7" t="inlineStr">
        <is>
          <t>ゴールド</t>
        </is>
      </c>
      <c r="P93" s="7" t="inlineStr">
        <is>
          <t>日常</t>
        </is>
      </c>
      <c r="Q93" s="7" t="n">
        <v>7000</v>
      </c>
      <c r="R93" s="7" t="inlineStr">
        <is>
          <t>30歳以上</t>
        </is>
      </c>
      <c r="S93" s="7" t="inlineStr">
        <is>
          <t>本配</t>
        </is>
      </c>
      <c r="T93" s="7" t="inlineStr">
        <is>
          <t>無制限</t>
        </is>
      </c>
      <c r="U93" s="7" t="inlineStr">
        <is>
          <t>なし</t>
        </is>
      </c>
      <c r="V93" s="7" t="n">
        <v>1000</v>
      </c>
      <c r="W93" s="7" t="inlineStr">
        <is>
          <t>車内外</t>
        </is>
      </c>
      <c r="X93" s="7" t="n">
        <v>3000</v>
      </c>
      <c r="Y93" s="7" t="inlineStr">
        <is>
          <t>一般</t>
        </is>
      </c>
      <c r="Z93" s="7" t="n">
        <v>110</v>
      </c>
      <c r="AA93" s="7" t="inlineStr">
        <is>
          <t>免責金額なし</t>
        </is>
      </c>
      <c r="AB93" s="7" t="inlineStr">
        <is>
          <t>なし</t>
        </is>
      </c>
      <c r="AC93" s="7" t="inlineStr">
        <is>
          <t>なし</t>
        </is>
      </c>
      <c r="AD93" s="7" t="inlineStr">
        <is>
          <t>なし</t>
        </is>
      </c>
      <c r="AE93" s="7" t="inlineStr">
        <is>
          <t>あり</t>
        </is>
      </c>
      <c r="AF93" s="7" t="inlineStr">
        <is>
          <t>なし</t>
        </is>
      </c>
      <c r="AG93" s="7" t="inlineStr">
        <is>
          <t>なし</t>
        </is>
      </c>
      <c r="AH93" s="7" t="inlineStr">
        <is>
          <t>なし</t>
        </is>
      </c>
      <c r="AI93" s="7" t="inlineStr">
        <is>
          <t>なし</t>
        </is>
      </c>
      <c r="AJ93" s="60" t="inlineStr">
        <is>
          <t>2022(令和04)</t>
        </is>
      </c>
      <c r="AK93" s="60" t="n">
        <v>12</v>
      </c>
      <c r="AL93" s="60" t="n">
        <v>1</v>
      </c>
      <c r="AM93" s="60" t="inlineStr">
        <is>
          <t>6S</t>
        </is>
      </c>
      <c r="AN93" s="60" t="inlineStr">
        <is>
          <t>なし</t>
        </is>
      </c>
      <c r="AO93" s="60" t="inlineStr">
        <is>
          <t>35歳以上補償</t>
        </is>
      </c>
      <c r="AP93" s="60" t="inlineStr">
        <is>
          <t>2018(平成30)</t>
        </is>
      </c>
      <c r="AQ93" s="60" t="n">
        <v>11</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c r="BU93" s="60" t="inlineStr">
        <is>
          <t>打鍵中</t>
        </is>
      </c>
    </row>
    <row r="94">
      <c r="A94" s="60" t="n">
        <v>2022</v>
      </c>
      <c r="B94" s="7" t="n">
        <v>12</v>
      </c>
      <c r="C94" s="7" t="n">
        <v>1</v>
      </c>
      <c r="D94" s="7" t="inlineStr">
        <is>
          <t>6S</t>
        </is>
      </c>
      <c r="E94" s="7" t="inlineStr">
        <is>
          <t>なし</t>
        </is>
      </c>
      <c r="F94" s="7" t="inlineStr">
        <is>
          <t>30歳以上</t>
        </is>
      </c>
      <c r="G94" s="7" t="n">
        <v>2018</v>
      </c>
      <c r="H94" s="7" t="n">
        <v>11</v>
      </c>
      <c r="I94" s="7" t="inlineStr">
        <is>
          <t>DJ5FS</t>
        </is>
      </c>
      <c r="J94" s="7" t="inlineStr">
        <is>
          <t>なし</t>
        </is>
      </c>
      <c r="K94" s="7" t="n">
        <v>1987</v>
      </c>
      <c r="L94" s="15" t="n">
        <v>12</v>
      </c>
      <c r="M94" s="7" t="n">
        <v>1</v>
      </c>
      <c r="N94" s="7" t="inlineStr">
        <is>
          <t>関東</t>
        </is>
      </c>
      <c r="O94" s="7" t="inlineStr">
        <is>
          <t>ゴールド</t>
        </is>
      </c>
      <c r="P94" s="7" t="inlineStr">
        <is>
          <t>日常</t>
        </is>
      </c>
      <c r="Q94" s="7" t="n">
        <v>7000</v>
      </c>
      <c r="R94" s="7" t="inlineStr">
        <is>
          <t>30歳以上</t>
        </is>
      </c>
      <c r="S94" s="7" t="inlineStr">
        <is>
          <t>本配</t>
        </is>
      </c>
      <c r="T94" s="7" t="inlineStr">
        <is>
          <t>無制限</t>
        </is>
      </c>
      <c r="U94" s="7" t="inlineStr">
        <is>
          <t>なし</t>
        </is>
      </c>
      <c r="V94" s="7" t="n">
        <v>1000</v>
      </c>
      <c r="W94" s="7" t="inlineStr">
        <is>
          <t>車内外</t>
        </is>
      </c>
      <c r="X94" s="7" t="n">
        <v>3000</v>
      </c>
      <c r="Y94" s="7" t="inlineStr">
        <is>
          <t>一般</t>
        </is>
      </c>
      <c r="Z94" s="7" t="n">
        <v>110</v>
      </c>
      <c r="AA94" s="7" t="inlineStr">
        <is>
          <t>免責金額なし</t>
        </is>
      </c>
      <c r="AB94" s="7" t="inlineStr">
        <is>
          <t>なし</t>
        </is>
      </c>
      <c r="AC94" s="7" t="inlineStr">
        <is>
          <t>なし</t>
        </is>
      </c>
      <c r="AD94" s="7" t="inlineStr">
        <is>
          <t>なし</t>
        </is>
      </c>
      <c r="AE94" s="7" t="inlineStr">
        <is>
          <t>あり</t>
        </is>
      </c>
      <c r="AF94" s="7" t="inlineStr">
        <is>
          <t>なし</t>
        </is>
      </c>
      <c r="AG94" s="7" t="inlineStr">
        <is>
          <t>なし</t>
        </is>
      </c>
      <c r="AH94" s="7" t="inlineStr">
        <is>
          <t>なし</t>
        </is>
      </c>
      <c r="AI94" s="7" t="inlineStr">
        <is>
          <t>なし</t>
        </is>
      </c>
      <c r="AJ94" s="60" t="inlineStr">
        <is>
          <t>2022(令和04)</t>
        </is>
      </c>
      <c r="AK94" s="60" t="n">
        <v>12</v>
      </c>
      <c r="AL94" s="60" t="n">
        <v>1</v>
      </c>
      <c r="AM94" s="60" t="inlineStr">
        <is>
          <t>6S</t>
        </is>
      </c>
      <c r="AN94" s="60" t="inlineStr">
        <is>
          <t>なし</t>
        </is>
      </c>
      <c r="AO94" s="60" t="inlineStr">
        <is>
          <t>35歳以上補償</t>
        </is>
      </c>
      <c r="AP94" s="60" t="inlineStr">
        <is>
          <t>2018(平成30)</t>
        </is>
      </c>
      <c r="AQ94" s="60" t="n">
        <v>11</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c r="BU94" s="60" t="inlineStr">
        <is>
          <t>打鍵中</t>
        </is>
      </c>
    </row>
    <row r="95">
      <c r="A95" s="60" t="n">
        <v>2022</v>
      </c>
      <c r="B95" s="7" t="n">
        <v>12</v>
      </c>
      <c r="C95" s="7" t="n">
        <v>1</v>
      </c>
      <c r="D95" s="7" t="inlineStr">
        <is>
          <t>6S</t>
        </is>
      </c>
      <c r="E95" s="7" t="inlineStr">
        <is>
          <t>なし</t>
        </is>
      </c>
      <c r="F95" s="7" t="inlineStr">
        <is>
          <t>30歳以上</t>
        </is>
      </c>
      <c r="G95" s="7" t="n">
        <v>2018</v>
      </c>
      <c r="H95" s="7" t="n">
        <v>11</v>
      </c>
      <c r="I95" s="7" t="inlineStr">
        <is>
          <t>DJ5FS</t>
        </is>
      </c>
      <c r="J95" s="7" t="inlineStr">
        <is>
          <t>なし</t>
        </is>
      </c>
      <c r="K95" s="7" t="n">
        <v>1982</v>
      </c>
      <c r="L95" s="15" t="n">
        <v>12</v>
      </c>
      <c r="M95" s="7" t="n">
        <v>1</v>
      </c>
      <c r="N95" s="7" t="inlineStr">
        <is>
          <t>関東</t>
        </is>
      </c>
      <c r="O95" s="7" t="inlineStr">
        <is>
          <t>ゴールド</t>
        </is>
      </c>
      <c r="P95" s="7" t="inlineStr">
        <is>
          <t>日常</t>
        </is>
      </c>
      <c r="Q95" s="7" t="n">
        <v>7000</v>
      </c>
      <c r="R95" s="7" t="inlineStr">
        <is>
          <t>30歳以上</t>
        </is>
      </c>
      <c r="S95" s="7" t="inlineStr">
        <is>
          <t>本配</t>
        </is>
      </c>
      <c r="T95" s="7" t="inlineStr">
        <is>
          <t>無制限</t>
        </is>
      </c>
      <c r="U95" s="7" t="inlineStr">
        <is>
          <t>なし</t>
        </is>
      </c>
      <c r="V95" s="7" t="n">
        <v>1000</v>
      </c>
      <c r="W95" s="7" t="inlineStr">
        <is>
          <t>車内外</t>
        </is>
      </c>
      <c r="X95" s="7" t="n">
        <v>3000</v>
      </c>
      <c r="Y95" s="7" t="inlineStr">
        <is>
          <t>一般</t>
        </is>
      </c>
      <c r="Z95" s="7" t="n">
        <v>110</v>
      </c>
      <c r="AA95" s="7" t="inlineStr">
        <is>
          <t>免責金額なし</t>
        </is>
      </c>
      <c r="AB95" s="7" t="inlineStr">
        <is>
          <t>なし</t>
        </is>
      </c>
      <c r="AC95" s="7" t="inlineStr">
        <is>
          <t>なし</t>
        </is>
      </c>
      <c r="AD95" s="7" t="inlineStr">
        <is>
          <t>なし</t>
        </is>
      </c>
      <c r="AE95" s="7" t="inlineStr">
        <is>
          <t>あり</t>
        </is>
      </c>
      <c r="AF95" s="7" t="inlineStr">
        <is>
          <t>なし</t>
        </is>
      </c>
      <c r="AG95" s="7" t="inlineStr">
        <is>
          <t>なし</t>
        </is>
      </c>
      <c r="AH95" s="7" t="inlineStr">
        <is>
          <t>なし</t>
        </is>
      </c>
      <c r="AI95" s="7" t="inlineStr">
        <is>
          <t>なし</t>
        </is>
      </c>
      <c r="AJ95" s="60" t="inlineStr">
        <is>
          <t>2022(令和04)</t>
        </is>
      </c>
      <c r="AK95" s="60" t="n">
        <v>12</v>
      </c>
      <c r="AL95" s="60" t="n">
        <v>1</v>
      </c>
      <c r="AM95" s="60" t="inlineStr">
        <is>
          <t>6S</t>
        </is>
      </c>
      <c r="AN95" s="60" t="inlineStr">
        <is>
          <t>なし</t>
        </is>
      </c>
      <c r="AO95" s="60" t="inlineStr">
        <is>
          <t>35歳以上補償</t>
        </is>
      </c>
      <c r="AP95" s="60" t="inlineStr">
        <is>
          <t>2018(平成30)</t>
        </is>
      </c>
      <c r="AQ95" s="60" t="n">
        <v>11</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c r="BU95" s="60" t="n">
        <v>50540</v>
      </c>
      <c r="BV95" s="60" t="n">
        <v>30200</v>
      </c>
      <c r="BW95" s="60" t="n">
        <v>16000</v>
      </c>
      <c r="BX95" s="60" t="n">
        <v>10000</v>
      </c>
      <c r="BY95" s="60" t="n">
        <v>0</v>
      </c>
      <c r="BZ95" s="60" t="inlineStr">
        <is>
          <t>車両免責エラー</t>
        </is>
      </c>
      <c r="CA95" s="60" t="inlineStr"/>
    </row>
    <row r="96">
      <c r="A96" s="60" t="n">
        <v>2022</v>
      </c>
      <c r="B96" s="7" t="n">
        <v>12</v>
      </c>
      <c r="C96" s="7" t="n">
        <v>1</v>
      </c>
      <c r="D96" s="7" t="inlineStr">
        <is>
          <t>6S</t>
        </is>
      </c>
      <c r="E96" s="7" t="inlineStr">
        <is>
          <t>なし</t>
        </is>
      </c>
      <c r="F96" s="7" t="inlineStr">
        <is>
          <t>30歳以上</t>
        </is>
      </c>
      <c r="G96" s="7" t="n">
        <v>2018</v>
      </c>
      <c r="H96" s="7" t="n">
        <v>11</v>
      </c>
      <c r="I96" s="7" t="inlineStr">
        <is>
          <t>DJ5FS</t>
        </is>
      </c>
      <c r="J96" s="7" t="inlineStr">
        <is>
          <t>なし</t>
        </is>
      </c>
      <c r="K96" s="7" t="n">
        <v>1977</v>
      </c>
      <c r="L96" s="15" t="n">
        <v>12</v>
      </c>
      <c r="M96" s="7" t="n">
        <v>1</v>
      </c>
      <c r="N96" s="7" t="inlineStr">
        <is>
          <t>関東</t>
        </is>
      </c>
      <c r="O96" s="7" t="inlineStr">
        <is>
          <t>ゴールド</t>
        </is>
      </c>
      <c r="P96" s="7" t="inlineStr">
        <is>
          <t>日常</t>
        </is>
      </c>
      <c r="Q96" s="7" t="n">
        <v>7000</v>
      </c>
      <c r="R96" s="7" t="inlineStr">
        <is>
          <t>30歳以上</t>
        </is>
      </c>
      <c r="S96" s="7" t="inlineStr">
        <is>
          <t>本配</t>
        </is>
      </c>
      <c r="T96" s="7" t="inlineStr">
        <is>
          <t>無制限</t>
        </is>
      </c>
      <c r="U96" s="7" t="inlineStr">
        <is>
          <t>なし</t>
        </is>
      </c>
      <c r="V96" s="7" t="n">
        <v>1000</v>
      </c>
      <c r="W96" s="7" t="inlineStr">
        <is>
          <t>車内外</t>
        </is>
      </c>
      <c r="X96" s="7" t="n">
        <v>3000</v>
      </c>
      <c r="Y96" s="7" t="inlineStr">
        <is>
          <t>一般</t>
        </is>
      </c>
      <c r="Z96" s="7" t="n">
        <v>110</v>
      </c>
      <c r="AA96" s="7" t="inlineStr">
        <is>
          <t>免責金額なし</t>
        </is>
      </c>
      <c r="AB96" s="7" t="inlineStr">
        <is>
          <t>なし</t>
        </is>
      </c>
      <c r="AC96" s="7" t="inlineStr">
        <is>
          <t>なし</t>
        </is>
      </c>
      <c r="AD96" s="7" t="inlineStr">
        <is>
          <t>なし</t>
        </is>
      </c>
      <c r="AE96" s="7" t="inlineStr">
        <is>
          <t>あり</t>
        </is>
      </c>
      <c r="AF96" s="7" t="inlineStr">
        <is>
          <t>なし</t>
        </is>
      </c>
      <c r="AG96" s="7" t="inlineStr">
        <is>
          <t>なし</t>
        </is>
      </c>
      <c r="AH96" s="7" t="inlineStr">
        <is>
          <t>なし</t>
        </is>
      </c>
      <c r="AI96" s="7" t="inlineStr">
        <is>
          <t>なし</t>
        </is>
      </c>
      <c r="AJ96" s="60" t="inlineStr">
        <is>
          <t>2022(令和04)</t>
        </is>
      </c>
      <c r="AK96" s="60" t="n">
        <v>12</v>
      </c>
      <c r="AL96" s="60" t="n">
        <v>1</v>
      </c>
      <c r="AM96" s="60" t="inlineStr">
        <is>
          <t>6S</t>
        </is>
      </c>
      <c r="AN96" s="60" t="inlineStr">
        <is>
          <t>なし</t>
        </is>
      </c>
      <c r="AO96" s="60" t="inlineStr">
        <is>
          <t>35歳以上補償</t>
        </is>
      </c>
      <c r="AP96" s="60" t="inlineStr">
        <is>
          <t>2018(平成30)</t>
        </is>
      </c>
      <c r="AQ96" s="60" t="n">
        <v>11</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c r="BU96" s="60" t="n">
        <v>51680</v>
      </c>
      <c r="BV96" s="60" t="n">
        <v>30310</v>
      </c>
      <c r="BW96" s="60" t="n">
        <v>16000</v>
      </c>
      <c r="BX96" s="60" t="n">
        <v>10000</v>
      </c>
      <c r="BY96" s="60" t="n">
        <v>0</v>
      </c>
      <c r="BZ96" s="60" t="inlineStr">
        <is>
          <t>車両免責エラー</t>
        </is>
      </c>
      <c r="CA96" s="60" t="inlineStr"/>
    </row>
    <row r="97">
      <c r="A97" s="60" t="n">
        <v>2022</v>
      </c>
      <c r="B97" s="7" t="n">
        <v>12</v>
      </c>
      <c r="C97" s="7" t="n">
        <v>1</v>
      </c>
      <c r="D97" s="7" t="inlineStr">
        <is>
          <t>6S</t>
        </is>
      </c>
      <c r="E97" s="7" t="inlineStr">
        <is>
          <t>なし</t>
        </is>
      </c>
      <c r="F97" s="7" t="inlineStr">
        <is>
          <t>30歳以上</t>
        </is>
      </c>
      <c r="G97" s="7" t="n">
        <v>2018</v>
      </c>
      <c r="H97" s="7" t="n">
        <v>11</v>
      </c>
      <c r="I97" s="7" t="inlineStr">
        <is>
          <t>DJ5FS</t>
        </is>
      </c>
      <c r="J97" s="7" t="inlineStr">
        <is>
          <t>なし</t>
        </is>
      </c>
      <c r="K97" s="7" t="n">
        <v>1972</v>
      </c>
      <c r="L97" s="15" t="n">
        <v>12</v>
      </c>
      <c r="M97" s="7" t="n">
        <v>1</v>
      </c>
      <c r="N97" s="7" t="inlineStr">
        <is>
          <t>関東</t>
        </is>
      </c>
      <c r="O97" s="7" t="inlineStr">
        <is>
          <t>ゴールド</t>
        </is>
      </c>
      <c r="P97" s="7" t="inlineStr">
        <is>
          <t>日常</t>
        </is>
      </c>
      <c r="Q97" s="7" t="n">
        <v>7000</v>
      </c>
      <c r="R97" s="7" t="inlineStr">
        <is>
          <t>30歳以上</t>
        </is>
      </c>
      <c r="S97" s="7" t="inlineStr">
        <is>
          <t>本配</t>
        </is>
      </c>
      <c r="T97" s="7" t="inlineStr">
        <is>
          <t>無制限</t>
        </is>
      </c>
      <c r="U97" s="7" t="inlineStr">
        <is>
          <t>なし</t>
        </is>
      </c>
      <c r="V97" s="7" t="n">
        <v>1000</v>
      </c>
      <c r="W97" s="7" t="inlineStr">
        <is>
          <t>車内外</t>
        </is>
      </c>
      <c r="X97" s="7" t="n">
        <v>3000</v>
      </c>
      <c r="Y97" s="7" t="inlineStr">
        <is>
          <t>一般</t>
        </is>
      </c>
      <c r="Z97" s="7" t="n">
        <v>110</v>
      </c>
      <c r="AA97" s="7" t="inlineStr">
        <is>
          <t>免責金額なし</t>
        </is>
      </c>
      <c r="AB97" s="7" t="inlineStr">
        <is>
          <t>なし</t>
        </is>
      </c>
      <c r="AC97" s="7" t="inlineStr">
        <is>
          <t>なし</t>
        </is>
      </c>
      <c r="AD97" s="7" t="inlineStr">
        <is>
          <t>なし</t>
        </is>
      </c>
      <c r="AE97" s="7" t="inlineStr">
        <is>
          <t>あり</t>
        </is>
      </c>
      <c r="AF97" s="7" t="inlineStr">
        <is>
          <t>なし</t>
        </is>
      </c>
      <c r="AG97" s="7" t="inlineStr">
        <is>
          <t>なし</t>
        </is>
      </c>
      <c r="AH97" s="7" t="inlineStr">
        <is>
          <t>なし</t>
        </is>
      </c>
      <c r="AI97" s="7" t="inlineStr">
        <is>
          <t>なし</t>
        </is>
      </c>
      <c r="AJ97" s="60" t="inlineStr">
        <is>
          <t>2022(令和04)</t>
        </is>
      </c>
      <c r="AK97" s="60" t="n">
        <v>12</v>
      </c>
      <c r="AL97" s="60" t="n">
        <v>1</v>
      </c>
      <c r="AM97" s="60" t="inlineStr">
        <is>
          <t>6S</t>
        </is>
      </c>
      <c r="AN97" s="60" t="inlineStr">
        <is>
          <t>なし</t>
        </is>
      </c>
      <c r="AO97" s="60" t="inlineStr">
        <is>
          <t>35歳以上補償</t>
        </is>
      </c>
      <c r="AP97" s="60" t="inlineStr">
        <is>
          <t>2018(平成30)</t>
        </is>
      </c>
      <c r="AQ97" s="60" t="n">
        <v>11</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c r="BU97" s="60" t="n">
        <v>52060</v>
      </c>
      <c r="BV97" s="60" t="n">
        <v>30140</v>
      </c>
      <c r="BW97" s="60" t="n">
        <v>16000</v>
      </c>
      <c r="BX97" s="60" t="n">
        <v>10000</v>
      </c>
      <c r="BY97" s="60" t="n">
        <v>0</v>
      </c>
      <c r="BZ97" s="60" t="inlineStr">
        <is>
          <t>車両免責エラー</t>
        </is>
      </c>
      <c r="CA97" s="60" t="inlineStr"/>
    </row>
    <row r="98">
      <c r="A98" s="60" t="n">
        <v>2022</v>
      </c>
      <c r="B98" s="7" t="n">
        <v>12</v>
      </c>
      <c r="C98" s="7" t="n">
        <v>1</v>
      </c>
      <c r="D98" s="7" t="inlineStr">
        <is>
          <t>6S</t>
        </is>
      </c>
      <c r="E98" s="7" t="inlineStr">
        <is>
          <t>なし</t>
        </is>
      </c>
      <c r="F98" s="7" t="inlineStr">
        <is>
          <t>30歳以上</t>
        </is>
      </c>
      <c r="G98" s="7" t="n">
        <v>2018</v>
      </c>
      <c r="H98" s="7" t="n">
        <v>11</v>
      </c>
      <c r="I98" s="7" t="inlineStr">
        <is>
          <t>DJ5FS</t>
        </is>
      </c>
      <c r="J98" s="7" t="inlineStr">
        <is>
          <t>なし</t>
        </is>
      </c>
      <c r="K98" s="7" t="n">
        <v>1962</v>
      </c>
      <c r="L98" s="15" t="n">
        <v>12</v>
      </c>
      <c r="M98" s="7" t="n">
        <v>1</v>
      </c>
      <c r="N98" s="7" t="inlineStr">
        <is>
          <t>関東</t>
        </is>
      </c>
      <c r="O98" s="7" t="inlineStr">
        <is>
          <t>ゴールド</t>
        </is>
      </c>
      <c r="P98" s="7" t="inlineStr">
        <is>
          <t>日常</t>
        </is>
      </c>
      <c r="Q98" s="7" t="n">
        <v>7000</v>
      </c>
      <c r="R98" s="7" t="inlineStr">
        <is>
          <t>30歳以上</t>
        </is>
      </c>
      <c r="S98" s="7" t="inlineStr">
        <is>
          <t>本配</t>
        </is>
      </c>
      <c r="T98" s="7" t="inlineStr">
        <is>
          <t>無制限</t>
        </is>
      </c>
      <c r="U98" s="7" t="inlineStr">
        <is>
          <t>なし</t>
        </is>
      </c>
      <c r="V98" s="7" t="n">
        <v>1000</v>
      </c>
      <c r="W98" s="7" t="inlineStr">
        <is>
          <t>車内外</t>
        </is>
      </c>
      <c r="X98" s="7" t="n">
        <v>3000</v>
      </c>
      <c r="Y98" s="7" t="inlineStr">
        <is>
          <t>一般</t>
        </is>
      </c>
      <c r="Z98" s="7" t="n">
        <v>110</v>
      </c>
      <c r="AA98" s="7" t="inlineStr">
        <is>
          <t>免責金額なし</t>
        </is>
      </c>
      <c r="AB98" s="7" t="inlineStr">
        <is>
          <t>なし</t>
        </is>
      </c>
      <c r="AC98" s="7" t="inlineStr">
        <is>
          <t>なし</t>
        </is>
      </c>
      <c r="AD98" s="7" t="inlineStr">
        <is>
          <t>なし</t>
        </is>
      </c>
      <c r="AE98" s="7" t="inlineStr">
        <is>
          <t>あり</t>
        </is>
      </c>
      <c r="AF98" s="7" t="inlineStr">
        <is>
          <t>なし</t>
        </is>
      </c>
      <c r="AG98" s="7" t="inlineStr">
        <is>
          <t>なし</t>
        </is>
      </c>
      <c r="AH98" s="7" t="inlineStr">
        <is>
          <t>なし</t>
        </is>
      </c>
      <c r="AI98" s="7" t="inlineStr">
        <is>
          <t>なし</t>
        </is>
      </c>
      <c r="AJ98" s="60" t="inlineStr">
        <is>
          <t>2022(令和04)</t>
        </is>
      </c>
      <c r="AK98" s="60" t="n">
        <v>12</v>
      </c>
      <c r="AL98" s="60" t="n">
        <v>1</v>
      </c>
      <c r="AM98" s="60" t="inlineStr">
        <is>
          <t>6S</t>
        </is>
      </c>
      <c r="AN98" s="60" t="inlineStr">
        <is>
          <t>なし</t>
        </is>
      </c>
      <c r="AO98" s="60" t="inlineStr">
        <is>
          <t>35歳以上補償</t>
        </is>
      </c>
      <c r="AP98" s="60" t="inlineStr">
        <is>
          <t>2018(平成30)</t>
        </is>
      </c>
      <c r="AQ98" s="60" t="n">
        <v>11</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c r="BU98" s="60" t="n">
        <v>56230</v>
      </c>
      <c r="BV98" s="60" t="n">
        <v>31590</v>
      </c>
      <c r="BW98" s="60" t="n">
        <v>16000</v>
      </c>
      <c r="BX98" s="60" t="n">
        <v>10000</v>
      </c>
      <c r="BY98" s="60" t="n">
        <v>0</v>
      </c>
      <c r="BZ98" s="60" t="inlineStr">
        <is>
          <t>車両免責エラー</t>
        </is>
      </c>
      <c r="CA98" s="60" t="inlineStr"/>
    </row>
    <row r="99">
      <c r="A99" s="60" t="n">
        <v>2022</v>
      </c>
      <c r="B99" s="7" t="n">
        <v>12</v>
      </c>
      <c r="C99" s="7" t="n">
        <v>1</v>
      </c>
      <c r="D99" s="7" t="inlineStr">
        <is>
          <t>6S</t>
        </is>
      </c>
      <c r="E99" s="7" t="inlineStr">
        <is>
          <t>なし</t>
        </is>
      </c>
      <c r="F99" s="7" t="inlineStr">
        <is>
          <t>30歳以上</t>
        </is>
      </c>
      <c r="G99" s="7" t="n">
        <v>2018</v>
      </c>
      <c r="H99" s="7" t="n">
        <v>11</v>
      </c>
      <c r="I99" s="7" t="inlineStr">
        <is>
          <t>DJ5FS</t>
        </is>
      </c>
      <c r="J99" s="7" t="inlineStr">
        <is>
          <t>なし</t>
        </is>
      </c>
      <c r="K99" s="7" t="n">
        <v>1952</v>
      </c>
      <c r="L99" s="15" t="n">
        <v>12</v>
      </c>
      <c r="M99" s="7" t="n">
        <v>1</v>
      </c>
      <c r="N99" s="7" t="inlineStr">
        <is>
          <t>関東</t>
        </is>
      </c>
      <c r="O99" s="7" t="inlineStr">
        <is>
          <t>ゴールド</t>
        </is>
      </c>
      <c r="P99" s="7" t="inlineStr">
        <is>
          <t>日常</t>
        </is>
      </c>
      <c r="Q99" s="7" t="n">
        <v>7000</v>
      </c>
      <c r="R99" s="7" t="inlineStr">
        <is>
          <t>30歳以上</t>
        </is>
      </c>
      <c r="S99" s="7" t="inlineStr">
        <is>
          <t>本配</t>
        </is>
      </c>
      <c r="T99" s="7" t="inlineStr">
        <is>
          <t>無制限</t>
        </is>
      </c>
      <c r="U99" s="7" t="inlineStr">
        <is>
          <t>なし</t>
        </is>
      </c>
      <c r="V99" s="7" t="n">
        <v>1000</v>
      </c>
      <c r="W99" s="7" t="inlineStr">
        <is>
          <t>車内外</t>
        </is>
      </c>
      <c r="X99" s="7" t="n">
        <v>3000</v>
      </c>
      <c r="Y99" s="7" t="inlineStr">
        <is>
          <t>一般</t>
        </is>
      </c>
      <c r="Z99" s="7" t="n">
        <v>110</v>
      </c>
      <c r="AA99" s="7" t="inlineStr">
        <is>
          <t>免責金額なし</t>
        </is>
      </c>
      <c r="AB99" s="7" t="inlineStr">
        <is>
          <t>なし</t>
        </is>
      </c>
      <c r="AC99" s="7" t="inlineStr">
        <is>
          <t>なし</t>
        </is>
      </c>
      <c r="AD99" s="7" t="inlineStr">
        <is>
          <t>なし</t>
        </is>
      </c>
      <c r="AE99" s="7" t="inlineStr">
        <is>
          <t>あり</t>
        </is>
      </c>
      <c r="AF99" s="7" t="inlineStr">
        <is>
          <t>なし</t>
        </is>
      </c>
      <c r="AG99" s="7" t="inlineStr">
        <is>
          <t>なし</t>
        </is>
      </c>
      <c r="AH99" s="7" t="inlineStr">
        <is>
          <t>なし</t>
        </is>
      </c>
      <c r="AI99" s="7" t="inlineStr">
        <is>
          <t>なし</t>
        </is>
      </c>
      <c r="AJ99" s="60" t="inlineStr">
        <is>
          <t>2022(令和04)</t>
        </is>
      </c>
      <c r="AK99" s="60" t="n">
        <v>12</v>
      </c>
      <c r="AL99" s="60" t="n">
        <v>1</v>
      </c>
      <c r="AM99" s="60" t="inlineStr">
        <is>
          <t>6S</t>
        </is>
      </c>
      <c r="AN99" s="60" t="inlineStr">
        <is>
          <t>なし</t>
        </is>
      </c>
      <c r="AO99" s="60" t="inlineStr">
        <is>
          <t>35歳以上補償</t>
        </is>
      </c>
      <c r="AP99" s="60" t="inlineStr">
        <is>
          <t>2018(平成30)</t>
        </is>
      </c>
      <c r="AQ99" s="60" t="n">
        <v>11</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c r="BU99" s="60" t="n">
        <v>71230</v>
      </c>
      <c r="BV99" s="60" t="n">
        <v>36610</v>
      </c>
      <c r="BW99" s="60" t="n">
        <v>16000</v>
      </c>
      <c r="BX99" s="60" t="n">
        <v>13000</v>
      </c>
      <c r="BY99" s="60" t="n">
        <v>0</v>
      </c>
      <c r="BZ99" s="60" t="inlineStr">
        <is>
          <t>車両免責エラー</t>
        </is>
      </c>
      <c r="CA99" s="60" t="inlineStr"/>
    </row>
    <row r="100">
      <c r="A100" s="60" t="n">
        <v>2022</v>
      </c>
      <c r="B100" s="7" t="n">
        <v>12</v>
      </c>
      <c r="C100" s="7" t="n">
        <v>1</v>
      </c>
      <c r="D100" s="7" t="inlineStr">
        <is>
          <t>6S</t>
        </is>
      </c>
      <c r="E100" s="7" t="inlineStr">
        <is>
          <t>なし</t>
        </is>
      </c>
      <c r="F100" s="7" t="inlineStr">
        <is>
          <t>30歳以上</t>
        </is>
      </c>
      <c r="G100" s="7" t="n">
        <v>2018</v>
      </c>
      <c r="H100" s="7" t="n">
        <v>11</v>
      </c>
      <c r="I100" s="7" t="inlineStr">
        <is>
          <t>DJ5FS</t>
        </is>
      </c>
      <c r="J100" s="7" t="inlineStr">
        <is>
          <t>なし</t>
        </is>
      </c>
      <c r="K100" s="7" t="n">
        <v>1992</v>
      </c>
      <c r="L100" s="15" t="n">
        <v>12</v>
      </c>
      <c r="M100" s="7" t="n">
        <v>1</v>
      </c>
      <c r="N100" s="7" t="inlineStr">
        <is>
          <t>関東</t>
        </is>
      </c>
      <c r="O100" s="7" t="inlineStr">
        <is>
          <t>ゴールド</t>
        </is>
      </c>
      <c r="P100" s="7" t="inlineStr">
        <is>
          <t>通勤</t>
        </is>
      </c>
      <c r="Q100" s="7" t="n">
        <v>3000</v>
      </c>
      <c r="R100" s="7" t="inlineStr">
        <is>
          <t>30歳以上</t>
        </is>
      </c>
      <c r="S100" s="7" t="inlineStr">
        <is>
          <t>本配</t>
        </is>
      </c>
      <c r="T100" s="7" t="inlineStr">
        <is>
          <t>無制限</t>
        </is>
      </c>
      <c r="U100" s="7" t="inlineStr">
        <is>
          <t>なし</t>
        </is>
      </c>
      <c r="V100" s="7" t="n">
        <v>1000</v>
      </c>
      <c r="W100" s="7" t="inlineStr">
        <is>
          <t>車内外</t>
        </is>
      </c>
      <c r="X100" s="7" t="n">
        <v>3000</v>
      </c>
      <c r="Y100" s="7" t="inlineStr">
        <is>
          <t>一般</t>
        </is>
      </c>
      <c r="Z100" s="7" t="n">
        <v>110</v>
      </c>
      <c r="AA100" s="7" t="inlineStr">
        <is>
          <t>免責金額なし</t>
        </is>
      </c>
      <c r="AB100" s="7" t="inlineStr">
        <is>
          <t>なし</t>
        </is>
      </c>
      <c r="AC100" s="7" t="inlineStr">
        <is>
          <t>なし</t>
        </is>
      </c>
      <c r="AD100" s="7" t="inlineStr">
        <is>
          <t>なし</t>
        </is>
      </c>
      <c r="AE100" s="7" t="inlineStr">
        <is>
          <t>あり</t>
        </is>
      </c>
      <c r="AF100" s="7" t="inlineStr">
        <is>
          <t>なし</t>
        </is>
      </c>
      <c r="AG100" s="7" t="inlineStr">
        <is>
          <t>なし</t>
        </is>
      </c>
      <c r="AH100" s="7" t="inlineStr">
        <is>
          <t>なし</t>
        </is>
      </c>
      <c r="AI100" s="7"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2018(平成30)</t>
        </is>
      </c>
      <c r="AQ100" s="60" t="n">
        <v>11</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c r="BU100" s="60" t="n">
        <v>56800</v>
      </c>
      <c r="BV100" s="60" t="n">
        <v>32160</v>
      </c>
      <c r="BW100" s="60" t="n">
        <v>16000</v>
      </c>
      <c r="BX100" s="60" t="n">
        <v>10000</v>
      </c>
      <c r="BY100" s="60" t="n">
        <v>0</v>
      </c>
      <c r="BZ100" s="60" t="inlineStr">
        <is>
          <t>車両免責エラー</t>
        </is>
      </c>
      <c r="CA100" s="60" t="inlineStr"/>
    </row>
    <row r="101">
      <c r="A101" s="60" t="n">
        <v>2022</v>
      </c>
      <c r="B101" s="7" t="n">
        <v>12</v>
      </c>
      <c r="C101" s="7" t="n">
        <v>1</v>
      </c>
      <c r="D101" s="7" t="inlineStr">
        <is>
          <t>6S</t>
        </is>
      </c>
      <c r="E101" s="7" t="inlineStr">
        <is>
          <t>なし</t>
        </is>
      </c>
      <c r="F101" s="7" t="inlineStr">
        <is>
          <t>30歳以上</t>
        </is>
      </c>
      <c r="G101" s="7" t="n">
        <v>2018</v>
      </c>
      <c r="H101" s="7" t="n">
        <v>11</v>
      </c>
      <c r="I101" s="7" t="inlineStr">
        <is>
          <t>DJ5FS</t>
        </is>
      </c>
      <c r="J101" s="7" t="inlineStr">
        <is>
          <t>なし</t>
        </is>
      </c>
      <c r="K101" s="7" t="n">
        <v>1987</v>
      </c>
      <c r="L101" s="15" t="n">
        <v>12</v>
      </c>
      <c r="M101" s="7" t="n">
        <v>1</v>
      </c>
      <c r="N101" s="7" t="inlineStr">
        <is>
          <t>関東</t>
        </is>
      </c>
      <c r="O101" s="7" t="inlineStr">
        <is>
          <t>ゴールド</t>
        </is>
      </c>
      <c r="P101" s="7" t="inlineStr">
        <is>
          <t>通勤</t>
        </is>
      </c>
      <c r="Q101" s="7" t="n">
        <v>3000</v>
      </c>
      <c r="R101" s="7" t="inlineStr">
        <is>
          <t>30歳以上</t>
        </is>
      </c>
      <c r="S101" s="7" t="inlineStr">
        <is>
          <t>本配</t>
        </is>
      </c>
      <c r="T101" s="7" t="inlineStr">
        <is>
          <t>無制限</t>
        </is>
      </c>
      <c r="U101" s="7" t="inlineStr">
        <is>
          <t>なし</t>
        </is>
      </c>
      <c r="V101" s="7" t="n">
        <v>1000</v>
      </c>
      <c r="W101" s="7" t="inlineStr">
        <is>
          <t>車内外</t>
        </is>
      </c>
      <c r="X101" s="7" t="n">
        <v>3000</v>
      </c>
      <c r="Y101" s="7" t="inlineStr">
        <is>
          <t>一般</t>
        </is>
      </c>
      <c r="Z101" s="7" t="n">
        <v>110</v>
      </c>
      <c r="AA101" s="7" t="inlineStr">
        <is>
          <t>免責金額なし</t>
        </is>
      </c>
      <c r="AB101" s="7" t="inlineStr">
        <is>
          <t>なし</t>
        </is>
      </c>
      <c r="AC101" s="7" t="inlineStr">
        <is>
          <t>なし</t>
        </is>
      </c>
      <c r="AD101" s="7" t="inlineStr">
        <is>
          <t>なし</t>
        </is>
      </c>
      <c r="AE101" s="7" t="inlineStr">
        <is>
          <t>あり</t>
        </is>
      </c>
      <c r="AF101" s="7" t="inlineStr">
        <is>
          <t>なし</t>
        </is>
      </c>
      <c r="AG101" s="7" t="inlineStr">
        <is>
          <t>なし</t>
        </is>
      </c>
      <c r="AH101" s="7" t="inlineStr">
        <is>
          <t>なし</t>
        </is>
      </c>
      <c r="AI101" s="7"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2018(平成30)</t>
        </is>
      </c>
      <c r="AQ101" s="60" t="n">
        <v>11</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c r="BU101" s="60" t="n">
        <v>56360</v>
      </c>
      <c r="BV101" s="60" t="n">
        <v>31930</v>
      </c>
      <c r="BW101" s="60" t="n">
        <v>16000</v>
      </c>
      <c r="BX101" s="60" t="n">
        <v>10000</v>
      </c>
      <c r="BY101" s="60" t="n">
        <v>0</v>
      </c>
      <c r="BZ101" s="60" t="inlineStr">
        <is>
          <t>車両免責エラー</t>
        </is>
      </c>
      <c r="CA101" s="60" t="inlineStr"/>
    </row>
    <row r="102">
      <c r="A102" s="60" t="n">
        <v>2022</v>
      </c>
      <c r="B102" s="7" t="n">
        <v>12</v>
      </c>
      <c r="C102" s="7" t="n">
        <v>1</v>
      </c>
      <c r="D102" s="7" t="inlineStr">
        <is>
          <t>6S</t>
        </is>
      </c>
      <c r="E102" s="7" t="inlineStr">
        <is>
          <t>なし</t>
        </is>
      </c>
      <c r="F102" s="7" t="inlineStr">
        <is>
          <t>30歳以上</t>
        </is>
      </c>
      <c r="G102" s="7" t="n">
        <v>2018</v>
      </c>
      <c r="H102" s="7" t="n">
        <v>11</v>
      </c>
      <c r="I102" s="7" t="inlineStr">
        <is>
          <t>DJ5FS</t>
        </is>
      </c>
      <c r="J102" s="7" t="inlineStr">
        <is>
          <t>なし</t>
        </is>
      </c>
      <c r="K102" s="7" t="n">
        <v>1982</v>
      </c>
      <c r="L102" s="15" t="n">
        <v>12</v>
      </c>
      <c r="M102" s="7" t="n">
        <v>1</v>
      </c>
      <c r="N102" s="7" t="inlineStr">
        <is>
          <t>関東</t>
        </is>
      </c>
      <c r="O102" s="7" t="inlineStr">
        <is>
          <t>ゴールド</t>
        </is>
      </c>
      <c r="P102" s="7" t="inlineStr">
        <is>
          <t>通勤</t>
        </is>
      </c>
      <c r="Q102" s="7" t="n">
        <v>3000</v>
      </c>
      <c r="R102" s="7" t="inlineStr">
        <is>
          <t>30歳以上</t>
        </is>
      </c>
      <c r="S102" s="7" t="inlineStr">
        <is>
          <t>本配</t>
        </is>
      </c>
      <c r="T102" s="7" t="inlineStr">
        <is>
          <t>無制限</t>
        </is>
      </c>
      <c r="U102" s="7" t="inlineStr">
        <is>
          <t>なし</t>
        </is>
      </c>
      <c r="V102" s="7" t="n">
        <v>1000</v>
      </c>
      <c r="W102" s="7" t="inlineStr">
        <is>
          <t>車内外</t>
        </is>
      </c>
      <c r="X102" s="7" t="n">
        <v>3000</v>
      </c>
      <c r="Y102" s="7" t="inlineStr">
        <is>
          <t>一般</t>
        </is>
      </c>
      <c r="Z102" s="7" t="n">
        <v>110</v>
      </c>
      <c r="AA102" s="7" t="inlineStr">
        <is>
          <t>免責金額なし</t>
        </is>
      </c>
      <c r="AB102" s="7" t="inlineStr">
        <is>
          <t>なし</t>
        </is>
      </c>
      <c r="AC102" s="7" t="inlineStr">
        <is>
          <t>なし</t>
        </is>
      </c>
      <c r="AD102" s="7" t="inlineStr">
        <is>
          <t>なし</t>
        </is>
      </c>
      <c r="AE102" s="7" t="inlineStr">
        <is>
          <t>あり</t>
        </is>
      </c>
      <c r="AF102" s="7" t="inlineStr">
        <is>
          <t>なし</t>
        </is>
      </c>
      <c r="AG102" s="7" t="inlineStr">
        <is>
          <t>なし</t>
        </is>
      </c>
      <c r="AH102" s="7" t="inlineStr">
        <is>
          <t>なし</t>
        </is>
      </c>
      <c r="AI102" s="7"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2018(平成30)</t>
        </is>
      </c>
      <c r="AQ102" s="60" t="n">
        <v>11</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c r="BU102" s="60" t="n">
        <v>56950</v>
      </c>
      <c r="BV102" s="60" t="n">
        <v>32340</v>
      </c>
      <c r="BW102" s="60" t="n">
        <v>16000</v>
      </c>
      <c r="BX102" s="60" t="n">
        <v>10000</v>
      </c>
      <c r="BY102" s="60" t="n">
        <v>0</v>
      </c>
      <c r="BZ102" s="60" t="inlineStr">
        <is>
          <t>車両免責エラー</t>
        </is>
      </c>
      <c r="CA102" s="60" t="inlineStr"/>
    </row>
    <row r="103">
      <c r="A103" s="60" t="n">
        <v>2022</v>
      </c>
      <c r="B103" s="7" t="n">
        <v>12</v>
      </c>
      <c r="C103" s="7" t="n">
        <v>1</v>
      </c>
      <c r="D103" s="7" t="inlineStr">
        <is>
          <t>6S</t>
        </is>
      </c>
      <c r="E103" s="7" t="inlineStr">
        <is>
          <t>なし</t>
        </is>
      </c>
      <c r="F103" s="7" t="inlineStr">
        <is>
          <t>30歳以上</t>
        </is>
      </c>
      <c r="G103" s="7" t="n">
        <v>2018</v>
      </c>
      <c r="H103" s="7" t="n">
        <v>11</v>
      </c>
      <c r="I103" s="7" t="inlineStr">
        <is>
          <t>DJ5FS</t>
        </is>
      </c>
      <c r="J103" s="7" t="inlineStr">
        <is>
          <t>なし</t>
        </is>
      </c>
      <c r="K103" s="7" t="n">
        <v>1977</v>
      </c>
      <c r="L103" s="15" t="n">
        <v>12</v>
      </c>
      <c r="M103" s="7" t="n">
        <v>1</v>
      </c>
      <c r="N103" s="7" t="inlineStr">
        <is>
          <t>関東</t>
        </is>
      </c>
      <c r="O103" s="7" t="inlineStr">
        <is>
          <t>ゴールド</t>
        </is>
      </c>
      <c r="P103" s="7" t="inlineStr">
        <is>
          <t>通勤</t>
        </is>
      </c>
      <c r="Q103" s="7" t="n">
        <v>3000</v>
      </c>
      <c r="R103" s="7" t="inlineStr">
        <is>
          <t>30歳以上</t>
        </is>
      </c>
      <c r="S103" s="7" t="inlineStr">
        <is>
          <t>本配</t>
        </is>
      </c>
      <c r="T103" s="7" t="inlineStr">
        <is>
          <t>無制限</t>
        </is>
      </c>
      <c r="U103" s="7" t="inlineStr">
        <is>
          <t>なし</t>
        </is>
      </c>
      <c r="V103" s="7" t="n">
        <v>1000</v>
      </c>
      <c r="W103" s="7" t="inlineStr">
        <is>
          <t>車内外</t>
        </is>
      </c>
      <c r="X103" s="7" t="n">
        <v>3000</v>
      </c>
      <c r="Y103" s="7" t="inlineStr">
        <is>
          <t>一般</t>
        </is>
      </c>
      <c r="Z103" s="7" t="n">
        <v>110</v>
      </c>
      <c r="AA103" s="7" t="inlineStr">
        <is>
          <t>免責金額なし</t>
        </is>
      </c>
      <c r="AB103" s="7" t="inlineStr">
        <is>
          <t>なし</t>
        </is>
      </c>
      <c r="AC103" s="7" t="inlineStr">
        <is>
          <t>なし</t>
        </is>
      </c>
      <c r="AD103" s="7" t="inlineStr">
        <is>
          <t>なし</t>
        </is>
      </c>
      <c r="AE103" s="7" t="inlineStr">
        <is>
          <t>あり</t>
        </is>
      </c>
      <c r="AF103" s="7" t="inlineStr">
        <is>
          <t>なし</t>
        </is>
      </c>
      <c r="AG103" s="7" t="inlineStr">
        <is>
          <t>なし</t>
        </is>
      </c>
      <c r="AH103" s="7" t="inlineStr">
        <is>
          <t>なし</t>
        </is>
      </c>
      <c r="AI103" s="7"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2018(平成30)</t>
        </is>
      </c>
      <c r="AQ103" s="60" t="n">
        <v>11</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c r="BU103" s="60" t="n">
        <v>58260</v>
      </c>
      <c r="BV103" s="60" t="n">
        <v>32450</v>
      </c>
      <c r="BW103" s="60" t="n">
        <v>16000</v>
      </c>
      <c r="BX103" s="60" t="n">
        <v>10000</v>
      </c>
      <c r="BY103" s="60" t="n">
        <v>0</v>
      </c>
      <c r="BZ103" s="60" t="inlineStr">
        <is>
          <t>車両免責エラー</t>
        </is>
      </c>
      <c r="CA103" s="60" t="inlineStr"/>
    </row>
    <row r="104">
      <c r="A104" s="60" t="n">
        <v>2022</v>
      </c>
      <c r="B104" s="7" t="n">
        <v>12</v>
      </c>
      <c r="C104" s="7" t="n">
        <v>1</v>
      </c>
      <c r="D104" s="7" t="inlineStr">
        <is>
          <t>6S</t>
        </is>
      </c>
      <c r="E104" s="7" t="inlineStr">
        <is>
          <t>なし</t>
        </is>
      </c>
      <c r="F104" s="7" t="inlineStr">
        <is>
          <t>30歳以上</t>
        </is>
      </c>
      <c r="G104" s="7" t="n">
        <v>2018</v>
      </c>
      <c r="H104" s="7" t="n">
        <v>11</v>
      </c>
      <c r="I104" s="7" t="inlineStr">
        <is>
          <t>DJ5FS</t>
        </is>
      </c>
      <c r="J104" s="7" t="inlineStr">
        <is>
          <t>なし</t>
        </is>
      </c>
      <c r="K104" s="7" t="n">
        <v>1972</v>
      </c>
      <c r="L104" s="15" t="n">
        <v>12</v>
      </c>
      <c r="M104" s="7" t="n">
        <v>1</v>
      </c>
      <c r="N104" s="7" t="inlineStr">
        <is>
          <t>関東</t>
        </is>
      </c>
      <c r="O104" s="7" t="inlineStr">
        <is>
          <t>ゴールド</t>
        </is>
      </c>
      <c r="P104" s="7" t="inlineStr">
        <is>
          <t>通勤</t>
        </is>
      </c>
      <c r="Q104" s="7" t="n">
        <v>3000</v>
      </c>
      <c r="R104" s="7" t="inlineStr">
        <is>
          <t>30歳以上</t>
        </is>
      </c>
      <c r="S104" s="7" t="inlineStr">
        <is>
          <t>本配</t>
        </is>
      </c>
      <c r="T104" s="7" t="inlineStr">
        <is>
          <t>無制限</t>
        </is>
      </c>
      <c r="U104" s="7" t="inlineStr">
        <is>
          <t>なし</t>
        </is>
      </c>
      <c r="V104" s="7" t="n">
        <v>1000</v>
      </c>
      <c r="W104" s="7" t="inlineStr">
        <is>
          <t>車内外</t>
        </is>
      </c>
      <c r="X104" s="7" t="n">
        <v>3000</v>
      </c>
      <c r="Y104" s="7" t="inlineStr">
        <is>
          <t>一般</t>
        </is>
      </c>
      <c r="Z104" s="7" t="n">
        <v>110</v>
      </c>
      <c r="AA104" s="7" t="inlineStr">
        <is>
          <t>免責金額なし</t>
        </is>
      </c>
      <c r="AB104" s="7" t="inlineStr">
        <is>
          <t>なし</t>
        </is>
      </c>
      <c r="AC104" s="7" t="inlineStr">
        <is>
          <t>なし</t>
        </is>
      </c>
      <c r="AD104" s="7" t="inlineStr">
        <is>
          <t>なし</t>
        </is>
      </c>
      <c r="AE104" s="7" t="inlineStr">
        <is>
          <t>あり</t>
        </is>
      </c>
      <c r="AF104" s="7" t="inlineStr">
        <is>
          <t>なし</t>
        </is>
      </c>
      <c r="AG104" s="7" t="inlineStr">
        <is>
          <t>なし</t>
        </is>
      </c>
      <c r="AH104" s="7" t="inlineStr">
        <is>
          <t>なし</t>
        </is>
      </c>
      <c r="AI104" s="7"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2018(平成30)</t>
        </is>
      </c>
      <c r="AQ104" s="60" t="n">
        <v>11</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c r="BU104" s="60" t="n">
        <v>58750</v>
      </c>
      <c r="BV104" s="60" t="n">
        <v>32290</v>
      </c>
      <c r="BW104" s="60" t="n">
        <v>16000</v>
      </c>
      <c r="BX104" s="60" t="n">
        <v>10000</v>
      </c>
      <c r="BY104" s="60" t="n">
        <v>0</v>
      </c>
      <c r="BZ104" s="60" t="inlineStr">
        <is>
          <t>車両免責エラー</t>
        </is>
      </c>
      <c r="CA104" s="60" t="inlineStr"/>
    </row>
    <row r="105">
      <c r="A105" s="60" t="n">
        <v>2022</v>
      </c>
      <c r="B105" s="7" t="n">
        <v>12</v>
      </c>
      <c r="C105" s="7" t="n">
        <v>1</v>
      </c>
      <c r="D105" s="7" t="inlineStr">
        <is>
          <t>6S</t>
        </is>
      </c>
      <c r="E105" s="7" t="inlineStr">
        <is>
          <t>なし</t>
        </is>
      </c>
      <c r="F105" s="7" t="inlineStr">
        <is>
          <t>30歳以上</t>
        </is>
      </c>
      <c r="G105" s="7" t="n">
        <v>2018</v>
      </c>
      <c r="H105" s="7" t="n">
        <v>11</v>
      </c>
      <c r="I105" s="7" t="inlineStr">
        <is>
          <t>DJ5FS</t>
        </is>
      </c>
      <c r="J105" s="7" t="inlineStr">
        <is>
          <t>なし</t>
        </is>
      </c>
      <c r="K105" s="7" t="n">
        <v>1962</v>
      </c>
      <c r="L105" s="15" t="n">
        <v>12</v>
      </c>
      <c r="M105" s="7" t="n">
        <v>1</v>
      </c>
      <c r="N105" s="7" t="inlineStr">
        <is>
          <t>関東</t>
        </is>
      </c>
      <c r="O105" s="7" t="inlineStr">
        <is>
          <t>ゴールド</t>
        </is>
      </c>
      <c r="P105" s="7" t="inlineStr">
        <is>
          <t>通勤</t>
        </is>
      </c>
      <c r="Q105" s="7" t="n">
        <v>3000</v>
      </c>
      <c r="R105" s="7" t="inlineStr">
        <is>
          <t>30歳以上</t>
        </is>
      </c>
      <c r="S105" s="7" t="inlineStr">
        <is>
          <t>本配</t>
        </is>
      </c>
      <c r="T105" s="7" t="inlineStr">
        <is>
          <t>無制限</t>
        </is>
      </c>
      <c r="U105" s="7" t="inlineStr">
        <is>
          <t>なし</t>
        </is>
      </c>
      <c r="V105" s="7" t="n">
        <v>1000</v>
      </c>
      <c r="W105" s="7" t="inlineStr">
        <is>
          <t>車内外</t>
        </is>
      </c>
      <c r="X105" s="7" t="n">
        <v>3000</v>
      </c>
      <c r="Y105" s="7" t="inlineStr">
        <is>
          <t>一般</t>
        </is>
      </c>
      <c r="Z105" s="7" t="n">
        <v>110</v>
      </c>
      <c r="AA105" s="7" t="inlineStr">
        <is>
          <t>免責金額なし</t>
        </is>
      </c>
      <c r="AB105" s="7" t="inlineStr">
        <is>
          <t>なし</t>
        </is>
      </c>
      <c r="AC105" s="7" t="inlineStr">
        <is>
          <t>なし</t>
        </is>
      </c>
      <c r="AD105" s="7" t="inlineStr">
        <is>
          <t>なし</t>
        </is>
      </c>
      <c r="AE105" s="7" t="inlineStr">
        <is>
          <t>あり</t>
        </is>
      </c>
      <c r="AF105" s="7" t="inlineStr">
        <is>
          <t>なし</t>
        </is>
      </c>
      <c r="AG105" s="7" t="inlineStr">
        <is>
          <t>なし</t>
        </is>
      </c>
      <c r="AH105" s="7" t="inlineStr">
        <is>
          <t>なし</t>
        </is>
      </c>
      <c r="AI105" s="7"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2018(平成30)</t>
        </is>
      </c>
      <c r="AQ105" s="60" t="n">
        <v>11</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c r="BU105" s="60" t="n">
        <v>63530</v>
      </c>
      <c r="BV105" s="60" t="n">
        <v>33890</v>
      </c>
      <c r="BW105" s="60" t="n">
        <v>16000</v>
      </c>
      <c r="BX105" s="60" t="n">
        <v>10000</v>
      </c>
      <c r="BY105" s="60" t="n">
        <v>0</v>
      </c>
      <c r="BZ105" s="60" t="inlineStr">
        <is>
          <t>車両免責エラー</t>
        </is>
      </c>
      <c r="CA105" s="60" t="inlineStr"/>
    </row>
    <row r="106">
      <c r="A106" s="60" t="n">
        <v>2022</v>
      </c>
      <c r="B106" s="7" t="n">
        <v>12</v>
      </c>
      <c r="C106" s="7" t="n">
        <v>1</v>
      </c>
      <c r="D106" s="7" t="inlineStr">
        <is>
          <t>6S</t>
        </is>
      </c>
      <c r="E106" s="7" t="inlineStr">
        <is>
          <t>なし</t>
        </is>
      </c>
      <c r="F106" s="7" t="inlineStr">
        <is>
          <t>30歳以上</t>
        </is>
      </c>
      <c r="G106" s="7" t="n">
        <v>2018</v>
      </c>
      <c r="H106" s="7" t="n">
        <v>11</v>
      </c>
      <c r="I106" s="7" t="inlineStr">
        <is>
          <t>DJ5FS</t>
        </is>
      </c>
      <c r="J106" s="7" t="inlineStr">
        <is>
          <t>なし</t>
        </is>
      </c>
      <c r="K106" s="7" t="n">
        <v>1952</v>
      </c>
      <c r="L106" s="15" t="n">
        <v>12</v>
      </c>
      <c r="M106" s="7" t="n">
        <v>1</v>
      </c>
      <c r="N106" s="7" t="inlineStr">
        <is>
          <t>関東</t>
        </is>
      </c>
      <c r="O106" s="7" t="inlineStr">
        <is>
          <t>ゴールド</t>
        </is>
      </c>
      <c r="P106" s="7" t="inlineStr">
        <is>
          <t>通勤</t>
        </is>
      </c>
      <c r="Q106" s="7" t="n">
        <v>3000</v>
      </c>
      <c r="R106" s="7" t="inlineStr">
        <is>
          <t>30歳以上</t>
        </is>
      </c>
      <c r="S106" s="7" t="inlineStr">
        <is>
          <t>本配</t>
        </is>
      </c>
      <c r="T106" s="7" t="inlineStr">
        <is>
          <t>無制限</t>
        </is>
      </c>
      <c r="U106" s="7" t="inlineStr">
        <is>
          <t>なし</t>
        </is>
      </c>
      <c r="V106" s="7" t="n">
        <v>1000</v>
      </c>
      <c r="W106" s="7" t="inlineStr">
        <is>
          <t>車内外</t>
        </is>
      </c>
      <c r="X106" s="7" t="n">
        <v>3000</v>
      </c>
      <c r="Y106" s="7" t="inlineStr">
        <is>
          <t>一般</t>
        </is>
      </c>
      <c r="Z106" s="7" t="n">
        <v>110</v>
      </c>
      <c r="AA106" s="7" t="inlineStr">
        <is>
          <t>免責金額なし</t>
        </is>
      </c>
      <c r="AB106" s="7" t="inlineStr">
        <is>
          <t>なし</t>
        </is>
      </c>
      <c r="AC106" s="7" t="inlineStr">
        <is>
          <t>なし</t>
        </is>
      </c>
      <c r="AD106" s="7" t="inlineStr">
        <is>
          <t>なし</t>
        </is>
      </c>
      <c r="AE106" s="7" t="inlineStr">
        <is>
          <t>あり</t>
        </is>
      </c>
      <c r="AF106" s="7" t="inlineStr">
        <is>
          <t>なし</t>
        </is>
      </c>
      <c r="AG106" s="7" t="inlineStr">
        <is>
          <t>なし</t>
        </is>
      </c>
      <c r="AH106" s="7" t="inlineStr">
        <is>
          <t>なし</t>
        </is>
      </c>
      <c r="AI106" s="7"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2018(平成30)</t>
        </is>
      </c>
      <c r="AQ106" s="60" t="n">
        <v>11</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c r="BU106" s="60" t="n">
        <v>80340</v>
      </c>
      <c r="BV106" s="60" t="n">
        <v>39530</v>
      </c>
      <c r="BW106" s="60" t="n">
        <v>16000</v>
      </c>
      <c r="BX106" s="60" t="n">
        <v>13000</v>
      </c>
      <c r="BY106" s="60" t="n">
        <v>0</v>
      </c>
      <c r="BZ106" s="60" t="inlineStr">
        <is>
          <t>車両免責エラー</t>
        </is>
      </c>
      <c r="CA106" s="60" t="inlineStr"/>
    </row>
    <row r="107">
      <c r="A107" s="60" t="n">
        <v>2022</v>
      </c>
      <c r="B107" s="7" t="n">
        <v>12</v>
      </c>
      <c r="C107" s="7" t="n">
        <v>1</v>
      </c>
      <c r="D107" s="7" t="inlineStr">
        <is>
          <t>6S</t>
        </is>
      </c>
      <c r="E107" s="7" t="inlineStr">
        <is>
          <t>なし</t>
        </is>
      </c>
      <c r="F107" s="7" t="inlineStr">
        <is>
          <t>30歳以上</t>
        </is>
      </c>
      <c r="G107" s="7" t="n">
        <v>2018</v>
      </c>
      <c r="H107" s="7" t="n">
        <v>11</v>
      </c>
      <c r="I107" s="7" t="inlineStr">
        <is>
          <t>DJ5FS</t>
        </is>
      </c>
      <c r="J107" s="7" t="inlineStr">
        <is>
          <t>なし</t>
        </is>
      </c>
      <c r="K107" s="7" t="n">
        <v>1992</v>
      </c>
      <c r="L107" s="15" t="n">
        <v>12</v>
      </c>
      <c r="M107" s="7" t="n">
        <v>1</v>
      </c>
      <c r="N107" s="7" t="inlineStr">
        <is>
          <t>関東</t>
        </is>
      </c>
      <c r="O107" s="7" t="inlineStr">
        <is>
          <t>ゴールド</t>
        </is>
      </c>
      <c r="P107" s="7" t="inlineStr">
        <is>
          <t>通勤</t>
        </is>
      </c>
      <c r="Q107" s="7" t="n">
        <v>7000</v>
      </c>
      <c r="R107" s="7" t="inlineStr">
        <is>
          <t>30歳以上</t>
        </is>
      </c>
      <c r="S107" s="7" t="inlineStr">
        <is>
          <t>本配</t>
        </is>
      </c>
      <c r="T107" s="7" t="inlineStr">
        <is>
          <t>無制限</t>
        </is>
      </c>
      <c r="U107" s="7" t="inlineStr">
        <is>
          <t>なし</t>
        </is>
      </c>
      <c r="V107" s="7" t="n">
        <v>1000</v>
      </c>
      <c r="W107" s="7" t="inlineStr">
        <is>
          <t>車内外</t>
        </is>
      </c>
      <c r="X107" s="7" t="n">
        <v>3000</v>
      </c>
      <c r="Y107" s="7" t="inlineStr">
        <is>
          <t>一般</t>
        </is>
      </c>
      <c r="Z107" s="7" t="n">
        <v>110</v>
      </c>
      <c r="AA107" s="7" t="inlineStr">
        <is>
          <t>免責金額なし</t>
        </is>
      </c>
      <c r="AB107" s="7" t="inlineStr">
        <is>
          <t>なし</t>
        </is>
      </c>
      <c r="AC107" s="7" t="inlineStr">
        <is>
          <t>なし</t>
        </is>
      </c>
      <c r="AD107" s="7" t="inlineStr">
        <is>
          <t>なし</t>
        </is>
      </c>
      <c r="AE107" s="7" t="inlineStr">
        <is>
          <t>あり</t>
        </is>
      </c>
      <c r="AF107" s="7" t="inlineStr">
        <is>
          <t>なし</t>
        </is>
      </c>
      <c r="AG107" s="7" t="inlineStr">
        <is>
          <t>なし</t>
        </is>
      </c>
      <c r="AH107" s="7" t="inlineStr">
        <is>
          <t>なし</t>
        </is>
      </c>
      <c r="AI107" s="7"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2018(平成30)</t>
        </is>
      </c>
      <c r="AQ107" s="60" t="n">
        <v>11</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c r="BU107" s="60" t="inlineStr">
        <is>
          <t>E</t>
        </is>
      </c>
      <c r="BV107" s="60"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07" s="60" t="n"/>
      <c r="BX107" s="60" t="n"/>
      <c r="BY107" s="60" t="n"/>
      <c r="BZ107" s="60" t="inlineStr"/>
      <c r="CA107" s="60" t="inlineStr"/>
    </row>
    <row r="108">
      <c r="A108" s="60" t="n">
        <v>2022</v>
      </c>
      <c r="B108" s="7" t="n">
        <v>12</v>
      </c>
      <c r="C108" s="7" t="n">
        <v>1</v>
      </c>
      <c r="D108" s="7" t="inlineStr">
        <is>
          <t>6S</t>
        </is>
      </c>
      <c r="E108" s="7" t="inlineStr">
        <is>
          <t>なし</t>
        </is>
      </c>
      <c r="F108" s="7" t="inlineStr">
        <is>
          <t>30歳以上</t>
        </is>
      </c>
      <c r="G108" s="7" t="n">
        <v>2018</v>
      </c>
      <c r="H108" s="7" t="n">
        <v>11</v>
      </c>
      <c r="I108" s="7" t="inlineStr">
        <is>
          <t>DJ5FS</t>
        </is>
      </c>
      <c r="J108" s="7" t="inlineStr">
        <is>
          <t>なし</t>
        </is>
      </c>
      <c r="K108" s="7" t="n">
        <v>1987</v>
      </c>
      <c r="L108" s="15" t="n">
        <v>12</v>
      </c>
      <c r="M108" s="7" t="n">
        <v>1</v>
      </c>
      <c r="N108" s="7" t="inlineStr">
        <is>
          <t>関東</t>
        </is>
      </c>
      <c r="O108" s="7" t="inlineStr">
        <is>
          <t>ゴールド</t>
        </is>
      </c>
      <c r="P108" s="7" t="inlineStr">
        <is>
          <t>通勤</t>
        </is>
      </c>
      <c r="Q108" s="7" t="n">
        <v>7000</v>
      </c>
      <c r="R108" s="7" t="inlineStr">
        <is>
          <t>30歳以上</t>
        </is>
      </c>
      <c r="S108" s="7" t="inlineStr">
        <is>
          <t>本配</t>
        </is>
      </c>
      <c r="T108" s="7" t="inlineStr">
        <is>
          <t>無制限</t>
        </is>
      </c>
      <c r="U108" s="7" t="inlineStr">
        <is>
          <t>なし</t>
        </is>
      </c>
      <c r="V108" s="7" t="n">
        <v>1000</v>
      </c>
      <c r="W108" s="7" t="inlineStr">
        <is>
          <t>車内外</t>
        </is>
      </c>
      <c r="X108" s="7" t="n">
        <v>3000</v>
      </c>
      <c r="Y108" s="7" t="inlineStr">
        <is>
          <t>一般</t>
        </is>
      </c>
      <c r="Z108" s="7" t="n">
        <v>110</v>
      </c>
      <c r="AA108" s="7" t="inlineStr">
        <is>
          <t>免責金額なし</t>
        </is>
      </c>
      <c r="AB108" s="7" t="inlineStr">
        <is>
          <t>なし</t>
        </is>
      </c>
      <c r="AC108" s="7" t="inlineStr">
        <is>
          <t>なし</t>
        </is>
      </c>
      <c r="AD108" s="7" t="inlineStr">
        <is>
          <t>なし</t>
        </is>
      </c>
      <c r="AE108" s="7" t="inlineStr">
        <is>
          <t>あり</t>
        </is>
      </c>
      <c r="AF108" s="7" t="inlineStr">
        <is>
          <t>なし</t>
        </is>
      </c>
      <c r="AG108" s="7" t="inlineStr">
        <is>
          <t>なし</t>
        </is>
      </c>
      <c r="AH108" s="7" t="inlineStr">
        <is>
          <t>なし</t>
        </is>
      </c>
      <c r="AI108" s="7"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2018(平成30)</t>
        </is>
      </c>
      <c r="AQ108" s="60" t="n">
        <v>11</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c r="BU108" s="60" t="inlineStr">
        <is>
          <t>E</t>
        </is>
      </c>
      <c r="BV108" s="60"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[0x0104ACD3+2075859]
	Ordinal0 [0x00FDEE61+1633889]
	Ordinal0 [0x00EDB680+571008]
	Ordinal0 [0x00F0BBD6+768982]
	Ordinal0 [0x00F01C76+728182]
	Ordinal0 [0x00F2731C+881436]
	Ordinal0 [0x00F015BF+726463]
	Ordinal0 [0x00F27534+881972]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108" s="60" t="n"/>
      <c r="BX108" s="60" t="n"/>
      <c r="BY108" s="60" t="n"/>
      <c r="BZ108" s="60" t="inlineStr"/>
      <c r="CA108" s="60" t="inlineStr"/>
    </row>
    <row r="109">
      <c r="A109" s="60" t="n">
        <v>2022</v>
      </c>
      <c r="B109" s="7" t="n">
        <v>12</v>
      </c>
      <c r="C109" s="7" t="n">
        <v>1</v>
      </c>
      <c r="D109" s="7" t="inlineStr">
        <is>
          <t>6S</t>
        </is>
      </c>
      <c r="E109" s="7" t="inlineStr">
        <is>
          <t>なし</t>
        </is>
      </c>
      <c r="F109" s="7" t="inlineStr">
        <is>
          <t>30歳以上</t>
        </is>
      </c>
      <c r="G109" s="7" t="n">
        <v>2018</v>
      </c>
      <c r="H109" s="7" t="n">
        <v>11</v>
      </c>
      <c r="I109" s="7" t="inlineStr">
        <is>
          <t>DJ5FS</t>
        </is>
      </c>
      <c r="J109" s="7" t="inlineStr">
        <is>
          <t>なし</t>
        </is>
      </c>
      <c r="K109" s="7" t="n">
        <v>1982</v>
      </c>
      <c r="L109" s="15" t="n">
        <v>12</v>
      </c>
      <c r="M109" s="7" t="n">
        <v>1</v>
      </c>
      <c r="N109" s="7" t="inlineStr">
        <is>
          <t>関東</t>
        </is>
      </c>
      <c r="O109" s="7" t="inlineStr">
        <is>
          <t>ゴールド</t>
        </is>
      </c>
      <c r="P109" s="7" t="inlineStr">
        <is>
          <t>通勤</t>
        </is>
      </c>
      <c r="Q109" s="7" t="n">
        <v>7000</v>
      </c>
      <c r="R109" s="7" t="inlineStr">
        <is>
          <t>30歳以上</t>
        </is>
      </c>
      <c r="S109" s="7" t="inlineStr">
        <is>
          <t>本配</t>
        </is>
      </c>
      <c r="T109" s="7" t="inlineStr">
        <is>
          <t>無制限</t>
        </is>
      </c>
      <c r="U109" s="7" t="inlineStr">
        <is>
          <t>なし</t>
        </is>
      </c>
      <c r="V109" s="7" t="n">
        <v>1000</v>
      </c>
      <c r="W109" s="7" t="inlineStr">
        <is>
          <t>車内外</t>
        </is>
      </c>
      <c r="X109" s="7" t="n">
        <v>3000</v>
      </c>
      <c r="Y109" s="7" t="inlineStr">
        <is>
          <t>一般</t>
        </is>
      </c>
      <c r="Z109" s="7" t="n">
        <v>110</v>
      </c>
      <c r="AA109" s="7" t="inlineStr">
        <is>
          <t>免責金額なし</t>
        </is>
      </c>
      <c r="AB109" s="7" t="inlineStr">
        <is>
          <t>なし</t>
        </is>
      </c>
      <c r="AC109" s="7" t="inlineStr">
        <is>
          <t>なし</t>
        </is>
      </c>
      <c r="AD109" s="7" t="inlineStr">
        <is>
          <t>なし</t>
        </is>
      </c>
      <c r="AE109" s="7" t="inlineStr">
        <is>
          <t>あり</t>
        </is>
      </c>
      <c r="AF109" s="7" t="inlineStr">
        <is>
          <t>なし</t>
        </is>
      </c>
      <c r="AG109" s="7" t="inlineStr">
        <is>
          <t>なし</t>
        </is>
      </c>
      <c r="AH109" s="7" t="inlineStr">
        <is>
          <t>なし</t>
        </is>
      </c>
      <c r="AI109" s="7"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2018(平成30)</t>
        </is>
      </c>
      <c r="AQ109" s="60" t="n">
        <v>11</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c r="BU109" s="60" t="n">
        <v>75510</v>
      </c>
      <c r="BV109" s="60" t="n">
        <v>40660</v>
      </c>
      <c r="BW109" s="60" t="n">
        <v>16000</v>
      </c>
      <c r="BX109" s="60" t="n">
        <v>13000</v>
      </c>
      <c r="BY109" s="60" t="n">
        <v>0</v>
      </c>
      <c r="BZ109" s="60" t="inlineStr">
        <is>
          <t>車両免責エラー</t>
        </is>
      </c>
      <c r="CA109" s="60" t="inlineStr"/>
    </row>
    <row r="110">
      <c r="A110" s="60" t="n">
        <v>2022</v>
      </c>
      <c r="B110" s="7" t="n">
        <v>12</v>
      </c>
      <c r="C110" s="7" t="n">
        <v>1</v>
      </c>
      <c r="D110" s="7" t="inlineStr">
        <is>
          <t>6S</t>
        </is>
      </c>
      <c r="E110" s="7" t="inlineStr">
        <is>
          <t>なし</t>
        </is>
      </c>
      <c r="F110" s="7" t="inlineStr">
        <is>
          <t>30歳以上</t>
        </is>
      </c>
      <c r="G110" s="7" t="n">
        <v>2018</v>
      </c>
      <c r="H110" s="7" t="n">
        <v>11</v>
      </c>
      <c r="I110" s="7" t="inlineStr">
        <is>
          <t>DJ5FS</t>
        </is>
      </c>
      <c r="J110" s="7" t="inlineStr">
        <is>
          <t>なし</t>
        </is>
      </c>
      <c r="K110" s="7" t="n">
        <v>1977</v>
      </c>
      <c r="L110" s="15" t="n">
        <v>12</v>
      </c>
      <c r="M110" s="7" t="n">
        <v>1</v>
      </c>
      <c r="N110" s="7" t="inlineStr">
        <is>
          <t>関東</t>
        </is>
      </c>
      <c r="O110" s="7" t="inlineStr">
        <is>
          <t>ゴールド</t>
        </is>
      </c>
      <c r="P110" s="7" t="inlineStr">
        <is>
          <t>通勤</t>
        </is>
      </c>
      <c r="Q110" s="7" t="n">
        <v>7000</v>
      </c>
      <c r="R110" s="7" t="inlineStr">
        <is>
          <t>30歳以上</t>
        </is>
      </c>
      <c r="S110" s="7" t="inlineStr">
        <is>
          <t>本配</t>
        </is>
      </c>
      <c r="T110" s="7" t="inlineStr">
        <is>
          <t>無制限</t>
        </is>
      </c>
      <c r="U110" s="7" t="inlineStr">
        <is>
          <t>なし</t>
        </is>
      </c>
      <c r="V110" s="7" t="n">
        <v>1000</v>
      </c>
      <c r="W110" s="7" t="inlineStr">
        <is>
          <t>車内外</t>
        </is>
      </c>
      <c r="X110" s="7" t="n">
        <v>3000</v>
      </c>
      <c r="Y110" s="7" t="inlineStr">
        <is>
          <t>一般</t>
        </is>
      </c>
      <c r="Z110" s="7" t="n">
        <v>110</v>
      </c>
      <c r="AA110" s="7" t="inlineStr">
        <is>
          <t>免責金額なし</t>
        </is>
      </c>
      <c r="AB110" s="7" t="inlineStr">
        <is>
          <t>なし</t>
        </is>
      </c>
      <c r="AC110" s="7" t="inlineStr">
        <is>
          <t>なし</t>
        </is>
      </c>
      <c r="AD110" s="7" t="inlineStr">
        <is>
          <t>なし</t>
        </is>
      </c>
      <c r="AE110" s="7" t="inlineStr">
        <is>
          <t>あり</t>
        </is>
      </c>
      <c r="AF110" s="7" t="inlineStr">
        <is>
          <t>なし</t>
        </is>
      </c>
      <c r="AG110" s="7" t="inlineStr">
        <is>
          <t>なし</t>
        </is>
      </c>
      <c r="AH110" s="7" t="inlineStr">
        <is>
          <t>なし</t>
        </is>
      </c>
      <c r="AI110" s="7"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2018(平成30)</t>
        </is>
      </c>
      <c r="AQ110" s="60" t="n">
        <v>11</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c r="BU110" s="60" t="n">
        <v>77160</v>
      </c>
      <c r="BV110" s="60" t="n">
        <v>40810</v>
      </c>
      <c r="BW110" s="60" t="n">
        <v>16000</v>
      </c>
      <c r="BX110" s="60" t="n">
        <v>13000</v>
      </c>
      <c r="BY110" s="60" t="n">
        <v>0</v>
      </c>
      <c r="BZ110" s="60" t="inlineStr">
        <is>
          <t>車両免責エラー</t>
        </is>
      </c>
      <c r="CA110" s="60" t="inlineStr"/>
    </row>
    <row r="111">
      <c r="A111" s="60" t="n">
        <v>2022</v>
      </c>
      <c r="B111" s="7" t="n">
        <v>12</v>
      </c>
      <c r="C111" s="7" t="n">
        <v>1</v>
      </c>
      <c r="D111" s="7" t="inlineStr">
        <is>
          <t>6S</t>
        </is>
      </c>
      <c r="E111" s="7" t="inlineStr">
        <is>
          <t>なし</t>
        </is>
      </c>
      <c r="F111" s="7" t="inlineStr">
        <is>
          <t>30歳以上</t>
        </is>
      </c>
      <c r="G111" s="7" t="n">
        <v>2018</v>
      </c>
      <c r="H111" s="7" t="n">
        <v>11</v>
      </c>
      <c r="I111" s="7" t="inlineStr">
        <is>
          <t>DJ5FS</t>
        </is>
      </c>
      <c r="J111" s="7" t="inlineStr">
        <is>
          <t>なし</t>
        </is>
      </c>
      <c r="K111" s="7" t="n">
        <v>1972</v>
      </c>
      <c r="L111" s="15" t="n">
        <v>12</v>
      </c>
      <c r="M111" s="7" t="n">
        <v>1</v>
      </c>
      <c r="N111" s="7" t="inlineStr">
        <is>
          <t>関東</t>
        </is>
      </c>
      <c r="O111" s="7" t="inlineStr">
        <is>
          <t>ゴールド</t>
        </is>
      </c>
      <c r="P111" s="7" t="inlineStr">
        <is>
          <t>通勤</t>
        </is>
      </c>
      <c r="Q111" s="7" t="n">
        <v>7000</v>
      </c>
      <c r="R111" s="7" t="inlineStr">
        <is>
          <t>30歳以上</t>
        </is>
      </c>
      <c r="S111" s="7" t="inlineStr">
        <is>
          <t>本配</t>
        </is>
      </c>
      <c r="T111" s="7" t="inlineStr">
        <is>
          <t>無制限</t>
        </is>
      </c>
      <c r="U111" s="7" t="inlineStr">
        <is>
          <t>なし</t>
        </is>
      </c>
      <c r="V111" s="7" t="n">
        <v>1000</v>
      </c>
      <c r="W111" s="7" t="inlineStr">
        <is>
          <t>車内外</t>
        </is>
      </c>
      <c r="X111" s="7" t="n">
        <v>3000</v>
      </c>
      <c r="Y111" s="7" t="inlineStr">
        <is>
          <t>一般</t>
        </is>
      </c>
      <c r="Z111" s="7" t="n">
        <v>110</v>
      </c>
      <c r="AA111" s="7" t="inlineStr">
        <is>
          <t>免責金額なし</t>
        </is>
      </c>
      <c r="AB111" s="7" t="inlineStr">
        <is>
          <t>なし</t>
        </is>
      </c>
      <c r="AC111" s="7" t="inlineStr">
        <is>
          <t>なし</t>
        </is>
      </c>
      <c r="AD111" s="7" t="inlineStr">
        <is>
          <t>なし</t>
        </is>
      </c>
      <c r="AE111" s="7" t="inlineStr">
        <is>
          <t>あり</t>
        </is>
      </c>
      <c r="AF111" s="7" t="inlineStr">
        <is>
          <t>なし</t>
        </is>
      </c>
      <c r="AG111" s="7" t="inlineStr">
        <is>
          <t>なし</t>
        </is>
      </c>
      <c r="AH111" s="7" t="inlineStr">
        <is>
          <t>なし</t>
        </is>
      </c>
      <c r="AI111" s="7"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2018(平成30)</t>
        </is>
      </c>
      <c r="AQ111" s="60" t="n">
        <v>11</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c r="BU111" s="60" t="n">
        <v>77780</v>
      </c>
      <c r="BV111" s="60" t="n">
        <v>40630</v>
      </c>
      <c r="BW111" s="60" t="n">
        <v>16000</v>
      </c>
      <c r="BX111" s="60" t="n">
        <v>13000</v>
      </c>
      <c r="BY111" s="60" t="n">
        <v>0</v>
      </c>
      <c r="BZ111" s="60" t="inlineStr">
        <is>
          <t>車両免責エラー</t>
        </is>
      </c>
      <c r="CA111" s="60" t="inlineStr"/>
    </row>
    <row r="112">
      <c r="A112" s="60" t="n">
        <v>2022</v>
      </c>
      <c r="B112" s="7" t="n">
        <v>12</v>
      </c>
      <c r="C112" s="7" t="n">
        <v>1</v>
      </c>
      <c r="D112" s="7" t="inlineStr">
        <is>
          <t>6S</t>
        </is>
      </c>
      <c r="E112" s="7" t="inlineStr">
        <is>
          <t>なし</t>
        </is>
      </c>
      <c r="F112" s="7" t="inlineStr">
        <is>
          <t>30歳以上</t>
        </is>
      </c>
      <c r="G112" s="7" t="n">
        <v>2018</v>
      </c>
      <c r="H112" s="7" t="n">
        <v>11</v>
      </c>
      <c r="I112" s="7" t="inlineStr">
        <is>
          <t>DJ5FS</t>
        </is>
      </c>
      <c r="J112" s="7" t="inlineStr">
        <is>
          <t>なし</t>
        </is>
      </c>
      <c r="K112" s="7" t="n">
        <v>1962</v>
      </c>
      <c r="L112" s="15" t="n">
        <v>12</v>
      </c>
      <c r="M112" s="7" t="n">
        <v>1</v>
      </c>
      <c r="N112" s="7" t="inlineStr">
        <is>
          <t>関東</t>
        </is>
      </c>
      <c r="O112" s="7" t="inlineStr">
        <is>
          <t>ゴールド</t>
        </is>
      </c>
      <c r="P112" s="7" t="inlineStr">
        <is>
          <t>通勤</t>
        </is>
      </c>
      <c r="Q112" s="7" t="n">
        <v>7000</v>
      </c>
      <c r="R112" s="7" t="inlineStr">
        <is>
          <t>30歳以上</t>
        </is>
      </c>
      <c r="S112" s="7" t="inlineStr">
        <is>
          <t>本配</t>
        </is>
      </c>
      <c r="T112" s="7" t="inlineStr">
        <is>
          <t>無制限</t>
        </is>
      </c>
      <c r="U112" s="7" t="inlineStr">
        <is>
          <t>なし</t>
        </is>
      </c>
      <c r="V112" s="7" t="n">
        <v>1000</v>
      </c>
      <c r="W112" s="7" t="inlineStr">
        <is>
          <t>車内外</t>
        </is>
      </c>
      <c r="X112" s="7" t="n">
        <v>3000</v>
      </c>
      <c r="Y112" s="7" t="inlineStr">
        <is>
          <t>一般</t>
        </is>
      </c>
      <c r="Z112" s="7" t="n">
        <v>110</v>
      </c>
      <c r="AA112" s="7" t="inlineStr">
        <is>
          <t>免責金額なし</t>
        </is>
      </c>
      <c r="AB112" s="7" t="inlineStr">
        <is>
          <t>なし</t>
        </is>
      </c>
      <c r="AC112" s="7" t="inlineStr">
        <is>
          <t>なし</t>
        </is>
      </c>
      <c r="AD112" s="7" t="inlineStr">
        <is>
          <t>なし</t>
        </is>
      </c>
      <c r="AE112" s="7" t="inlineStr">
        <is>
          <t>あり</t>
        </is>
      </c>
      <c r="AF112" s="7" t="inlineStr">
        <is>
          <t>なし</t>
        </is>
      </c>
      <c r="AG112" s="7" t="inlineStr">
        <is>
          <t>なし</t>
        </is>
      </c>
      <c r="AH112" s="7" t="inlineStr">
        <is>
          <t>なし</t>
        </is>
      </c>
      <c r="AI112" s="7"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2018(平成30)</t>
        </is>
      </c>
      <c r="AQ112" s="60" t="n">
        <v>11</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c r="BU112" s="60" t="n">
        <v>83850</v>
      </c>
      <c r="BV112" s="60" t="n">
        <v>40730</v>
      </c>
      <c r="BW112" s="60" t="n">
        <v>16000</v>
      </c>
      <c r="BX112" s="60" t="n">
        <v>15000</v>
      </c>
      <c r="BY112" s="60" t="n">
        <v>0</v>
      </c>
      <c r="BZ112" s="60" t="inlineStr">
        <is>
          <t>車両免責エラー</t>
        </is>
      </c>
      <c r="CA112" s="60" t="inlineStr"/>
    </row>
    <row r="113">
      <c r="A113" s="60" t="n">
        <v>2022</v>
      </c>
      <c r="B113" s="7" t="n">
        <v>12</v>
      </c>
      <c r="C113" s="7" t="n">
        <v>1</v>
      </c>
      <c r="D113" s="7" t="inlineStr">
        <is>
          <t>6S</t>
        </is>
      </c>
      <c r="E113" s="7" t="inlineStr">
        <is>
          <t>なし</t>
        </is>
      </c>
      <c r="F113" s="7" t="inlineStr">
        <is>
          <t>30歳以上</t>
        </is>
      </c>
      <c r="G113" s="7" t="n">
        <v>2018</v>
      </c>
      <c r="H113" s="7" t="n">
        <v>11</v>
      </c>
      <c r="I113" s="7" t="inlineStr">
        <is>
          <t>DJ5FS</t>
        </is>
      </c>
      <c r="J113" s="7" t="inlineStr">
        <is>
          <t>なし</t>
        </is>
      </c>
      <c r="K113" s="7" t="n">
        <v>1952</v>
      </c>
      <c r="L113" s="15" t="n">
        <v>12</v>
      </c>
      <c r="M113" s="7" t="n">
        <v>1</v>
      </c>
      <c r="N113" s="7" t="inlineStr">
        <is>
          <t>関東</t>
        </is>
      </c>
      <c r="O113" s="7" t="inlineStr">
        <is>
          <t>ゴールド</t>
        </is>
      </c>
      <c r="P113" s="7" t="inlineStr">
        <is>
          <t>通勤</t>
        </is>
      </c>
      <c r="Q113" s="7" t="n">
        <v>7000</v>
      </c>
      <c r="R113" s="7" t="inlineStr">
        <is>
          <t>30歳以上</t>
        </is>
      </c>
      <c r="S113" s="7" t="inlineStr">
        <is>
          <t>本配</t>
        </is>
      </c>
      <c r="T113" s="7" t="inlineStr">
        <is>
          <t>無制限</t>
        </is>
      </c>
      <c r="U113" s="7" t="inlineStr">
        <is>
          <t>なし</t>
        </is>
      </c>
      <c r="V113" s="7" t="n">
        <v>1000</v>
      </c>
      <c r="W113" s="7" t="inlineStr">
        <is>
          <t>車内外</t>
        </is>
      </c>
      <c r="X113" s="7" t="n">
        <v>3000</v>
      </c>
      <c r="Y113" s="7" t="inlineStr">
        <is>
          <t>一般</t>
        </is>
      </c>
      <c r="Z113" s="7" t="n">
        <v>110</v>
      </c>
      <c r="AA113" s="7" t="inlineStr">
        <is>
          <t>免責金額なし</t>
        </is>
      </c>
      <c r="AB113" s="7" t="inlineStr">
        <is>
          <t>なし</t>
        </is>
      </c>
      <c r="AC113" s="7" t="inlineStr">
        <is>
          <t>なし</t>
        </is>
      </c>
      <c r="AD113" s="7" t="inlineStr">
        <is>
          <t>なし</t>
        </is>
      </c>
      <c r="AE113" s="7" t="inlineStr">
        <is>
          <t>あり</t>
        </is>
      </c>
      <c r="AF113" s="7" t="inlineStr">
        <is>
          <t>なし</t>
        </is>
      </c>
      <c r="AG113" s="7" t="inlineStr">
        <is>
          <t>なし</t>
        </is>
      </c>
      <c r="AH113" s="7" t="inlineStr">
        <is>
          <t>なし</t>
        </is>
      </c>
      <c r="AI113" s="7"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2018(平成30)</t>
        </is>
      </c>
      <c r="AQ113" s="60" t="n">
        <v>11</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c r="BU113" s="60" t="n">
        <v>103370</v>
      </c>
      <c r="BV113" s="60" t="n">
        <v>51070</v>
      </c>
      <c r="BW113" s="60" t="n">
        <v>18000</v>
      </c>
      <c r="BX113" s="60" t="n">
        <v>16000</v>
      </c>
      <c r="BY113" s="60" t="n">
        <v>0</v>
      </c>
      <c r="BZ113" s="60" t="inlineStr">
        <is>
          <t>車両免責エラー</t>
        </is>
      </c>
      <c r="CA113" s="60" t="inlineStr"/>
    </row>
    <row r="114">
      <c r="A114" s="60" t="n">
        <v>2022</v>
      </c>
      <c r="B114" s="7" t="n">
        <v>12</v>
      </c>
      <c r="C114" s="7" t="n">
        <v>1</v>
      </c>
      <c r="D114" s="7" t="n">
        <v>20</v>
      </c>
      <c r="E114" s="7" t="inlineStr">
        <is>
          <t>なし</t>
        </is>
      </c>
      <c r="F114" s="7" t="inlineStr">
        <is>
          <t>30歳以上</t>
        </is>
      </c>
      <c r="G114" s="7" t="n">
        <v>2018</v>
      </c>
      <c r="H114" s="7" t="n">
        <v>11</v>
      </c>
      <c r="I114" s="7" t="inlineStr">
        <is>
          <t>HE33S</t>
        </is>
      </c>
      <c r="J114" s="7" t="inlineStr">
        <is>
          <t>なし</t>
        </is>
      </c>
      <c r="K114" s="7" t="n">
        <v>1992</v>
      </c>
      <c r="L114" s="15" t="n">
        <v>12</v>
      </c>
      <c r="M114" s="7" t="n">
        <v>1</v>
      </c>
      <c r="N114" s="7" t="inlineStr">
        <is>
          <t>関東</t>
        </is>
      </c>
      <c r="O114" s="7" t="inlineStr">
        <is>
          <t>ブルー</t>
        </is>
      </c>
      <c r="P114" s="7" t="inlineStr">
        <is>
          <t>日常</t>
        </is>
      </c>
      <c r="Q114" s="7" t="n">
        <v>3000</v>
      </c>
      <c r="R114" s="7" t="inlineStr">
        <is>
          <t>30歳以上</t>
        </is>
      </c>
      <c r="S114" s="7" t="inlineStr">
        <is>
          <t>本配</t>
        </is>
      </c>
      <c r="T114" s="7" t="inlineStr">
        <is>
          <t>無制限</t>
        </is>
      </c>
      <c r="U114" s="7" t="inlineStr">
        <is>
          <t>あり</t>
        </is>
      </c>
      <c r="V114" s="7" t="n">
        <v>1000</v>
      </c>
      <c r="W114" s="7" t="inlineStr">
        <is>
          <t>車内外</t>
        </is>
      </c>
      <c r="X114" s="7" t="n">
        <v>5000</v>
      </c>
      <c r="Y114" s="7" t="inlineStr">
        <is>
          <t>一般</t>
        </is>
      </c>
      <c r="Z114" s="7" t="n">
        <v>110</v>
      </c>
      <c r="AA114" s="7" t="inlineStr">
        <is>
          <t>免責金額なし</t>
        </is>
      </c>
      <c r="AB114" s="7" t="inlineStr">
        <is>
          <t>なし</t>
        </is>
      </c>
      <c r="AC114" s="7" t="inlineStr">
        <is>
          <t>なし</t>
        </is>
      </c>
      <c r="AD114" s="7" t="inlineStr">
        <is>
          <t>なし</t>
        </is>
      </c>
      <c r="AE114" s="7" t="inlineStr">
        <is>
          <t>あり</t>
        </is>
      </c>
      <c r="AF114" s="7" t="inlineStr">
        <is>
          <t>なし</t>
        </is>
      </c>
      <c r="AG114" s="7" t="inlineStr">
        <is>
          <t>なし</t>
        </is>
      </c>
      <c r="AH114" s="7" t="inlineStr">
        <is>
          <t>なし</t>
        </is>
      </c>
      <c r="AI114" s="7"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2018(平成30)</t>
        </is>
      </c>
      <c r="AQ114" s="60" t="n">
        <v>11</v>
      </c>
      <c r="AR114" s="60" t="inlineStr">
        <is>
          <t>HE33S</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110万円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c r="BU114" s="60" t="n">
        <v>27820</v>
      </c>
      <c r="BV114" s="60" t="n">
        <v>19090</v>
      </c>
      <c r="BW114" s="60" t="n">
        <v>9000</v>
      </c>
      <c r="BX114" s="60" t="n">
        <v>5000</v>
      </c>
      <c r="BY114" s="60" t="n">
        <v>0</v>
      </c>
      <c r="BZ114" s="60" t="inlineStr"/>
      <c r="CA114" s="60" t="inlineStr"/>
    </row>
    <row r="115">
      <c r="A115" s="60" t="n">
        <v>2022</v>
      </c>
      <c r="B115" s="7" t="n">
        <v>12</v>
      </c>
      <c r="C115" s="7" t="n">
        <v>1</v>
      </c>
      <c r="D115" s="7" t="n">
        <v>20</v>
      </c>
      <c r="E115" s="7" t="inlineStr">
        <is>
          <t>なし</t>
        </is>
      </c>
      <c r="F115" s="7" t="inlineStr">
        <is>
          <t>30歳以上</t>
        </is>
      </c>
      <c r="G115" s="7" t="n">
        <v>2018</v>
      </c>
      <c r="H115" s="7" t="n">
        <v>11</v>
      </c>
      <c r="I115" s="7" t="inlineStr">
        <is>
          <t>HE33S</t>
        </is>
      </c>
      <c r="J115" s="7" t="inlineStr">
        <is>
          <t>なし</t>
        </is>
      </c>
      <c r="K115" s="7" t="n">
        <v>1987</v>
      </c>
      <c r="L115" s="15" t="n">
        <v>12</v>
      </c>
      <c r="M115" s="7" t="n">
        <v>1</v>
      </c>
      <c r="N115" s="7" t="inlineStr">
        <is>
          <t>関東</t>
        </is>
      </c>
      <c r="O115" s="7" t="inlineStr">
        <is>
          <t>ブルー</t>
        </is>
      </c>
      <c r="P115" s="7" t="inlineStr">
        <is>
          <t>日常</t>
        </is>
      </c>
      <c r="Q115" s="7" t="n">
        <v>3000</v>
      </c>
      <c r="R115" s="7" t="inlineStr">
        <is>
          <t>30歳以上</t>
        </is>
      </c>
      <c r="S115" s="7" t="inlineStr">
        <is>
          <t>本配</t>
        </is>
      </c>
      <c r="T115" s="7" t="inlineStr">
        <is>
          <t>無制限</t>
        </is>
      </c>
      <c r="U115" s="7" t="inlineStr">
        <is>
          <t>あり</t>
        </is>
      </c>
      <c r="V115" s="7" t="n">
        <v>1000</v>
      </c>
      <c r="W115" s="7" t="inlineStr">
        <is>
          <t>車内外</t>
        </is>
      </c>
      <c r="X115" s="7" t="n">
        <v>5000</v>
      </c>
      <c r="Y115" s="7" t="inlineStr">
        <is>
          <t>一般</t>
        </is>
      </c>
      <c r="Z115" s="7" t="n">
        <v>110</v>
      </c>
      <c r="AA115" s="7" t="inlineStr">
        <is>
          <t>免責金額なし</t>
        </is>
      </c>
      <c r="AB115" s="7" t="inlineStr">
        <is>
          <t>なし</t>
        </is>
      </c>
      <c r="AC115" s="7" t="inlineStr">
        <is>
          <t>なし</t>
        </is>
      </c>
      <c r="AD115" s="7" t="inlineStr">
        <is>
          <t>なし</t>
        </is>
      </c>
      <c r="AE115" s="7" t="inlineStr">
        <is>
          <t>あり</t>
        </is>
      </c>
      <c r="AF115" s="7" t="inlineStr">
        <is>
          <t>なし</t>
        </is>
      </c>
      <c r="AG115" s="7" t="inlineStr">
        <is>
          <t>なし</t>
        </is>
      </c>
      <c r="AH115" s="7" t="inlineStr">
        <is>
          <t>なし</t>
        </is>
      </c>
      <c r="AI115" s="7"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2018(平成30)</t>
        </is>
      </c>
      <c r="AQ115" s="60" t="n">
        <v>11</v>
      </c>
      <c r="AR115" s="60" t="inlineStr">
        <is>
          <t>HE33S</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110万円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c r="BU115" s="60" t="inlineStr">
        <is>
          <t>E</t>
        </is>
      </c>
      <c r="BV115" s="60" t="inlineStr">
        <is>
          <t xml:space="preserve">Traceback (most recent call last):
  File "C:\Users\syougyou01\Documents\Z\Z_func.py", line 155, in Z_func
    browser.find_element(By.CSS_SELECTOR, '#riskFactor'+ new + 'Form\:anualMilleageField &gt; tbody &gt; tr &gt; td.firstChild &gt; label').click()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td.firstChild &gt; label"}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115" s="60" t="n"/>
      <c r="BX115" s="60" t="n"/>
      <c r="BY115" s="60" t="n"/>
      <c r="BZ115" s="60" t="inlineStr"/>
      <c r="CA115" s="60" t="inlineStr"/>
    </row>
    <row r="116">
      <c r="A116" s="60" t="n">
        <v>2022</v>
      </c>
      <c r="B116" s="7" t="n">
        <v>12</v>
      </c>
      <c r="C116" s="7" t="n">
        <v>1</v>
      </c>
      <c r="D116" s="7" t="n">
        <v>20</v>
      </c>
      <c r="E116" s="7" t="inlineStr">
        <is>
          <t>なし</t>
        </is>
      </c>
      <c r="F116" s="7" t="inlineStr">
        <is>
          <t>30歳以上</t>
        </is>
      </c>
      <c r="G116" s="7" t="n">
        <v>2018</v>
      </c>
      <c r="H116" s="7" t="n">
        <v>11</v>
      </c>
      <c r="I116" s="7" t="inlineStr">
        <is>
          <t>HE33S</t>
        </is>
      </c>
      <c r="J116" s="7" t="inlineStr">
        <is>
          <t>なし</t>
        </is>
      </c>
      <c r="K116" s="7" t="n">
        <v>1982</v>
      </c>
      <c r="L116" s="15" t="n">
        <v>12</v>
      </c>
      <c r="M116" s="7" t="n">
        <v>1</v>
      </c>
      <c r="N116" s="7" t="inlineStr">
        <is>
          <t>関東</t>
        </is>
      </c>
      <c r="O116" s="7" t="inlineStr">
        <is>
          <t>ブルー</t>
        </is>
      </c>
      <c r="P116" s="7" t="inlineStr">
        <is>
          <t>日常</t>
        </is>
      </c>
      <c r="Q116" s="7" t="n">
        <v>3000</v>
      </c>
      <c r="R116" s="7" t="inlineStr">
        <is>
          <t>30歳以上</t>
        </is>
      </c>
      <c r="S116" s="7" t="inlineStr">
        <is>
          <t>本配</t>
        </is>
      </c>
      <c r="T116" s="7" t="inlineStr">
        <is>
          <t>無制限</t>
        </is>
      </c>
      <c r="U116" s="7" t="inlineStr">
        <is>
          <t>あり</t>
        </is>
      </c>
      <c r="V116" s="7" t="n">
        <v>1000</v>
      </c>
      <c r="W116" s="7" t="inlineStr">
        <is>
          <t>車内外</t>
        </is>
      </c>
      <c r="X116" s="7" t="n">
        <v>5000</v>
      </c>
      <c r="Y116" s="7" t="inlineStr">
        <is>
          <t>一般</t>
        </is>
      </c>
      <c r="Z116" s="7" t="n">
        <v>110</v>
      </c>
      <c r="AA116" s="7" t="inlineStr">
        <is>
          <t>免責金額なし</t>
        </is>
      </c>
      <c r="AB116" s="7" t="inlineStr">
        <is>
          <t>なし</t>
        </is>
      </c>
      <c r="AC116" s="7" t="inlineStr">
        <is>
          <t>なし</t>
        </is>
      </c>
      <c r="AD116" s="7" t="inlineStr">
        <is>
          <t>なし</t>
        </is>
      </c>
      <c r="AE116" s="7" t="inlineStr">
        <is>
          <t>あり</t>
        </is>
      </c>
      <c r="AF116" s="7" t="inlineStr">
        <is>
          <t>なし</t>
        </is>
      </c>
      <c r="AG116" s="7" t="inlineStr">
        <is>
          <t>なし</t>
        </is>
      </c>
      <c r="AH116" s="7" t="inlineStr">
        <is>
          <t>なし</t>
        </is>
      </c>
      <c r="AI116" s="7"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2018(平成30)</t>
        </is>
      </c>
      <c r="AQ116" s="60" t="n">
        <v>11</v>
      </c>
      <c r="AR116" s="60" t="inlineStr">
        <is>
          <t>HE33S</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110万円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c r="BU116" s="60" t="n">
        <v>28040</v>
      </c>
      <c r="BV116" s="60" t="n">
        <v>19320</v>
      </c>
      <c r="BW116" s="60" t="n">
        <v>9000</v>
      </c>
      <c r="BX116" s="60" t="n">
        <v>5000</v>
      </c>
      <c r="BY116" s="60" t="n">
        <v>0</v>
      </c>
      <c r="BZ116" s="60" t="inlineStr"/>
      <c r="CA116" s="60" t="inlineStr"/>
    </row>
    <row r="117">
      <c r="A117" s="60" t="n">
        <v>2022</v>
      </c>
      <c r="B117" s="7" t="n">
        <v>12</v>
      </c>
      <c r="C117" s="7" t="n">
        <v>1</v>
      </c>
      <c r="D117" s="7" t="n">
        <v>20</v>
      </c>
      <c r="E117" s="7" t="inlineStr">
        <is>
          <t>なし</t>
        </is>
      </c>
      <c r="F117" s="7" t="inlineStr">
        <is>
          <t>30歳以上</t>
        </is>
      </c>
      <c r="G117" s="7" t="n">
        <v>2018</v>
      </c>
      <c r="H117" s="7" t="n">
        <v>11</v>
      </c>
      <c r="I117" s="7" t="inlineStr">
        <is>
          <t>HE33S</t>
        </is>
      </c>
      <c r="J117" s="7" t="inlineStr">
        <is>
          <t>なし</t>
        </is>
      </c>
      <c r="K117" s="7" t="n">
        <v>1977</v>
      </c>
      <c r="L117" s="15" t="n">
        <v>12</v>
      </c>
      <c r="M117" s="7" t="n">
        <v>1</v>
      </c>
      <c r="N117" s="7" t="inlineStr">
        <is>
          <t>関東</t>
        </is>
      </c>
      <c r="O117" s="7" t="inlineStr">
        <is>
          <t>ブルー</t>
        </is>
      </c>
      <c r="P117" s="7" t="inlineStr">
        <is>
          <t>日常</t>
        </is>
      </c>
      <c r="Q117" s="7" t="n">
        <v>3000</v>
      </c>
      <c r="R117" s="7" t="inlineStr">
        <is>
          <t>30歳以上</t>
        </is>
      </c>
      <c r="S117" s="7" t="inlineStr">
        <is>
          <t>本配</t>
        </is>
      </c>
      <c r="T117" s="7" t="inlineStr">
        <is>
          <t>無制限</t>
        </is>
      </c>
      <c r="U117" s="7" t="inlineStr">
        <is>
          <t>あり</t>
        </is>
      </c>
      <c r="V117" s="7" t="n">
        <v>1000</v>
      </c>
      <c r="W117" s="7" t="inlineStr">
        <is>
          <t>車内外</t>
        </is>
      </c>
      <c r="X117" s="7" t="n">
        <v>5000</v>
      </c>
      <c r="Y117" s="7" t="inlineStr">
        <is>
          <t>一般</t>
        </is>
      </c>
      <c r="Z117" s="7" t="n">
        <v>110</v>
      </c>
      <c r="AA117" s="7" t="inlineStr">
        <is>
          <t>免責金額なし</t>
        </is>
      </c>
      <c r="AB117" s="7" t="inlineStr">
        <is>
          <t>なし</t>
        </is>
      </c>
      <c r="AC117" s="7" t="inlineStr">
        <is>
          <t>なし</t>
        </is>
      </c>
      <c r="AD117" s="7" t="inlineStr">
        <is>
          <t>なし</t>
        </is>
      </c>
      <c r="AE117" s="7" t="inlineStr">
        <is>
          <t>あり</t>
        </is>
      </c>
      <c r="AF117" s="7" t="inlineStr">
        <is>
          <t>なし</t>
        </is>
      </c>
      <c r="AG117" s="7" t="inlineStr">
        <is>
          <t>なし</t>
        </is>
      </c>
      <c r="AH117" s="7" t="inlineStr">
        <is>
          <t>なし</t>
        </is>
      </c>
      <c r="AI117" s="7"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2018(平成30)</t>
        </is>
      </c>
      <c r="AQ117" s="60" t="n">
        <v>11</v>
      </c>
      <c r="AR117" s="60" t="inlineStr">
        <is>
          <t>HE33S</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110万円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c r="BU117" s="60" t="n">
        <v>28540</v>
      </c>
      <c r="BV117" s="60" t="n">
        <v>19360</v>
      </c>
      <c r="BW117" s="60" t="n">
        <v>9000</v>
      </c>
      <c r="BX117" s="60" t="n">
        <v>5000</v>
      </c>
      <c r="BY117" s="60" t="n">
        <v>0</v>
      </c>
      <c r="BZ117" s="60" t="inlineStr"/>
      <c r="CA117" s="60" t="inlineStr"/>
    </row>
    <row r="118">
      <c r="A118" s="60" t="n">
        <v>2022</v>
      </c>
      <c r="B118" s="7" t="n">
        <v>12</v>
      </c>
      <c r="C118" s="7" t="n">
        <v>1</v>
      </c>
      <c r="D118" s="7" t="n">
        <v>20</v>
      </c>
      <c r="E118" s="7" t="inlineStr">
        <is>
          <t>なし</t>
        </is>
      </c>
      <c r="F118" s="7" t="inlineStr">
        <is>
          <t>30歳以上</t>
        </is>
      </c>
      <c r="G118" s="7" t="n">
        <v>2018</v>
      </c>
      <c r="H118" s="7" t="n">
        <v>11</v>
      </c>
      <c r="I118" s="7" t="inlineStr">
        <is>
          <t>HE33S</t>
        </is>
      </c>
      <c r="J118" s="7" t="inlineStr">
        <is>
          <t>なし</t>
        </is>
      </c>
      <c r="K118" s="7" t="n">
        <v>1972</v>
      </c>
      <c r="L118" s="15" t="n">
        <v>12</v>
      </c>
      <c r="M118" s="7" t="n">
        <v>1</v>
      </c>
      <c r="N118" s="7" t="inlineStr">
        <is>
          <t>関東</t>
        </is>
      </c>
      <c r="O118" s="7" t="inlineStr">
        <is>
          <t>ブルー</t>
        </is>
      </c>
      <c r="P118" s="7" t="inlineStr">
        <is>
          <t>日常</t>
        </is>
      </c>
      <c r="Q118" s="7" t="n">
        <v>3000</v>
      </c>
      <c r="R118" s="7" t="inlineStr">
        <is>
          <t>30歳以上</t>
        </is>
      </c>
      <c r="S118" s="7" t="inlineStr">
        <is>
          <t>本配</t>
        </is>
      </c>
      <c r="T118" s="7" t="inlineStr">
        <is>
          <t>無制限</t>
        </is>
      </c>
      <c r="U118" s="7" t="inlineStr">
        <is>
          <t>あり</t>
        </is>
      </c>
      <c r="V118" s="7" t="n">
        <v>1000</v>
      </c>
      <c r="W118" s="7" t="inlineStr">
        <is>
          <t>車内外</t>
        </is>
      </c>
      <c r="X118" s="7" t="n">
        <v>5000</v>
      </c>
      <c r="Y118" s="7" t="inlineStr">
        <is>
          <t>一般</t>
        </is>
      </c>
      <c r="Z118" s="7" t="n">
        <v>110</v>
      </c>
      <c r="AA118" s="7" t="inlineStr">
        <is>
          <t>免責金額なし</t>
        </is>
      </c>
      <c r="AB118" s="7" t="inlineStr">
        <is>
          <t>なし</t>
        </is>
      </c>
      <c r="AC118" s="7" t="inlineStr">
        <is>
          <t>なし</t>
        </is>
      </c>
      <c r="AD118" s="7" t="inlineStr">
        <is>
          <t>なし</t>
        </is>
      </c>
      <c r="AE118" s="7" t="inlineStr">
        <is>
          <t>あり</t>
        </is>
      </c>
      <c r="AF118" s="7" t="inlineStr">
        <is>
          <t>なし</t>
        </is>
      </c>
      <c r="AG118" s="7" t="inlineStr">
        <is>
          <t>なし</t>
        </is>
      </c>
      <c r="AH118" s="7" t="inlineStr">
        <is>
          <t>なし</t>
        </is>
      </c>
      <c r="AI118" s="7"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2018(平成30)</t>
        </is>
      </c>
      <c r="AQ118" s="60" t="n">
        <v>11</v>
      </c>
      <c r="AR118" s="60" t="inlineStr">
        <is>
          <t>HE33S</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110万円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c r="BU118" s="60" t="n">
        <v>28690</v>
      </c>
      <c r="BV118" s="60" t="n">
        <v>19250</v>
      </c>
      <c r="BW118" s="60" t="n">
        <v>9000</v>
      </c>
      <c r="BX118" s="60" t="n">
        <v>5000</v>
      </c>
      <c r="BY118" s="60" t="n">
        <v>0</v>
      </c>
      <c r="BZ118" s="60" t="inlineStr"/>
      <c r="CA118" s="60" t="inlineStr"/>
    </row>
    <row r="119">
      <c r="A119" s="60" t="n">
        <v>2022</v>
      </c>
      <c r="B119" s="7" t="n">
        <v>12</v>
      </c>
      <c r="C119" s="7" t="n">
        <v>1</v>
      </c>
      <c r="D119" s="7" t="n">
        <v>20</v>
      </c>
      <c r="E119" s="7" t="inlineStr">
        <is>
          <t>なし</t>
        </is>
      </c>
      <c r="F119" s="7" t="inlineStr">
        <is>
          <t>30歳以上</t>
        </is>
      </c>
      <c r="G119" s="7" t="n">
        <v>2018</v>
      </c>
      <c r="H119" s="7" t="n">
        <v>11</v>
      </c>
      <c r="I119" s="7" t="inlineStr">
        <is>
          <t>HE33S</t>
        </is>
      </c>
      <c r="J119" s="7" t="inlineStr">
        <is>
          <t>なし</t>
        </is>
      </c>
      <c r="K119" s="7" t="n">
        <v>1962</v>
      </c>
      <c r="L119" s="15" t="n">
        <v>12</v>
      </c>
      <c r="M119" s="7" t="n">
        <v>1</v>
      </c>
      <c r="N119" s="7" t="inlineStr">
        <is>
          <t>関東</t>
        </is>
      </c>
      <c r="O119" s="7" t="inlineStr">
        <is>
          <t>ブルー</t>
        </is>
      </c>
      <c r="P119" s="7" t="inlineStr">
        <is>
          <t>日常</t>
        </is>
      </c>
      <c r="Q119" s="7" t="n">
        <v>3000</v>
      </c>
      <c r="R119" s="7" t="inlineStr">
        <is>
          <t>30歳以上</t>
        </is>
      </c>
      <c r="S119" s="7" t="inlineStr">
        <is>
          <t>本配</t>
        </is>
      </c>
      <c r="T119" s="7" t="inlineStr">
        <is>
          <t>無制限</t>
        </is>
      </c>
      <c r="U119" s="7" t="inlineStr">
        <is>
          <t>あり</t>
        </is>
      </c>
      <c r="V119" s="7" t="n">
        <v>1000</v>
      </c>
      <c r="W119" s="7" t="inlineStr">
        <is>
          <t>車内外</t>
        </is>
      </c>
      <c r="X119" s="7" t="n">
        <v>5000</v>
      </c>
      <c r="Y119" s="7" t="inlineStr">
        <is>
          <t>一般</t>
        </is>
      </c>
      <c r="Z119" s="7" t="n">
        <v>110</v>
      </c>
      <c r="AA119" s="7" t="inlineStr">
        <is>
          <t>免責金額なし</t>
        </is>
      </c>
      <c r="AB119" s="7" t="inlineStr">
        <is>
          <t>なし</t>
        </is>
      </c>
      <c r="AC119" s="7" t="inlineStr">
        <is>
          <t>なし</t>
        </is>
      </c>
      <c r="AD119" s="7" t="inlineStr">
        <is>
          <t>なし</t>
        </is>
      </c>
      <c r="AE119" s="7" t="inlineStr">
        <is>
          <t>あり</t>
        </is>
      </c>
      <c r="AF119" s="7" t="inlineStr">
        <is>
          <t>なし</t>
        </is>
      </c>
      <c r="AG119" s="7" t="inlineStr">
        <is>
          <t>なし</t>
        </is>
      </c>
      <c r="AH119" s="7" t="inlineStr">
        <is>
          <t>なし</t>
        </is>
      </c>
      <c r="AI119" s="7"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2018(平成30)</t>
        </is>
      </c>
      <c r="AQ119" s="60" t="n">
        <v>11</v>
      </c>
      <c r="AR119" s="60" t="inlineStr">
        <is>
          <t>HE33S</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110万円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c r="BU119" s="60" t="n">
        <v>29580</v>
      </c>
      <c r="BV119" s="60" t="n">
        <v>18900</v>
      </c>
      <c r="BW119" s="60" t="n">
        <v>10000</v>
      </c>
      <c r="BX119" s="60" t="n">
        <v>6000</v>
      </c>
      <c r="BY119" s="60" t="n">
        <v>0</v>
      </c>
      <c r="BZ119" s="60" t="inlineStr"/>
      <c r="CA119" s="60" t="inlineStr"/>
    </row>
    <row r="120">
      <c r="A120" s="60" t="n">
        <v>2022</v>
      </c>
      <c r="B120" s="7" t="n">
        <v>12</v>
      </c>
      <c r="C120" s="7" t="n">
        <v>1</v>
      </c>
      <c r="D120" s="7" t="n">
        <v>20</v>
      </c>
      <c r="E120" s="7" t="inlineStr">
        <is>
          <t>なし</t>
        </is>
      </c>
      <c r="F120" s="7" t="inlineStr">
        <is>
          <t>30歳以上</t>
        </is>
      </c>
      <c r="G120" s="7" t="n">
        <v>2018</v>
      </c>
      <c r="H120" s="7" t="n">
        <v>11</v>
      </c>
      <c r="I120" s="7" t="inlineStr">
        <is>
          <t>HE33S</t>
        </is>
      </c>
      <c r="J120" s="7" t="inlineStr">
        <is>
          <t>なし</t>
        </is>
      </c>
      <c r="K120" s="7" t="n">
        <v>1952</v>
      </c>
      <c r="L120" s="15" t="n">
        <v>12</v>
      </c>
      <c r="M120" s="7" t="n">
        <v>1</v>
      </c>
      <c r="N120" s="7" t="inlineStr">
        <is>
          <t>関東</t>
        </is>
      </c>
      <c r="O120" s="7" t="inlineStr">
        <is>
          <t>ブルー</t>
        </is>
      </c>
      <c r="P120" s="7" t="inlineStr">
        <is>
          <t>日常</t>
        </is>
      </c>
      <c r="Q120" s="7" t="n">
        <v>3000</v>
      </c>
      <c r="R120" s="7" t="inlineStr">
        <is>
          <t>30歳以上</t>
        </is>
      </c>
      <c r="S120" s="7" t="inlineStr">
        <is>
          <t>本配</t>
        </is>
      </c>
      <c r="T120" s="7" t="inlineStr">
        <is>
          <t>無制限</t>
        </is>
      </c>
      <c r="U120" s="7" t="inlineStr">
        <is>
          <t>あり</t>
        </is>
      </c>
      <c r="V120" s="7" t="n">
        <v>1000</v>
      </c>
      <c r="W120" s="7" t="inlineStr">
        <is>
          <t>車内外</t>
        </is>
      </c>
      <c r="X120" s="7" t="n">
        <v>5000</v>
      </c>
      <c r="Y120" s="7" t="inlineStr">
        <is>
          <t>一般</t>
        </is>
      </c>
      <c r="Z120" s="7" t="n">
        <v>110</v>
      </c>
      <c r="AA120" s="7" t="inlineStr">
        <is>
          <t>免責金額なし</t>
        </is>
      </c>
      <c r="AB120" s="7" t="inlineStr">
        <is>
          <t>なし</t>
        </is>
      </c>
      <c r="AC120" s="7" t="inlineStr">
        <is>
          <t>なし</t>
        </is>
      </c>
      <c r="AD120" s="7" t="inlineStr">
        <is>
          <t>なし</t>
        </is>
      </c>
      <c r="AE120" s="7" t="inlineStr">
        <is>
          <t>あり</t>
        </is>
      </c>
      <c r="AF120" s="7" t="inlineStr">
        <is>
          <t>なし</t>
        </is>
      </c>
      <c r="AG120" s="7" t="inlineStr">
        <is>
          <t>なし</t>
        </is>
      </c>
      <c r="AH120" s="7" t="inlineStr">
        <is>
          <t>なし</t>
        </is>
      </c>
      <c r="AI120" s="7"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2018(平成30)</t>
        </is>
      </c>
      <c r="AQ120" s="60" t="n">
        <v>11</v>
      </c>
      <c r="AR120" s="60" t="inlineStr">
        <is>
          <t>HE33S</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110万円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c r="BU120" s="60" t="n">
        <v>33580</v>
      </c>
      <c r="BV120" s="60" t="n">
        <v>22710</v>
      </c>
      <c r="BW120" s="60" t="n">
        <v>13000</v>
      </c>
      <c r="BX120" s="60" t="n">
        <v>6000</v>
      </c>
      <c r="BY120" s="60" t="n">
        <v>0</v>
      </c>
      <c r="BZ120" s="60" t="inlineStr"/>
      <c r="CA120" s="60" t="inlineStr"/>
    </row>
    <row r="121">
      <c r="A121" s="60" t="n">
        <v>2022</v>
      </c>
      <c r="B121" s="7" t="n">
        <v>12</v>
      </c>
      <c r="C121" s="7" t="n">
        <v>1</v>
      </c>
      <c r="D121" s="7" t="n">
        <v>20</v>
      </c>
      <c r="E121" s="7" t="inlineStr">
        <is>
          <t>なし</t>
        </is>
      </c>
      <c r="F121" s="7" t="inlineStr">
        <is>
          <t>30歳以上</t>
        </is>
      </c>
      <c r="G121" s="7" t="n">
        <v>2018</v>
      </c>
      <c r="H121" s="7" t="n">
        <v>11</v>
      </c>
      <c r="I121" s="7" t="inlineStr">
        <is>
          <t>HE33S</t>
        </is>
      </c>
      <c r="J121" s="7" t="inlineStr">
        <is>
          <t>なし</t>
        </is>
      </c>
      <c r="K121" s="7" t="n">
        <v>1992</v>
      </c>
      <c r="L121" s="15" t="n">
        <v>12</v>
      </c>
      <c r="M121" s="7" t="n">
        <v>1</v>
      </c>
      <c r="N121" s="7" t="inlineStr">
        <is>
          <t>関東</t>
        </is>
      </c>
      <c r="O121" s="7" t="inlineStr">
        <is>
          <t>ブルー</t>
        </is>
      </c>
      <c r="P121" s="7" t="inlineStr">
        <is>
          <t>日常</t>
        </is>
      </c>
      <c r="Q121" s="7" t="n">
        <v>7000</v>
      </c>
      <c r="R121" s="7" t="inlineStr">
        <is>
          <t>30歳以上</t>
        </is>
      </c>
      <c r="S121" s="7" t="inlineStr">
        <is>
          <t>本配</t>
        </is>
      </c>
      <c r="T121" s="7" t="inlineStr">
        <is>
          <t>無制限</t>
        </is>
      </c>
      <c r="U121" s="7" t="inlineStr">
        <is>
          <t>あり</t>
        </is>
      </c>
      <c r="V121" s="7" t="n">
        <v>1000</v>
      </c>
      <c r="W121" s="7" t="inlineStr">
        <is>
          <t>車内外</t>
        </is>
      </c>
      <c r="X121" s="7" t="n">
        <v>5000</v>
      </c>
      <c r="Y121" s="7" t="inlineStr">
        <is>
          <t>一般</t>
        </is>
      </c>
      <c r="Z121" s="7" t="n">
        <v>110</v>
      </c>
      <c r="AA121" s="7" t="inlineStr">
        <is>
          <t>免責金額なし</t>
        </is>
      </c>
      <c r="AB121" s="7" t="inlineStr">
        <is>
          <t>なし</t>
        </is>
      </c>
      <c r="AC121" s="7" t="inlineStr">
        <is>
          <t>なし</t>
        </is>
      </c>
      <c r="AD121" s="7" t="inlineStr">
        <is>
          <t>なし</t>
        </is>
      </c>
      <c r="AE121" s="7" t="inlineStr">
        <is>
          <t>あり</t>
        </is>
      </c>
      <c r="AF121" s="7" t="inlineStr">
        <is>
          <t>なし</t>
        </is>
      </c>
      <c r="AG121" s="7" t="inlineStr">
        <is>
          <t>なし</t>
        </is>
      </c>
      <c r="AH121" s="7" t="inlineStr">
        <is>
          <t>なし</t>
        </is>
      </c>
      <c r="AI121" s="7"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2018(平成30)</t>
        </is>
      </c>
      <c r="AQ121" s="60" t="n">
        <v>11</v>
      </c>
      <c r="AR121" s="60" t="inlineStr">
        <is>
          <t>HE33S</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110万円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c r="BU121" s="60" t="n">
        <v>32320</v>
      </c>
      <c r="BV121" s="60" t="n">
        <v>21830</v>
      </c>
      <c r="BW121" s="60" t="n">
        <v>10000</v>
      </c>
      <c r="BX121" s="60" t="n">
        <v>6000</v>
      </c>
      <c r="BY121" s="60" t="n">
        <v>0</v>
      </c>
      <c r="BZ121" s="60" t="inlineStr"/>
      <c r="CA121" s="60" t="inlineStr"/>
    </row>
    <row r="122">
      <c r="A122" s="60" t="n">
        <v>2022</v>
      </c>
      <c r="B122" s="7" t="n">
        <v>12</v>
      </c>
      <c r="C122" s="7" t="n">
        <v>1</v>
      </c>
      <c r="D122" s="7" t="n">
        <v>20</v>
      </c>
      <c r="E122" s="7" t="inlineStr">
        <is>
          <t>なし</t>
        </is>
      </c>
      <c r="F122" s="7" t="inlineStr">
        <is>
          <t>30歳以上</t>
        </is>
      </c>
      <c r="G122" s="7" t="n">
        <v>2018</v>
      </c>
      <c r="H122" s="7" t="n">
        <v>11</v>
      </c>
      <c r="I122" s="7" t="inlineStr">
        <is>
          <t>HE33S</t>
        </is>
      </c>
      <c r="J122" s="7" t="inlineStr">
        <is>
          <t>なし</t>
        </is>
      </c>
      <c r="K122" s="7" t="n">
        <v>1987</v>
      </c>
      <c r="L122" s="15" t="n">
        <v>12</v>
      </c>
      <c r="M122" s="7" t="n">
        <v>1</v>
      </c>
      <c r="N122" s="7" t="inlineStr">
        <is>
          <t>関東</t>
        </is>
      </c>
      <c r="O122" s="7" t="inlineStr">
        <is>
          <t>ブルー</t>
        </is>
      </c>
      <c r="P122" s="7" t="inlineStr">
        <is>
          <t>日常</t>
        </is>
      </c>
      <c r="Q122" s="7" t="n">
        <v>7000</v>
      </c>
      <c r="R122" s="7" t="inlineStr">
        <is>
          <t>30歳以上</t>
        </is>
      </c>
      <c r="S122" s="7" t="inlineStr">
        <is>
          <t>本配</t>
        </is>
      </c>
      <c r="T122" s="7" t="inlineStr">
        <is>
          <t>無制限</t>
        </is>
      </c>
      <c r="U122" s="7" t="inlineStr">
        <is>
          <t>あり</t>
        </is>
      </c>
      <c r="V122" s="7" t="n">
        <v>1000</v>
      </c>
      <c r="W122" s="7" t="inlineStr">
        <is>
          <t>車内外</t>
        </is>
      </c>
      <c r="X122" s="7" t="n">
        <v>5000</v>
      </c>
      <c r="Y122" s="7" t="inlineStr">
        <is>
          <t>一般</t>
        </is>
      </c>
      <c r="Z122" s="7" t="n">
        <v>110</v>
      </c>
      <c r="AA122" s="7" t="inlineStr">
        <is>
          <t>免責金額なし</t>
        </is>
      </c>
      <c r="AB122" s="7" t="inlineStr">
        <is>
          <t>なし</t>
        </is>
      </c>
      <c r="AC122" s="7" t="inlineStr">
        <is>
          <t>なし</t>
        </is>
      </c>
      <c r="AD122" s="7" t="inlineStr">
        <is>
          <t>なし</t>
        </is>
      </c>
      <c r="AE122" s="7" t="inlineStr">
        <is>
          <t>あり</t>
        </is>
      </c>
      <c r="AF122" s="7" t="inlineStr">
        <is>
          <t>なし</t>
        </is>
      </c>
      <c r="AG122" s="7" t="inlineStr">
        <is>
          <t>なし</t>
        </is>
      </c>
      <c r="AH122" s="7" t="inlineStr">
        <is>
          <t>なし</t>
        </is>
      </c>
      <c r="AI122" s="7"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2018(平成30)</t>
        </is>
      </c>
      <c r="AQ122" s="60" t="n">
        <v>11</v>
      </c>
      <c r="AR122" s="60" t="inlineStr">
        <is>
          <t>HE33S</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110万円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c r="BU122" s="60" t="n">
        <v>32200</v>
      </c>
      <c r="BV122" s="60" t="n">
        <v>21800</v>
      </c>
      <c r="BW122" s="60" t="n">
        <v>10000</v>
      </c>
      <c r="BX122" s="60" t="n">
        <v>6000</v>
      </c>
      <c r="BY122" s="60" t="n">
        <v>0</v>
      </c>
      <c r="BZ122" s="60" t="inlineStr"/>
      <c r="CA122" s="60" t="inlineStr"/>
    </row>
    <row r="123">
      <c r="A123" s="60" t="n">
        <v>2022</v>
      </c>
      <c r="B123" s="7" t="n">
        <v>12</v>
      </c>
      <c r="C123" s="7" t="n">
        <v>1</v>
      </c>
      <c r="D123" s="7" t="n">
        <v>20</v>
      </c>
      <c r="E123" s="7" t="inlineStr">
        <is>
          <t>なし</t>
        </is>
      </c>
      <c r="F123" s="7" t="inlineStr">
        <is>
          <t>30歳以上</t>
        </is>
      </c>
      <c r="G123" s="7" t="n">
        <v>2018</v>
      </c>
      <c r="H123" s="7" t="n">
        <v>11</v>
      </c>
      <c r="I123" s="7" t="inlineStr">
        <is>
          <t>HE33S</t>
        </is>
      </c>
      <c r="J123" s="7" t="inlineStr">
        <is>
          <t>なし</t>
        </is>
      </c>
      <c r="K123" s="7" t="n">
        <v>1982</v>
      </c>
      <c r="L123" s="15" t="n">
        <v>12</v>
      </c>
      <c r="M123" s="7" t="n">
        <v>1</v>
      </c>
      <c r="N123" s="7" t="inlineStr">
        <is>
          <t>関東</t>
        </is>
      </c>
      <c r="O123" s="7" t="inlineStr">
        <is>
          <t>ブルー</t>
        </is>
      </c>
      <c r="P123" s="7" t="inlineStr">
        <is>
          <t>日常</t>
        </is>
      </c>
      <c r="Q123" s="7" t="n">
        <v>7000</v>
      </c>
      <c r="R123" s="7" t="inlineStr">
        <is>
          <t>30歳以上</t>
        </is>
      </c>
      <c r="S123" s="7" t="inlineStr">
        <is>
          <t>本配</t>
        </is>
      </c>
      <c r="T123" s="7" t="inlineStr">
        <is>
          <t>無制限</t>
        </is>
      </c>
      <c r="U123" s="7" t="inlineStr">
        <is>
          <t>あり</t>
        </is>
      </c>
      <c r="V123" s="7" t="n">
        <v>1000</v>
      </c>
      <c r="W123" s="7" t="inlineStr">
        <is>
          <t>車内外</t>
        </is>
      </c>
      <c r="X123" s="7" t="n">
        <v>5000</v>
      </c>
      <c r="Y123" s="7" t="inlineStr">
        <is>
          <t>一般</t>
        </is>
      </c>
      <c r="Z123" s="7" t="n">
        <v>110</v>
      </c>
      <c r="AA123" s="7" t="inlineStr">
        <is>
          <t>免責金額なし</t>
        </is>
      </c>
      <c r="AB123" s="7" t="inlineStr">
        <is>
          <t>なし</t>
        </is>
      </c>
      <c r="AC123" s="7" t="inlineStr">
        <is>
          <t>なし</t>
        </is>
      </c>
      <c r="AD123" s="7" t="inlineStr">
        <is>
          <t>なし</t>
        </is>
      </c>
      <c r="AE123" s="7" t="inlineStr">
        <is>
          <t>あり</t>
        </is>
      </c>
      <c r="AF123" s="7" t="inlineStr">
        <is>
          <t>なし</t>
        </is>
      </c>
      <c r="AG123" s="7" t="inlineStr">
        <is>
          <t>なし</t>
        </is>
      </c>
      <c r="AH123" s="7" t="inlineStr">
        <is>
          <t>なし</t>
        </is>
      </c>
      <c r="AI123" s="7"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2018(平成30)</t>
        </is>
      </c>
      <c r="AQ123" s="60" t="n">
        <v>11</v>
      </c>
      <c r="AR123" s="60" t="inlineStr">
        <is>
          <t>HE33S</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110万円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c r="BU123" s="60" t="n">
        <v>32580</v>
      </c>
      <c r="BV123" s="60" t="n">
        <v>22100</v>
      </c>
      <c r="BW123" s="60" t="n">
        <v>10000</v>
      </c>
      <c r="BX123" s="60" t="n">
        <v>6000</v>
      </c>
      <c r="BY123" s="60" t="n">
        <v>0</v>
      </c>
      <c r="BZ123" s="60" t="inlineStr"/>
      <c r="CA123" s="60" t="inlineStr"/>
    </row>
    <row r="124">
      <c r="A124" s="60" t="n">
        <v>2022</v>
      </c>
      <c r="B124" s="7" t="n">
        <v>12</v>
      </c>
      <c r="C124" s="7" t="n">
        <v>1</v>
      </c>
      <c r="D124" s="7" t="n">
        <v>20</v>
      </c>
      <c r="E124" s="7" t="inlineStr">
        <is>
          <t>なし</t>
        </is>
      </c>
      <c r="F124" s="7" t="inlineStr">
        <is>
          <t>30歳以上</t>
        </is>
      </c>
      <c r="G124" s="7" t="n">
        <v>2018</v>
      </c>
      <c r="H124" s="7" t="n">
        <v>11</v>
      </c>
      <c r="I124" s="7" t="inlineStr">
        <is>
          <t>HE33S</t>
        </is>
      </c>
      <c r="J124" s="7" t="inlineStr">
        <is>
          <t>なし</t>
        </is>
      </c>
      <c r="K124" s="7" t="n">
        <v>1977</v>
      </c>
      <c r="L124" s="15" t="n">
        <v>12</v>
      </c>
      <c r="M124" s="7" t="n">
        <v>1</v>
      </c>
      <c r="N124" s="7" t="inlineStr">
        <is>
          <t>関東</t>
        </is>
      </c>
      <c r="O124" s="7" t="inlineStr">
        <is>
          <t>ブルー</t>
        </is>
      </c>
      <c r="P124" s="7" t="inlineStr">
        <is>
          <t>日常</t>
        </is>
      </c>
      <c r="Q124" s="7" t="n">
        <v>7000</v>
      </c>
      <c r="R124" s="7" t="inlineStr">
        <is>
          <t>30歳以上</t>
        </is>
      </c>
      <c r="S124" s="7" t="inlineStr">
        <is>
          <t>本配</t>
        </is>
      </c>
      <c r="T124" s="7" t="inlineStr">
        <is>
          <t>無制限</t>
        </is>
      </c>
      <c r="U124" s="7" t="inlineStr">
        <is>
          <t>あり</t>
        </is>
      </c>
      <c r="V124" s="7" t="n">
        <v>1000</v>
      </c>
      <c r="W124" s="7" t="inlineStr">
        <is>
          <t>車内外</t>
        </is>
      </c>
      <c r="X124" s="7" t="n">
        <v>5000</v>
      </c>
      <c r="Y124" s="7" t="inlineStr">
        <is>
          <t>一般</t>
        </is>
      </c>
      <c r="Z124" s="7" t="n">
        <v>110</v>
      </c>
      <c r="AA124" s="7" t="inlineStr">
        <is>
          <t>免責金額なし</t>
        </is>
      </c>
      <c r="AB124" s="7" t="inlineStr">
        <is>
          <t>なし</t>
        </is>
      </c>
      <c r="AC124" s="7" t="inlineStr">
        <is>
          <t>なし</t>
        </is>
      </c>
      <c r="AD124" s="7" t="inlineStr">
        <is>
          <t>なし</t>
        </is>
      </c>
      <c r="AE124" s="7" t="inlineStr">
        <is>
          <t>あり</t>
        </is>
      </c>
      <c r="AF124" s="7" t="inlineStr">
        <is>
          <t>なし</t>
        </is>
      </c>
      <c r="AG124" s="7" t="inlineStr">
        <is>
          <t>なし</t>
        </is>
      </c>
      <c r="AH124" s="7" t="inlineStr">
        <is>
          <t>なし</t>
        </is>
      </c>
      <c r="AI124" s="7"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2018(平成30)</t>
        </is>
      </c>
      <c r="AQ124" s="60" t="n">
        <v>11</v>
      </c>
      <c r="AR124" s="60" t="inlineStr">
        <is>
          <t>HE33S</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110万円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c r="BU124" s="60" t="n">
        <v>33180</v>
      </c>
      <c r="BV124" s="60" t="n">
        <v>22160</v>
      </c>
      <c r="BW124" s="60" t="n">
        <v>10000</v>
      </c>
      <c r="BX124" s="60" t="n">
        <v>6000</v>
      </c>
      <c r="BY124" s="60" t="n">
        <v>0</v>
      </c>
      <c r="BZ124" s="60" t="inlineStr"/>
      <c r="CA124" s="60" t="inlineStr"/>
    </row>
    <row r="125">
      <c r="A125" s="60" t="n">
        <v>2022</v>
      </c>
      <c r="B125" s="7" t="n">
        <v>12</v>
      </c>
      <c r="C125" s="7" t="n">
        <v>1</v>
      </c>
      <c r="D125" s="7" t="n">
        <v>20</v>
      </c>
      <c r="E125" s="7" t="inlineStr">
        <is>
          <t>なし</t>
        </is>
      </c>
      <c r="F125" s="7" t="inlineStr">
        <is>
          <t>30歳以上</t>
        </is>
      </c>
      <c r="G125" s="7" t="n">
        <v>2018</v>
      </c>
      <c r="H125" s="7" t="n">
        <v>11</v>
      </c>
      <c r="I125" s="7" t="inlineStr">
        <is>
          <t>HE33S</t>
        </is>
      </c>
      <c r="J125" s="7" t="inlineStr">
        <is>
          <t>なし</t>
        </is>
      </c>
      <c r="K125" s="7" t="n">
        <v>1972</v>
      </c>
      <c r="L125" s="15" t="n">
        <v>12</v>
      </c>
      <c r="M125" s="7" t="n">
        <v>1</v>
      </c>
      <c r="N125" s="7" t="inlineStr">
        <is>
          <t>関東</t>
        </is>
      </c>
      <c r="O125" s="7" t="inlineStr">
        <is>
          <t>ブルー</t>
        </is>
      </c>
      <c r="P125" s="7" t="inlineStr">
        <is>
          <t>日常</t>
        </is>
      </c>
      <c r="Q125" s="7" t="n">
        <v>7000</v>
      </c>
      <c r="R125" s="7" t="inlineStr">
        <is>
          <t>30歳以上</t>
        </is>
      </c>
      <c r="S125" s="7" t="inlineStr">
        <is>
          <t>本配</t>
        </is>
      </c>
      <c r="T125" s="7" t="inlineStr">
        <is>
          <t>無制限</t>
        </is>
      </c>
      <c r="U125" s="7" t="inlineStr">
        <is>
          <t>あり</t>
        </is>
      </c>
      <c r="V125" s="7" t="n">
        <v>1000</v>
      </c>
      <c r="W125" s="7" t="inlineStr">
        <is>
          <t>車内外</t>
        </is>
      </c>
      <c r="X125" s="7" t="n">
        <v>5000</v>
      </c>
      <c r="Y125" s="7" t="inlineStr">
        <is>
          <t>一般</t>
        </is>
      </c>
      <c r="Z125" s="7" t="n">
        <v>110</v>
      </c>
      <c r="AA125" s="7" t="inlineStr">
        <is>
          <t>免責金額なし</t>
        </is>
      </c>
      <c r="AB125" s="7" t="inlineStr">
        <is>
          <t>なし</t>
        </is>
      </c>
      <c r="AC125" s="7" t="inlineStr">
        <is>
          <t>なし</t>
        </is>
      </c>
      <c r="AD125" s="7" t="inlineStr">
        <is>
          <t>なし</t>
        </is>
      </c>
      <c r="AE125" s="7" t="inlineStr">
        <is>
          <t>あり</t>
        </is>
      </c>
      <c r="AF125" s="7" t="inlineStr">
        <is>
          <t>なし</t>
        </is>
      </c>
      <c r="AG125" s="7" t="inlineStr">
        <is>
          <t>なし</t>
        </is>
      </c>
      <c r="AH125" s="7" t="inlineStr">
        <is>
          <t>なし</t>
        </is>
      </c>
      <c r="AI125" s="7"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2018(平成30)</t>
        </is>
      </c>
      <c r="AQ125" s="60" t="n">
        <v>11</v>
      </c>
      <c r="AR125" s="60" t="inlineStr">
        <is>
          <t>HE33S</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110万円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c r="BU125" s="60" t="n">
        <v>33340</v>
      </c>
      <c r="BV125" s="60" t="n">
        <v>22030</v>
      </c>
      <c r="BW125" s="60" t="n">
        <v>10000</v>
      </c>
      <c r="BX125" s="60" t="n">
        <v>6000</v>
      </c>
      <c r="BY125" s="60" t="n">
        <v>0</v>
      </c>
      <c r="BZ125" s="60" t="inlineStr"/>
      <c r="CA125" s="60" t="inlineStr"/>
    </row>
    <row r="126">
      <c r="A126" s="60" t="n">
        <v>2022</v>
      </c>
      <c r="B126" s="7" t="n">
        <v>12</v>
      </c>
      <c r="C126" s="7" t="n">
        <v>1</v>
      </c>
      <c r="D126" s="7" t="n">
        <v>20</v>
      </c>
      <c r="E126" s="7" t="inlineStr">
        <is>
          <t>なし</t>
        </is>
      </c>
      <c r="F126" s="7" t="inlineStr">
        <is>
          <t>30歳以上</t>
        </is>
      </c>
      <c r="G126" s="7" t="n">
        <v>2018</v>
      </c>
      <c r="H126" s="7" t="n">
        <v>11</v>
      </c>
      <c r="I126" s="7" t="inlineStr">
        <is>
          <t>HE33S</t>
        </is>
      </c>
      <c r="J126" s="7" t="inlineStr">
        <is>
          <t>なし</t>
        </is>
      </c>
      <c r="K126" s="7" t="n">
        <v>1962</v>
      </c>
      <c r="L126" s="15" t="n">
        <v>12</v>
      </c>
      <c r="M126" s="7" t="n">
        <v>1</v>
      </c>
      <c r="N126" s="7" t="inlineStr">
        <is>
          <t>関東</t>
        </is>
      </c>
      <c r="O126" s="7" t="inlineStr">
        <is>
          <t>ブルー</t>
        </is>
      </c>
      <c r="P126" s="7" t="inlineStr">
        <is>
          <t>日常</t>
        </is>
      </c>
      <c r="Q126" s="7" t="n">
        <v>7000</v>
      </c>
      <c r="R126" s="7" t="inlineStr">
        <is>
          <t>30歳以上</t>
        </is>
      </c>
      <c r="S126" s="7" t="inlineStr">
        <is>
          <t>本配</t>
        </is>
      </c>
      <c r="T126" s="7" t="inlineStr">
        <is>
          <t>無制限</t>
        </is>
      </c>
      <c r="U126" s="7" t="inlineStr">
        <is>
          <t>あり</t>
        </is>
      </c>
      <c r="V126" s="7" t="n">
        <v>1000</v>
      </c>
      <c r="W126" s="7" t="inlineStr">
        <is>
          <t>車内外</t>
        </is>
      </c>
      <c r="X126" s="7" t="n">
        <v>5000</v>
      </c>
      <c r="Y126" s="7" t="inlineStr">
        <is>
          <t>一般</t>
        </is>
      </c>
      <c r="Z126" s="7" t="n">
        <v>110</v>
      </c>
      <c r="AA126" s="7" t="inlineStr">
        <is>
          <t>免責金額なし</t>
        </is>
      </c>
      <c r="AB126" s="7" t="inlineStr">
        <is>
          <t>なし</t>
        </is>
      </c>
      <c r="AC126" s="7" t="inlineStr">
        <is>
          <t>なし</t>
        </is>
      </c>
      <c r="AD126" s="7" t="inlineStr">
        <is>
          <t>なし</t>
        </is>
      </c>
      <c r="AE126" s="7" t="inlineStr">
        <is>
          <t>あり</t>
        </is>
      </c>
      <c r="AF126" s="7" t="inlineStr">
        <is>
          <t>なし</t>
        </is>
      </c>
      <c r="AG126" s="7" t="inlineStr">
        <is>
          <t>なし</t>
        </is>
      </c>
      <c r="AH126" s="7" t="inlineStr">
        <is>
          <t>なし</t>
        </is>
      </c>
      <c r="AI126" s="7"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2018(平成30)</t>
        </is>
      </c>
      <c r="AQ126" s="60" t="n">
        <v>11</v>
      </c>
      <c r="AR126" s="60" t="inlineStr">
        <is>
          <t>HE33S</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110万円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c r="BU126" s="60" t="inlineStr">
        <is>
          <t>E</t>
        </is>
      </c>
      <c r="BV126" s="60"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chrome=107.0.5304.88)
Stacktrace:
Backtrace:
	Ordinal0 [0x007CACD3+2075859]
	Ordinal0 [0x0075EE61+1633889]
	Ordinal0 [0x0065B7BD+571325]
	Ordinal0 [0x0068AC2F+764975]
	Ordinal0 [0x0068AE1B+765467]
	Ordinal0 [0x006BD0F2+970994]
	Ordinal0 [0x006A7364+881508]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26" s="60" t="n"/>
      <c r="BX126" s="60" t="n"/>
      <c r="BY126" s="60" t="n"/>
      <c r="BZ126" s="60" t="inlineStr"/>
      <c r="CA126" s="60" t="inlineStr"/>
    </row>
    <row r="127">
      <c r="A127" s="60" t="n">
        <v>2022</v>
      </c>
      <c r="B127" s="7" t="n">
        <v>12</v>
      </c>
      <c r="C127" s="7" t="n">
        <v>1</v>
      </c>
      <c r="D127" s="7" t="n">
        <v>20</v>
      </c>
      <c r="E127" s="7" t="inlineStr">
        <is>
          <t>なし</t>
        </is>
      </c>
      <c r="F127" s="7" t="inlineStr">
        <is>
          <t>30歳以上</t>
        </is>
      </c>
      <c r="G127" s="7" t="n">
        <v>2018</v>
      </c>
      <c r="H127" s="7" t="n">
        <v>11</v>
      </c>
      <c r="I127" s="7" t="inlineStr">
        <is>
          <t>HE33S</t>
        </is>
      </c>
      <c r="J127" s="7" t="inlineStr">
        <is>
          <t>なし</t>
        </is>
      </c>
      <c r="K127" s="7" t="n">
        <v>1952</v>
      </c>
      <c r="L127" s="15" t="n">
        <v>12</v>
      </c>
      <c r="M127" s="7" t="n">
        <v>1</v>
      </c>
      <c r="N127" s="7" t="inlineStr">
        <is>
          <t>関東</t>
        </is>
      </c>
      <c r="O127" s="7" t="inlineStr">
        <is>
          <t>ブルー</t>
        </is>
      </c>
      <c r="P127" s="7" t="inlineStr">
        <is>
          <t>日常</t>
        </is>
      </c>
      <c r="Q127" s="7" t="n">
        <v>7000</v>
      </c>
      <c r="R127" s="7" t="inlineStr">
        <is>
          <t>30歳以上</t>
        </is>
      </c>
      <c r="S127" s="7" t="inlineStr">
        <is>
          <t>本配</t>
        </is>
      </c>
      <c r="T127" s="7" t="inlineStr">
        <is>
          <t>無制限</t>
        </is>
      </c>
      <c r="U127" s="7" t="inlineStr">
        <is>
          <t>あり</t>
        </is>
      </c>
      <c r="V127" s="7" t="n">
        <v>1000</v>
      </c>
      <c r="W127" s="7" t="inlineStr">
        <is>
          <t>車内外</t>
        </is>
      </c>
      <c r="X127" s="7" t="n">
        <v>5000</v>
      </c>
      <c r="Y127" s="7" t="inlineStr">
        <is>
          <t>一般</t>
        </is>
      </c>
      <c r="Z127" s="7" t="n">
        <v>110</v>
      </c>
      <c r="AA127" s="7" t="inlineStr">
        <is>
          <t>免責金額なし</t>
        </is>
      </c>
      <c r="AB127" s="7" t="inlineStr">
        <is>
          <t>なし</t>
        </is>
      </c>
      <c r="AC127" s="7" t="inlineStr">
        <is>
          <t>なし</t>
        </is>
      </c>
      <c r="AD127" s="7" t="inlineStr">
        <is>
          <t>なし</t>
        </is>
      </c>
      <c r="AE127" s="7" t="inlineStr">
        <is>
          <t>あり</t>
        </is>
      </c>
      <c r="AF127" s="7" t="inlineStr">
        <is>
          <t>なし</t>
        </is>
      </c>
      <c r="AG127" s="7" t="inlineStr">
        <is>
          <t>なし</t>
        </is>
      </c>
      <c r="AH127" s="7" t="inlineStr">
        <is>
          <t>なし</t>
        </is>
      </c>
      <c r="AI127" s="7"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2018(平成30)</t>
        </is>
      </c>
      <c r="AQ127" s="60" t="n">
        <v>11</v>
      </c>
      <c r="AR127" s="60" t="inlineStr">
        <is>
          <t>HE33S</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110万円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c r="BU127" s="60" t="n">
        <v>40900</v>
      </c>
      <c r="BV127" s="60" t="n">
        <v>24470</v>
      </c>
      <c r="BW127" s="60" t="n">
        <v>13000</v>
      </c>
      <c r="BX127" s="60" t="n">
        <v>9000</v>
      </c>
      <c r="BY127" s="60" t="n">
        <v>0</v>
      </c>
      <c r="BZ127" s="60" t="inlineStr"/>
      <c r="CA127" s="60" t="inlineStr"/>
    </row>
    <row r="128">
      <c r="A128" s="60" t="n">
        <v>2022</v>
      </c>
      <c r="B128" s="7" t="n">
        <v>12</v>
      </c>
      <c r="C128" s="7" t="n">
        <v>1</v>
      </c>
      <c r="D128" s="7" t="n">
        <v>20</v>
      </c>
      <c r="E128" s="7" t="inlineStr">
        <is>
          <t>なし</t>
        </is>
      </c>
      <c r="F128" s="7" t="inlineStr">
        <is>
          <t>30歳以上</t>
        </is>
      </c>
      <c r="G128" s="7" t="n">
        <v>2018</v>
      </c>
      <c r="H128" s="7" t="n">
        <v>11</v>
      </c>
      <c r="I128" s="7" t="inlineStr">
        <is>
          <t>HE33S</t>
        </is>
      </c>
      <c r="J128" s="7" t="inlineStr">
        <is>
          <t>なし</t>
        </is>
      </c>
      <c r="K128" s="7" t="n">
        <v>1992</v>
      </c>
      <c r="L128" s="15" t="n">
        <v>12</v>
      </c>
      <c r="M128" s="7" t="n">
        <v>1</v>
      </c>
      <c r="N128" s="7" t="inlineStr">
        <is>
          <t>関東</t>
        </is>
      </c>
      <c r="O128" s="7" t="inlineStr">
        <is>
          <t>ブルー</t>
        </is>
      </c>
      <c r="P128" s="7" t="inlineStr">
        <is>
          <t>通勤</t>
        </is>
      </c>
      <c r="Q128" s="7" t="n">
        <v>3000</v>
      </c>
      <c r="R128" s="7" t="inlineStr">
        <is>
          <t>30歳以上</t>
        </is>
      </c>
      <c r="S128" s="7" t="inlineStr">
        <is>
          <t>本配</t>
        </is>
      </c>
      <c r="T128" s="7" t="inlineStr">
        <is>
          <t>無制限</t>
        </is>
      </c>
      <c r="U128" s="7" t="inlineStr">
        <is>
          <t>あり</t>
        </is>
      </c>
      <c r="V128" s="7" t="n">
        <v>1000</v>
      </c>
      <c r="W128" s="7" t="inlineStr">
        <is>
          <t>車内外</t>
        </is>
      </c>
      <c r="X128" s="7" t="n">
        <v>5000</v>
      </c>
      <c r="Y128" s="7" t="inlineStr">
        <is>
          <t>一般</t>
        </is>
      </c>
      <c r="Z128" s="7" t="n">
        <v>110</v>
      </c>
      <c r="AA128" s="7" t="inlineStr">
        <is>
          <t>免責金額なし</t>
        </is>
      </c>
      <c r="AB128" s="7" t="inlineStr">
        <is>
          <t>なし</t>
        </is>
      </c>
      <c r="AC128" s="7" t="inlineStr">
        <is>
          <t>なし</t>
        </is>
      </c>
      <c r="AD128" s="7" t="inlineStr">
        <is>
          <t>なし</t>
        </is>
      </c>
      <c r="AE128" s="7" t="inlineStr">
        <is>
          <t>あり</t>
        </is>
      </c>
      <c r="AF128" s="7" t="inlineStr">
        <is>
          <t>なし</t>
        </is>
      </c>
      <c r="AG128" s="7" t="inlineStr">
        <is>
          <t>なし</t>
        </is>
      </c>
      <c r="AH128" s="7" t="inlineStr">
        <is>
          <t>なし</t>
        </is>
      </c>
      <c r="AI128" s="7"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2018(平成30)</t>
        </is>
      </c>
      <c r="AQ128" s="60" t="n">
        <v>11</v>
      </c>
      <c r="AR128" s="60" t="inlineStr">
        <is>
          <t>HE33S</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110万円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c r="BU128" s="60" t="n">
        <v>32710</v>
      </c>
      <c r="BV128" s="60" t="n">
        <v>22970</v>
      </c>
      <c r="BW128" s="60" t="n">
        <v>13000</v>
      </c>
      <c r="BX128" s="60" t="n">
        <v>6000</v>
      </c>
      <c r="BY128" s="60" t="n">
        <v>0</v>
      </c>
      <c r="BZ128" s="60" t="inlineStr"/>
      <c r="CA128" s="60" t="inlineStr"/>
    </row>
    <row r="129">
      <c r="A129" s="60" t="n">
        <v>2022</v>
      </c>
      <c r="B129" s="7" t="n">
        <v>12</v>
      </c>
      <c r="C129" s="7" t="n">
        <v>1</v>
      </c>
      <c r="D129" s="7" t="n">
        <v>20</v>
      </c>
      <c r="E129" s="7" t="inlineStr">
        <is>
          <t>なし</t>
        </is>
      </c>
      <c r="F129" s="7" t="inlineStr">
        <is>
          <t>30歳以上</t>
        </is>
      </c>
      <c r="G129" s="7" t="n">
        <v>2018</v>
      </c>
      <c r="H129" s="7" t="n">
        <v>11</v>
      </c>
      <c r="I129" s="7" t="inlineStr">
        <is>
          <t>HE33S</t>
        </is>
      </c>
      <c r="J129" s="7" t="inlineStr">
        <is>
          <t>なし</t>
        </is>
      </c>
      <c r="K129" s="7" t="n">
        <v>1987</v>
      </c>
      <c r="L129" s="15" t="n">
        <v>12</v>
      </c>
      <c r="M129" s="7" t="n">
        <v>1</v>
      </c>
      <c r="N129" s="7" t="inlineStr">
        <is>
          <t>関東</t>
        </is>
      </c>
      <c r="O129" s="7" t="inlineStr">
        <is>
          <t>ブルー</t>
        </is>
      </c>
      <c r="P129" s="7" t="inlineStr">
        <is>
          <t>通勤</t>
        </is>
      </c>
      <c r="Q129" s="7" t="n">
        <v>3000</v>
      </c>
      <c r="R129" s="7" t="inlineStr">
        <is>
          <t>30歳以上</t>
        </is>
      </c>
      <c r="S129" s="7" t="inlineStr">
        <is>
          <t>本配</t>
        </is>
      </c>
      <c r="T129" s="7" t="inlineStr">
        <is>
          <t>無制限</t>
        </is>
      </c>
      <c r="U129" s="7" t="inlineStr">
        <is>
          <t>あり</t>
        </is>
      </c>
      <c r="V129" s="7" t="n">
        <v>1000</v>
      </c>
      <c r="W129" s="7" t="inlineStr">
        <is>
          <t>車内外</t>
        </is>
      </c>
      <c r="X129" s="7" t="n">
        <v>5000</v>
      </c>
      <c r="Y129" s="7" t="inlineStr">
        <is>
          <t>一般</t>
        </is>
      </c>
      <c r="Z129" s="7" t="n">
        <v>110</v>
      </c>
      <c r="AA129" s="7" t="inlineStr">
        <is>
          <t>免責金額なし</t>
        </is>
      </c>
      <c r="AB129" s="7" t="inlineStr">
        <is>
          <t>なし</t>
        </is>
      </c>
      <c r="AC129" s="7" t="inlineStr">
        <is>
          <t>なし</t>
        </is>
      </c>
      <c r="AD129" s="7" t="inlineStr">
        <is>
          <t>なし</t>
        </is>
      </c>
      <c r="AE129" s="7" t="inlineStr">
        <is>
          <t>あり</t>
        </is>
      </c>
      <c r="AF129" s="7" t="inlineStr">
        <is>
          <t>なし</t>
        </is>
      </c>
      <c r="AG129" s="7" t="inlineStr">
        <is>
          <t>なし</t>
        </is>
      </c>
      <c r="AH129" s="7" t="inlineStr">
        <is>
          <t>なし</t>
        </is>
      </c>
      <c r="AI129" s="7"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2018(平成30)</t>
        </is>
      </c>
      <c r="AQ129" s="60" t="n">
        <v>11</v>
      </c>
      <c r="AR129" s="60" t="inlineStr">
        <is>
          <t>HE33S</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110万円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c r="BU129" s="60" t="n">
        <v>32520</v>
      </c>
      <c r="BV129" s="60" t="n">
        <v>22890</v>
      </c>
      <c r="BW129" s="60" t="n">
        <v>13000</v>
      </c>
      <c r="BX129" s="60" t="n">
        <v>6000</v>
      </c>
      <c r="BY129" s="60" t="n">
        <v>0</v>
      </c>
      <c r="BZ129" s="60" t="inlineStr"/>
      <c r="CA129" s="60" t="inlineStr"/>
    </row>
    <row r="130">
      <c r="A130" s="60" t="n">
        <v>2022</v>
      </c>
      <c r="B130" s="7" t="n">
        <v>12</v>
      </c>
      <c r="C130" s="7" t="n">
        <v>1</v>
      </c>
      <c r="D130" s="7" t="n">
        <v>20</v>
      </c>
      <c r="E130" s="7" t="inlineStr">
        <is>
          <t>なし</t>
        </is>
      </c>
      <c r="F130" s="7" t="inlineStr">
        <is>
          <t>30歳以上</t>
        </is>
      </c>
      <c r="G130" s="7" t="n">
        <v>2018</v>
      </c>
      <c r="H130" s="7" t="n">
        <v>11</v>
      </c>
      <c r="I130" s="7" t="inlineStr">
        <is>
          <t>HE33S</t>
        </is>
      </c>
      <c r="J130" s="7" t="inlineStr">
        <is>
          <t>なし</t>
        </is>
      </c>
      <c r="K130" s="7" t="n">
        <v>1982</v>
      </c>
      <c r="L130" s="15" t="n">
        <v>12</v>
      </c>
      <c r="M130" s="7" t="n">
        <v>1</v>
      </c>
      <c r="N130" s="7" t="inlineStr">
        <is>
          <t>関東</t>
        </is>
      </c>
      <c r="O130" s="7" t="inlineStr">
        <is>
          <t>ブルー</t>
        </is>
      </c>
      <c r="P130" s="7" t="inlineStr">
        <is>
          <t>通勤</t>
        </is>
      </c>
      <c r="Q130" s="7" t="n">
        <v>3000</v>
      </c>
      <c r="R130" s="7" t="inlineStr">
        <is>
          <t>30歳以上</t>
        </is>
      </c>
      <c r="S130" s="7" t="inlineStr">
        <is>
          <t>本配</t>
        </is>
      </c>
      <c r="T130" s="7" t="inlineStr">
        <is>
          <t>無制限</t>
        </is>
      </c>
      <c r="U130" s="7" t="inlineStr">
        <is>
          <t>あり</t>
        </is>
      </c>
      <c r="V130" s="7" t="n">
        <v>1000</v>
      </c>
      <c r="W130" s="7" t="inlineStr">
        <is>
          <t>車内外</t>
        </is>
      </c>
      <c r="X130" s="7" t="n">
        <v>5000</v>
      </c>
      <c r="Y130" s="7" t="inlineStr">
        <is>
          <t>一般</t>
        </is>
      </c>
      <c r="Z130" s="7" t="n">
        <v>110</v>
      </c>
      <c r="AA130" s="7" t="inlineStr">
        <is>
          <t>免責金額なし</t>
        </is>
      </c>
      <c r="AB130" s="7" t="inlineStr">
        <is>
          <t>なし</t>
        </is>
      </c>
      <c r="AC130" s="7" t="inlineStr">
        <is>
          <t>なし</t>
        </is>
      </c>
      <c r="AD130" s="7" t="inlineStr">
        <is>
          <t>なし</t>
        </is>
      </c>
      <c r="AE130" s="7" t="inlineStr">
        <is>
          <t>あり</t>
        </is>
      </c>
      <c r="AF130" s="7" t="inlineStr">
        <is>
          <t>なし</t>
        </is>
      </c>
      <c r="AG130" s="7" t="inlineStr">
        <is>
          <t>なし</t>
        </is>
      </c>
      <c r="AH130" s="7" t="inlineStr">
        <is>
          <t>なし</t>
        </is>
      </c>
      <c r="AI130" s="7"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2018(平成30)</t>
        </is>
      </c>
      <c r="AQ130" s="60" t="n">
        <v>11</v>
      </c>
      <c r="AR130" s="60" t="inlineStr">
        <is>
          <t>HE33S</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110万円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c r="BU130" s="60" t="n">
        <v>32920</v>
      </c>
      <c r="BV130" s="60" t="n">
        <v>23190</v>
      </c>
      <c r="BW130" s="60" t="n">
        <v>13000</v>
      </c>
      <c r="BX130" s="60" t="n">
        <v>6000</v>
      </c>
      <c r="BY130" s="60" t="n">
        <v>0</v>
      </c>
      <c r="BZ130" s="60" t="inlineStr"/>
      <c r="CA130" s="60" t="inlineStr"/>
    </row>
    <row r="131">
      <c r="A131" s="60" t="n">
        <v>2022</v>
      </c>
      <c r="B131" s="7" t="n">
        <v>12</v>
      </c>
      <c r="C131" s="7" t="n">
        <v>1</v>
      </c>
      <c r="D131" s="7" t="n">
        <v>20</v>
      </c>
      <c r="E131" s="7" t="inlineStr">
        <is>
          <t>なし</t>
        </is>
      </c>
      <c r="F131" s="7" t="inlineStr">
        <is>
          <t>30歳以上</t>
        </is>
      </c>
      <c r="G131" s="7" t="n">
        <v>2018</v>
      </c>
      <c r="H131" s="7" t="n">
        <v>11</v>
      </c>
      <c r="I131" s="7" t="inlineStr">
        <is>
          <t>HE33S</t>
        </is>
      </c>
      <c r="J131" s="7" t="inlineStr">
        <is>
          <t>なし</t>
        </is>
      </c>
      <c r="K131" s="7" t="n">
        <v>1977</v>
      </c>
      <c r="L131" s="15" t="n">
        <v>12</v>
      </c>
      <c r="M131" s="7" t="n">
        <v>1</v>
      </c>
      <c r="N131" s="7" t="inlineStr">
        <is>
          <t>関東</t>
        </is>
      </c>
      <c r="O131" s="7" t="inlineStr">
        <is>
          <t>ブルー</t>
        </is>
      </c>
      <c r="P131" s="7" t="inlineStr">
        <is>
          <t>通勤</t>
        </is>
      </c>
      <c r="Q131" s="7" t="n">
        <v>3000</v>
      </c>
      <c r="R131" s="7" t="inlineStr">
        <is>
          <t>30歳以上</t>
        </is>
      </c>
      <c r="S131" s="7" t="inlineStr">
        <is>
          <t>本配</t>
        </is>
      </c>
      <c r="T131" s="7" t="inlineStr">
        <is>
          <t>無制限</t>
        </is>
      </c>
      <c r="U131" s="7" t="inlineStr">
        <is>
          <t>あり</t>
        </is>
      </c>
      <c r="V131" s="7" t="n">
        <v>1000</v>
      </c>
      <c r="W131" s="7" t="inlineStr">
        <is>
          <t>車内外</t>
        </is>
      </c>
      <c r="X131" s="7" t="n">
        <v>5000</v>
      </c>
      <c r="Y131" s="7" t="inlineStr">
        <is>
          <t>一般</t>
        </is>
      </c>
      <c r="Z131" s="7" t="n">
        <v>110</v>
      </c>
      <c r="AA131" s="7" t="inlineStr">
        <is>
          <t>免責金額なし</t>
        </is>
      </c>
      <c r="AB131" s="7" t="inlineStr">
        <is>
          <t>なし</t>
        </is>
      </c>
      <c r="AC131" s="7" t="inlineStr">
        <is>
          <t>なし</t>
        </is>
      </c>
      <c r="AD131" s="7" t="inlineStr">
        <is>
          <t>なし</t>
        </is>
      </c>
      <c r="AE131" s="7" t="inlineStr">
        <is>
          <t>あり</t>
        </is>
      </c>
      <c r="AF131" s="7" t="inlineStr">
        <is>
          <t>なし</t>
        </is>
      </c>
      <c r="AG131" s="7" t="inlineStr">
        <is>
          <t>なし</t>
        </is>
      </c>
      <c r="AH131" s="7" t="inlineStr">
        <is>
          <t>なし</t>
        </is>
      </c>
      <c r="AI131" s="7"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2018(平成30)</t>
        </is>
      </c>
      <c r="AQ131" s="60" t="n">
        <v>11</v>
      </c>
      <c r="AR131" s="60" t="inlineStr">
        <is>
          <t>HE33S</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110万円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c r="BU131" s="60" t="n">
        <v>33610</v>
      </c>
      <c r="BV131" s="60" t="n">
        <v>23250</v>
      </c>
      <c r="BW131" s="60" t="n">
        <v>13000</v>
      </c>
      <c r="BX131" s="60" t="n">
        <v>6000</v>
      </c>
      <c r="BY131" s="60" t="n">
        <v>0</v>
      </c>
      <c r="BZ131" s="60" t="inlineStr"/>
      <c r="CA131" s="60" t="inlineStr"/>
    </row>
    <row r="132">
      <c r="A132" s="60" t="n">
        <v>2022</v>
      </c>
      <c r="B132" s="7" t="n">
        <v>12</v>
      </c>
      <c r="C132" s="7" t="n">
        <v>1</v>
      </c>
      <c r="D132" s="7" t="n">
        <v>20</v>
      </c>
      <c r="E132" s="7" t="inlineStr">
        <is>
          <t>なし</t>
        </is>
      </c>
      <c r="F132" s="7" t="inlineStr">
        <is>
          <t>30歳以上</t>
        </is>
      </c>
      <c r="G132" s="7" t="n">
        <v>2018</v>
      </c>
      <c r="H132" s="7" t="n">
        <v>11</v>
      </c>
      <c r="I132" s="7" t="inlineStr">
        <is>
          <t>HE33S</t>
        </is>
      </c>
      <c r="J132" s="7" t="inlineStr">
        <is>
          <t>なし</t>
        </is>
      </c>
      <c r="K132" s="7" t="n">
        <v>1972</v>
      </c>
      <c r="L132" s="15" t="n">
        <v>12</v>
      </c>
      <c r="M132" s="7" t="n">
        <v>1</v>
      </c>
      <c r="N132" s="7" t="inlineStr">
        <is>
          <t>関東</t>
        </is>
      </c>
      <c r="O132" s="7" t="inlineStr">
        <is>
          <t>ブルー</t>
        </is>
      </c>
      <c r="P132" s="7" t="inlineStr">
        <is>
          <t>通勤</t>
        </is>
      </c>
      <c r="Q132" s="7" t="n">
        <v>3000</v>
      </c>
      <c r="R132" s="7" t="inlineStr">
        <is>
          <t>30歳以上</t>
        </is>
      </c>
      <c r="S132" s="7" t="inlineStr">
        <is>
          <t>本配</t>
        </is>
      </c>
      <c r="T132" s="7" t="inlineStr">
        <is>
          <t>無制限</t>
        </is>
      </c>
      <c r="U132" s="7" t="inlineStr">
        <is>
          <t>あり</t>
        </is>
      </c>
      <c r="V132" s="7" t="n">
        <v>1000</v>
      </c>
      <c r="W132" s="7" t="inlineStr">
        <is>
          <t>車内外</t>
        </is>
      </c>
      <c r="X132" s="7" t="n">
        <v>5000</v>
      </c>
      <c r="Y132" s="7" t="inlineStr">
        <is>
          <t>一般</t>
        </is>
      </c>
      <c r="Z132" s="7" t="n">
        <v>110</v>
      </c>
      <c r="AA132" s="7" t="inlineStr">
        <is>
          <t>免責金額なし</t>
        </is>
      </c>
      <c r="AB132" s="7" t="inlineStr">
        <is>
          <t>なし</t>
        </is>
      </c>
      <c r="AC132" s="7" t="inlineStr">
        <is>
          <t>なし</t>
        </is>
      </c>
      <c r="AD132" s="7" t="inlineStr">
        <is>
          <t>なし</t>
        </is>
      </c>
      <c r="AE132" s="7" t="inlineStr">
        <is>
          <t>あり</t>
        </is>
      </c>
      <c r="AF132" s="7" t="inlineStr">
        <is>
          <t>なし</t>
        </is>
      </c>
      <c r="AG132" s="7" t="inlineStr">
        <is>
          <t>なし</t>
        </is>
      </c>
      <c r="AH132" s="7" t="inlineStr">
        <is>
          <t>なし</t>
        </is>
      </c>
      <c r="AI132" s="7"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2018(平成30)</t>
        </is>
      </c>
      <c r="AQ132" s="60" t="n">
        <v>11</v>
      </c>
      <c r="AR132" s="60" t="inlineStr">
        <is>
          <t>HE33S</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110万円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c r="BU132" s="60" t="n">
        <v>33850</v>
      </c>
      <c r="BV132" s="60" t="n">
        <v>23150</v>
      </c>
      <c r="BW132" s="60" t="n">
        <v>13000</v>
      </c>
      <c r="BX132" s="60" t="n">
        <v>6000</v>
      </c>
      <c r="BY132" s="60" t="n">
        <v>0</v>
      </c>
      <c r="BZ132" s="60" t="inlineStr"/>
      <c r="CA132" s="60" t="inlineStr"/>
    </row>
    <row r="133">
      <c r="A133" s="60" t="n">
        <v>2022</v>
      </c>
      <c r="B133" s="7" t="n">
        <v>12</v>
      </c>
      <c r="C133" s="7" t="n">
        <v>1</v>
      </c>
      <c r="D133" s="7" t="n">
        <v>20</v>
      </c>
      <c r="E133" s="7" t="inlineStr">
        <is>
          <t>なし</t>
        </is>
      </c>
      <c r="F133" s="7" t="inlineStr">
        <is>
          <t>30歳以上</t>
        </is>
      </c>
      <c r="G133" s="7" t="n">
        <v>2018</v>
      </c>
      <c r="H133" s="7" t="n">
        <v>11</v>
      </c>
      <c r="I133" s="7" t="inlineStr">
        <is>
          <t>HE33S</t>
        </is>
      </c>
      <c r="J133" s="7" t="inlineStr">
        <is>
          <t>なし</t>
        </is>
      </c>
      <c r="K133" s="7" t="n">
        <v>1962</v>
      </c>
      <c r="L133" s="15" t="n">
        <v>12</v>
      </c>
      <c r="M133" s="7" t="n">
        <v>1</v>
      </c>
      <c r="N133" s="7" t="inlineStr">
        <is>
          <t>関東</t>
        </is>
      </c>
      <c r="O133" s="7" t="inlineStr">
        <is>
          <t>ブルー</t>
        </is>
      </c>
      <c r="P133" s="7" t="inlineStr">
        <is>
          <t>通勤</t>
        </is>
      </c>
      <c r="Q133" s="7" t="n">
        <v>3000</v>
      </c>
      <c r="R133" s="7" t="inlineStr">
        <is>
          <t>30歳以上</t>
        </is>
      </c>
      <c r="S133" s="7" t="inlineStr">
        <is>
          <t>本配</t>
        </is>
      </c>
      <c r="T133" s="7" t="inlineStr">
        <is>
          <t>無制限</t>
        </is>
      </c>
      <c r="U133" s="7" t="inlineStr">
        <is>
          <t>あり</t>
        </is>
      </c>
      <c r="V133" s="7" t="n">
        <v>1000</v>
      </c>
      <c r="W133" s="7" t="inlineStr">
        <is>
          <t>車内外</t>
        </is>
      </c>
      <c r="X133" s="7" t="n">
        <v>5000</v>
      </c>
      <c r="Y133" s="7" t="inlineStr">
        <is>
          <t>一般</t>
        </is>
      </c>
      <c r="Z133" s="7" t="n">
        <v>110</v>
      </c>
      <c r="AA133" s="7" t="inlineStr">
        <is>
          <t>免責金額なし</t>
        </is>
      </c>
      <c r="AB133" s="7" t="inlineStr">
        <is>
          <t>なし</t>
        </is>
      </c>
      <c r="AC133" s="7" t="inlineStr">
        <is>
          <t>なし</t>
        </is>
      </c>
      <c r="AD133" s="7" t="inlineStr">
        <is>
          <t>なし</t>
        </is>
      </c>
      <c r="AE133" s="7" t="inlineStr">
        <is>
          <t>あり</t>
        </is>
      </c>
      <c r="AF133" s="7" t="inlineStr">
        <is>
          <t>なし</t>
        </is>
      </c>
      <c r="AG133" s="7" t="inlineStr">
        <is>
          <t>なし</t>
        </is>
      </c>
      <c r="AH133" s="7" t="inlineStr">
        <is>
          <t>なし</t>
        </is>
      </c>
      <c r="AI133" s="7"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2018(平成30)</t>
        </is>
      </c>
      <c r="AQ133" s="60" t="n">
        <v>11</v>
      </c>
      <c r="AR133" s="60" t="inlineStr">
        <is>
          <t>HE33S</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110万円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c r="BU133" s="60" t="n">
        <v>36390</v>
      </c>
      <c r="BV133" s="60" t="n">
        <v>21010</v>
      </c>
      <c r="BW133" s="60" t="n">
        <v>13000</v>
      </c>
      <c r="BX133" s="60" t="n">
        <v>9000</v>
      </c>
      <c r="BY133" s="60" t="n">
        <v>0</v>
      </c>
      <c r="BZ133" s="60" t="inlineStr"/>
      <c r="CA133" s="60" t="inlineStr"/>
    </row>
    <row r="134">
      <c r="A134" s="60" t="n">
        <v>2022</v>
      </c>
      <c r="B134" s="7" t="n">
        <v>12</v>
      </c>
      <c r="C134" s="7" t="n">
        <v>1</v>
      </c>
      <c r="D134" s="7" t="n">
        <v>20</v>
      </c>
      <c r="E134" s="7" t="inlineStr">
        <is>
          <t>なし</t>
        </is>
      </c>
      <c r="F134" s="7" t="inlineStr">
        <is>
          <t>30歳以上</t>
        </is>
      </c>
      <c r="G134" s="7" t="n">
        <v>2018</v>
      </c>
      <c r="H134" s="7" t="n">
        <v>11</v>
      </c>
      <c r="I134" s="7" t="inlineStr">
        <is>
          <t>HE33S</t>
        </is>
      </c>
      <c r="J134" s="7" t="inlineStr">
        <is>
          <t>なし</t>
        </is>
      </c>
      <c r="K134" s="7" t="n">
        <v>1952</v>
      </c>
      <c r="L134" s="15" t="n">
        <v>12</v>
      </c>
      <c r="M134" s="7" t="n">
        <v>1</v>
      </c>
      <c r="N134" s="7" t="inlineStr">
        <is>
          <t>関東</t>
        </is>
      </c>
      <c r="O134" s="7" t="inlineStr">
        <is>
          <t>ブルー</t>
        </is>
      </c>
      <c r="P134" s="7" t="inlineStr">
        <is>
          <t>通勤</t>
        </is>
      </c>
      <c r="Q134" s="7" t="n">
        <v>3000</v>
      </c>
      <c r="R134" s="7" t="inlineStr">
        <is>
          <t>30歳以上</t>
        </is>
      </c>
      <c r="S134" s="7" t="inlineStr">
        <is>
          <t>本配</t>
        </is>
      </c>
      <c r="T134" s="7" t="inlineStr">
        <is>
          <t>無制限</t>
        </is>
      </c>
      <c r="U134" s="7" t="inlineStr">
        <is>
          <t>あり</t>
        </is>
      </c>
      <c r="V134" s="7" t="n">
        <v>1000</v>
      </c>
      <c r="W134" s="7" t="inlineStr">
        <is>
          <t>車内外</t>
        </is>
      </c>
      <c r="X134" s="7" t="n">
        <v>5000</v>
      </c>
      <c r="Y134" s="7" t="inlineStr">
        <is>
          <t>一般</t>
        </is>
      </c>
      <c r="Z134" s="7" t="n">
        <v>110</v>
      </c>
      <c r="AA134" s="7" t="inlineStr">
        <is>
          <t>免責金額なし</t>
        </is>
      </c>
      <c r="AB134" s="7" t="inlineStr">
        <is>
          <t>なし</t>
        </is>
      </c>
      <c r="AC134" s="7" t="inlineStr">
        <is>
          <t>なし</t>
        </is>
      </c>
      <c r="AD134" s="7" t="inlineStr">
        <is>
          <t>なし</t>
        </is>
      </c>
      <c r="AE134" s="7" t="inlineStr">
        <is>
          <t>あり</t>
        </is>
      </c>
      <c r="AF134" s="7" t="inlineStr">
        <is>
          <t>なし</t>
        </is>
      </c>
      <c r="AG134" s="7" t="inlineStr">
        <is>
          <t>なし</t>
        </is>
      </c>
      <c r="AH134" s="7" t="inlineStr">
        <is>
          <t>なし</t>
        </is>
      </c>
      <c r="AI134" s="7"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2018(平成30)</t>
        </is>
      </c>
      <c r="AQ134" s="60" t="n">
        <v>11</v>
      </c>
      <c r="AR134" s="60" t="inlineStr">
        <is>
          <t>HE33S</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110万円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c r="BU134" s="60" t="n">
        <v>43690</v>
      </c>
      <c r="BV134" s="60" t="n">
        <v>26000</v>
      </c>
      <c r="BW134" s="60" t="n">
        <v>15000</v>
      </c>
      <c r="BX134" s="60" t="n">
        <v>9000</v>
      </c>
      <c r="BY134" s="60" t="n">
        <v>0</v>
      </c>
      <c r="BZ134" s="60" t="inlineStr"/>
      <c r="CA134" s="60" t="inlineStr"/>
    </row>
    <row r="135">
      <c r="A135" s="60" t="n">
        <v>2022</v>
      </c>
      <c r="B135" s="7" t="n">
        <v>12</v>
      </c>
      <c r="C135" s="7" t="n">
        <v>1</v>
      </c>
      <c r="D135" s="7" t="n">
        <v>20</v>
      </c>
      <c r="E135" s="7" t="inlineStr">
        <is>
          <t>なし</t>
        </is>
      </c>
      <c r="F135" s="7" t="inlineStr">
        <is>
          <t>30歳以上</t>
        </is>
      </c>
      <c r="G135" s="7" t="n">
        <v>2018</v>
      </c>
      <c r="H135" s="7" t="n">
        <v>11</v>
      </c>
      <c r="I135" s="7" t="inlineStr">
        <is>
          <t>HE33S</t>
        </is>
      </c>
      <c r="J135" s="7" t="inlineStr">
        <is>
          <t>なし</t>
        </is>
      </c>
      <c r="K135" s="7" t="n">
        <v>1992</v>
      </c>
      <c r="L135" s="15" t="n">
        <v>12</v>
      </c>
      <c r="M135" s="7" t="n">
        <v>1</v>
      </c>
      <c r="N135" s="7" t="inlineStr">
        <is>
          <t>関東</t>
        </is>
      </c>
      <c r="O135" s="7" t="inlineStr">
        <is>
          <t>ブルー</t>
        </is>
      </c>
      <c r="P135" s="7" t="inlineStr">
        <is>
          <t>通勤</t>
        </is>
      </c>
      <c r="Q135" s="7" t="n">
        <v>7000</v>
      </c>
      <c r="R135" s="7" t="inlineStr">
        <is>
          <t>30歳以上</t>
        </is>
      </c>
      <c r="S135" s="7" t="inlineStr">
        <is>
          <t>本配</t>
        </is>
      </c>
      <c r="T135" s="7" t="inlineStr">
        <is>
          <t>無制限</t>
        </is>
      </c>
      <c r="U135" s="7" t="inlineStr">
        <is>
          <t>あり</t>
        </is>
      </c>
      <c r="V135" s="7" t="n">
        <v>1000</v>
      </c>
      <c r="W135" s="7" t="inlineStr">
        <is>
          <t>車内外</t>
        </is>
      </c>
      <c r="X135" s="7" t="n">
        <v>5000</v>
      </c>
      <c r="Y135" s="7" t="inlineStr">
        <is>
          <t>一般</t>
        </is>
      </c>
      <c r="Z135" s="7" t="n">
        <v>110</v>
      </c>
      <c r="AA135" s="7" t="inlineStr">
        <is>
          <t>免責金額なし</t>
        </is>
      </c>
      <c r="AB135" s="7" t="inlineStr">
        <is>
          <t>なし</t>
        </is>
      </c>
      <c r="AC135" s="7" t="inlineStr">
        <is>
          <t>なし</t>
        </is>
      </c>
      <c r="AD135" s="7" t="inlineStr">
        <is>
          <t>なし</t>
        </is>
      </c>
      <c r="AE135" s="7" t="inlineStr">
        <is>
          <t>あり</t>
        </is>
      </c>
      <c r="AF135" s="7" t="inlineStr">
        <is>
          <t>なし</t>
        </is>
      </c>
      <c r="AG135" s="7" t="inlineStr">
        <is>
          <t>なし</t>
        </is>
      </c>
      <c r="AH135" s="7" t="inlineStr">
        <is>
          <t>なし</t>
        </is>
      </c>
      <c r="AI135" s="7"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2018(平成30)</t>
        </is>
      </c>
      <c r="AQ135" s="60" t="n">
        <v>11</v>
      </c>
      <c r="AR135" s="60" t="inlineStr">
        <is>
          <t>HE33S</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110万円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c r="BU135" s="60" t="n">
        <v>41380</v>
      </c>
      <c r="BV135" s="60" t="n">
        <v>26820</v>
      </c>
      <c r="BW135" s="60" t="n">
        <v>15000</v>
      </c>
      <c r="BX135" s="60" t="n">
        <v>9000</v>
      </c>
      <c r="BY135" s="60" t="n">
        <v>0</v>
      </c>
      <c r="BZ135" s="60" t="inlineStr"/>
      <c r="CA135" s="60" t="inlineStr"/>
    </row>
    <row r="136">
      <c r="A136" s="60" t="n">
        <v>2022</v>
      </c>
      <c r="B136" s="7" t="n">
        <v>12</v>
      </c>
      <c r="C136" s="7" t="n">
        <v>1</v>
      </c>
      <c r="D136" s="7" t="n">
        <v>20</v>
      </c>
      <c r="E136" s="7" t="inlineStr">
        <is>
          <t>なし</t>
        </is>
      </c>
      <c r="F136" s="7" t="inlineStr">
        <is>
          <t>30歳以上</t>
        </is>
      </c>
      <c r="G136" s="7" t="n">
        <v>2018</v>
      </c>
      <c r="H136" s="7" t="n">
        <v>11</v>
      </c>
      <c r="I136" s="7" t="inlineStr">
        <is>
          <t>HE33S</t>
        </is>
      </c>
      <c r="J136" s="7" t="inlineStr">
        <is>
          <t>なし</t>
        </is>
      </c>
      <c r="K136" s="7" t="n">
        <v>1987</v>
      </c>
      <c r="L136" s="15" t="n">
        <v>12</v>
      </c>
      <c r="M136" s="7" t="n">
        <v>1</v>
      </c>
      <c r="N136" s="7" t="inlineStr">
        <is>
          <t>関東</t>
        </is>
      </c>
      <c r="O136" s="7" t="inlineStr">
        <is>
          <t>ブルー</t>
        </is>
      </c>
      <c r="P136" s="7" t="inlineStr">
        <is>
          <t>通勤</t>
        </is>
      </c>
      <c r="Q136" s="7" t="n">
        <v>7000</v>
      </c>
      <c r="R136" s="7" t="inlineStr">
        <is>
          <t>30歳以上</t>
        </is>
      </c>
      <c r="S136" s="7" t="inlineStr">
        <is>
          <t>本配</t>
        </is>
      </c>
      <c r="T136" s="7" t="inlineStr">
        <is>
          <t>無制限</t>
        </is>
      </c>
      <c r="U136" s="7" t="inlineStr">
        <is>
          <t>あり</t>
        </is>
      </c>
      <c r="V136" s="7" t="n">
        <v>1000</v>
      </c>
      <c r="W136" s="7" t="inlineStr">
        <is>
          <t>車内外</t>
        </is>
      </c>
      <c r="X136" s="7" t="n">
        <v>5000</v>
      </c>
      <c r="Y136" s="7" t="inlineStr">
        <is>
          <t>一般</t>
        </is>
      </c>
      <c r="Z136" s="7" t="n">
        <v>110</v>
      </c>
      <c r="AA136" s="7" t="inlineStr">
        <is>
          <t>免責金額なし</t>
        </is>
      </c>
      <c r="AB136" s="7" t="inlineStr">
        <is>
          <t>なし</t>
        </is>
      </c>
      <c r="AC136" s="7" t="inlineStr">
        <is>
          <t>なし</t>
        </is>
      </c>
      <c r="AD136" s="7" t="inlineStr">
        <is>
          <t>なし</t>
        </is>
      </c>
      <c r="AE136" s="7" t="inlineStr">
        <is>
          <t>あり</t>
        </is>
      </c>
      <c r="AF136" s="7" t="inlineStr">
        <is>
          <t>なし</t>
        </is>
      </c>
      <c r="AG136" s="7" t="inlineStr">
        <is>
          <t>なし</t>
        </is>
      </c>
      <c r="AH136" s="7" t="inlineStr">
        <is>
          <t>なし</t>
        </is>
      </c>
      <c r="AI136" s="7"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2018(平成30)</t>
        </is>
      </c>
      <c r="AQ136" s="60" t="n">
        <v>11</v>
      </c>
      <c r="AR136" s="60" t="inlineStr">
        <is>
          <t>HE33S</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110万円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c r="BU136" s="60" t="n">
        <v>41220</v>
      </c>
      <c r="BV136" s="60" t="n">
        <v>26790</v>
      </c>
      <c r="BW136" s="60" t="n">
        <v>15000</v>
      </c>
      <c r="BX136" s="60" t="n">
        <v>9000</v>
      </c>
      <c r="BY136" s="60" t="n">
        <v>0</v>
      </c>
      <c r="BZ136" s="60" t="inlineStr"/>
      <c r="CA136" s="60" t="inlineStr"/>
    </row>
    <row r="137">
      <c r="A137" s="60" t="n">
        <v>2022</v>
      </c>
      <c r="B137" s="7" t="n">
        <v>12</v>
      </c>
      <c r="C137" s="7" t="n">
        <v>1</v>
      </c>
      <c r="D137" s="7" t="n">
        <v>20</v>
      </c>
      <c r="E137" s="7" t="inlineStr">
        <is>
          <t>なし</t>
        </is>
      </c>
      <c r="F137" s="7" t="inlineStr">
        <is>
          <t>30歳以上</t>
        </is>
      </c>
      <c r="G137" s="7" t="n">
        <v>2018</v>
      </c>
      <c r="H137" s="7" t="n">
        <v>11</v>
      </c>
      <c r="I137" s="7" t="inlineStr">
        <is>
          <t>HE33S</t>
        </is>
      </c>
      <c r="J137" s="7" t="inlineStr">
        <is>
          <t>なし</t>
        </is>
      </c>
      <c r="K137" s="7" t="n">
        <v>1982</v>
      </c>
      <c r="L137" s="15" t="n">
        <v>12</v>
      </c>
      <c r="M137" s="7" t="n">
        <v>1</v>
      </c>
      <c r="N137" s="7" t="inlineStr">
        <is>
          <t>関東</t>
        </is>
      </c>
      <c r="O137" s="7" t="inlineStr">
        <is>
          <t>ブルー</t>
        </is>
      </c>
      <c r="P137" s="7" t="inlineStr">
        <is>
          <t>通勤</t>
        </is>
      </c>
      <c r="Q137" s="7" t="n">
        <v>7000</v>
      </c>
      <c r="R137" s="7" t="inlineStr">
        <is>
          <t>30歳以上</t>
        </is>
      </c>
      <c r="S137" s="7" t="inlineStr">
        <is>
          <t>本配</t>
        </is>
      </c>
      <c r="T137" s="7" t="inlineStr">
        <is>
          <t>無制限</t>
        </is>
      </c>
      <c r="U137" s="7" t="inlineStr">
        <is>
          <t>あり</t>
        </is>
      </c>
      <c r="V137" s="7" t="n">
        <v>1000</v>
      </c>
      <c r="W137" s="7" t="inlineStr">
        <is>
          <t>車内外</t>
        </is>
      </c>
      <c r="X137" s="7" t="n">
        <v>5000</v>
      </c>
      <c r="Y137" s="7" t="inlineStr">
        <is>
          <t>一般</t>
        </is>
      </c>
      <c r="Z137" s="7" t="n">
        <v>110</v>
      </c>
      <c r="AA137" s="7" t="inlineStr">
        <is>
          <t>免責金額なし</t>
        </is>
      </c>
      <c r="AB137" s="7" t="inlineStr">
        <is>
          <t>なし</t>
        </is>
      </c>
      <c r="AC137" s="7" t="inlineStr">
        <is>
          <t>なし</t>
        </is>
      </c>
      <c r="AD137" s="7" t="inlineStr">
        <is>
          <t>なし</t>
        </is>
      </c>
      <c r="AE137" s="7" t="inlineStr">
        <is>
          <t>あり</t>
        </is>
      </c>
      <c r="AF137" s="7" t="inlineStr">
        <is>
          <t>なし</t>
        </is>
      </c>
      <c r="AG137" s="7" t="inlineStr">
        <is>
          <t>なし</t>
        </is>
      </c>
      <c r="AH137" s="7" t="inlineStr">
        <is>
          <t>なし</t>
        </is>
      </c>
      <c r="AI137" s="7"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2018(平成30)</t>
        </is>
      </c>
      <c r="AQ137" s="60" t="n">
        <v>11</v>
      </c>
      <c r="AR137" s="60" t="inlineStr">
        <is>
          <t>HE33S</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110万円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c r="BU137" s="60" t="n">
        <v>41750</v>
      </c>
      <c r="BV137" s="60" t="n">
        <v>27200</v>
      </c>
      <c r="BW137" s="60" t="n">
        <v>15000</v>
      </c>
      <c r="BX137" s="60" t="n">
        <v>9000</v>
      </c>
      <c r="BY137" s="60" t="n">
        <v>0</v>
      </c>
      <c r="BZ137" s="60" t="inlineStr"/>
      <c r="CA137" s="60" t="inlineStr"/>
    </row>
    <row r="138">
      <c r="A138" s="60" t="n">
        <v>2022</v>
      </c>
      <c r="B138" s="7" t="n">
        <v>12</v>
      </c>
      <c r="C138" s="7" t="n">
        <v>1</v>
      </c>
      <c r="D138" s="7" t="n">
        <v>20</v>
      </c>
      <c r="E138" s="7" t="inlineStr">
        <is>
          <t>なし</t>
        </is>
      </c>
      <c r="F138" s="7" t="inlineStr">
        <is>
          <t>30歳以上</t>
        </is>
      </c>
      <c r="G138" s="7" t="n">
        <v>2018</v>
      </c>
      <c r="H138" s="7" t="n">
        <v>11</v>
      </c>
      <c r="I138" s="7" t="inlineStr">
        <is>
          <t>HE33S</t>
        </is>
      </c>
      <c r="J138" s="7" t="inlineStr">
        <is>
          <t>なし</t>
        </is>
      </c>
      <c r="K138" s="7" t="n">
        <v>1977</v>
      </c>
      <c r="L138" s="15" t="n">
        <v>12</v>
      </c>
      <c r="M138" s="7" t="n">
        <v>1</v>
      </c>
      <c r="N138" s="7" t="inlineStr">
        <is>
          <t>関東</t>
        </is>
      </c>
      <c r="O138" s="7" t="inlineStr">
        <is>
          <t>ブルー</t>
        </is>
      </c>
      <c r="P138" s="7" t="inlineStr">
        <is>
          <t>通勤</t>
        </is>
      </c>
      <c r="Q138" s="7" t="n">
        <v>7000</v>
      </c>
      <c r="R138" s="7" t="inlineStr">
        <is>
          <t>30歳以上</t>
        </is>
      </c>
      <c r="S138" s="7" t="inlineStr">
        <is>
          <t>本配</t>
        </is>
      </c>
      <c r="T138" s="7" t="inlineStr">
        <is>
          <t>無制限</t>
        </is>
      </c>
      <c r="U138" s="7" t="inlineStr">
        <is>
          <t>あり</t>
        </is>
      </c>
      <c r="V138" s="7" t="n">
        <v>1000</v>
      </c>
      <c r="W138" s="7" t="inlineStr">
        <is>
          <t>車内外</t>
        </is>
      </c>
      <c r="X138" s="7" t="n">
        <v>5000</v>
      </c>
      <c r="Y138" s="7" t="inlineStr">
        <is>
          <t>一般</t>
        </is>
      </c>
      <c r="Z138" s="7" t="n">
        <v>110</v>
      </c>
      <c r="AA138" s="7" t="inlineStr">
        <is>
          <t>免責金額なし</t>
        </is>
      </c>
      <c r="AB138" s="7" t="inlineStr">
        <is>
          <t>なし</t>
        </is>
      </c>
      <c r="AC138" s="7" t="inlineStr">
        <is>
          <t>なし</t>
        </is>
      </c>
      <c r="AD138" s="7" t="inlineStr">
        <is>
          <t>なし</t>
        </is>
      </c>
      <c r="AE138" s="7" t="inlineStr">
        <is>
          <t>あり</t>
        </is>
      </c>
      <c r="AF138" s="7" t="inlineStr">
        <is>
          <t>なし</t>
        </is>
      </c>
      <c r="AG138" s="7" t="inlineStr">
        <is>
          <t>なし</t>
        </is>
      </c>
      <c r="AH138" s="7" t="inlineStr">
        <is>
          <t>なし</t>
        </is>
      </c>
      <c r="AI138" s="7"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2018(平成30)</t>
        </is>
      </c>
      <c r="AQ138" s="60" t="n">
        <v>11</v>
      </c>
      <c r="AR138" s="60" t="inlineStr">
        <is>
          <t>HE33S</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110万円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c r="BU138" s="60" t="n">
        <v>42610</v>
      </c>
      <c r="BV138" s="60" t="n">
        <v>27270</v>
      </c>
      <c r="BW138" s="60" t="n">
        <v>15000</v>
      </c>
      <c r="BX138" s="60" t="n">
        <v>9000</v>
      </c>
      <c r="BY138" s="60" t="n">
        <v>0</v>
      </c>
      <c r="BZ138" s="60" t="inlineStr"/>
      <c r="CA138" s="60" t="inlineStr"/>
    </row>
    <row r="139">
      <c r="A139" s="60" t="n">
        <v>2022</v>
      </c>
      <c r="B139" s="7" t="n">
        <v>12</v>
      </c>
      <c r="C139" s="7" t="n">
        <v>1</v>
      </c>
      <c r="D139" s="7" t="n">
        <v>20</v>
      </c>
      <c r="E139" s="7" t="inlineStr">
        <is>
          <t>なし</t>
        </is>
      </c>
      <c r="F139" s="7" t="inlineStr">
        <is>
          <t>30歳以上</t>
        </is>
      </c>
      <c r="G139" s="7" t="n">
        <v>2018</v>
      </c>
      <c r="H139" s="7" t="n">
        <v>11</v>
      </c>
      <c r="I139" s="7" t="inlineStr">
        <is>
          <t>HE33S</t>
        </is>
      </c>
      <c r="J139" s="7" t="inlineStr">
        <is>
          <t>なし</t>
        </is>
      </c>
      <c r="K139" s="7" t="n">
        <v>1972</v>
      </c>
      <c r="L139" s="15" t="n">
        <v>12</v>
      </c>
      <c r="M139" s="7" t="n">
        <v>1</v>
      </c>
      <c r="N139" s="7" t="inlineStr">
        <is>
          <t>関東</t>
        </is>
      </c>
      <c r="O139" s="7" t="inlineStr">
        <is>
          <t>ブルー</t>
        </is>
      </c>
      <c r="P139" s="7" t="inlineStr">
        <is>
          <t>通勤</t>
        </is>
      </c>
      <c r="Q139" s="7" t="n">
        <v>7000</v>
      </c>
      <c r="R139" s="7" t="inlineStr">
        <is>
          <t>30歳以上</t>
        </is>
      </c>
      <c r="S139" s="7" t="inlineStr">
        <is>
          <t>本配</t>
        </is>
      </c>
      <c r="T139" s="7" t="inlineStr">
        <is>
          <t>無制限</t>
        </is>
      </c>
      <c r="U139" s="7" t="inlineStr">
        <is>
          <t>あり</t>
        </is>
      </c>
      <c r="V139" s="7" t="n">
        <v>1000</v>
      </c>
      <c r="W139" s="7" t="inlineStr">
        <is>
          <t>車内外</t>
        </is>
      </c>
      <c r="X139" s="7" t="n">
        <v>5000</v>
      </c>
      <c r="Y139" s="7" t="inlineStr">
        <is>
          <t>一般</t>
        </is>
      </c>
      <c r="Z139" s="7" t="n">
        <v>110</v>
      </c>
      <c r="AA139" s="7" t="inlineStr">
        <is>
          <t>免責金額なし</t>
        </is>
      </c>
      <c r="AB139" s="7" t="inlineStr">
        <is>
          <t>なし</t>
        </is>
      </c>
      <c r="AC139" s="7" t="inlineStr">
        <is>
          <t>なし</t>
        </is>
      </c>
      <c r="AD139" s="7" t="inlineStr">
        <is>
          <t>なし</t>
        </is>
      </c>
      <c r="AE139" s="7" t="inlineStr">
        <is>
          <t>あり</t>
        </is>
      </c>
      <c r="AF139" s="7" t="inlineStr">
        <is>
          <t>なし</t>
        </is>
      </c>
      <c r="AG139" s="7" t="inlineStr">
        <is>
          <t>なし</t>
        </is>
      </c>
      <c r="AH139" s="7" t="inlineStr">
        <is>
          <t>なし</t>
        </is>
      </c>
      <c r="AI139" s="7"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2018(平成30)</t>
        </is>
      </c>
      <c r="AQ139" s="60" t="n">
        <v>11</v>
      </c>
      <c r="AR139" s="60" t="inlineStr">
        <is>
          <t>HE33S</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110万円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c r="BU139" s="60" t="n">
        <v>42880</v>
      </c>
      <c r="BV139" s="60" t="n">
        <v>27120</v>
      </c>
      <c r="BW139" s="60" t="n">
        <v>15000</v>
      </c>
      <c r="BX139" s="60" t="n">
        <v>9000</v>
      </c>
      <c r="BY139" s="60" t="n">
        <v>0</v>
      </c>
      <c r="BZ139" s="60" t="n"/>
      <c r="CA139" s="60" t="n"/>
    </row>
    <row r="140">
      <c r="A140" s="60" t="n">
        <v>2022</v>
      </c>
      <c r="B140" s="7" t="n">
        <v>12</v>
      </c>
      <c r="C140" s="7" t="n">
        <v>1</v>
      </c>
      <c r="D140" s="7" t="n">
        <v>20</v>
      </c>
      <c r="E140" s="7" t="inlineStr">
        <is>
          <t>なし</t>
        </is>
      </c>
      <c r="F140" s="7" t="inlineStr">
        <is>
          <t>30歳以上</t>
        </is>
      </c>
      <c r="G140" s="7" t="n">
        <v>2018</v>
      </c>
      <c r="H140" s="7" t="n">
        <v>11</v>
      </c>
      <c r="I140" s="7" t="inlineStr">
        <is>
          <t>HE33S</t>
        </is>
      </c>
      <c r="J140" s="7" t="inlineStr">
        <is>
          <t>なし</t>
        </is>
      </c>
      <c r="K140" s="7" t="n">
        <v>1962</v>
      </c>
      <c r="L140" s="15" t="n">
        <v>12</v>
      </c>
      <c r="M140" s="7" t="n">
        <v>1</v>
      </c>
      <c r="N140" s="7" t="inlineStr">
        <is>
          <t>関東</t>
        </is>
      </c>
      <c r="O140" s="7" t="inlineStr">
        <is>
          <t>ブルー</t>
        </is>
      </c>
      <c r="P140" s="7" t="inlineStr">
        <is>
          <t>通勤</t>
        </is>
      </c>
      <c r="Q140" s="7" t="n">
        <v>7000</v>
      </c>
      <c r="R140" s="7" t="inlineStr">
        <is>
          <t>30歳以上</t>
        </is>
      </c>
      <c r="S140" s="7" t="inlineStr">
        <is>
          <t>本配</t>
        </is>
      </c>
      <c r="T140" s="7" t="inlineStr">
        <is>
          <t>無制限</t>
        </is>
      </c>
      <c r="U140" s="7" t="inlineStr">
        <is>
          <t>あり</t>
        </is>
      </c>
      <c r="V140" s="7" t="n">
        <v>1000</v>
      </c>
      <c r="W140" s="7" t="inlineStr">
        <is>
          <t>車内外</t>
        </is>
      </c>
      <c r="X140" s="7" t="n">
        <v>5000</v>
      </c>
      <c r="Y140" s="7" t="inlineStr">
        <is>
          <t>一般</t>
        </is>
      </c>
      <c r="Z140" s="7" t="n">
        <v>110</v>
      </c>
      <c r="AA140" s="7" t="inlineStr">
        <is>
          <t>免責金額なし</t>
        </is>
      </c>
      <c r="AB140" s="7" t="inlineStr">
        <is>
          <t>なし</t>
        </is>
      </c>
      <c r="AC140" s="7" t="inlineStr">
        <is>
          <t>なし</t>
        </is>
      </c>
      <c r="AD140" s="7" t="inlineStr">
        <is>
          <t>なし</t>
        </is>
      </c>
      <c r="AE140" s="7" t="inlineStr">
        <is>
          <t>あり</t>
        </is>
      </c>
      <c r="AF140" s="7" t="inlineStr">
        <is>
          <t>なし</t>
        </is>
      </c>
      <c r="AG140" s="7" t="inlineStr">
        <is>
          <t>なし</t>
        </is>
      </c>
      <c r="AH140" s="7" t="inlineStr">
        <is>
          <t>なし</t>
        </is>
      </c>
      <c r="AI140" s="7"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2018(平成30)</t>
        </is>
      </c>
      <c r="AQ140" s="60" t="n">
        <v>11</v>
      </c>
      <c r="AR140" s="60" t="inlineStr">
        <is>
          <t>HE33S</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110万円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c r="BU140" s="60" t="n">
        <v>45120</v>
      </c>
      <c r="BV140" s="60" t="n">
        <v>28270</v>
      </c>
      <c r="BW140" s="60" t="n">
        <v>16000</v>
      </c>
      <c r="BX140" s="60" t="n">
        <v>9000</v>
      </c>
      <c r="BY140" s="60" t="n">
        <v>0</v>
      </c>
      <c r="BZ140" s="60" t="n"/>
      <c r="CA140" s="60" t="n"/>
    </row>
    <row r="141">
      <c r="A141" s="60" t="n">
        <v>2022</v>
      </c>
      <c r="B141" s="7" t="n">
        <v>12</v>
      </c>
      <c r="C141" s="7" t="n">
        <v>1</v>
      </c>
      <c r="D141" s="7" t="n">
        <v>20</v>
      </c>
      <c r="E141" s="7" t="inlineStr">
        <is>
          <t>なし</t>
        </is>
      </c>
      <c r="F141" s="7" t="inlineStr">
        <is>
          <t>30歳以上</t>
        </is>
      </c>
      <c r="G141" s="7" t="n">
        <v>2018</v>
      </c>
      <c r="H141" s="7" t="n">
        <v>11</v>
      </c>
      <c r="I141" s="7" t="inlineStr">
        <is>
          <t>HE33S</t>
        </is>
      </c>
      <c r="J141" s="7" t="inlineStr">
        <is>
          <t>なし</t>
        </is>
      </c>
      <c r="K141" s="7" t="n">
        <v>1952</v>
      </c>
      <c r="L141" s="15" t="n">
        <v>12</v>
      </c>
      <c r="M141" s="7" t="n">
        <v>1</v>
      </c>
      <c r="N141" s="7" t="inlineStr">
        <is>
          <t>関東</t>
        </is>
      </c>
      <c r="O141" s="7" t="inlineStr">
        <is>
          <t>ブルー</t>
        </is>
      </c>
      <c r="P141" s="7" t="inlineStr">
        <is>
          <t>通勤</t>
        </is>
      </c>
      <c r="Q141" s="7" t="n">
        <v>7000</v>
      </c>
      <c r="R141" s="7" t="inlineStr">
        <is>
          <t>30歳以上</t>
        </is>
      </c>
      <c r="S141" s="7" t="inlineStr">
        <is>
          <t>本配</t>
        </is>
      </c>
      <c r="T141" s="7" t="inlineStr">
        <is>
          <t>無制限</t>
        </is>
      </c>
      <c r="U141" s="7" t="inlineStr">
        <is>
          <t>あり</t>
        </is>
      </c>
      <c r="V141" s="7" t="n">
        <v>1000</v>
      </c>
      <c r="W141" s="7" t="inlineStr">
        <is>
          <t>車内外</t>
        </is>
      </c>
      <c r="X141" s="7" t="n">
        <v>5000</v>
      </c>
      <c r="Y141" s="7" t="inlineStr">
        <is>
          <t>一般</t>
        </is>
      </c>
      <c r="Z141" s="7" t="n">
        <v>110</v>
      </c>
      <c r="AA141" s="7" t="inlineStr">
        <is>
          <t>免責金額なし</t>
        </is>
      </c>
      <c r="AB141" s="7" t="inlineStr">
        <is>
          <t>なし</t>
        </is>
      </c>
      <c r="AC141" s="7" t="inlineStr">
        <is>
          <t>なし</t>
        </is>
      </c>
      <c r="AD141" s="7" t="inlineStr">
        <is>
          <t>なし</t>
        </is>
      </c>
      <c r="AE141" s="7" t="inlineStr">
        <is>
          <t>あり</t>
        </is>
      </c>
      <c r="AF141" s="7" t="inlineStr">
        <is>
          <t>なし</t>
        </is>
      </c>
      <c r="AG141" s="7" t="inlineStr">
        <is>
          <t>なし</t>
        </is>
      </c>
      <c r="AH141" s="7" t="inlineStr">
        <is>
          <t>なし</t>
        </is>
      </c>
      <c r="AI141" s="7"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2018(平成30)</t>
        </is>
      </c>
      <c r="AQ141" s="60" t="n">
        <v>11</v>
      </c>
      <c r="AR141" s="60" t="inlineStr">
        <is>
          <t>HE33S</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110万円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c r="BU141" s="60" t="inlineStr">
        <is>
          <t>E</t>
        </is>
      </c>
      <c r="BV141" s="60"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[0x0104ACD3+2075859]
	Ordinal0 [0x00FDEE61+1633889]
	Ordinal0 [0x00EDB7BD+571325]
	Ordinal0 [0x00F0AC2F+764975]
	Ordinal0 [0x00F0AE1B+765467]
	Ordinal0 [0x00F3D0F2+970994]
	Ordinal0 [0x00F27364+881508]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141" s="60" t="n"/>
      <c r="BX141" s="60" t="n"/>
      <c r="BY141" s="60" t="n"/>
      <c r="BZ141" s="60" t="n"/>
      <c r="CA141" s="60" t="n"/>
    </row>
    <row r="142">
      <c r="A142" s="60" t="n">
        <v>2022</v>
      </c>
      <c r="B142" s="7" t="n">
        <v>12</v>
      </c>
      <c r="C142" s="7" t="n">
        <v>1</v>
      </c>
      <c r="D142" s="7" t="n">
        <v>17</v>
      </c>
      <c r="E142" s="7" t="inlineStr">
        <is>
          <t>なし</t>
        </is>
      </c>
      <c r="F142" s="7" t="inlineStr">
        <is>
          <t>30歳以上</t>
        </is>
      </c>
      <c r="G142" s="7" t="n">
        <v>2018</v>
      </c>
      <c r="H142" s="7" t="n">
        <v>11</v>
      </c>
      <c r="I142" s="7" t="inlineStr">
        <is>
          <t>HE33S</t>
        </is>
      </c>
      <c r="J142" s="7" t="inlineStr">
        <is>
          <t>なし</t>
        </is>
      </c>
      <c r="K142" s="7" t="n">
        <v>1992</v>
      </c>
      <c r="L142" s="15" t="n">
        <v>12</v>
      </c>
      <c r="M142" s="7" t="n">
        <v>1</v>
      </c>
      <c r="N142" s="7" t="inlineStr">
        <is>
          <t>関東</t>
        </is>
      </c>
      <c r="O142" s="7" t="inlineStr">
        <is>
          <t>ブルー</t>
        </is>
      </c>
      <c r="P142" s="7" t="inlineStr">
        <is>
          <t>日常</t>
        </is>
      </c>
      <c r="Q142" s="7" t="n">
        <v>3000</v>
      </c>
      <c r="R142" s="7" t="inlineStr">
        <is>
          <t>30歳以上</t>
        </is>
      </c>
      <c r="S142" s="7" t="inlineStr">
        <is>
          <t>本配</t>
        </is>
      </c>
      <c r="T142" s="7" t="inlineStr">
        <is>
          <t>無制限</t>
        </is>
      </c>
      <c r="U142" s="7" t="inlineStr">
        <is>
          <t>あり</t>
        </is>
      </c>
      <c r="V142" s="7" t="n">
        <v>1000</v>
      </c>
      <c r="W142" s="7" t="inlineStr">
        <is>
          <t>車内外</t>
        </is>
      </c>
      <c r="X142" s="7" t="n">
        <v>5000</v>
      </c>
      <c r="Y142" s="7" t="inlineStr">
        <is>
          <t>一般</t>
        </is>
      </c>
      <c r="Z142" s="7" t="n">
        <v>110</v>
      </c>
      <c r="AA142" s="7" t="inlineStr">
        <is>
          <t>免責金額なし</t>
        </is>
      </c>
      <c r="AB142" s="7" t="inlineStr">
        <is>
          <t>なし</t>
        </is>
      </c>
      <c r="AC142" s="7" t="inlineStr">
        <is>
          <t>なし</t>
        </is>
      </c>
      <c r="AD142" s="7" t="inlineStr">
        <is>
          <t>なし</t>
        </is>
      </c>
      <c r="AE142" s="7" t="inlineStr">
        <is>
          <t>あり</t>
        </is>
      </c>
      <c r="AF142" s="7" t="inlineStr">
        <is>
          <t>なし</t>
        </is>
      </c>
      <c r="AG142" s="7" t="inlineStr">
        <is>
          <t>なし</t>
        </is>
      </c>
      <c r="AH142" s="7" t="inlineStr">
        <is>
          <t>なし</t>
        </is>
      </c>
      <c r="AI142" s="7"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2018(平成30)</t>
        </is>
      </c>
      <c r="AQ142" s="60" t="n">
        <v>11</v>
      </c>
      <c r="AR142" s="60" t="inlineStr">
        <is>
          <t>HE33S</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110万円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c r="BU142" s="60" t="inlineStr">
        <is>
          <t>E</t>
        </is>
      </c>
      <c r="BV142" s="60"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[0x0104ACD3+2075859]
	Ordinal0 [0x00FDEE61+1633889]
	Ordinal0 [0x00EDB7BD+571325]
	Ordinal0 [0x00F0AC2F+764975]
	Ordinal0 [0x00F0AE1B+765467]
	Ordinal0 [0x00F3D0F2+970994]
	Ordinal0 [0x00F27364+881508]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142" s="60" t="n"/>
      <c r="BX142" s="60" t="n"/>
      <c r="BY142" s="60" t="n"/>
      <c r="BZ142" s="60" t="n"/>
      <c r="CA142" s="60" t="n"/>
    </row>
    <row r="143">
      <c r="A143" s="60" t="n">
        <v>2022</v>
      </c>
      <c r="B143" s="7" t="n">
        <v>12</v>
      </c>
      <c r="C143" s="7" t="n">
        <v>1</v>
      </c>
      <c r="D143" s="7" t="n">
        <v>17</v>
      </c>
      <c r="E143" s="7" t="inlineStr">
        <is>
          <t>なし</t>
        </is>
      </c>
      <c r="F143" s="7" t="inlineStr">
        <is>
          <t>30歳以上</t>
        </is>
      </c>
      <c r="G143" s="7" t="n">
        <v>2018</v>
      </c>
      <c r="H143" s="7" t="n">
        <v>11</v>
      </c>
      <c r="I143" s="7" t="inlineStr">
        <is>
          <t>HE33S</t>
        </is>
      </c>
      <c r="J143" s="7" t="inlineStr">
        <is>
          <t>なし</t>
        </is>
      </c>
      <c r="K143" s="7" t="n">
        <v>1987</v>
      </c>
      <c r="L143" s="15" t="n">
        <v>12</v>
      </c>
      <c r="M143" s="7" t="n">
        <v>1</v>
      </c>
      <c r="N143" s="7" t="inlineStr">
        <is>
          <t>関東</t>
        </is>
      </c>
      <c r="O143" s="7" t="inlineStr">
        <is>
          <t>ブルー</t>
        </is>
      </c>
      <c r="P143" s="7" t="inlineStr">
        <is>
          <t>日常</t>
        </is>
      </c>
      <c r="Q143" s="7" t="n">
        <v>3000</v>
      </c>
      <c r="R143" s="7" t="inlineStr">
        <is>
          <t>30歳以上</t>
        </is>
      </c>
      <c r="S143" s="7" t="inlineStr">
        <is>
          <t>本配</t>
        </is>
      </c>
      <c r="T143" s="7" t="inlineStr">
        <is>
          <t>無制限</t>
        </is>
      </c>
      <c r="U143" s="7" t="inlineStr">
        <is>
          <t>あり</t>
        </is>
      </c>
      <c r="V143" s="7" t="n">
        <v>1000</v>
      </c>
      <c r="W143" s="7" t="inlineStr">
        <is>
          <t>車内外</t>
        </is>
      </c>
      <c r="X143" s="7" t="n">
        <v>5000</v>
      </c>
      <c r="Y143" s="7" t="inlineStr">
        <is>
          <t>一般</t>
        </is>
      </c>
      <c r="Z143" s="7" t="n">
        <v>110</v>
      </c>
      <c r="AA143" s="7" t="inlineStr">
        <is>
          <t>免責金額なし</t>
        </is>
      </c>
      <c r="AB143" s="7" t="inlineStr">
        <is>
          <t>なし</t>
        </is>
      </c>
      <c r="AC143" s="7" t="inlineStr">
        <is>
          <t>なし</t>
        </is>
      </c>
      <c r="AD143" s="7" t="inlineStr">
        <is>
          <t>なし</t>
        </is>
      </c>
      <c r="AE143" s="7" t="inlineStr">
        <is>
          <t>あり</t>
        </is>
      </c>
      <c r="AF143" s="7" t="inlineStr">
        <is>
          <t>なし</t>
        </is>
      </c>
      <c r="AG143" s="7" t="inlineStr">
        <is>
          <t>なし</t>
        </is>
      </c>
      <c r="AH143" s="7" t="inlineStr">
        <is>
          <t>なし</t>
        </is>
      </c>
      <c r="AI143" s="7"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2018(平成30)</t>
        </is>
      </c>
      <c r="AQ143" s="60" t="n">
        <v>11</v>
      </c>
      <c r="AR143" s="60" t="inlineStr">
        <is>
          <t>HE33S</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110万円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c r="BU143" s="60" t="n">
        <v>32940</v>
      </c>
      <c r="BV143" s="60" t="n">
        <v>21450</v>
      </c>
      <c r="BW143" s="60" t="n">
        <v>10000</v>
      </c>
      <c r="BX143" s="60" t="n">
        <v>6000</v>
      </c>
      <c r="BY143" s="60" t="n">
        <v>0</v>
      </c>
      <c r="BZ143" s="60" t="n"/>
      <c r="CA143" s="60" t="n"/>
    </row>
    <row r="144">
      <c r="A144" s="60" t="n">
        <v>2022</v>
      </c>
      <c r="B144" s="7" t="n">
        <v>12</v>
      </c>
      <c r="C144" s="7" t="n">
        <v>1</v>
      </c>
      <c r="D144" s="7" t="n">
        <v>17</v>
      </c>
      <c r="E144" s="7" t="inlineStr">
        <is>
          <t>なし</t>
        </is>
      </c>
      <c r="F144" s="7" t="inlineStr">
        <is>
          <t>30歳以上</t>
        </is>
      </c>
      <c r="G144" s="7" t="n">
        <v>2018</v>
      </c>
      <c r="H144" s="7" t="n">
        <v>11</v>
      </c>
      <c r="I144" s="7" t="inlineStr">
        <is>
          <t>HE33S</t>
        </is>
      </c>
      <c r="J144" s="7" t="inlineStr">
        <is>
          <t>なし</t>
        </is>
      </c>
      <c r="K144" s="7" t="n">
        <v>1982</v>
      </c>
      <c r="L144" s="15" t="n">
        <v>12</v>
      </c>
      <c r="M144" s="7" t="n">
        <v>1</v>
      </c>
      <c r="N144" s="7" t="inlineStr">
        <is>
          <t>関東</t>
        </is>
      </c>
      <c r="O144" s="7" t="inlineStr">
        <is>
          <t>ブルー</t>
        </is>
      </c>
      <c r="P144" s="7" t="inlineStr">
        <is>
          <t>日常</t>
        </is>
      </c>
      <c r="Q144" s="7" t="n">
        <v>3000</v>
      </c>
      <c r="R144" s="7" t="inlineStr">
        <is>
          <t>30歳以上</t>
        </is>
      </c>
      <c r="S144" s="7" t="inlineStr">
        <is>
          <t>本配</t>
        </is>
      </c>
      <c r="T144" s="7" t="inlineStr">
        <is>
          <t>無制限</t>
        </is>
      </c>
      <c r="U144" s="7" t="inlineStr">
        <is>
          <t>あり</t>
        </is>
      </c>
      <c r="V144" s="7" t="n">
        <v>1000</v>
      </c>
      <c r="W144" s="7" t="inlineStr">
        <is>
          <t>車内外</t>
        </is>
      </c>
      <c r="X144" s="7" t="n">
        <v>5000</v>
      </c>
      <c r="Y144" s="7" t="inlineStr">
        <is>
          <t>一般</t>
        </is>
      </c>
      <c r="Z144" s="7" t="n">
        <v>110</v>
      </c>
      <c r="AA144" s="7" t="inlineStr">
        <is>
          <t>免責金額なし</t>
        </is>
      </c>
      <c r="AB144" s="7" t="inlineStr">
        <is>
          <t>なし</t>
        </is>
      </c>
      <c r="AC144" s="7" t="inlineStr">
        <is>
          <t>なし</t>
        </is>
      </c>
      <c r="AD144" s="7" t="inlineStr">
        <is>
          <t>なし</t>
        </is>
      </c>
      <c r="AE144" s="7" t="inlineStr">
        <is>
          <t>あり</t>
        </is>
      </c>
      <c r="AF144" s="7" t="inlineStr">
        <is>
          <t>なし</t>
        </is>
      </c>
      <c r="AG144" s="7" t="inlineStr">
        <is>
          <t>なし</t>
        </is>
      </c>
      <c r="AH144" s="7" t="inlineStr">
        <is>
          <t>なし</t>
        </is>
      </c>
      <c r="AI144" s="7"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2018(平成30)</t>
        </is>
      </c>
      <c r="AQ144" s="60" t="n">
        <v>11</v>
      </c>
      <c r="AR144" s="60" t="inlineStr">
        <is>
          <t>HE33S</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110万円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c r="BU144" s="60" t="n">
        <v>33340</v>
      </c>
      <c r="BV144" s="60" t="n">
        <v>21760</v>
      </c>
      <c r="BW144" s="60" t="n">
        <v>10000</v>
      </c>
      <c r="BX144" s="60" t="n">
        <v>6000</v>
      </c>
      <c r="BY144" s="60" t="n">
        <v>0</v>
      </c>
      <c r="BZ144" s="60" t="n"/>
      <c r="CA144" s="60" t="n"/>
    </row>
    <row r="145">
      <c r="A145" s="60" t="n">
        <v>2022</v>
      </c>
      <c r="B145" s="7" t="n">
        <v>12</v>
      </c>
      <c r="C145" s="7" t="n">
        <v>1</v>
      </c>
      <c r="D145" s="7" t="n">
        <v>17</v>
      </c>
      <c r="E145" s="7" t="inlineStr">
        <is>
          <t>なし</t>
        </is>
      </c>
      <c r="F145" s="7" t="inlineStr">
        <is>
          <t>30歳以上</t>
        </is>
      </c>
      <c r="G145" s="7" t="n">
        <v>2018</v>
      </c>
      <c r="H145" s="7" t="n">
        <v>11</v>
      </c>
      <c r="I145" s="7" t="inlineStr">
        <is>
          <t>HE33S</t>
        </is>
      </c>
      <c r="J145" s="7" t="inlineStr">
        <is>
          <t>なし</t>
        </is>
      </c>
      <c r="K145" s="7" t="n">
        <v>1977</v>
      </c>
      <c r="L145" s="15" t="n">
        <v>12</v>
      </c>
      <c r="M145" s="7" t="n">
        <v>1</v>
      </c>
      <c r="N145" s="7" t="inlineStr">
        <is>
          <t>関東</t>
        </is>
      </c>
      <c r="O145" s="7" t="inlineStr">
        <is>
          <t>ブルー</t>
        </is>
      </c>
      <c r="P145" s="7" t="inlineStr">
        <is>
          <t>日常</t>
        </is>
      </c>
      <c r="Q145" s="7" t="n">
        <v>3000</v>
      </c>
      <c r="R145" s="7" t="inlineStr">
        <is>
          <t>30歳以上</t>
        </is>
      </c>
      <c r="S145" s="7" t="inlineStr">
        <is>
          <t>本配</t>
        </is>
      </c>
      <c r="T145" s="7" t="inlineStr">
        <is>
          <t>無制限</t>
        </is>
      </c>
      <c r="U145" s="7" t="inlineStr">
        <is>
          <t>あり</t>
        </is>
      </c>
      <c r="V145" s="7" t="n">
        <v>1000</v>
      </c>
      <c r="W145" s="7" t="inlineStr">
        <is>
          <t>車内外</t>
        </is>
      </c>
      <c r="X145" s="7" t="n">
        <v>5000</v>
      </c>
      <c r="Y145" s="7" t="inlineStr">
        <is>
          <t>一般</t>
        </is>
      </c>
      <c r="Z145" s="7" t="n">
        <v>110</v>
      </c>
      <c r="AA145" s="7" t="inlineStr">
        <is>
          <t>免責金額なし</t>
        </is>
      </c>
      <c r="AB145" s="7" t="inlineStr">
        <is>
          <t>なし</t>
        </is>
      </c>
      <c r="AC145" s="7" t="inlineStr">
        <is>
          <t>なし</t>
        </is>
      </c>
      <c r="AD145" s="7" t="inlineStr">
        <is>
          <t>なし</t>
        </is>
      </c>
      <c r="AE145" s="7" t="inlineStr">
        <is>
          <t>あり</t>
        </is>
      </c>
      <c r="AF145" s="7" t="inlineStr">
        <is>
          <t>なし</t>
        </is>
      </c>
      <c r="AG145" s="7" t="inlineStr">
        <is>
          <t>なし</t>
        </is>
      </c>
      <c r="AH145" s="7" t="inlineStr">
        <is>
          <t>なし</t>
        </is>
      </c>
      <c r="AI145" s="7"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2018(平成30)</t>
        </is>
      </c>
      <c r="AQ145" s="60" t="n">
        <v>11</v>
      </c>
      <c r="AR145" s="60" t="inlineStr">
        <is>
          <t>HE33S</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110万円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c r="BU145" s="60" t="n">
        <v>33990</v>
      </c>
      <c r="BV145" s="60" t="n">
        <v>21820</v>
      </c>
      <c r="BW145" s="60" t="n">
        <v>10000</v>
      </c>
      <c r="BX145" s="60" t="n">
        <v>6000</v>
      </c>
      <c r="BY145" s="60" t="n">
        <v>0</v>
      </c>
      <c r="BZ145" s="60" t="n"/>
      <c r="CA145" s="60" t="n"/>
    </row>
    <row r="146">
      <c r="A146" s="60" t="n">
        <v>2022</v>
      </c>
      <c r="B146" s="7" t="n">
        <v>12</v>
      </c>
      <c r="C146" s="7" t="n">
        <v>1</v>
      </c>
      <c r="D146" s="7" t="n">
        <v>17</v>
      </c>
      <c r="E146" s="7" t="inlineStr">
        <is>
          <t>なし</t>
        </is>
      </c>
      <c r="F146" s="7" t="inlineStr">
        <is>
          <t>30歳以上</t>
        </is>
      </c>
      <c r="G146" s="7" t="n">
        <v>2018</v>
      </c>
      <c r="H146" s="7" t="n">
        <v>11</v>
      </c>
      <c r="I146" s="7" t="inlineStr">
        <is>
          <t>HE33S</t>
        </is>
      </c>
      <c r="J146" s="7" t="inlineStr">
        <is>
          <t>なし</t>
        </is>
      </c>
      <c r="K146" s="7" t="n">
        <v>1972</v>
      </c>
      <c r="L146" s="15" t="n">
        <v>12</v>
      </c>
      <c r="M146" s="7" t="n">
        <v>1</v>
      </c>
      <c r="N146" s="7" t="inlineStr">
        <is>
          <t>関東</t>
        </is>
      </c>
      <c r="O146" s="7" t="inlineStr">
        <is>
          <t>ブルー</t>
        </is>
      </c>
      <c r="P146" s="7" t="inlineStr">
        <is>
          <t>日常</t>
        </is>
      </c>
      <c r="Q146" s="7" t="n">
        <v>3000</v>
      </c>
      <c r="R146" s="7" t="inlineStr">
        <is>
          <t>30歳以上</t>
        </is>
      </c>
      <c r="S146" s="7" t="inlineStr">
        <is>
          <t>本配</t>
        </is>
      </c>
      <c r="T146" s="7" t="inlineStr">
        <is>
          <t>無制限</t>
        </is>
      </c>
      <c r="U146" s="7" t="inlineStr">
        <is>
          <t>あり</t>
        </is>
      </c>
      <c r="V146" s="7" t="n">
        <v>1000</v>
      </c>
      <c r="W146" s="7" t="inlineStr">
        <is>
          <t>車内外</t>
        </is>
      </c>
      <c r="X146" s="7" t="n">
        <v>5000</v>
      </c>
      <c r="Y146" s="7" t="inlineStr">
        <is>
          <t>一般</t>
        </is>
      </c>
      <c r="Z146" s="7" t="n">
        <v>110</v>
      </c>
      <c r="AA146" s="7" t="inlineStr">
        <is>
          <t>免責金額なし</t>
        </is>
      </c>
      <c r="AB146" s="7" t="inlineStr">
        <is>
          <t>なし</t>
        </is>
      </c>
      <c r="AC146" s="7" t="inlineStr">
        <is>
          <t>なし</t>
        </is>
      </c>
      <c r="AD146" s="7" t="inlineStr">
        <is>
          <t>なし</t>
        </is>
      </c>
      <c r="AE146" s="7" t="inlineStr">
        <is>
          <t>あり</t>
        </is>
      </c>
      <c r="AF146" s="7" t="inlineStr">
        <is>
          <t>なし</t>
        </is>
      </c>
      <c r="AG146" s="7" t="inlineStr">
        <is>
          <t>なし</t>
        </is>
      </c>
      <c r="AH146" s="7" t="inlineStr">
        <is>
          <t>なし</t>
        </is>
      </c>
      <c r="AI146" s="7"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2018(平成30)</t>
        </is>
      </c>
      <c r="AQ146" s="60" t="n">
        <v>11</v>
      </c>
      <c r="AR146" s="60" t="inlineStr">
        <is>
          <t>HE33S</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110万円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c r="BU146" s="60" t="n">
        <v>34160</v>
      </c>
      <c r="BV146" s="60" t="n">
        <v>21680</v>
      </c>
      <c r="BW146" s="60" t="n">
        <v>10000</v>
      </c>
      <c r="BX146" s="60" t="n">
        <v>6000</v>
      </c>
      <c r="BY146" s="60" t="n">
        <v>0</v>
      </c>
      <c r="BZ146" s="60" t="n"/>
      <c r="CA146" s="60" t="n"/>
    </row>
    <row r="147">
      <c r="A147" s="60" t="n">
        <v>2022</v>
      </c>
      <c r="B147" s="7" t="n">
        <v>12</v>
      </c>
      <c r="C147" s="7" t="n">
        <v>1</v>
      </c>
      <c r="D147" s="7" t="n">
        <v>17</v>
      </c>
      <c r="E147" s="7" t="inlineStr">
        <is>
          <t>なし</t>
        </is>
      </c>
      <c r="F147" s="7" t="inlineStr">
        <is>
          <t>30歳以上</t>
        </is>
      </c>
      <c r="G147" s="7" t="n">
        <v>2018</v>
      </c>
      <c r="H147" s="7" t="n">
        <v>11</v>
      </c>
      <c r="I147" s="7" t="inlineStr">
        <is>
          <t>HE33S</t>
        </is>
      </c>
      <c r="J147" s="7" t="inlineStr">
        <is>
          <t>なし</t>
        </is>
      </c>
      <c r="K147" s="7" t="n">
        <v>1962</v>
      </c>
      <c r="L147" s="15" t="n">
        <v>12</v>
      </c>
      <c r="M147" s="7" t="n">
        <v>1</v>
      </c>
      <c r="N147" s="7" t="inlineStr">
        <is>
          <t>関東</t>
        </is>
      </c>
      <c r="O147" s="7" t="inlineStr">
        <is>
          <t>ブルー</t>
        </is>
      </c>
      <c r="P147" s="7" t="inlineStr">
        <is>
          <t>日常</t>
        </is>
      </c>
      <c r="Q147" s="7" t="n">
        <v>3000</v>
      </c>
      <c r="R147" s="7" t="inlineStr">
        <is>
          <t>30歳以上</t>
        </is>
      </c>
      <c r="S147" s="7" t="inlineStr">
        <is>
          <t>本配</t>
        </is>
      </c>
      <c r="T147" s="7" t="inlineStr">
        <is>
          <t>無制限</t>
        </is>
      </c>
      <c r="U147" s="7" t="inlineStr">
        <is>
          <t>あり</t>
        </is>
      </c>
      <c r="V147" s="7" t="n">
        <v>1000</v>
      </c>
      <c r="W147" s="7" t="inlineStr">
        <is>
          <t>車内外</t>
        </is>
      </c>
      <c r="X147" s="7" t="n">
        <v>5000</v>
      </c>
      <c r="Y147" s="7" t="inlineStr">
        <is>
          <t>一般</t>
        </is>
      </c>
      <c r="Z147" s="7" t="n">
        <v>110</v>
      </c>
      <c r="AA147" s="7" t="inlineStr">
        <is>
          <t>免責金額なし</t>
        </is>
      </c>
      <c r="AB147" s="7" t="inlineStr">
        <is>
          <t>なし</t>
        </is>
      </c>
      <c r="AC147" s="7" t="inlineStr">
        <is>
          <t>なし</t>
        </is>
      </c>
      <c r="AD147" s="7" t="inlineStr">
        <is>
          <t>なし</t>
        </is>
      </c>
      <c r="AE147" s="7" t="inlineStr">
        <is>
          <t>あり</t>
        </is>
      </c>
      <c r="AF147" s="7" t="inlineStr">
        <is>
          <t>なし</t>
        </is>
      </c>
      <c r="AG147" s="7" t="inlineStr">
        <is>
          <t>なし</t>
        </is>
      </c>
      <c r="AH147" s="7" t="inlineStr">
        <is>
          <t>なし</t>
        </is>
      </c>
      <c r="AI147" s="7"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2018(平成30)</t>
        </is>
      </c>
      <c r="AQ147" s="60" t="n">
        <v>11</v>
      </c>
      <c r="AR147" s="60" t="inlineStr">
        <is>
          <t>HE33S</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110万円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c r="BU147" s="60" t="n">
        <v>33540</v>
      </c>
      <c r="BV147" s="60" t="n">
        <v>22500</v>
      </c>
      <c r="BW147" s="60" t="n">
        <v>13000</v>
      </c>
      <c r="BX147" s="60" t="n">
        <v>6000</v>
      </c>
      <c r="BY147" s="60" t="n">
        <v>0</v>
      </c>
      <c r="BZ147" s="60" t="n"/>
      <c r="CA147" s="60" t="n"/>
    </row>
    <row r="148">
      <c r="A148" s="60" t="n">
        <v>2022</v>
      </c>
      <c r="B148" s="7" t="n">
        <v>12</v>
      </c>
      <c r="C148" s="7" t="n">
        <v>1</v>
      </c>
      <c r="D148" s="7" t="n">
        <v>17</v>
      </c>
      <c r="E148" s="7" t="inlineStr">
        <is>
          <t>なし</t>
        </is>
      </c>
      <c r="F148" s="7" t="inlineStr">
        <is>
          <t>30歳以上</t>
        </is>
      </c>
      <c r="G148" s="7" t="n">
        <v>2018</v>
      </c>
      <c r="H148" s="7" t="n">
        <v>11</v>
      </c>
      <c r="I148" s="7" t="inlineStr">
        <is>
          <t>HE33S</t>
        </is>
      </c>
      <c r="J148" s="7" t="inlineStr">
        <is>
          <t>なし</t>
        </is>
      </c>
      <c r="K148" s="7" t="n">
        <v>1952</v>
      </c>
      <c r="L148" s="15" t="n">
        <v>12</v>
      </c>
      <c r="M148" s="7" t="n">
        <v>1</v>
      </c>
      <c r="N148" s="7" t="inlineStr">
        <is>
          <t>関東</t>
        </is>
      </c>
      <c r="O148" s="7" t="inlineStr">
        <is>
          <t>ブルー</t>
        </is>
      </c>
      <c r="P148" s="7" t="inlineStr">
        <is>
          <t>日常</t>
        </is>
      </c>
      <c r="Q148" s="7" t="n">
        <v>3000</v>
      </c>
      <c r="R148" s="7" t="inlineStr">
        <is>
          <t>30歳以上</t>
        </is>
      </c>
      <c r="S148" s="7" t="inlineStr">
        <is>
          <t>本配</t>
        </is>
      </c>
      <c r="T148" s="7" t="inlineStr">
        <is>
          <t>無制限</t>
        </is>
      </c>
      <c r="U148" s="7" t="inlineStr">
        <is>
          <t>あり</t>
        </is>
      </c>
      <c r="V148" s="7" t="n">
        <v>1000</v>
      </c>
      <c r="W148" s="7" t="inlineStr">
        <is>
          <t>車内外</t>
        </is>
      </c>
      <c r="X148" s="7" t="n">
        <v>5000</v>
      </c>
      <c r="Y148" s="7" t="inlineStr">
        <is>
          <t>一般</t>
        </is>
      </c>
      <c r="Z148" s="7" t="n">
        <v>110</v>
      </c>
      <c r="AA148" s="7" t="inlineStr">
        <is>
          <t>免責金額なし</t>
        </is>
      </c>
      <c r="AB148" s="7" t="inlineStr">
        <is>
          <t>なし</t>
        </is>
      </c>
      <c r="AC148" s="7" t="inlineStr">
        <is>
          <t>なし</t>
        </is>
      </c>
      <c r="AD148" s="7" t="inlineStr">
        <is>
          <t>なし</t>
        </is>
      </c>
      <c r="AE148" s="7" t="inlineStr">
        <is>
          <t>あり</t>
        </is>
      </c>
      <c r="AF148" s="7" t="inlineStr">
        <is>
          <t>なし</t>
        </is>
      </c>
      <c r="AG148" s="7" t="inlineStr">
        <is>
          <t>なし</t>
        </is>
      </c>
      <c r="AH148" s="7" t="inlineStr">
        <is>
          <t>なし</t>
        </is>
      </c>
      <c r="AI148" s="7"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2018(平成30)</t>
        </is>
      </c>
      <c r="AQ148" s="60" t="n">
        <v>11</v>
      </c>
      <c r="AR148" s="60" t="inlineStr">
        <is>
          <t>HE33S</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110万円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c r="BU148" s="60" t="n">
        <v>40310</v>
      </c>
      <c r="BV148" s="60" t="n">
        <v>24280</v>
      </c>
      <c r="BW148" s="60" t="n">
        <v>15000</v>
      </c>
      <c r="BX148" s="60" t="n">
        <v>9000</v>
      </c>
      <c r="BY148" s="60" t="n">
        <v>0</v>
      </c>
      <c r="BZ148" s="60" t="n"/>
      <c r="CA148" s="60" t="n"/>
    </row>
    <row r="149">
      <c r="A149" s="60" t="n">
        <v>2022</v>
      </c>
      <c r="B149" s="7" t="n">
        <v>12</v>
      </c>
      <c r="C149" s="7" t="n">
        <v>1</v>
      </c>
      <c r="D149" s="7" t="n">
        <v>17</v>
      </c>
      <c r="E149" s="7" t="inlineStr">
        <is>
          <t>なし</t>
        </is>
      </c>
      <c r="F149" s="7" t="inlineStr">
        <is>
          <t>30歳以上</t>
        </is>
      </c>
      <c r="G149" s="7" t="n">
        <v>2018</v>
      </c>
      <c r="H149" s="7" t="n">
        <v>11</v>
      </c>
      <c r="I149" s="7" t="inlineStr">
        <is>
          <t>HE33S</t>
        </is>
      </c>
      <c r="J149" s="7" t="inlineStr">
        <is>
          <t>なし</t>
        </is>
      </c>
      <c r="K149" s="7" t="n">
        <v>1992</v>
      </c>
      <c r="L149" s="15" t="n">
        <v>12</v>
      </c>
      <c r="M149" s="7" t="n">
        <v>1</v>
      </c>
      <c r="N149" s="7" t="inlineStr">
        <is>
          <t>関東</t>
        </is>
      </c>
      <c r="O149" s="7" t="inlineStr">
        <is>
          <t>ブルー</t>
        </is>
      </c>
      <c r="P149" s="7" t="inlineStr">
        <is>
          <t>日常</t>
        </is>
      </c>
      <c r="Q149" s="7" t="n">
        <v>7000</v>
      </c>
      <c r="R149" s="7" t="inlineStr">
        <is>
          <t>30歳以上</t>
        </is>
      </c>
      <c r="S149" s="7" t="inlineStr">
        <is>
          <t>本配</t>
        </is>
      </c>
      <c r="T149" s="7" t="inlineStr">
        <is>
          <t>無制限</t>
        </is>
      </c>
      <c r="U149" s="7" t="inlineStr">
        <is>
          <t>あり</t>
        </is>
      </c>
      <c r="V149" s="7" t="n">
        <v>1000</v>
      </c>
      <c r="W149" s="7" t="inlineStr">
        <is>
          <t>車内外</t>
        </is>
      </c>
      <c r="X149" s="7" t="n">
        <v>5000</v>
      </c>
      <c r="Y149" s="7" t="inlineStr">
        <is>
          <t>一般</t>
        </is>
      </c>
      <c r="Z149" s="7" t="n">
        <v>110</v>
      </c>
      <c r="AA149" s="7" t="inlineStr">
        <is>
          <t>免責金額なし</t>
        </is>
      </c>
      <c r="AB149" s="7" t="inlineStr">
        <is>
          <t>なし</t>
        </is>
      </c>
      <c r="AC149" s="7" t="inlineStr">
        <is>
          <t>なし</t>
        </is>
      </c>
      <c r="AD149" s="7" t="inlineStr">
        <is>
          <t>なし</t>
        </is>
      </c>
      <c r="AE149" s="7" t="inlineStr">
        <is>
          <t>あり</t>
        </is>
      </c>
      <c r="AF149" s="7" t="inlineStr">
        <is>
          <t>なし</t>
        </is>
      </c>
      <c r="AG149" s="7" t="inlineStr">
        <is>
          <t>なし</t>
        </is>
      </c>
      <c r="AH149" s="7" t="inlineStr">
        <is>
          <t>なし</t>
        </is>
      </c>
      <c r="AI149" s="7"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2018(平成30)</t>
        </is>
      </c>
      <c r="AQ149" s="60" t="n">
        <v>11</v>
      </c>
      <c r="AR149" s="60" t="inlineStr">
        <is>
          <t>HE33S</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110万円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c r="BU149" s="60" t="n">
        <v>36970</v>
      </c>
      <c r="BV149" s="60" t="n">
        <v>23170</v>
      </c>
      <c r="BW149" s="60" t="n">
        <v>13000</v>
      </c>
      <c r="BX149" s="60" t="n">
        <v>9000</v>
      </c>
      <c r="BY149" s="60" t="n">
        <v>0</v>
      </c>
      <c r="BZ149" s="60" t="n"/>
      <c r="CA149" s="60" t="n"/>
    </row>
    <row r="150">
      <c r="A150" s="60" t="n">
        <v>2022</v>
      </c>
      <c r="B150" s="7" t="n">
        <v>12</v>
      </c>
      <c r="C150" s="7" t="n">
        <v>1</v>
      </c>
      <c r="D150" s="7" t="n">
        <v>17</v>
      </c>
      <c r="E150" s="7" t="inlineStr">
        <is>
          <t>なし</t>
        </is>
      </c>
      <c r="F150" s="7" t="inlineStr">
        <is>
          <t>30歳以上</t>
        </is>
      </c>
      <c r="G150" s="7" t="n">
        <v>2018</v>
      </c>
      <c r="H150" s="7" t="n">
        <v>11</v>
      </c>
      <c r="I150" s="7" t="inlineStr">
        <is>
          <t>HE33S</t>
        </is>
      </c>
      <c r="J150" s="7" t="inlineStr">
        <is>
          <t>なし</t>
        </is>
      </c>
      <c r="K150" s="7" t="n">
        <v>1987</v>
      </c>
      <c r="L150" s="15" t="n">
        <v>12</v>
      </c>
      <c r="M150" s="7" t="n">
        <v>1</v>
      </c>
      <c r="N150" s="7" t="inlineStr">
        <is>
          <t>関東</t>
        </is>
      </c>
      <c r="O150" s="7" t="inlineStr">
        <is>
          <t>ブルー</t>
        </is>
      </c>
      <c r="P150" s="7" t="inlineStr">
        <is>
          <t>日常</t>
        </is>
      </c>
      <c r="Q150" s="7" t="n">
        <v>7000</v>
      </c>
      <c r="R150" s="7" t="inlineStr">
        <is>
          <t>30歳以上</t>
        </is>
      </c>
      <c r="S150" s="7" t="inlineStr">
        <is>
          <t>本配</t>
        </is>
      </c>
      <c r="T150" s="7" t="inlineStr">
        <is>
          <t>無制限</t>
        </is>
      </c>
      <c r="U150" s="7" t="inlineStr">
        <is>
          <t>あり</t>
        </is>
      </c>
      <c r="V150" s="7" t="n">
        <v>1000</v>
      </c>
      <c r="W150" s="7" t="inlineStr">
        <is>
          <t>車内外</t>
        </is>
      </c>
      <c r="X150" s="7" t="n">
        <v>5000</v>
      </c>
      <c r="Y150" s="7" t="inlineStr">
        <is>
          <t>一般</t>
        </is>
      </c>
      <c r="Z150" s="7" t="n">
        <v>110</v>
      </c>
      <c r="AA150" s="7" t="inlineStr">
        <is>
          <t>免責金額なし</t>
        </is>
      </c>
      <c r="AB150" s="7" t="inlineStr">
        <is>
          <t>なし</t>
        </is>
      </c>
      <c r="AC150" s="7" t="inlineStr">
        <is>
          <t>なし</t>
        </is>
      </c>
      <c r="AD150" s="7" t="inlineStr">
        <is>
          <t>なし</t>
        </is>
      </c>
      <c r="AE150" s="7" t="inlineStr">
        <is>
          <t>あり</t>
        </is>
      </c>
      <c r="AF150" s="7" t="inlineStr">
        <is>
          <t>なし</t>
        </is>
      </c>
      <c r="AG150" s="7" t="inlineStr">
        <is>
          <t>なし</t>
        </is>
      </c>
      <c r="AH150" s="7" t="inlineStr">
        <is>
          <t>なし</t>
        </is>
      </c>
      <c r="AI150" s="7"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2018(平成30)</t>
        </is>
      </c>
      <c r="AQ150" s="60" t="n">
        <v>11</v>
      </c>
      <c r="AR150" s="60" t="inlineStr">
        <is>
          <t>HE33S</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110万円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c r="BU150" s="60" t="n">
        <v>36800</v>
      </c>
      <c r="BV150" s="60" t="n">
        <v>23120</v>
      </c>
      <c r="BW150" s="60" t="n">
        <v>13000</v>
      </c>
      <c r="BX150" s="60" t="n">
        <v>9000</v>
      </c>
      <c r="BY150" s="60" t="n">
        <v>0</v>
      </c>
      <c r="BZ150" s="60" t="n"/>
      <c r="CA150" s="60" t="n"/>
    </row>
    <row r="151">
      <c r="A151" s="60" t="n">
        <v>2022</v>
      </c>
      <c r="B151" s="7" t="n">
        <v>12</v>
      </c>
      <c r="C151" s="7" t="n">
        <v>1</v>
      </c>
      <c r="D151" s="7" t="n">
        <v>17</v>
      </c>
      <c r="E151" s="7" t="inlineStr">
        <is>
          <t>なし</t>
        </is>
      </c>
      <c r="F151" s="7" t="inlineStr">
        <is>
          <t>30歳以上</t>
        </is>
      </c>
      <c r="G151" s="7" t="n">
        <v>2018</v>
      </c>
      <c r="H151" s="7" t="n">
        <v>11</v>
      </c>
      <c r="I151" s="7" t="inlineStr">
        <is>
          <t>HE33S</t>
        </is>
      </c>
      <c r="J151" s="7" t="inlineStr">
        <is>
          <t>なし</t>
        </is>
      </c>
      <c r="K151" s="7" t="n">
        <v>1982</v>
      </c>
      <c r="L151" s="15" t="n">
        <v>12</v>
      </c>
      <c r="M151" s="7" t="n">
        <v>1</v>
      </c>
      <c r="N151" s="7" t="inlineStr">
        <is>
          <t>関東</t>
        </is>
      </c>
      <c r="O151" s="7" t="inlineStr">
        <is>
          <t>ブルー</t>
        </is>
      </c>
      <c r="P151" s="7" t="inlineStr">
        <is>
          <t>日常</t>
        </is>
      </c>
      <c r="Q151" s="7" t="n">
        <v>7000</v>
      </c>
      <c r="R151" s="7" t="inlineStr">
        <is>
          <t>30歳以上</t>
        </is>
      </c>
      <c r="S151" s="7" t="inlineStr">
        <is>
          <t>本配</t>
        </is>
      </c>
      <c r="T151" s="7" t="inlineStr">
        <is>
          <t>無制限</t>
        </is>
      </c>
      <c r="U151" s="7" t="inlineStr">
        <is>
          <t>あり</t>
        </is>
      </c>
      <c r="V151" s="7" t="n">
        <v>1000</v>
      </c>
      <c r="W151" s="7" t="inlineStr">
        <is>
          <t>車内外</t>
        </is>
      </c>
      <c r="X151" s="7" t="n">
        <v>5000</v>
      </c>
      <c r="Y151" s="7" t="inlineStr">
        <is>
          <t>一般</t>
        </is>
      </c>
      <c r="Z151" s="7" t="n">
        <v>110</v>
      </c>
      <c r="AA151" s="7" t="inlineStr">
        <is>
          <t>免責金額なし</t>
        </is>
      </c>
      <c r="AB151" s="7" t="inlineStr">
        <is>
          <t>なし</t>
        </is>
      </c>
      <c r="AC151" s="7" t="inlineStr">
        <is>
          <t>なし</t>
        </is>
      </c>
      <c r="AD151" s="7" t="inlineStr">
        <is>
          <t>なし</t>
        </is>
      </c>
      <c r="AE151" s="7" t="inlineStr">
        <is>
          <t>あり</t>
        </is>
      </c>
      <c r="AF151" s="7" t="inlineStr">
        <is>
          <t>なし</t>
        </is>
      </c>
      <c r="AG151" s="7" t="inlineStr">
        <is>
          <t>なし</t>
        </is>
      </c>
      <c r="AH151" s="7" t="inlineStr">
        <is>
          <t>なし</t>
        </is>
      </c>
      <c r="AI151" s="7"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2018(平成30)</t>
        </is>
      </c>
      <c r="AQ151" s="60" t="n">
        <v>11</v>
      </c>
      <c r="AR151" s="60" t="inlineStr">
        <is>
          <t>HE33S</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110万円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c r="BU151" s="60" t="n">
        <v>37280</v>
      </c>
      <c r="BV151" s="60" t="n">
        <v>23500</v>
      </c>
      <c r="BW151" s="60" t="n">
        <v>13000</v>
      </c>
      <c r="BX151" s="60" t="n">
        <v>9000</v>
      </c>
      <c r="BY151" s="60" t="n">
        <v>0</v>
      </c>
      <c r="BZ151" s="60" t="n"/>
      <c r="CA151" s="60" t="n"/>
    </row>
    <row r="152">
      <c r="A152" s="60" t="n">
        <v>2022</v>
      </c>
      <c r="B152" s="7" t="n">
        <v>12</v>
      </c>
      <c r="C152" s="7" t="n">
        <v>1</v>
      </c>
      <c r="D152" s="7" t="n">
        <v>17</v>
      </c>
      <c r="E152" s="7" t="inlineStr">
        <is>
          <t>なし</t>
        </is>
      </c>
      <c r="F152" s="7" t="inlineStr">
        <is>
          <t>30歳以上</t>
        </is>
      </c>
      <c r="G152" s="7" t="n">
        <v>2018</v>
      </c>
      <c r="H152" s="7" t="n">
        <v>11</v>
      </c>
      <c r="I152" s="7" t="inlineStr">
        <is>
          <t>HE33S</t>
        </is>
      </c>
      <c r="J152" s="7" t="inlineStr">
        <is>
          <t>なし</t>
        </is>
      </c>
      <c r="K152" s="7" t="n">
        <v>1977</v>
      </c>
      <c r="L152" s="15" t="n">
        <v>12</v>
      </c>
      <c r="M152" s="7" t="n">
        <v>1</v>
      </c>
      <c r="N152" s="7" t="inlineStr">
        <is>
          <t>関東</t>
        </is>
      </c>
      <c r="O152" s="7" t="inlineStr">
        <is>
          <t>ブルー</t>
        </is>
      </c>
      <c r="P152" s="7" t="inlineStr">
        <is>
          <t>日常</t>
        </is>
      </c>
      <c r="Q152" s="7" t="n">
        <v>7000</v>
      </c>
      <c r="R152" s="7" t="inlineStr">
        <is>
          <t>30歳以上</t>
        </is>
      </c>
      <c r="S152" s="7" t="inlineStr">
        <is>
          <t>本配</t>
        </is>
      </c>
      <c r="T152" s="7" t="inlineStr">
        <is>
          <t>無制限</t>
        </is>
      </c>
      <c r="U152" s="7" t="inlineStr">
        <is>
          <t>あり</t>
        </is>
      </c>
      <c r="V152" s="7" t="n">
        <v>1000</v>
      </c>
      <c r="W152" s="7" t="inlineStr">
        <is>
          <t>車内外</t>
        </is>
      </c>
      <c r="X152" s="7" t="n">
        <v>5000</v>
      </c>
      <c r="Y152" s="7" t="inlineStr">
        <is>
          <t>一般</t>
        </is>
      </c>
      <c r="Z152" s="7" t="n">
        <v>110</v>
      </c>
      <c r="AA152" s="7" t="inlineStr">
        <is>
          <t>免責金額なし</t>
        </is>
      </c>
      <c r="AB152" s="7" t="inlineStr">
        <is>
          <t>なし</t>
        </is>
      </c>
      <c r="AC152" s="7" t="inlineStr">
        <is>
          <t>なし</t>
        </is>
      </c>
      <c r="AD152" s="7" t="inlineStr">
        <is>
          <t>なし</t>
        </is>
      </c>
      <c r="AE152" s="7" t="inlineStr">
        <is>
          <t>あり</t>
        </is>
      </c>
      <c r="AF152" s="7" t="inlineStr">
        <is>
          <t>なし</t>
        </is>
      </c>
      <c r="AG152" s="7" t="inlineStr">
        <is>
          <t>なし</t>
        </is>
      </c>
      <c r="AH152" s="7" t="inlineStr">
        <is>
          <t>なし</t>
        </is>
      </c>
      <c r="AI152" s="7"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2018(平成30)</t>
        </is>
      </c>
      <c r="AQ152" s="60" t="n">
        <v>11</v>
      </c>
      <c r="AR152" s="60" t="inlineStr">
        <is>
          <t>HE33S</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110万円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c r="BU152" s="60" t="n">
        <v>38030</v>
      </c>
      <c r="BV152" s="60" t="n">
        <v>23570</v>
      </c>
      <c r="BW152" s="60" t="n">
        <v>13000</v>
      </c>
      <c r="BX152" s="60" t="n">
        <v>9000</v>
      </c>
      <c r="BY152" s="60" t="n">
        <v>0</v>
      </c>
      <c r="BZ152" s="60" t="n"/>
      <c r="CA152" s="60" t="n"/>
    </row>
    <row r="153">
      <c r="A153" s="60" t="n">
        <v>2022</v>
      </c>
      <c r="B153" s="7" t="n">
        <v>12</v>
      </c>
      <c r="C153" s="7" t="n">
        <v>1</v>
      </c>
      <c r="D153" s="7" t="n">
        <v>17</v>
      </c>
      <c r="E153" s="7" t="inlineStr">
        <is>
          <t>なし</t>
        </is>
      </c>
      <c r="F153" s="7" t="inlineStr">
        <is>
          <t>30歳以上</t>
        </is>
      </c>
      <c r="G153" s="7" t="n">
        <v>2018</v>
      </c>
      <c r="H153" s="7" t="n">
        <v>11</v>
      </c>
      <c r="I153" s="7" t="inlineStr">
        <is>
          <t>HE33S</t>
        </is>
      </c>
      <c r="J153" s="7" t="inlineStr">
        <is>
          <t>なし</t>
        </is>
      </c>
      <c r="K153" s="7" t="n">
        <v>1972</v>
      </c>
      <c r="L153" s="15" t="n">
        <v>12</v>
      </c>
      <c r="M153" s="7" t="n">
        <v>1</v>
      </c>
      <c r="N153" s="7" t="inlineStr">
        <is>
          <t>関東</t>
        </is>
      </c>
      <c r="O153" s="7" t="inlineStr">
        <is>
          <t>ブルー</t>
        </is>
      </c>
      <c r="P153" s="7" t="inlineStr">
        <is>
          <t>日常</t>
        </is>
      </c>
      <c r="Q153" s="7" t="n">
        <v>7000</v>
      </c>
      <c r="R153" s="7" t="inlineStr">
        <is>
          <t>30歳以上</t>
        </is>
      </c>
      <c r="S153" s="7" t="inlineStr">
        <is>
          <t>本配</t>
        </is>
      </c>
      <c r="T153" s="7" t="inlineStr">
        <is>
          <t>無制限</t>
        </is>
      </c>
      <c r="U153" s="7" t="inlineStr">
        <is>
          <t>あり</t>
        </is>
      </c>
      <c r="V153" s="7" t="n">
        <v>1000</v>
      </c>
      <c r="W153" s="7" t="inlineStr">
        <is>
          <t>車内外</t>
        </is>
      </c>
      <c r="X153" s="7" t="n">
        <v>5000</v>
      </c>
      <c r="Y153" s="7" t="inlineStr">
        <is>
          <t>一般</t>
        </is>
      </c>
      <c r="Z153" s="7" t="n">
        <v>110</v>
      </c>
      <c r="AA153" s="7" t="inlineStr">
        <is>
          <t>免責金額なし</t>
        </is>
      </c>
      <c r="AB153" s="7" t="inlineStr">
        <is>
          <t>なし</t>
        </is>
      </c>
      <c r="AC153" s="7" t="inlineStr">
        <is>
          <t>なし</t>
        </is>
      </c>
      <c r="AD153" s="7" t="inlineStr">
        <is>
          <t>なし</t>
        </is>
      </c>
      <c r="AE153" s="7" t="inlineStr">
        <is>
          <t>あり</t>
        </is>
      </c>
      <c r="AF153" s="7" t="inlineStr">
        <is>
          <t>なし</t>
        </is>
      </c>
      <c r="AG153" s="7" t="inlineStr">
        <is>
          <t>なし</t>
        </is>
      </c>
      <c r="AH153" s="7" t="inlineStr">
        <is>
          <t>なし</t>
        </is>
      </c>
      <c r="AI153" s="7"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2018(平成30)</t>
        </is>
      </c>
      <c r="AQ153" s="60" t="n">
        <v>11</v>
      </c>
      <c r="AR153" s="60" t="inlineStr">
        <is>
          <t>HE33S</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110万円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c r="BU153" s="60" t="n">
        <v>38230</v>
      </c>
      <c r="BV153" s="60" t="n">
        <v>23400</v>
      </c>
      <c r="BW153" s="60" t="n">
        <v>13000</v>
      </c>
      <c r="BX153" s="60" t="n">
        <v>9000</v>
      </c>
      <c r="BY153" s="60" t="n">
        <v>0</v>
      </c>
      <c r="BZ153" s="60" t="n"/>
      <c r="CA153" s="60" t="n"/>
    </row>
    <row r="154">
      <c r="A154" s="60" t="n">
        <v>2022</v>
      </c>
      <c r="B154" s="7" t="n">
        <v>12</v>
      </c>
      <c r="C154" s="7" t="n">
        <v>1</v>
      </c>
      <c r="D154" s="7" t="n">
        <v>17</v>
      </c>
      <c r="E154" s="7" t="inlineStr">
        <is>
          <t>なし</t>
        </is>
      </c>
      <c r="F154" s="7" t="inlineStr">
        <is>
          <t>30歳以上</t>
        </is>
      </c>
      <c r="G154" s="7" t="n">
        <v>2018</v>
      </c>
      <c r="H154" s="7" t="n">
        <v>11</v>
      </c>
      <c r="I154" s="7" t="inlineStr">
        <is>
          <t>HE33S</t>
        </is>
      </c>
      <c r="J154" s="7" t="inlineStr">
        <is>
          <t>なし</t>
        </is>
      </c>
      <c r="K154" s="7" t="n">
        <v>1962</v>
      </c>
      <c r="L154" s="15" t="n">
        <v>12</v>
      </c>
      <c r="M154" s="7" t="n">
        <v>1</v>
      </c>
      <c r="N154" s="7" t="inlineStr">
        <is>
          <t>関東</t>
        </is>
      </c>
      <c r="O154" s="7" t="inlineStr">
        <is>
          <t>ブルー</t>
        </is>
      </c>
      <c r="P154" s="7" t="inlineStr">
        <is>
          <t>日常</t>
        </is>
      </c>
      <c r="Q154" s="7" t="n">
        <v>7000</v>
      </c>
      <c r="R154" s="7" t="inlineStr">
        <is>
          <t>30歳以上</t>
        </is>
      </c>
      <c r="S154" s="7" t="inlineStr">
        <is>
          <t>本配</t>
        </is>
      </c>
      <c r="T154" s="7" t="inlineStr">
        <is>
          <t>無制限</t>
        </is>
      </c>
      <c r="U154" s="7" t="inlineStr">
        <is>
          <t>あり</t>
        </is>
      </c>
      <c r="V154" s="7" t="n">
        <v>1000</v>
      </c>
      <c r="W154" s="7" t="inlineStr">
        <is>
          <t>車内外</t>
        </is>
      </c>
      <c r="X154" s="7" t="n">
        <v>5000</v>
      </c>
      <c r="Y154" s="7" t="inlineStr">
        <is>
          <t>一般</t>
        </is>
      </c>
      <c r="Z154" s="7" t="n">
        <v>110</v>
      </c>
      <c r="AA154" s="7" t="inlineStr">
        <is>
          <t>免責金額なし</t>
        </is>
      </c>
      <c r="AB154" s="7" t="inlineStr">
        <is>
          <t>なし</t>
        </is>
      </c>
      <c r="AC154" s="7" t="inlineStr">
        <is>
          <t>なし</t>
        </is>
      </c>
      <c r="AD154" s="7" t="inlineStr">
        <is>
          <t>なし</t>
        </is>
      </c>
      <c r="AE154" s="7" t="inlineStr">
        <is>
          <t>あり</t>
        </is>
      </c>
      <c r="AF154" s="7" t="inlineStr">
        <is>
          <t>なし</t>
        </is>
      </c>
      <c r="AG154" s="7" t="inlineStr">
        <is>
          <t>なし</t>
        </is>
      </c>
      <c r="AH154" s="7" t="inlineStr">
        <is>
          <t>なし</t>
        </is>
      </c>
      <c r="AI154" s="7"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2018(平成30)</t>
        </is>
      </c>
      <c r="AQ154" s="60" t="n">
        <v>11</v>
      </c>
      <c r="AR154" s="60" t="inlineStr">
        <is>
          <t>HE33S</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110万円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c r="BU154" s="60" t="n">
        <v>40990</v>
      </c>
      <c r="BV154" s="60" t="n">
        <v>24370</v>
      </c>
      <c r="BW154" s="60" t="n">
        <v>13000</v>
      </c>
      <c r="BX154" s="60" t="n">
        <v>9000</v>
      </c>
      <c r="BY154" s="60" t="n">
        <v>0</v>
      </c>
      <c r="BZ154" s="60" t="n"/>
      <c r="CA154" s="60" t="n"/>
    </row>
    <row r="155">
      <c r="A155" s="60" t="n">
        <v>2022</v>
      </c>
      <c r="B155" s="7" t="n">
        <v>12</v>
      </c>
      <c r="C155" s="7" t="n">
        <v>1</v>
      </c>
      <c r="D155" s="7" t="n">
        <v>17</v>
      </c>
      <c r="E155" s="7" t="inlineStr">
        <is>
          <t>なし</t>
        </is>
      </c>
      <c r="F155" s="7" t="inlineStr">
        <is>
          <t>30歳以上</t>
        </is>
      </c>
      <c r="G155" s="7" t="n">
        <v>2018</v>
      </c>
      <c r="H155" s="7" t="n">
        <v>11</v>
      </c>
      <c r="I155" s="7" t="inlineStr">
        <is>
          <t>HE33S</t>
        </is>
      </c>
      <c r="J155" s="7" t="inlineStr">
        <is>
          <t>なし</t>
        </is>
      </c>
      <c r="K155" s="7" t="n">
        <v>1952</v>
      </c>
      <c r="L155" s="15" t="n">
        <v>12</v>
      </c>
      <c r="M155" s="7" t="n">
        <v>1</v>
      </c>
      <c r="N155" s="7" t="inlineStr">
        <is>
          <t>関東</t>
        </is>
      </c>
      <c r="O155" s="7" t="inlineStr">
        <is>
          <t>ブルー</t>
        </is>
      </c>
      <c r="P155" s="7" t="inlineStr">
        <is>
          <t>日常</t>
        </is>
      </c>
      <c r="Q155" s="7" t="n">
        <v>7000</v>
      </c>
      <c r="R155" s="7" t="inlineStr">
        <is>
          <t>30歳以上</t>
        </is>
      </c>
      <c r="S155" s="7" t="inlineStr">
        <is>
          <t>本配</t>
        </is>
      </c>
      <c r="T155" s="7" t="inlineStr">
        <is>
          <t>無制限</t>
        </is>
      </c>
      <c r="U155" s="7" t="inlineStr">
        <is>
          <t>あり</t>
        </is>
      </c>
      <c r="V155" s="7" t="n">
        <v>1000</v>
      </c>
      <c r="W155" s="7" t="inlineStr">
        <is>
          <t>車内外</t>
        </is>
      </c>
      <c r="X155" s="7" t="n">
        <v>5000</v>
      </c>
      <c r="Y155" s="7" t="inlineStr">
        <is>
          <t>一般</t>
        </is>
      </c>
      <c r="Z155" s="7" t="n">
        <v>110</v>
      </c>
      <c r="AA155" s="7" t="inlineStr">
        <is>
          <t>免責金額なし</t>
        </is>
      </c>
      <c r="AB155" s="7" t="inlineStr">
        <is>
          <t>なし</t>
        </is>
      </c>
      <c r="AC155" s="7" t="inlineStr">
        <is>
          <t>なし</t>
        </is>
      </c>
      <c r="AD155" s="7" t="inlineStr">
        <is>
          <t>なし</t>
        </is>
      </c>
      <c r="AE155" s="7" t="inlineStr">
        <is>
          <t>あり</t>
        </is>
      </c>
      <c r="AF155" s="7" t="inlineStr">
        <is>
          <t>なし</t>
        </is>
      </c>
      <c r="AG155" s="7" t="inlineStr">
        <is>
          <t>なし</t>
        </is>
      </c>
      <c r="AH155" s="7" t="inlineStr">
        <is>
          <t>なし</t>
        </is>
      </c>
      <c r="AI155" s="7"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2018(平成30)</t>
        </is>
      </c>
      <c r="AQ155" s="60" t="n">
        <v>11</v>
      </c>
      <c r="AR155" s="60" t="inlineStr">
        <is>
          <t>HE33S</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110万円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c r="BU155" s="60" t="n">
        <v>48420</v>
      </c>
      <c r="BV155" s="60" t="n">
        <v>30200</v>
      </c>
      <c r="BW155" s="60" t="n">
        <v>16000</v>
      </c>
      <c r="BX155" s="60" t="n">
        <v>9000</v>
      </c>
      <c r="BY155" s="60" t="n">
        <v>0</v>
      </c>
      <c r="BZ155" s="60" t="n"/>
      <c r="CA155" s="60" t="n"/>
    </row>
    <row r="156">
      <c r="A156" s="60" t="n">
        <v>2022</v>
      </c>
      <c r="B156" s="7" t="n">
        <v>12</v>
      </c>
      <c r="C156" s="7" t="n">
        <v>1</v>
      </c>
      <c r="D156" s="7" t="n">
        <v>17</v>
      </c>
      <c r="E156" s="7" t="inlineStr">
        <is>
          <t>なし</t>
        </is>
      </c>
      <c r="F156" s="7" t="inlineStr">
        <is>
          <t>30歳以上</t>
        </is>
      </c>
      <c r="G156" s="7" t="n">
        <v>2018</v>
      </c>
      <c r="H156" s="7" t="n">
        <v>11</v>
      </c>
      <c r="I156" s="7" t="inlineStr">
        <is>
          <t>HE33S</t>
        </is>
      </c>
      <c r="J156" s="7" t="inlineStr">
        <is>
          <t>なし</t>
        </is>
      </c>
      <c r="K156" s="7" t="n">
        <v>1992</v>
      </c>
      <c r="L156" s="15" t="n">
        <v>12</v>
      </c>
      <c r="M156" s="7" t="n">
        <v>1</v>
      </c>
      <c r="N156" s="7" t="inlineStr">
        <is>
          <t>関東</t>
        </is>
      </c>
      <c r="O156" s="7" t="inlineStr">
        <is>
          <t>ブルー</t>
        </is>
      </c>
      <c r="P156" s="7" t="inlineStr">
        <is>
          <t>通勤</t>
        </is>
      </c>
      <c r="Q156" s="7" t="n">
        <v>3000</v>
      </c>
      <c r="R156" s="7" t="inlineStr">
        <is>
          <t>30歳以上</t>
        </is>
      </c>
      <c r="S156" s="7" t="inlineStr">
        <is>
          <t>本配</t>
        </is>
      </c>
      <c r="T156" s="7" t="inlineStr">
        <is>
          <t>無制限</t>
        </is>
      </c>
      <c r="U156" s="7" t="inlineStr">
        <is>
          <t>あり</t>
        </is>
      </c>
      <c r="V156" s="7" t="n">
        <v>1000</v>
      </c>
      <c r="W156" s="7" t="inlineStr">
        <is>
          <t>車内外</t>
        </is>
      </c>
      <c r="X156" s="7" t="n">
        <v>5000</v>
      </c>
      <c r="Y156" s="7" t="inlineStr">
        <is>
          <t>一般</t>
        </is>
      </c>
      <c r="Z156" s="7" t="n">
        <v>110</v>
      </c>
      <c r="AA156" s="7" t="inlineStr">
        <is>
          <t>免責金額なし</t>
        </is>
      </c>
      <c r="AB156" s="7" t="inlineStr">
        <is>
          <t>なし</t>
        </is>
      </c>
      <c r="AC156" s="7" t="inlineStr">
        <is>
          <t>なし</t>
        </is>
      </c>
      <c r="AD156" s="7" t="inlineStr">
        <is>
          <t>なし</t>
        </is>
      </c>
      <c r="AE156" s="7" t="inlineStr">
        <is>
          <t>あり</t>
        </is>
      </c>
      <c r="AF156" s="7" t="inlineStr">
        <is>
          <t>なし</t>
        </is>
      </c>
      <c r="AG156" s="7" t="inlineStr">
        <is>
          <t>なし</t>
        </is>
      </c>
      <c r="AH156" s="7" t="inlineStr">
        <is>
          <t>なし</t>
        </is>
      </c>
      <c r="AI156" s="7"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2018(平成30)</t>
        </is>
      </c>
      <c r="AQ156" s="60" t="n">
        <v>11</v>
      </c>
      <c r="AR156" s="60" t="inlineStr">
        <is>
          <t>HE33S</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110万円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c r="BU156" s="60" t="n">
        <v>41190</v>
      </c>
      <c r="BV156" s="60" t="n">
        <v>24570</v>
      </c>
      <c r="BW156" s="60" t="n">
        <v>13000</v>
      </c>
      <c r="BX156" s="60" t="n">
        <v>9000</v>
      </c>
      <c r="BY156" s="60" t="n">
        <v>0</v>
      </c>
      <c r="BZ156" s="60" t="n"/>
      <c r="CA156" s="60" t="n"/>
    </row>
    <row r="157">
      <c r="A157" s="60" t="n">
        <v>2022</v>
      </c>
      <c r="B157" s="7" t="n">
        <v>12</v>
      </c>
      <c r="C157" s="7" t="n">
        <v>1</v>
      </c>
      <c r="D157" s="7" t="n">
        <v>17</v>
      </c>
      <c r="E157" s="7" t="inlineStr">
        <is>
          <t>なし</t>
        </is>
      </c>
      <c r="F157" s="7" t="inlineStr">
        <is>
          <t>30歳以上</t>
        </is>
      </c>
      <c r="G157" s="7" t="n">
        <v>2018</v>
      </c>
      <c r="H157" s="7" t="n">
        <v>11</v>
      </c>
      <c r="I157" s="7" t="inlineStr">
        <is>
          <t>HE33S</t>
        </is>
      </c>
      <c r="J157" s="7" t="inlineStr">
        <is>
          <t>なし</t>
        </is>
      </c>
      <c r="K157" s="7" t="n">
        <v>1987</v>
      </c>
      <c r="L157" s="15" t="n">
        <v>12</v>
      </c>
      <c r="M157" s="7" t="n">
        <v>1</v>
      </c>
      <c r="N157" s="7" t="inlineStr">
        <is>
          <t>関東</t>
        </is>
      </c>
      <c r="O157" s="7" t="inlineStr">
        <is>
          <t>ブルー</t>
        </is>
      </c>
      <c r="P157" s="7" t="inlineStr">
        <is>
          <t>通勤</t>
        </is>
      </c>
      <c r="Q157" s="7" t="n">
        <v>3000</v>
      </c>
      <c r="R157" s="7" t="inlineStr">
        <is>
          <t>30歳以上</t>
        </is>
      </c>
      <c r="S157" s="7" t="inlineStr">
        <is>
          <t>本配</t>
        </is>
      </c>
      <c r="T157" s="7" t="inlineStr">
        <is>
          <t>無制限</t>
        </is>
      </c>
      <c r="U157" s="7" t="inlineStr">
        <is>
          <t>あり</t>
        </is>
      </c>
      <c r="V157" s="7" t="n">
        <v>1000</v>
      </c>
      <c r="W157" s="7" t="inlineStr">
        <is>
          <t>車内外</t>
        </is>
      </c>
      <c r="X157" s="7" t="n">
        <v>5000</v>
      </c>
      <c r="Y157" s="7" t="inlineStr">
        <is>
          <t>一般</t>
        </is>
      </c>
      <c r="Z157" s="7" t="n">
        <v>110</v>
      </c>
      <c r="AA157" s="7" t="inlineStr">
        <is>
          <t>免責金額なし</t>
        </is>
      </c>
      <c r="AB157" s="7" t="inlineStr">
        <is>
          <t>なし</t>
        </is>
      </c>
      <c r="AC157" s="7" t="inlineStr">
        <is>
          <t>なし</t>
        </is>
      </c>
      <c r="AD157" s="7" t="inlineStr">
        <is>
          <t>なし</t>
        </is>
      </c>
      <c r="AE157" s="7" t="inlineStr">
        <is>
          <t>あり</t>
        </is>
      </c>
      <c r="AF157" s="7" t="inlineStr">
        <is>
          <t>なし</t>
        </is>
      </c>
      <c r="AG157" s="7" t="inlineStr">
        <is>
          <t>なし</t>
        </is>
      </c>
      <c r="AH157" s="7" t="inlineStr">
        <is>
          <t>なし</t>
        </is>
      </c>
      <c r="AI157" s="7"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2018(平成30)</t>
        </is>
      </c>
      <c r="AQ157" s="60" t="n">
        <v>11</v>
      </c>
      <c r="AR157" s="60" t="inlineStr">
        <is>
          <t>HE33S</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110万円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c r="BU157" s="60" t="n">
        <v>40980</v>
      </c>
      <c r="BV157" s="60" t="n">
        <v>24500</v>
      </c>
      <c r="BW157" s="60" t="n">
        <v>13000</v>
      </c>
      <c r="BX157" s="60" t="n">
        <v>9000</v>
      </c>
      <c r="BY157" s="60" t="n">
        <v>0</v>
      </c>
      <c r="BZ157" s="60" t="n"/>
      <c r="CA157" s="60" t="n"/>
    </row>
    <row r="158">
      <c r="A158" s="60" t="n">
        <v>2022</v>
      </c>
      <c r="B158" s="7" t="n">
        <v>12</v>
      </c>
      <c r="C158" s="7" t="n">
        <v>1</v>
      </c>
      <c r="D158" s="7" t="n">
        <v>17</v>
      </c>
      <c r="E158" s="7" t="inlineStr">
        <is>
          <t>なし</t>
        </is>
      </c>
      <c r="F158" s="7" t="inlineStr">
        <is>
          <t>30歳以上</t>
        </is>
      </c>
      <c r="G158" s="7" t="n">
        <v>2018</v>
      </c>
      <c r="H158" s="7" t="n">
        <v>11</v>
      </c>
      <c r="I158" s="7" t="inlineStr">
        <is>
          <t>HE33S</t>
        </is>
      </c>
      <c r="J158" s="7" t="inlineStr">
        <is>
          <t>なし</t>
        </is>
      </c>
      <c r="K158" s="7" t="n">
        <v>1982</v>
      </c>
      <c r="L158" s="15" t="n">
        <v>12</v>
      </c>
      <c r="M158" s="7" t="n">
        <v>1</v>
      </c>
      <c r="N158" s="7" t="inlineStr">
        <is>
          <t>関東</t>
        </is>
      </c>
      <c r="O158" s="7" t="inlineStr">
        <is>
          <t>ブルー</t>
        </is>
      </c>
      <c r="P158" s="7" t="inlineStr">
        <is>
          <t>通勤</t>
        </is>
      </c>
      <c r="Q158" s="7" t="n">
        <v>3000</v>
      </c>
      <c r="R158" s="7" t="inlineStr">
        <is>
          <t>30歳以上</t>
        </is>
      </c>
      <c r="S158" s="7" t="inlineStr">
        <is>
          <t>本配</t>
        </is>
      </c>
      <c r="T158" s="7" t="inlineStr">
        <is>
          <t>無制限</t>
        </is>
      </c>
      <c r="U158" s="7" t="inlineStr">
        <is>
          <t>あり</t>
        </is>
      </c>
      <c r="V158" s="7" t="n">
        <v>1000</v>
      </c>
      <c r="W158" s="7" t="inlineStr">
        <is>
          <t>車内外</t>
        </is>
      </c>
      <c r="X158" s="7" t="n">
        <v>5000</v>
      </c>
      <c r="Y158" s="7" t="inlineStr">
        <is>
          <t>一般</t>
        </is>
      </c>
      <c r="Z158" s="7" t="n">
        <v>110</v>
      </c>
      <c r="AA158" s="7" t="inlineStr">
        <is>
          <t>免責金額なし</t>
        </is>
      </c>
      <c r="AB158" s="7" t="inlineStr">
        <is>
          <t>なし</t>
        </is>
      </c>
      <c r="AC158" s="7" t="inlineStr">
        <is>
          <t>なし</t>
        </is>
      </c>
      <c r="AD158" s="7" t="inlineStr">
        <is>
          <t>なし</t>
        </is>
      </c>
      <c r="AE158" s="7" t="inlineStr">
        <is>
          <t>あり</t>
        </is>
      </c>
      <c r="AF158" s="7" t="inlineStr">
        <is>
          <t>なし</t>
        </is>
      </c>
      <c r="AG158" s="7" t="inlineStr">
        <is>
          <t>なし</t>
        </is>
      </c>
      <c r="AH158" s="7" t="inlineStr">
        <is>
          <t>なし</t>
        </is>
      </c>
      <c r="AI158" s="7"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2018(平成30)</t>
        </is>
      </c>
      <c r="AQ158" s="60" t="n">
        <v>11</v>
      </c>
      <c r="AR158" s="60" t="inlineStr">
        <is>
          <t>HE33S</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110万円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c r="BU158" s="60" t="n">
        <v>41470</v>
      </c>
      <c r="BV158" s="60" t="n">
        <v>24870</v>
      </c>
      <c r="BW158" s="60" t="n">
        <v>13000</v>
      </c>
      <c r="BX158" s="60" t="n">
        <v>9000</v>
      </c>
      <c r="BY158" s="60" t="n">
        <v>0</v>
      </c>
      <c r="BZ158" s="60" t="n"/>
      <c r="CA158" s="60" t="n"/>
    </row>
    <row r="159">
      <c r="A159" s="60" t="n">
        <v>2022</v>
      </c>
      <c r="B159" s="7" t="n">
        <v>12</v>
      </c>
      <c r="C159" s="7" t="n">
        <v>1</v>
      </c>
      <c r="D159" s="7" t="n">
        <v>17</v>
      </c>
      <c r="E159" s="7" t="inlineStr">
        <is>
          <t>なし</t>
        </is>
      </c>
      <c r="F159" s="7" t="inlineStr">
        <is>
          <t>30歳以上</t>
        </is>
      </c>
      <c r="G159" s="7" t="n">
        <v>2018</v>
      </c>
      <c r="H159" s="7" t="n">
        <v>11</v>
      </c>
      <c r="I159" s="7" t="inlineStr">
        <is>
          <t>HE33S</t>
        </is>
      </c>
      <c r="J159" s="7" t="inlineStr">
        <is>
          <t>なし</t>
        </is>
      </c>
      <c r="K159" s="7" t="n">
        <v>1977</v>
      </c>
      <c r="L159" s="15" t="n">
        <v>12</v>
      </c>
      <c r="M159" s="7" t="n">
        <v>1</v>
      </c>
      <c r="N159" s="7" t="inlineStr">
        <is>
          <t>関東</t>
        </is>
      </c>
      <c r="O159" s="7" t="inlineStr">
        <is>
          <t>ブルー</t>
        </is>
      </c>
      <c r="P159" s="7" t="inlineStr">
        <is>
          <t>通勤</t>
        </is>
      </c>
      <c r="Q159" s="7" t="n">
        <v>3000</v>
      </c>
      <c r="R159" s="7" t="inlineStr">
        <is>
          <t>30歳以上</t>
        </is>
      </c>
      <c r="S159" s="7" t="inlineStr">
        <is>
          <t>本配</t>
        </is>
      </c>
      <c r="T159" s="7" t="inlineStr">
        <is>
          <t>無制限</t>
        </is>
      </c>
      <c r="U159" s="7" t="inlineStr">
        <is>
          <t>あり</t>
        </is>
      </c>
      <c r="V159" s="7" t="n">
        <v>1000</v>
      </c>
      <c r="W159" s="7" t="inlineStr">
        <is>
          <t>車内外</t>
        </is>
      </c>
      <c r="X159" s="7" t="n">
        <v>5000</v>
      </c>
      <c r="Y159" s="7" t="inlineStr">
        <is>
          <t>一般</t>
        </is>
      </c>
      <c r="Z159" s="7" t="n">
        <v>110</v>
      </c>
      <c r="AA159" s="7" t="inlineStr">
        <is>
          <t>免責金額なし</t>
        </is>
      </c>
      <c r="AB159" s="7" t="inlineStr">
        <is>
          <t>なし</t>
        </is>
      </c>
      <c r="AC159" s="7" t="inlineStr">
        <is>
          <t>なし</t>
        </is>
      </c>
      <c r="AD159" s="7" t="inlineStr">
        <is>
          <t>なし</t>
        </is>
      </c>
      <c r="AE159" s="7" t="inlineStr">
        <is>
          <t>あり</t>
        </is>
      </c>
      <c r="AF159" s="7" t="inlineStr">
        <is>
          <t>なし</t>
        </is>
      </c>
      <c r="AG159" s="7" t="inlineStr">
        <is>
          <t>なし</t>
        </is>
      </c>
      <c r="AH159" s="7" t="inlineStr">
        <is>
          <t>なし</t>
        </is>
      </c>
      <c r="AI159" s="7"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2018(平成30)</t>
        </is>
      </c>
      <c r="AQ159" s="60" t="n">
        <v>11</v>
      </c>
      <c r="AR159" s="60" t="inlineStr">
        <is>
          <t>HE33S</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110万円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c r="BU159" s="60" t="n">
        <v>40340</v>
      </c>
      <c r="BV159" s="60" t="n">
        <v>24950</v>
      </c>
      <c r="BW159" s="60" t="n">
        <v>15000</v>
      </c>
      <c r="BX159" s="60" t="n">
        <v>9000</v>
      </c>
      <c r="BY159" s="60" t="n">
        <v>0</v>
      </c>
      <c r="BZ159" s="60" t="n"/>
      <c r="CA159" s="60" t="n"/>
    </row>
    <row r="160">
      <c r="A160" s="60" t="n">
        <v>2022</v>
      </c>
      <c r="B160" s="7" t="n">
        <v>12</v>
      </c>
      <c r="C160" s="7" t="n">
        <v>1</v>
      </c>
      <c r="D160" s="7" t="n">
        <v>17</v>
      </c>
      <c r="E160" s="7" t="inlineStr">
        <is>
          <t>なし</t>
        </is>
      </c>
      <c r="F160" s="7" t="inlineStr">
        <is>
          <t>30歳以上</t>
        </is>
      </c>
      <c r="G160" s="7" t="n">
        <v>2018</v>
      </c>
      <c r="H160" s="7" t="n">
        <v>11</v>
      </c>
      <c r="I160" s="7" t="inlineStr">
        <is>
          <t>HE33S</t>
        </is>
      </c>
      <c r="J160" s="7" t="inlineStr">
        <is>
          <t>なし</t>
        </is>
      </c>
      <c r="K160" s="7" t="n">
        <v>1972</v>
      </c>
      <c r="L160" s="15" t="n">
        <v>12</v>
      </c>
      <c r="M160" s="7" t="n">
        <v>1</v>
      </c>
      <c r="N160" s="7" t="inlineStr">
        <is>
          <t>関東</t>
        </is>
      </c>
      <c r="O160" s="7" t="inlineStr">
        <is>
          <t>ブルー</t>
        </is>
      </c>
      <c r="P160" s="7" t="inlineStr">
        <is>
          <t>通勤</t>
        </is>
      </c>
      <c r="Q160" s="7" t="n">
        <v>3000</v>
      </c>
      <c r="R160" s="7" t="inlineStr">
        <is>
          <t>30歳以上</t>
        </is>
      </c>
      <c r="S160" s="7" t="inlineStr">
        <is>
          <t>本配</t>
        </is>
      </c>
      <c r="T160" s="7" t="inlineStr">
        <is>
          <t>無制限</t>
        </is>
      </c>
      <c r="U160" s="7" t="inlineStr">
        <is>
          <t>あり</t>
        </is>
      </c>
      <c r="V160" s="7" t="n">
        <v>1000</v>
      </c>
      <c r="W160" s="7" t="inlineStr">
        <is>
          <t>車内外</t>
        </is>
      </c>
      <c r="X160" s="7" t="n">
        <v>5000</v>
      </c>
      <c r="Y160" s="7" t="inlineStr">
        <is>
          <t>一般</t>
        </is>
      </c>
      <c r="Z160" s="7" t="n">
        <v>110</v>
      </c>
      <c r="AA160" s="7" t="inlineStr">
        <is>
          <t>免責金額なし</t>
        </is>
      </c>
      <c r="AB160" s="7" t="inlineStr">
        <is>
          <t>なし</t>
        </is>
      </c>
      <c r="AC160" s="7" t="inlineStr">
        <is>
          <t>なし</t>
        </is>
      </c>
      <c r="AD160" s="7" t="inlineStr">
        <is>
          <t>なし</t>
        </is>
      </c>
      <c r="AE160" s="7" t="inlineStr">
        <is>
          <t>あり</t>
        </is>
      </c>
      <c r="AF160" s="7" t="inlineStr">
        <is>
          <t>なし</t>
        </is>
      </c>
      <c r="AG160" s="7" t="inlineStr">
        <is>
          <t>なし</t>
        </is>
      </c>
      <c r="AH160" s="7" t="inlineStr">
        <is>
          <t>なし</t>
        </is>
      </c>
      <c r="AI160" s="7"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2018(平成30)</t>
        </is>
      </c>
      <c r="AQ160" s="60" t="n">
        <v>11</v>
      </c>
      <c r="AR160" s="60" t="inlineStr">
        <is>
          <t>HE33S</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110万円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c r="BU160" s="60" t="inlineStr">
        <is>
          <t>E</t>
        </is>
      </c>
      <c r="BV160" s="60"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[0x00C35FD3+2187219]
	Ordinal0 [0x00BCE6D1+1763025]
	Ordinal0 [0x00AE3E78+802424]
	Ordinal0 [0x00B11C10+990224]
	Ordinal0 [0x00B11EAB+990891]
	Ordinal0 [0x00B3EC92+1174674]
	Ordinal0 [0x00B2CBD4+1100756]
	Ordinal0 [0x00B3CFC2+1167298]
	Ordinal0 [0x00B2C9A6+1100198]
	Ordinal0 [0x00B06F80+946048]
	Ordinal0 [0x00B07E76+949878]
	GetHandleVerifier [0x00ED90C2+2721218]
	GetHandleVerifier [0x00ECAAF0+2662384]
	GetHandleVerifier [0x00CC137A+526458]
	GetHandleVerifier [0x00CC0416+522518]
	Ordinal0 [0x00BD4EAB+1789611]
	Ordinal0 [0x00BD97A8+1808296]
	Ordinal0 [0x00BD9895+1808533]
	Ordinal0 [0x00BE26C1+1844929]
	BaseThreadInitThunk [0x7715FA29+25]
	RtlGetAppContainerNamedObjectPath [0x772A7BBE+286]
	RtlGetAppContainerNamedObjectPath [0x772A7B8E+238]
</t>
        </is>
      </c>
      <c r="BW160" s="60" t="n"/>
      <c r="BX160" s="60" t="n"/>
      <c r="BY160" s="60" t="n"/>
      <c r="BZ160" s="60" t="n"/>
      <c r="CA160" s="60" t="n"/>
    </row>
    <row r="161">
      <c r="A161" s="60" t="n">
        <v>2022</v>
      </c>
      <c r="B161" s="7" t="n">
        <v>12</v>
      </c>
      <c r="C161" s="7" t="n">
        <v>1</v>
      </c>
      <c r="D161" s="7" t="n">
        <v>17</v>
      </c>
      <c r="E161" s="7" t="inlineStr">
        <is>
          <t>なし</t>
        </is>
      </c>
      <c r="F161" s="7" t="inlineStr">
        <is>
          <t>30歳以上</t>
        </is>
      </c>
      <c r="G161" s="7" t="n">
        <v>2018</v>
      </c>
      <c r="H161" s="7" t="n">
        <v>11</v>
      </c>
      <c r="I161" s="7" t="inlineStr">
        <is>
          <t>HE33S</t>
        </is>
      </c>
      <c r="J161" s="7" t="inlineStr">
        <is>
          <t>なし</t>
        </is>
      </c>
      <c r="K161" s="7" t="n">
        <v>1962</v>
      </c>
      <c r="L161" s="15" t="n">
        <v>12</v>
      </c>
      <c r="M161" s="7" t="n">
        <v>1</v>
      </c>
      <c r="N161" s="7" t="inlineStr">
        <is>
          <t>関東</t>
        </is>
      </c>
      <c r="O161" s="7" t="inlineStr">
        <is>
          <t>ブルー</t>
        </is>
      </c>
      <c r="P161" s="7" t="inlineStr">
        <is>
          <t>通勤</t>
        </is>
      </c>
      <c r="Q161" s="7" t="n">
        <v>3000</v>
      </c>
      <c r="R161" s="7" t="inlineStr">
        <is>
          <t>30歳以上</t>
        </is>
      </c>
      <c r="S161" s="7" t="inlineStr">
        <is>
          <t>本配</t>
        </is>
      </c>
      <c r="T161" s="7" t="inlineStr">
        <is>
          <t>無制限</t>
        </is>
      </c>
      <c r="U161" s="7" t="inlineStr">
        <is>
          <t>あり</t>
        </is>
      </c>
      <c r="V161" s="7" t="n">
        <v>1000</v>
      </c>
      <c r="W161" s="7" t="inlineStr">
        <is>
          <t>車内外</t>
        </is>
      </c>
      <c r="X161" s="7" t="n">
        <v>5000</v>
      </c>
      <c r="Y161" s="7" t="inlineStr">
        <is>
          <t>一般</t>
        </is>
      </c>
      <c r="Z161" s="7" t="n">
        <v>110</v>
      </c>
      <c r="AA161" s="7" t="inlineStr">
        <is>
          <t>免責金額なし</t>
        </is>
      </c>
      <c r="AB161" s="7" t="inlineStr">
        <is>
          <t>なし</t>
        </is>
      </c>
      <c r="AC161" s="7" t="inlineStr">
        <is>
          <t>なし</t>
        </is>
      </c>
      <c r="AD161" s="7" t="inlineStr">
        <is>
          <t>なし</t>
        </is>
      </c>
      <c r="AE161" s="7" t="inlineStr">
        <is>
          <t>あり</t>
        </is>
      </c>
      <c r="AF161" s="7" t="inlineStr">
        <is>
          <t>なし</t>
        </is>
      </c>
      <c r="AG161" s="7" t="inlineStr">
        <is>
          <t>なし</t>
        </is>
      </c>
      <c r="AH161" s="7" t="inlineStr">
        <is>
          <t>なし</t>
        </is>
      </c>
      <c r="AI161" s="7"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2018(平成30)</t>
        </is>
      </c>
      <c r="AQ161" s="60" t="n">
        <v>11</v>
      </c>
      <c r="AR161" s="60" t="inlineStr">
        <is>
          <t>HE33S</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110万円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c r="BU161" s="60" t="n">
        <v>43790</v>
      </c>
      <c r="BV161" s="60" t="n">
        <v>25880</v>
      </c>
      <c r="BW161" s="60" t="n">
        <v>15000</v>
      </c>
      <c r="BX161" s="60" t="n">
        <v>9000</v>
      </c>
      <c r="BY161" s="60" t="n">
        <v>0</v>
      </c>
      <c r="BZ161" s="60" t="n"/>
      <c r="CA161" s="60" t="n"/>
    </row>
    <row r="162">
      <c r="A162" s="60" t="n">
        <v>2022</v>
      </c>
      <c r="B162" s="7" t="n">
        <v>12</v>
      </c>
      <c r="C162" s="7" t="n">
        <v>1</v>
      </c>
      <c r="D162" s="7" t="n">
        <v>17</v>
      </c>
      <c r="E162" s="7" t="inlineStr">
        <is>
          <t>なし</t>
        </is>
      </c>
      <c r="F162" s="7" t="inlineStr">
        <is>
          <t>30歳以上</t>
        </is>
      </c>
      <c r="G162" s="7" t="n">
        <v>2018</v>
      </c>
      <c r="H162" s="7" t="n">
        <v>11</v>
      </c>
      <c r="I162" s="7" t="inlineStr">
        <is>
          <t>HE33S</t>
        </is>
      </c>
      <c r="J162" s="7" t="inlineStr">
        <is>
          <t>なし</t>
        </is>
      </c>
      <c r="K162" s="7" t="n">
        <v>1952</v>
      </c>
      <c r="L162" s="15" t="n">
        <v>12</v>
      </c>
      <c r="M162" s="7" t="n">
        <v>1</v>
      </c>
      <c r="N162" s="7" t="inlineStr">
        <is>
          <t>関東</t>
        </is>
      </c>
      <c r="O162" s="7" t="inlineStr">
        <is>
          <t>ブルー</t>
        </is>
      </c>
      <c r="P162" s="7" t="inlineStr">
        <is>
          <t>通勤</t>
        </is>
      </c>
      <c r="Q162" s="7" t="n">
        <v>3000</v>
      </c>
      <c r="R162" s="7" t="inlineStr">
        <is>
          <t>30歳以上</t>
        </is>
      </c>
      <c r="S162" s="7" t="inlineStr">
        <is>
          <t>本配</t>
        </is>
      </c>
      <c r="T162" s="7" t="inlineStr">
        <is>
          <t>無制限</t>
        </is>
      </c>
      <c r="U162" s="7" t="inlineStr">
        <is>
          <t>あり</t>
        </is>
      </c>
      <c r="V162" s="7" t="n">
        <v>1000</v>
      </c>
      <c r="W162" s="7" t="inlineStr">
        <is>
          <t>車内外</t>
        </is>
      </c>
      <c r="X162" s="7" t="n">
        <v>5000</v>
      </c>
      <c r="Y162" s="7" t="inlineStr">
        <is>
          <t>一般</t>
        </is>
      </c>
      <c r="Z162" s="7" t="n">
        <v>110</v>
      </c>
      <c r="AA162" s="7" t="inlineStr">
        <is>
          <t>免責金額なし</t>
        </is>
      </c>
      <c r="AB162" s="7" t="inlineStr">
        <is>
          <t>なし</t>
        </is>
      </c>
      <c r="AC162" s="7" t="inlineStr">
        <is>
          <t>なし</t>
        </is>
      </c>
      <c r="AD162" s="7" t="inlineStr">
        <is>
          <t>なし</t>
        </is>
      </c>
      <c r="AE162" s="7" t="inlineStr">
        <is>
          <t>あり</t>
        </is>
      </c>
      <c r="AF162" s="7" t="inlineStr">
        <is>
          <t>なし</t>
        </is>
      </c>
      <c r="AG162" s="7" t="inlineStr">
        <is>
          <t>なし</t>
        </is>
      </c>
      <c r="AH162" s="7" t="inlineStr">
        <is>
          <t>なし</t>
        </is>
      </c>
      <c r="AI162" s="7"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2018(平成30)</t>
        </is>
      </c>
      <c r="AQ162" s="60" t="n">
        <v>11</v>
      </c>
      <c r="AR162" s="60" t="inlineStr">
        <is>
          <t>HE33S</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110万円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c r="BU162" s="60" t="n">
        <v>54430</v>
      </c>
      <c r="BV162" s="60" t="n">
        <v>31130</v>
      </c>
      <c r="BW162" s="60" t="n">
        <v>16000</v>
      </c>
      <c r="BX162" s="60" t="n">
        <v>10000</v>
      </c>
      <c r="BY162" s="60" t="n">
        <v>0</v>
      </c>
      <c r="BZ162" s="60" t="n"/>
      <c r="CA162" s="60" t="n"/>
    </row>
    <row r="163">
      <c r="A163" s="60" t="n">
        <v>2022</v>
      </c>
      <c r="B163" s="7" t="n">
        <v>12</v>
      </c>
      <c r="C163" s="7" t="n">
        <v>1</v>
      </c>
      <c r="D163" s="7" t="n">
        <v>17</v>
      </c>
      <c r="E163" s="7" t="inlineStr">
        <is>
          <t>なし</t>
        </is>
      </c>
      <c r="F163" s="7" t="inlineStr">
        <is>
          <t>30歳以上</t>
        </is>
      </c>
      <c r="G163" s="7" t="n">
        <v>2018</v>
      </c>
      <c r="H163" s="7" t="n">
        <v>11</v>
      </c>
      <c r="I163" s="7" t="inlineStr">
        <is>
          <t>HE33S</t>
        </is>
      </c>
      <c r="J163" s="7" t="inlineStr">
        <is>
          <t>なし</t>
        </is>
      </c>
      <c r="K163" s="7" t="n">
        <v>1992</v>
      </c>
      <c r="L163" s="15" t="n">
        <v>12</v>
      </c>
      <c r="M163" s="7" t="n">
        <v>1</v>
      </c>
      <c r="N163" s="7" t="inlineStr">
        <is>
          <t>関東</t>
        </is>
      </c>
      <c r="O163" s="7" t="inlineStr">
        <is>
          <t>ブルー</t>
        </is>
      </c>
      <c r="P163" s="7" t="inlineStr">
        <is>
          <t>通勤</t>
        </is>
      </c>
      <c r="Q163" s="7" t="n">
        <v>7000</v>
      </c>
      <c r="R163" s="7" t="inlineStr">
        <is>
          <t>30歳以上</t>
        </is>
      </c>
      <c r="S163" s="7" t="inlineStr">
        <is>
          <t>本配</t>
        </is>
      </c>
      <c r="T163" s="7" t="inlineStr">
        <is>
          <t>無制限</t>
        </is>
      </c>
      <c r="U163" s="7" t="inlineStr">
        <is>
          <t>あり</t>
        </is>
      </c>
      <c r="V163" s="7" t="n">
        <v>1000</v>
      </c>
      <c r="W163" s="7" t="inlineStr">
        <is>
          <t>車内外</t>
        </is>
      </c>
      <c r="X163" s="7" t="n">
        <v>5000</v>
      </c>
      <c r="Y163" s="7" t="inlineStr">
        <is>
          <t>一般</t>
        </is>
      </c>
      <c r="Z163" s="7" t="n">
        <v>110</v>
      </c>
      <c r="AA163" s="7" t="inlineStr">
        <is>
          <t>免責金額なし</t>
        </is>
      </c>
      <c r="AB163" s="7" t="inlineStr">
        <is>
          <t>なし</t>
        </is>
      </c>
      <c r="AC163" s="7" t="inlineStr">
        <is>
          <t>なし</t>
        </is>
      </c>
      <c r="AD163" s="7" t="inlineStr">
        <is>
          <t>なし</t>
        </is>
      </c>
      <c r="AE163" s="7" t="inlineStr">
        <is>
          <t>あり</t>
        </is>
      </c>
      <c r="AF163" s="7" t="inlineStr">
        <is>
          <t>なし</t>
        </is>
      </c>
      <c r="AG163" s="7" t="inlineStr">
        <is>
          <t>なし</t>
        </is>
      </c>
      <c r="AH163" s="7" t="inlineStr">
        <is>
          <t>なし</t>
        </is>
      </c>
      <c r="AI163" s="7"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2018(平成30)</t>
        </is>
      </c>
      <c r="AQ163" s="60" t="n">
        <v>11</v>
      </c>
      <c r="AR163" s="60" t="inlineStr">
        <is>
          <t>HE33S</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110万円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c r="BU163" s="60" t="inlineStr">
        <is>
          <t>E</t>
        </is>
      </c>
      <c r="BV163" s="60"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[0x00C35FD3+2187219]
	Ordinal0 [0x00BCE6D1+1763025]
	Ordinal0 [0x00AE3E78+802424]
	Ordinal0 [0x00B11C10+990224]
	Ordinal0 [0x00B11EAB+990891]
	Ordinal0 [0x00B3EC92+1174674]
	Ordinal0 [0x00B2CBD4+1100756]
	Ordinal0 [0x00B3CFC2+1167298]
	Ordinal0 [0x00B2C9A6+1100198]
	Ordinal0 [0x00B06F80+946048]
	Ordinal0 [0x00B07E76+949878]
	GetHandleVerifier [0x00ED90C2+2721218]
	GetHandleVerifier [0x00ECAAF0+2662384]
	GetHandleVerifier [0x00CC137A+526458]
	GetHandleVerifier [0x00CC0416+522518]
	Ordinal0 [0x00BD4EAB+1789611]
	Ordinal0 [0x00BD97A8+1808296]
	Ordinal0 [0x00BD9895+1808533]
	Ordinal0 [0x00BE26C1+1844929]
	BaseThreadInitThunk [0x7715FA29+25]
	RtlGetAppContainerNamedObjectPath [0x772A7BBE+286]
	RtlGetAppContainerNamedObjectPath [0x772A7B8E+238]
</t>
        </is>
      </c>
      <c r="BW163" s="60" t="n"/>
      <c r="BX163" s="60" t="n"/>
      <c r="BY163" s="60" t="n"/>
      <c r="BZ163" s="60" t="n"/>
      <c r="CA163" s="60" t="n"/>
    </row>
    <row r="164">
      <c r="A164" s="60" t="n">
        <v>2022</v>
      </c>
      <c r="B164" s="7" t="n">
        <v>12</v>
      </c>
      <c r="C164" s="7" t="n">
        <v>1</v>
      </c>
      <c r="D164" s="7" t="n">
        <v>17</v>
      </c>
      <c r="E164" s="7" t="inlineStr">
        <is>
          <t>なし</t>
        </is>
      </c>
      <c r="F164" s="7" t="inlineStr">
        <is>
          <t>30歳以上</t>
        </is>
      </c>
      <c r="G164" s="7" t="n">
        <v>2018</v>
      </c>
      <c r="H164" s="7" t="n">
        <v>11</v>
      </c>
      <c r="I164" s="7" t="inlineStr">
        <is>
          <t>HE33S</t>
        </is>
      </c>
      <c r="J164" s="7" t="inlineStr">
        <is>
          <t>なし</t>
        </is>
      </c>
      <c r="K164" s="7" t="n">
        <v>1987</v>
      </c>
      <c r="L164" s="15" t="n">
        <v>12</v>
      </c>
      <c r="M164" s="7" t="n">
        <v>1</v>
      </c>
      <c r="N164" s="7" t="inlineStr">
        <is>
          <t>関東</t>
        </is>
      </c>
      <c r="O164" s="7" t="inlineStr">
        <is>
          <t>ブルー</t>
        </is>
      </c>
      <c r="P164" s="7" t="inlineStr">
        <is>
          <t>通勤</t>
        </is>
      </c>
      <c r="Q164" s="7" t="n">
        <v>7000</v>
      </c>
      <c r="R164" s="7" t="inlineStr">
        <is>
          <t>30歳以上</t>
        </is>
      </c>
      <c r="S164" s="7" t="inlineStr">
        <is>
          <t>本配</t>
        </is>
      </c>
      <c r="T164" s="7" t="inlineStr">
        <is>
          <t>無制限</t>
        </is>
      </c>
      <c r="U164" s="7" t="inlineStr">
        <is>
          <t>あり</t>
        </is>
      </c>
      <c r="V164" s="7" t="n">
        <v>1000</v>
      </c>
      <c r="W164" s="7" t="inlineStr">
        <is>
          <t>車内外</t>
        </is>
      </c>
      <c r="X164" s="7" t="n">
        <v>5000</v>
      </c>
      <c r="Y164" s="7" t="inlineStr">
        <is>
          <t>一般</t>
        </is>
      </c>
      <c r="Z164" s="7" t="n">
        <v>110</v>
      </c>
      <c r="AA164" s="7" t="inlineStr">
        <is>
          <t>免責金額なし</t>
        </is>
      </c>
      <c r="AB164" s="7" t="inlineStr">
        <is>
          <t>なし</t>
        </is>
      </c>
      <c r="AC164" s="7" t="inlineStr">
        <is>
          <t>なし</t>
        </is>
      </c>
      <c r="AD164" s="7" t="inlineStr">
        <is>
          <t>なし</t>
        </is>
      </c>
      <c r="AE164" s="7" t="inlineStr">
        <is>
          <t>あり</t>
        </is>
      </c>
      <c r="AF164" s="7" t="inlineStr">
        <is>
          <t>なし</t>
        </is>
      </c>
      <c r="AG164" s="7" t="inlineStr">
        <is>
          <t>なし</t>
        </is>
      </c>
      <c r="AH164" s="7" t="inlineStr">
        <is>
          <t>なし</t>
        </is>
      </c>
      <c r="AI164" s="7"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2018(平成30)</t>
        </is>
      </c>
      <c r="AQ164" s="60" t="n">
        <v>11</v>
      </c>
      <c r="AR164" s="60" t="inlineStr">
        <is>
          <t>HE33S</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110万円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c r="BU164" s="60" t="n">
        <v>51310</v>
      </c>
      <c r="BV164" s="60" t="n">
        <v>32090</v>
      </c>
      <c r="BW164" s="60" t="n">
        <v>16000</v>
      </c>
      <c r="BX164" s="60" t="n">
        <v>10000</v>
      </c>
      <c r="BY164" s="60" t="n">
        <v>0</v>
      </c>
      <c r="BZ164" s="60" t="n"/>
      <c r="CA164" s="60" t="n"/>
    </row>
    <row r="165">
      <c r="A165" s="60" t="n">
        <v>2022</v>
      </c>
      <c r="B165" s="7" t="n">
        <v>12</v>
      </c>
      <c r="C165" s="7" t="n">
        <v>1</v>
      </c>
      <c r="D165" s="7" t="n">
        <v>17</v>
      </c>
      <c r="E165" s="7" t="inlineStr">
        <is>
          <t>なし</t>
        </is>
      </c>
      <c r="F165" s="7" t="inlineStr">
        <is>
          <t>30歳以上</t>
        </is>
      </c>
      <c r="G165" s="7" t="n">
        <v>2018</v>
      </c>
      <c r="H165" s="7" t="n">
        <v>11</v>
      </c>
      <c r="I165" s="7" t="inlineStr">
        <is>
          <t>HE33S</t>
        </is>
      </c>
      <c r="J165" s="7" t="inlineStr">
        <is>
          <t>なし</t>
        </is>
      </c>
      <c r="K165" s="7" t="n">
        <v>1982</v>
      </c>
      <c r="L165" s="15" t="n">
        <v>12</v>
      </c>
      <c r="M165" s="7" t="n">
        <v>1</v>
      </c>
      <c r="N165" s="7" t="inlineStr">
        <is>
          <t>関東</t>
        </is>
      </c>
      <c r="O165" s="7" t="inlineStr">
        <is>
          <t>ブルー</t>
        </is>
      </c>
      <c r="P165" s="7" t="inlineStr">
        <is>
          <t>通勤</t>
        </is>
      </c>
      <c r="Q165" s="7" t="n">
        <v>7000</v>
      </c>
      <c r="R165" s="7" t="inlineStr">
        <is>
          <t>30歳以上</t>
        </is>
      </c>
      <c r="S165" s="7" t="inlineStr">
        <is>
          <t>本配</t>
        </is>
      </c>
      <c r="T165" s="7" t="inlineStr">
        <is>
          <t>無制限</t>
        </is>
      </c>
      <c r="U165" s="7" t="inlineStr">
        <is>
          <t>あり</t>
        </is>
      </c>
      <c r="V165" s="7" t="n">
        <v>1000</v>
      </c>
      <c r="W165" s="7" t="inlineStr">
        <is>
          <t>車内外</t>
        </is>
      </c>
      <c r="X165" s="7" t="n">
        <v>5000</v>
      </c>
      <c r="Y165" s="7" t="inlineStr">
        <is>
          <t>一般</t>
        </is>
      </c>
      <c r="Z165" s="7" t="n">
        <v>110</v>
      </c>
      <c r="AA165" s="7" t="inlineStr">
        <is>
          <t>免責金額なし</t>
        </is>
      </c>
      <c r="AB165" s="7" t="inlineStr">
        <is>
          <t>なし</t>
        </is>
      </c>
      <c r="AC165" s="7" t="inlineStr">
        <is>
          <t>なし</t>
        </is>
      </c>
      <c r="AD165" s="7" t="inlineStr">
        <is>
          <t>なし</t>
        </is>
      </c>
      <c r="AE165" s="7" t="inlineStr">
        <is>
          <t>あり</t>
        </is>
      </c>
      <c r="AF165" s="7" t="inlineStr">
        <is>
          <t>なし</t>
        </is>
      </c>
      <c r="AG165" s="7" t="inlineStr">
        <is>
          <t>なし</t>
        </is>
      </c>
      <c r="AH165" s="7" t="inlineStr">
        <is>
          <t>なし</t>
        </is>
      </c>
      <c r="AI165" s="7"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2018(平成30)</t>
        </is>
      </c>
      <c r="AQ165" s="60" t="n">
        <v>11</v>
      </c>
      <c r="AR165" s="60" t="inlineStr">
        <is>
          <t>HE33S</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110万円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c r="BU165" s="60" t="n">
        <v>51980</v>
      </c>
      <c r="BV165" s="60" t="n">
        <v>32610</v>
      </c>
      <c r="BW165" s="60" t="n">
        <v>16000</v>
      </c>
      <c r="BX165" s="60" t="n">
        <v>10000</v>
      </c>
      <c r="BY165" s="60" t="n">
        <v>0</v>
      </c>
      <c r="BZ165" s="60" t="n"/>
      <c r="CA165" s="60" t="n"/>
    </row>
    <row r="166">
      <c r="A166" s="60" t="n">
        <v>2022</v>
      </c>
      <c r="B166" s="7" t="n">
        <v>12</v>
      </c>
      <c r="C166" s="7" t="n">
        <v>1</v>
      </c>
      <c r="D166" s="7" t="n">
        <v>17</v>
      </c>
      <c r="E166" s="7" t="inlineStr">
        <is>
          <t>なし</t>
        </is>
      </c>
      <c r="F166" s="7" t="inlineStr">
        <is>
          <t>30歳以上</t>
        </is>
      </c>
      <c r="G166" s="7" t="n">
        <v>2018</v>
      </c>
      <c r="H166" s="7" t="n">
        <v>11</v>
      </c>
      <c r="I166" s="7" t="inlineStr">
        <is>
          <t>HE33S</t>
        </is>
      </c>
      <c r="J166" s="7" t="inlineStr">
        <is>
          <t>なし</t>
        </is>
      </c>
      <c r="K166" s="7" t="n">
        <v>1977</v>
      </c>
      <c r="L166" s="15" t="n">
        <v>12</v>
      </c>
      <c r="M166" s="7" t="n">
        <v>1</v>
      </c>
      <c r="N166" s="7" t="inlineStr">
        <is>
          <t>関東</t>
        </is>
      </c>
      <c r="O166" s="7" t="inlineStr">
        <is>
          <t>ブルー</t>
        </is>
      </c>
      <c r="P166" s="7" t="inlineStr">
        <is>
          <t>通勤</t>
        </is>
      </c>
      <c r="Q166" s="7" t="n">
        <v>7000</v>
      </c>
      <c r="R166" s="7" t="inlineStr">
        <is>
          <t>30歳以上</t>
        </is>
      </c>
      <c r="S166" s="7" t="inlineStr">
        <is>
          <t>本配</t>
        </is>
      </c>
      <c r="T166" s="7" t="inlineStr">
        <is>
          <t>無制限</t>
        </is>
      </c>
      <c r="U166" s="7" t="inlineStr">
        <is>
          <t>あり</t>
        </is>
      </c>
      <c r="V166" s="7" t="n">
        <v>1000</v>
      </c>
      <c r="W166" s="7" t="inlineStr">
        <is>
          <t>車内外</t>
        </is>
      </c>
      <c r="X166" s="7" t="n">
        <v>5000</v>
      </c>
      <c r="Y166" s="7" t="inlineStr">
        <is>
          <t>一般</t>
        </is>
      </c>
      <c r="Z166" s="7" t="n">
        <v>110</v>
      </c>
      <c r="AA166" s="7" t="inlineStr">
        <is>
          <t>免責金額なし</t>
        </is>
      </c>
      <c r="AB166" s="7" t="inlineStr">
        <is>
          <t>なし</t>
        </is>
      </c>
      <c r="AC166" s="7" t="inlineStr">
        <is>
          <t>なし</t>
        </is>
      </c>
      <c r="AD166" s="7" t="inlineStr">
        <is>
          <t>なし</t>
        </is>
      </c>
      <c r="AE166" s="7" t="inlineStr">
        <is>
          <t>あり</t>
        </is>
      </c>
      <c r="AF166" s="7" t="inlineStr">
        <is>
          <t>なし</t>
        </is>
      </c>
      <c r="AG166" s="7" t="inlineStr">
        <is>
          <t>なし</t>
        </is>
      </c>
      <c r="AH166" s="7" t="inlineStr">
        <is>
          <t>なし</t>
        </is>
      </c>
      <c r="AI166" s="7"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2018(平成30)</t>
        </is>
      </c>
      <c r="AQ166" s="60" t="n">
        <v>11</v>
      </c>
      <c r="AR166" s="60" t="inlineStr">
        <is>
          <t>HE33S</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110万円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c r="BU166" s="60" t="n">
        <v>53080</v>
      </c>
      <c r="BV166" s="60" t="n">
        <v>32720</v>
      </c>
      <c r="BW166" s="60" t="n">
        <v>16000</v>
      </c>
      <c r="BX166" s="60" t="n">
        <v>10000</v>
      </c>
      <c r="BY166" s="60" t="n">
        <v>0</v>
      </c>
      <c r="BZ166" s="60" t="n"/>
      <c r="CA166" s="60" t="n"/>
    </row>
    <row r="167">
      <c r="A167" s="60" t="n">
        <v>2022</v>
      </c>
      <c r="B167" s="7" t="n">
        <v>12</v>
      </c>
      <c r="C167" s="7" t="n">
        <v>1</v>
      </c>
      <c r="D167" s="7" t="n">
        <v>17</v>
      </c>
      <c r="E167" s="7" t="inlineStr">
        <is>
          <t>なし</t>
        </is>
      </c>
      <c r="F167" s="7" t="inlineStr">
        <is>
          <t>30歳以上</t>
        </is>
      </c>
      <c r="G167" s="7" t="n">
        <v>2018</v>
      </c>
      <c r="H167" s="7" t="n">
        <v>11</v>
      </c>
      <c r="I167" s="7" t="inlineStr">
        <is>
          <t>HE33S</t>
        </is>
      </c>
      <c r="J167" s="7" t="inlineStr">
        <is>
          <t>なし</t>
        </is>
      </c>
      <c r="K167" s="7" t="n">
        <v>1972</v>
      </c>
      <c r="L167" s="15" t="n">
        <v>12</v>
      </c>
      <c r="M167" s="7" t="n">
        <v>1</v>
      </c>
      <c r="N167" s="7" t="inlineStr">
        <is>
          <t>関東</t>
        </is>
      </c>
      <c r="O167" s="7" t="inlineStr">
        <is>
          <t>ブルー</t>
        </is>
      </c>
      <c r="P167" s="7" t="inlineStr">
        <is>
          <t>通勤</t>
        </is>
      </c>
      <c r="Q167" s="7" t="n">
        <v>7000</v>
      </c>
      <c r="R167" s="7" t="inlineStr">
        <is>
          <t>30歳以上</t>
        </is>
      </c>
      <c r="S167" s="7" t="inlineStr">
        <is>
          <t>本配</t>
        </is>
      </c>
      <c r="T167" s="7" t="inlineStr">
        <is>
          <t>無制限</t>
        </is>
      </c>
      <c r="U167" s="7" t="inlineStr">
        <is>
          <t>あり</t>
        </is>
      </c>
      <c r="V167" s="7" t="n">
        <v>1000</v>
      </c>
      <c r="W167" s="7" t="inlineStr">
        <is>
          <t>車内外</t>
        </is>
      </c>
      <c r="X167" s="7" t="n">
        <v>5000</v>
      </c>
      <c r="Y167" s="7" t="inlineStr">
        <is>
          <t>一般</t>
        </is>
      </c>
      <c r="Z167" s="7" t="n">
        <v>110</v>
      </c>
      <c r="AA167" s="7" t="inlineStr">
        <is>
          <t>免責金額なし</t>
        </is>
      </c>
      <c r="AB167" s="7" t="inlineStr">
        <is>
          <t>なし</t>
        </is>
      </c>
      <c r="AC167" s="7" t="inlineStr">
        <is>
          <t>なし</t>
        </is>
      </c>
      <c r="AD167" s="7" t="inlineStr">
        <is>
          <t>なし</t>
        </is>
      </c>
      <c r="AE167" s="7" t="inlineStr">
        <is>
          <t>あり</t>
        </is>
      </c>
      <c r="AF167" s="7" t="inlineStr">
        <is>
          <t>なし</t>
        </is>
      </c>
      <c r="AG167" s="7" t="inlineStr">
        <is>
          <t>なし</t>
        </is>
      </c>
      <c r="AH167" s="7" t="inlineStr">
        <is>
          <t>なし</t>
        </is>
      </c>
      <c r="AI167" s="7"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2018(平成30)</t>
        </is>
      </c>
      <c r="AQ167" s="60" t="n">
        <v>11</v>
      </c>
      <c r="AR167" s="60" t="inlineStr">
        <is>
          <t>HE33S</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110万円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c r="BU167" s="60" t="n">
        <v>53400</v>
      </c>
      <c r="BV167" s="60" t="n">
        <v>32510</v>
      </c>
      <c r="BW167" s="60" t="n">
        <v>16000</v>
      </c>
      <c r="BX167" s="60" t="n">
        <v>10000</v>
      </c>
      <c r="BY167" s="60" t="n">
        <v>0</v>
      </c>
      <c r="BZ167" s="60" t="n"/>
      <c r="CA167" s="60" t="n"/>
    </row>
    <row r="168">
      <c r="A168" s="60" t="n">
        <v>2022</v>
      </c>
      <c r="B168" s="7" t="n">
        <v>12</v>
      </c>
      <c r="C168" s="7" t="n">
        <v>1</v>
      </c>
      <c r="D168" s="7" t="n">
        <v>17</v>
      </c>
      <c r="E168" s="7" t="inlineStr">
        <is>
          <t>なし</t>
        </is>
      </c>
      <c r="F168" s="7" t="inlineStr">
        <is>
          <t>30歳以上</t>
        </is>
      </c>
      <c r="G168" s="7" t="n">
        <v>2018</v>
      </c>
      <c r="H168" s="7" t="n">
        <v>11</v>
      </c>
      <c r="I168" s="7" t="inlineStr">
        <is>
          <t>HE33S</t>
        </is>
      </c>
      <c r="J168" s="7" t="inlineStr">
        <is>
          <t>なし</t>
        </is>
      </c>
      <c r="K168" s="7" t="n">
        <v>1962</v>
      </c>
      <c r="L168" s="15" t="n">
        <v>12</v>
      </c>
      <c r="M168" s="7" t="n">
        <v>1</v>
      </c>
      <c r="N168" s="7" t="inlineStr">
        <is>
          <t>関東</t>
        </is>
      </c>
      <c r="O168" s="7" t="inlineStr">
        <is>
          <t>ブルー</t>
        </is>
      </c>
      <c r="P168" s="7" t="inlineStr">
        <is>
          <t>通勤</t>
        </is>
      </c>
      <c r="Q168" s="7" t="n">
        <v>7000</v>
      </c>
      <c r="R168" s="7" t="inlineStr">
        <is>
          <t>30歳以上</t>
        </is>
      </c>
      <c r="S168" s="7" t="inlineStr">
        <is>
          <t>本配</t>
        </is>
      </c>
      <c r="T168" s="7" t="inlineStr">
        <is>
          <t>無制限</t>
        </is>
      </c>
      <c r="U168" s="7" t="inlineStr">
        <is>
          <t>あり</t>
        </is>
      </c>
      <c r="V168" s="7" t="n">
        <v>1000</v>
      </c>
      <c r="W168" s="7" t="inlineStr">
        <is>
          <t>車内外</t>
        </is>
      </c>
      <c r="X168" s="7" t="n">
        <v>5000</v>
      </c>
      <c r="Y168" s="7" t="inlineStr">
        <is>
          <t>一般</t>
        </is>
      </c>
      <c r="Z168" s="7" t="n">
        <v>110</v>
      </c>
      <c r="AA168" s="7" t="inlineStr">
        <is>
          <t>免責金額なし</t>
        </is>
      </c>
      <c r="AB168" s="7" t="inlineStr">
        <is>
          <t>なし</t>
        </is>
      </c>
      <c r="AC168" s="7" t="inlineStr">
        <is>
          <t>なし</t>
        </is>
      </c>
      <c r="AD168" s="7" t="inlineStr">
        <is>
          <t>なし</t>
        </is>
      </c>
      <c r="AE168" s="7" t="inlineStr">
        <is>
          <t>あり</t>
        </is>
      </c>
      <c r="AF168" s="7" t="inlineStr">
        <is>
          <t>なし</t>
        </is>
      </c>
      <c r="AG168" s="7" t="inlineStr">
        <is>
          <t>なし</t>
        </is>
      </c>
      <c r="AH168" s="7" t="inlineStr">
        <is>
          <t>なし</t>
        </is>
      </c>
      <c r="AI168" s="7"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2018(平成30)</t>
        </is>
      </c>
      <c r="AQ168" s="60" t="n">
        <v>11</v>
      </c>
      <c r="AR168" s="60" t="inlineStr">
        <is>
          <t>HE33S</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110万円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c r="BU168" s="60" t="n">
        <v>57450</v>
      </c>
      <c r="BV168" s="60" t="n">
        <v>33950</v>
      </c>
      <c r="BW168" s="60" t="n">
        <v>16000</v>
      </c>
      <c r="BX168" s="60" t="n">
        <v>10000</v>
      </c>
      <c r="BY168" s="60" t="n">
        <v>0</v>
      </c>
      <c r="BZ168" s="60" t="n"/>
      <c r="CA168" s="60" t="n"/>
    </row>
    <row r="169">
      <c r="A169" s="60" t="n">
        <v>2022</v>
      </c>
      <c r="B169" s="7" t="n">
        <v>12</v>
      </c>
      <c r="C169" s="7" t="n">
        <v>1</v>
      </c>
      <c r="D169" s="7" t="n">
        <v>17</v>
      </c>
      <c r="E169" s="7" t="inlineStr">
        <is>
          <t>なし</t>
        </is>
      </c>
      <c r="F169" s="7" t="inlineStr">
        <is>
          <t>30歳以上</t>
        </is>
      </c>
      <c r="G169" s="7" t="n">
        <v>2018</v>
      </c>
      <c r="H169" s="7" t="n">
        <v>11</v>
      </c>
      <c r="I169" s="7" t="inlineStr">
        <is>
          <t>HE33S</t>
        </is>
      </c>
      <c r="J169" s="7" t="inlineStr">
        <is>
          <t>なし</t>
        </is>
      </c>
      <c r="K169" s="7" t="n">
        <v>1952</v>
      </c>
      <c r="L169" s="15" t="n">
        <v>12</v>
      </c>
      <c r="M169" s="7" t="n">
        <v>1</v>
      </c>
      <c r="N169" s="7" t="inlineStr">
        <is>
          <t>関東</t>
        </is>
      </c>
      <c r="O169" s="7" t="inlineStr">
        <is>
          <t>ブルー</t>
        </is>
      </c>
      <c r="P169" s="7" t="inlineStr">
        <is>
          <t>通勤</t>
        </is>
      </c>
      <c r="Q169" s="7" t="n">
        <v>7000</v>
      </c>
      <c r="R169" s="7" t="inlineStr">
        <is>
          <t>30歳以上</t>
        </is>
      </c>
      <c r="S169" s="7" t="inlineStr">
        <is>
          <t>本配</t>
        </is>
      </c>
      <c r="T169" s="7" t="inlineStr">
        <is>
          <t>無制限</t>
        </is>
      </c>
      <c r="U169" s="7" t="inlineStr">
        <is>
          <t>あり</t>
        </is>
      </c>
      <c r="V169" s="7" t="n">
        <v>1000</v>
      </c>
      <c r="W169" s="7" t="inlineStr">
        <is>
          <t>車内外</t>
        </is>
      </c>
      <c r="X169" s="7" t="n">
        <v>5000</v>
      </c>
      <c r="Y169" s="7" t="inlineStr">
        <is>
          <t>一般</t>
        </is>
      </c>
      <c r="Z169" s="7" t="n">
        <v>110</v>
      </c>
      <c r="AA169" s="7" t="inlineStr">
        <is>
          <t>免責金額なし</t>
        </is>
      </c>
      <c r="AB169" s="7" t="inlineStr">
        <is>
          <t>なし</t>
        </is>
      </c>
      <c r="AC169" s="7" t="inlineStr">
        <is>
          <t>なし</t>
        </is>
      </c>
      <c r="AD169" s="7" t="inlineStr">
        <is>
          <t>なし</t>
        </is>
      </c>
      <c r="AE169" s="7" t="inlineStr">
        <is>
          <t>あり</t>
        </is>
      </c>
      <c r="AF169" s="7" t="inlineStr">
        <is>
          <t>なし</t>
        </is>
      </c>
      <c r="AG169" s="7" t="inlineStr">
        <is>
          <t>なし</t>
        </is>
      </c>
      <c r="AH169" s="7" t="inlineStr">
        <is>
          <t>なし</t>
        </is>
      </c>
      <c r="AI169" s="7"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2018(平成30)</t>
        </is>
      </c>
      <c r="AQ169" s="60" t="n">
        <v>11</v>
      </c>
      <c r="AR169" s="60" t="inlineStr">
        <is>
          <t>HE33S</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110万円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c r="BU169" s="60" t="n">
        <v>72400</v>
      </c>
      <c r="BV169" s="60" t="n">
        <v>39180</v>
      </c>
      <c r="BW169" s="60" t="n">
        <v>16000</v>
      </c>
      <c r="BX169" s="60" t="n">
        <v>13000</v>
      </c>
      <c r="BY169" s="60" t="n">
        <v>0</v>
      </c>
      <c r="BZ169" s="60" t="n"/>
      <c r="CA169" s="60" t="n"/>
    </row>
    <row r="170">
      <c r="A170" s="60" t="n">
        <v>2022</v>
      </c>
      <c r="B170" s="7" t="n">
        <v>12</v>
      </c>
      <c r="C170" s="7" t="n">
        <v>1</v>
      </c>
      <c r="D170" s="7" t="inlineStr">
        <is>
          <t>6S</t>
        </is>
      </c>
      <c r="E170" s="7" t="inlineStr">
        <is>
          <t>なし</t>
        </is>
      </c>
      <c r="F170" s="7" t="inlineStr">
        <is>
          <t>30歳以上</t>
        </is>
      </c>
      <c r="G170" s="7" t="n">
        <v>2018</v>
      </c>
      <c r="H170" s="7" t="n">
        <v>11</v>
      </c>
      <c r="I170" s="7" t="inlineStr">
        <is>
          <t>HE33S</t>
        </is>
      </c>
      <c r="J170" s="7" t="inlineStr">
        <is>
          <t>なし</t>
        </is>
      </c>
      <c r="K170" s="7" t="n">
        <v>1992</v>
      </c>
      <c r="L170" s="15" t="n">
        <v>12</v>
      </c>
      <c r="M170" s="7" t="n">
        <v>1</v>
      </c>
      <c r="N170" s="7" t="inlineStr">
        <is>
          <t>関東</t>
        </is>
      </c>
      <c r="O170" s="7" t="inlineStr">
        <is>
          <t>ブルー</t>
        </is>
      </c>
      <c r="P170" s="7" t="inlineStr">
        <is>
          <t>日常</t>
        </is>
      </c>
      <c r="Q170" s="7" t="n">
        <v>3000</v>
      </c>
      <c r="R170" s="7" t="inlineStr">
        <is>
          <t>30歳以上</t>
        </is>
      </c>
      <c r="S170" s="7" t="inlineStr">
        <is>
          <t>本配</t>
        </is>
      </c>
      <c r="T170" s="7" t="inlineStr">
        <is>
          <t>無制限</t>
        </is>
      </c>
      <c r="U170" s="7" t="inlineStr">
        <is>
          <t>あり</t>
        </is>
      </c>
      <c r="V170" s="7" t="n">
        <v>1000</v>
      </c>
      <c r="W170" s="7" t="inlineStr">
        <is>
          <t>車内外</t>
        </is>
      </c>
      <c r="X170" s="7" t="n">
        <v>5000</v>
      </c>
      <c r="Y170" s="7" t="inlineStr">
        <is>
          <t>一般</t>
        </is>
      </c>
      <c r="Z170" s="7" t="n">
        <v>110</v>
      </c>
      <c r="AA170" s="7" t="inlineStr">
        <is>
          <t>免責金額なし</t>
        </is>
      </c>
      <c r="AB170" s="7" t="inlineStr">
        <is>
          <t>なし</t>
        </is>
      </c>
      <c r="AC170" s="7" t="inlineStr">
        <is>
          <t>なし</t>
        </is>
      </c>
      <c r="AD170" s="7" t="inlineStr">
        <is>
          <t>なし</t>
        </is>
      </c>
      <c r="AE170" s="7" t="inlineStr">
        <is>
          <t>あり</t>
        </is>
      </c>
      <c r="AF170" s="7" t="inlineStr">
        <is>
          <t>なし</t>
        </is>
      </c>
      <c r="AG170" s="7" t="inlineStr">
        <is>
          <t>なし</t>
        </is>
      </c>
      <c r="AH170" s="7" t="inlineStr">
        <is>
          <t>なし</t>
        </is>
      </c>
      <c r="AI170" s="7"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2018(平成30)</t>
        </is>
      </c>
      <c r="AQ170" s="60" t="n">
        <v>11</v>
      </c>
      <c r="AR170" s="60" t="inlineStr">
        <is>
          <t>HE33S</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110万円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c r="BU170" s="60" t="n">
        <v>41270</v>
      </c>
      <c r="BV170" s="60" t="n">
        <v>27560</v>
      </c>
      <c r="BW170" s="60" t="n">
        <v>13000</v>
      </c>
      <c r="BX170" s="60" t="n">
        <v>9000</v>
      </c>
      <c r="BY170" s="60" t="n">
        <v>0</v>
      </c>
      <c r="BZ170" s="60" t="inlineStr">
        <is>
          <t>車両免責エラー</t>
        </is>
      </c>
      <c r="CA170" s="60" t="n"/>
    </row>
    <row r="171">
      <c r="A171" s="60" t="n">
        <v>2022</v>
      </c>
      <c r="B171" s="7" t="n">
        <v>12</v>
      </c>
      <c r="C171" s="7" t="n">
        <v>1</v>
      </c>
      <c r="D171" s="7" t="inlineStr">
        <is>
          <t>6S</t>
        </is>
      </c>
      <c r="E171" s="7" t="inlineStr">
        <is>
          <t>なし</t>
        </is>
      </c>
      <c r="F171" s="7" t="inlineStr">
        <is>
          <t>30歳以上</t>
        </is>
      </c>
      <c r="G171" s="7" t="n">
        <v>2018</v>
      </c>
      <c r="H171" s="7" t="n">
        <v>11</v>
      </c>
      <c r="I171" s="7" t="inlineStr">
        <is>
          <t>HE33S</t>
        </is>
      </c>
      <c r="J171" s="7" t="inlineStr">
        <is>
          <t>なし</t>
        </is>
      </c>
      <c r="K171" s="7" t="n">
        <v>1987</v>
      </c>
      <c r="L171" s="15" t="n">
        <v>12</v>
      </c>
      <c r="M171" s="7" t="n">
        <v>1</v>
      </c>
      <c r="N171" s="7" t="inlineStr">
        <is>
          <t>関東</t>
        </is>
      </c>
      <c r="O171" s="7" t="inlineStr">
        <is>
          <t>ブルー</t>
        </is>
      </c>
      <c r="P171" s="7" t="inlineStr">
        <is>
          <t>日常</t>
        </is>
      </c>
      <c r="Q171" s="7" t="n">
        <v>3000</v>
      </c>
      <c r="R171" s="7" t="inlineStr">
        <is>
          <t>30歳以上</t>
        </is>
      </c>
      <c r="S171" s="7" t="inlineStr">
        <is>
          <t>本配</t>
        </is>
      </c>
      <c r="T171" s="7" t="inlineStr">
        <is>
          <t>無制限</t>
        </is>
      </c>
      <c r="U171" s="7" t="inlineStr">
        <is>
          <t>あり</t>
        </is>
      </c>
      <c r="V171" s="7" t="n">
        <v>1000</v>
      </c>
      <c r="W171" s="7" t="inlineStr">
        <is>
          <t>車内外</t>
        </is>
      </c>
      <c r="X171" s="7" t="n">
        <v>5000</v>
      </c>
      <c r="Y171" s="7" t="inlineStr">
        <is>
          <t>一般</t>
        </is>
      </c>
      <c r="Z171" s="7" t="n">
        <v>110</v>
      </c>
      <c r="AA171" s="7" t="inlineStr">
        <is>
          <t>免責金額なし</t>
        </is>
      </c>
      <c r="AB171" s="7" t="inlineStr">
        <is>
          <t>なし</t>
        </is>
      </c>
      <c r="AC171" s="7" t="inlineStr">
        <is>
          <t>なし</t>
        </is>
      </c>
      <c r="AD171" s="7" t="inlineStr">
        <is>
          <t>なし</t>
        </is>
      </c>
      <c r="AE171" s="7" t="inlineStr">
        <is>
          <t>あり</t>
        </is>
      </c>
      <c r="AF171" s="7" t="inlineStr">
        <is>
          <t>なし</t>
        </is>
      </c>
      <c r="AG171" s="7" t="inlineStr">
        <is>
          <t>なし</t>
        </is>
      </c>
      <c r="AH171" s="7" t="inlineStr">
        <is>
          <t>なし</t>
        </is>
      </c>
      <c r="AI171" s="7"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2018(平成30)</t>
        </is>
      </c>
      <c r="AQ171" s="60" t="n">
        <v>11</v>
      </c>
      <c r="AR171" s="60" t="inlineStr">
        <is>
          <t>HE33S</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110万円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c r="BU171" s="60" t="n">
        <v>41130</v>
      </c>
      <c r="BV171" s="60" t="n">
        <v>27530</v>
      </c>
      <c r="BW171" s="60" t="n">
        <v>13000</v>
      </c>
      <c r="BX171" s="60" t="n">
        <v>9000</v>
      </c>
      <c r="BY171" s="60" t="n">
        <v>0</v>
      </c>
      <c r="BZ171" s="60" t="inlineStr">
        <is>
          <t>車両免責エラー</t>
        </is>
      </c>
      <c r="CA171" s="60" t="n"/>
    </row>
    <row r="172">
      <c r="A172" s="60" t="n">
        <v>2022</v>
      </c>
      <c r="B172" s="7" t="n">
        <v>12</v>
      </c>
      <c r="C172" s="7" t="n">
        <v>1</v>
      </c>
      <c r="D172" s="7" t="inlineStr">
        <is>
          <t>6S</t>
        </is>
      </c>
      <c r="E172" s="7" t="inlineStr">
        <is>
          <t>なし</t>
        </is>
      </c>
      <c r="F172" s="7" t="inlineStr">
        <is>
          <t>30歳以上</t>
        </is>
      </c>
      <c r="G172" s="7" t="n">
        <v>2018</v>
      </c>
      <c r="H172" s="7" t="n">
        <v>11</v>
      </c>
      <c r="I172" s="7" t="inlineStr">
        <is>
          <t>HE33S</t>
        </is>
      </c>
      <c r="J172" s="7" t="inlineStr">
        <is>
          <t>なし</t>
        </is>
      </c>
      <c r="K172" s="7" t="n">
        <v>1982</v>
      </c>
      <c r="L172" s="15" t="n">
        <v>12</v>
      </c>
      <c r="M172" s="7" t="n">
        <v>1</v>
      </c>
      <c r="N172" s="7" t="inlineStr">
        <is>
          <t>関東</t>
        </is>
      </c>
      <c r="O172" s="7" t="inlineStr">
        <is>
          <t>ブルー</t>
        </is>
      </c>
      <c r="P172" s="7" t="inlineStr">
        <is>
          <t>日常</t>
        </is>
      </c>
      <c r="Q172" s="7" t="n">
        <v>3000</v>
      </c>
      <c r="R172" s="7" t="inlineStr">
        <is>
          <t>30歳以上</t>
        </is>
      </c>
      <c r="S172" s="7" t="inlineStr">
        <is>
          <t>本配</t>
        </is>
      </c>
      <c r="T172" s="7" t="inlineStr">
        <is>
          <t>無制限</t>
        </is>
      </c>
      <c r="U172" s="7" t="inlineStr">
        <is>
          <t>あり</t>
        </is>
      </c>
      <c r="V172" s="7" t="n">
        <v>1000</v>
      </c>
      <c r="W172" s="7" t="inlineStr">
        <is>
          <t>車内外</t>
        </is>
      </c>
      <c r="X172" s="7" t="n">
        <v>5000</v>
      </c>
      <c r="Y172" s="7" t="inlineStr">
        <is>
          <t>一般</t>
        </is>
      </c>
      <c r="Z172" s="7" t="n">
        <v>110</v>
      </c>
      <c r="AA172" s="7" t="inlineStr">
        <is>
          <t>免責金額なし</t>
        </is>
      </c>
      <c r="AB172" s="7" t="inlineStr">
        <is>
          <t>なし</t>
        </is>
      </c>
      <c r="AC172" s="7" t="inlineStr">
        <is>
          <t>なし</t>
        </is>
      </c>
      <c r="AD172" s="7" t="inlineStr">
        <is>
          <t>なし</t>
        </is>
      </c>
      <c r="AE172" s="7" t="inlineStr">
        <is>
          <t>あり</t>
        </is>
      </c>
      <c r="AF172" s="7" t="inlineStr">
        <is>
          <t>なし</t>
        </is>
      </c>
      <c r="AG172" s="7" t="inlineStr">
        <is>
          <t>なし</t>
        </is>
      </c>
      <c r="AH172" s="7" t="inlineStr">
        <is>
          <t>なし</t>
        </is>
      </c>
      <c r="AI172" s="7"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2018(平成30)</t>
        </is>
      </c>
      <c r="AQ172" s="60" t="n">
        <v>11</v>
      </c>
      <c r="AR172" s="60" t="inlineStr">
        <is>
          <t>HE33S</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110万円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c r="BU172" s="60" t="n">
        <v>39680</v>
      </c>
      <c r="BV172" s="60" t="n">
        <v>27980</v>
      </c>
      <c r="BW172" s="60" t="n">
        <v>15000</v>
      </c>
      <c r="BX172" s="60" t="n">
        <v>9000</v>
      </c>
      <c r="BY172" s="60" t="n">
        <v>0</v>
      </c>
      <c r="BZ172" s="60" t="inlineStr">
        <is>
          <t>車両免責エラー</t>
        </is>
      </c>
      <c r="CA172" s="60" t="n"/>
    </row>
    <row r="173">
      <c r="A173" s="60" t="n">
        <v>2022</v>
      </c>
      <c r="B173" s="7" t="n">
        <v>12</v>
      </c>
      <c r="C173" s="7" t="n">
        <v>1</v>
      </c>
      <c r="D173" s="7" t="inlineStr">
        <is>
          <t>6S</t>
        </is>
      </c>
      <c r="E173" s="7" t="inlineStr">
        <is>
          <t>なし</t>
        </is>
      </c>
      <c r="F173" s="7" t="inlineStr">
        <is>
          <t>30歳以上</t>
        </is>
      </c>
      <c r="G173" s="7" t="n">
        <v>2018</v>
      </c>
      <c r="H173" s="7" t="n">
        <v>11</v>
      </c>
      <c r="I173" s="7" t="inlineStr">
        <is>
          <t>HE33S</t>
        </is>
      </c>
      <c r="J173" s="7" t="inlineStr">
        <is>
          <t>なし</t>
        </is>
      </c>
      <c r="K173" s="7" t="n">
        <v>1977</v>
      </c>
      <c r="L173" s="15" t="n">
        <v>12</v>
      </c>
      <c r="M173" s="7" t="n">
        <v>1</v>
      </c>
      <c r="N173" s="7" t="inlineStr">
        <is>
          <t>関東</t>
        </is>
      </c>
      <c r="O173" s="7" t="inlineStr">
        <is>
          <t>ブルー</t>
        </is>
      </c>
      <c r="P173" s="7" t="inlineStr">
        <is>
          <t>日常</t>
        </is>
      </c>
      <c r="Q173" s="7" t="n">
        <v>3000</v>
      </c>
      <c r="R173" s="7" t="inlineStr">
        <is>
          <t>30歳以上</t>
        </is>
      </c>
      <c r="S173" s="7" t="inlineStr">
        <is>
          <t>本配</t>
        </is>
      </c>
      <c r="T173" s="7" t="inlineStr">
        <is>
          <t>無制限</t>
        </is>
      </c>
      <c r="U173" s="7" t="inlineStr">
        <is>
          <t>あり</t>
        </is>
      </c>
      <c r="V173" s="7" t="n">
        <v>1000</v>
      </c>
      <c r="W173" s="7" t="inlineStr">
        <is>
          <t>車内外</t>
        </is>
      </c>
      <c r="X173" s="7" t="n">
        <v>5000</v>
      </c>
      <c r="Y173" s="7" t="inlineStr">
        <is>
          <t>一般</t>
        </is>
      </c>
      <c r="Z173" s="7" t="n">
        <v>110</v>
      </c>
      <c r="AA173" s="7" t="inlineStr">
        <is>
          <t>免責金額なし</t>
        </is>
      </c>
      <c r="AB173" s="7" t="inlineStr">
        <is>
          <t>なし</t>
        </is>
      </c>
      <c r="AC173" s="7" t="inlineStr">
        <is>
          <t>なし</t>
        </is>
      </c>
      <c r="AD173" s="7" t="inlineStr">
        <is>
          <t>なし</t>
        </is>
      </c>
      <c r="AE173" s="7" t="inlineStr">
        <is>
          <t>あり</t>
        </is>
      </c>
      <c r="AF173" s="7" t="inlineStr">
        <is>
          <t>なし</t>
        </is>
      </c>
      <c r="AG173" s="7" t="inlineStr">
        <is>
          <t>なし</t>
        </is>
      </c>
      <c r="AH173" s="7" t="inlineStr">
        <is>
          <t>なし</t>
        </is>
      </c>
      <c r="AI173" s="7"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2018(平成30)</t>
        </is>
      </c>
      <c r="AQ173" s="60" t="n">
        <v>11</v>
      </c>
      <c r="AR173" s="60" t="inlineStr">
        <is>
          <t>HE33S</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110万円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c r="BU173" s="60" t="n">
        <v>40430</v>
      </c>
      <c r="BV173" s="60" t="n">
        <v>28050</v>
      </c>
      <c r="BW173" s="60" t="n">
        <v>15000</v>
      </c>
      <c r="BX173" s="60" t="n">
        <v>9000</v>
      </c>
      <c r="BY173" s="60" t="n">
        <v>0</v>
      </c>
      <c r="BZ173" s="60" t="inlineStr">
        <is>
          <t>車両免責エラー</t>
        </is>
      </c>
      <c r="CA173" s="60" t="n"/>
    </row>
    <row r="174">
      <c r="A174" s="60" t="n">
        <v>2022</v>
      </c>
      <c r="B174" s="7" t="n">
        <v>12</v>
      </c>
      <c r="C174" s="7" t="n">
        <v>1</v>
      </c>
      <c r="D174" s="7" t="inlineStr">
        <is>
          <t>6S</t>
        </is>
      </c>
      <c r="E174" s="7" t="inlineStr">
        <is>
          <t>なし</t>
        </is>
      </c>
      <c r="F174" s="7" t="inlineStr">
        <is>
          <t>30歳以上</t>
        </is>
      </c>
      <c r="G174" s="7" t="n">
        <v>2018</v>
      </c>
      <c r="H174" s="7" t="n">
        <v>11</v>
      </c>
      <c r="I174" s="7" t="inlineStr">
        <is>
          <t>HE33S</t>
        </is>
      </c>
      <c r="J174" s="7" t="inlineStr">
        <is>
          <t>なし</t>
        </is>
      </c>
      <c r="K174" s="7" t="n">
        <v>1972</v>
      </c>
      <c r="L174" s="15" t="n">
        <v>12</v>
      </c>
      <c r="M174" s="7" t="n">
        <v>1</v>
      </c>
      <c r="N174" s="7" t="inlineStr">
        <is>
          <t>関東</t>
        </is>
      </c>
      <c r="O174" s="7" t="inlineStr">
        <is>
          <t>ブルー</t>
        </is>
      </c>
      <c r="P174" s="7" t="inlineStr">
        <is>
          <t>日常</t>
        </is>
      </c>
      <c r="Q174" s="7" t="n">
        <v>3000</v>
      </c>
      <c r="R174" s="7" t="inlineStr">
        <is>
          <t>30歳以上</t>
        </is>
      </c>
      <c r="S174" s="7" t="inlineStr">
        <is>
          <t>本配</t>
        </is>
      </c>
      <c r="T174" s="7" t="inlineStr">
        <is>
          <t>無制限</t>
        </is>
      </c>
      <c r="U174" s="7" t="inlineStr">
        <is>
          <t>あり</t>
        </is>
      </c>
      <c r="V174" s="7" t="n">
        <v>1000</v>
      </c>
      <c r="W174" s="7" t="inlineStr">
        <is>
          <t>車内外</t>
        </is>
      </c>
      <c r="X174" s="7" t="n">
        <v>5000</v>
      </c>
      <c r="Y174" s="7" t="inlineStr">
        <is>
          <t>一般</t>
        </is>
      </c>
      <c r="Z174" s="7" t="n">
        <v>110</v>
      </c>
      <c r="AA174" s="7" t="inlineStr">
        <is>
          <t>免責金額なし</t>
        </is>
      </c>
      <c r="AB174" s="7" t="inlineStr">
        <is>
          <t>なし</t>
        </is>
      </c>
      <c r="AC174" s="7" t="inlineStr">
        <is>
          <t>なし</t>
        </is>
      </c>
      <c r="AD174" s="7" t="inlineStr">
        <is>
          <t>なし</t>
        </is>
      </c>
      <c r="AE174" s="7" t="inlineStr">
        <is>
          <t>あり</t>
        </is>
      </c>
      <c r="AF174" s="7" t="inlineStr">
        <is>
          <t>なし</t>
        </is>
      </c>
      <c r="AG174" s="7" t="inlineStr">
        <is>
          <t>なし</t>
        </is>
      </c>
      <c r="AH174" s="7" t="inlineStr">
        <is>
          <t>なし</t>
        </is>
      </c>
      <c r="AI174" s="7"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2018(平成30)</t>
        </is>
      </c>
      <c r="AQ174" s="60" t="n">
        <v>11</v>
      </c>
      <c r="AR174" s="60" t="inlineStr">
        <is>
          <t>HE33S</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110万円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c r="BU174" s="60" t="n">
        <v>40610</v>
      </c>
      <c r="BV174" s="60" t="n">
        <v>27870</v>
      </c>
      <c r="BW174" s="60" t="n">
        <v>15000</v>
      </c>
      <c r="BX174" s="60" t="n">
        <v>9000</v>
      </c>
      <c r="BY174" s="60" t="n">
        <v>0</v>
      </c>
      <c r="BZ174" s="60" t="inlineStr">
        <is>
          <t>車両免責エラー</t>
        </is>
      </c>
      <c r="CA174" s="60" t="n"/>
    </row>
    <row r="175">
      <c r="A175" s="60" t="n">
        <v>2022</v>
      </c>
      <c r="B175" s="7" t="n">
        <v>12</v>
      </c>
      <c r="C175" s="7" t="n">
        <v>1</v>
      </c>
      <c r="D175" s="7" t="inlineStr">
        <is>
          <t>6S</t>
        </is>
      </c>
      <c r="E175" s="7" t="inlineStr">
        <is>
          <t>なし</t>
        </is>
      </c>
      <c r="F175" s="7" t="inlineStr">
        <is>
          <t>30歳以上</t>
        </is>
      </c>
      <c r="G175" s="7" t="n">
        <v>2018</v>
      </c>
      <c r="H175" s="7" t="n">
        <v>11</v>
      </c>
      <c r="I175" s="7" t="inlineStr">
        <is>
          <t>HE33S</t>
        </is>
      </c>
      <c r="J175" s="7" t="inlineStr">
        <is>
          <t>なし</t>
        </is>
      </c>
      <c r="K175" s="7" t="n">
        <v>1962</v>
      </c>
      <c r="L175" s="15" t="n">
        <v>12</v>
      </c>
      <c r="M175" s="7" t="n">
        <v>1</v>
      </c>
      <c r="N175" s="7" t="inlineStr">
        <is>
          <t>関東</t>
        </is>
      </c>
      <c r="O175" s="7" t="inlineStr">
        <is>
          <t>ブルー</t>
        </is>
      </c>
      <c r="P175" s="7" t="inlineStr">
        <is>
          <t>日常</t>
        </is>
      </c>
      <c r="Q175" s="7" t="n">
        <v>3000</v>
      </c>
      <c r="R175" s="7" t="inlineStr">
        <is>
          <t>30歳以上</t>
        </is>
      </c>
      <c r="S175" s="7" t="inlineStr">
        <is>
          <t>本配</t>
        </is>
      </c>
      <c r="T175" s="7" t="inlineStr">
        <is>
          <t>無制限</t>
        </is>
      </c>
      <c r="U175" s="7" t="inlineStr">
        <is>
          <t>あり</t>
        </is>
      </c>
      <c r="V175" s="7" t="n">
        <v>1000</v>
      </c>
      <c r="W175" s="7" t="inlineStr">
        <is>
          <t>車内外</t>
        </is>
      </c>
      <c r="X175" s="7" t="n">
        <v>5000</v>
      </c>
      <c r="Y175" s="7" t="inlineStr">
        <is>
          <t>一般</t>
        </is>
      </c>
      <c r="Z175" s="7" t="n">
        <v>110</v>
      </c>
      <c r="AA175" s="7" t="inlineStr">
        <is>
          <t>免責金額なし</t>
        </is>
      </c>
      <c r="AB175" s="7" t="inlineStr">
        <is>
          <t>なし</t>
        </is>
      </c>
      <c r="AC175" s="7" t="inlineStr">
        <is>
          <t>なし</t>
        </is>
      </c>
      <c r="AD175" s="7" t="inlineStr">
        <is>
          <t>なし</t>
        </is>
      </c>
      <c r="AE175" s="7" t="inlineStr">
        <is>
          <t>あり</t>
        </is>
      </c>
      <c r="AF175" s="7" t="inlineStr">
        <is>
          <t>なし</t>
        </is>
      </c>
      <c r="AG175" s="7" t="inlineStr">
        <is>
          <t>なし</t>
        </is>
      </c>
      <c r="AH175" s="7" t="inlineStr">
        <is>
          <t>なし</t>
        </is>
      </c>
      <c r="AI175" s="7"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2018(平成30)</t>
        </is>
      </c>
      <c r="AQ175" s="60" t="n">
        <v>11</v>
      </c>
      <c r="AR175" s="60" t="inlineStr">
        <is>
          <t>HE33S</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110万円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c r="BU175" s="60" t="inlineStr">
        <is>
          <t>E</t>
        </is>
      </c>
      <c r="BV175" s="60"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[0x007CACD3+2075859]
	Ordinal0 [0x0075EE61+1633889]
	Ordinal0 [0x0065B680+571008]
	Ordinal0 [0x0068BBD6+768982]
	Ordinal0 [0x00681C76+728182]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75" s="60" t="n"/>
      <c r="BX175" s="60" t="n"/>
      <c r="BY175" s="60" t="n"/>
      <c r="BZ175" s="60" t="n"/>
      <c r="CA175" s="60" t="n"/>
    </row>
    <row r="176">
      <c r="A176" s="60" t="n">
        <v>2022</v>
      </c>
      <c r="B176" s="7" t="n">
        <v>12</v>
      </c>
      <c r="C176" s="7" t="n">
        <v>1</v>
      </c>
      <c r="D176" s="7" t="inlineStr">
        <is>
          <t>6S</t>
        </is>
      </c>
      <c r="E176" s="7" t="inlineStr">
        <is>
          <t>なし</t>
        </is>
      </c>
      <c r="F176" s="7" t="inlineStr">
        <is>
          <t>30歳以上</t>
        </is>
      </c>
      <c r="G176" s="7" t="n">
        <v>2018</v>
      </c>
      <c r="H176" s="7" t="n">
        <v>11</v>
      </c>
      <c r="I176" s="7" t="inlineStr">
        <is>
          <t>HE33S</t>
        </is>
      </c>
      <c r="J176" s="7" t="inlineStr">
        <is>
          <t>なし</t>
        </is>
      </c>
      <c r="K176" s="7" t="n">
        <v>1952</v>
      </c>
      <c r="L176" s="15" t="n">
        <v>12</v>
      </c>
      <c r="M176" s="7" t="n">
        <v>1</v>
      </c>
      <c r="N176" s="7" t="inlineStr">
        <is>
          <t>関東</t>
        </is>
      </c>
      <c r="O176" s="7" t="inlineStr">
        <is>
          <t>ブルー</t>
        </is>
      </c>
      <c r="P176" s="7" t="inlineStr">
        <is>
          <t>日常</t>
        </is>
      </c>
      <c r="Q176" s="7" t="n">
        <v>3000</v>
      </c>
      <c r="R176" s="7" t="inlineStr">
        <is>
          <t>30歳以上</t>
        </is>
      </c>
      <c r="S176" s="7" t="inlineStr">
        <is>
          <t>本配</t>
        </is>
      </c>
      <c r="T176" s="7" t="inlineStr">
        <is>
          <t>無制限</t>
        </is>
      </c>
      <c r="U176" s="7" t="inlineStr">
        <is>
          <t>あり</t>
        </is>
      </c>
      <c r="V176" s="7" t="n">
        <v>1000</v>
      </c>
      <c r="W176" s="7" t="inlineStr">
        <is>
          <t>車内外</t>
        </is>
      </c>
      <c r="X176" s="7" t="n">
        <v>5000</v>
      </c>
      <c r="Y176" s="7" t="inlineStr">
        <is>
          <t>一般</t>
        </is>
      </c>
      <c r="Z176" s="7" t="n">
        <v>110</v>
      </c>
      <c r="AA176" s="7" t="inlineStr">
        <is>
          <t>免責金額なし</t>
        </is>
      </c>
      <c r="AB176" s="7" t="inlineStr">
        <is>
          <t>なし</t>
        </is>
      </c>
      <c r="AC176" s="7" t="inlineStr">
        <is>
          <t>なし</t>
        </is>
      </c>
      <c r="AD176" s="7" t="inlineStr">
        <is>
          <t>なし</t>
        </is>
      </c>
      <c r="AE176" s="7" t="inlineStr">
        <is>
          <t>あり</t>
        </is>
      </c>
      <c r="AF176" s="7" t="inlineStr">
        <is>
          <t>なし</t>
        </is>
      </c>
      <c r="AG176" s="7" t="inlineStr">
        <is>
          <t>なし</t>
        </is>
      </c>
      <c r="AH176" s="7" t="inlineStr">
        <is>
          <t>なし</t>
        </is>
      </c>
      <c r="AI176" s="7"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2018(平成30)</t>
        </is>
      </c>
      <c r="AQ176" s="60" t="n">
        <v>11</v>
      </c>
      <c r="AR176" s="60" t="inlineStr">
        <is>
          <t>HE33S</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110万円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c r="BU176" s="60" t="n">
        <v>54030</v>
      </c>
      <c r="BV176" s="60" t="n">
        <v>31930</v>
      </c>
      <c r="BW176" s="60" t="n">
        <v>16000</v>
      </c>
      <c r="BX176" s="60" t="n">
        <v>13000</v>
      </c>
      <c r="BY176" s="60" t="n">
        <v>0</v>
      </c>
      <c r="BZ176" s="60" t="inlineStr">
        <is>
          <t>車両免責エラー</t>
        </is>
      </c>
      <c r="CA176" s="60" t="n"/>
    </row>
    <row r="177">
      <c r="A177" s="60" t="n">
        <v>2022</v>
      </c>
      <c r="B177" s="7" t="n">
        <v>12</v>
      </c>
      <c r="C177" s="7" t="n">
        <v>1</v>
      </c>
      <c r="D177" s="7" t="inlineStr">
        <is>
          <t>6S</t>
        </is>
      </c>
      <c r="E177" s="7" t="inlineStr">
        <is>
          <t>なし</t>
        </is>
      </c>
      <c r="F177" s="7" t="inlineStr">
        <is>
          <t>30歳以上</t>
        </is>
      </c>
      <c r="G177" s="7" t="n">
        <v>2018</v>
      </c>
      <c r="H177" s="7" t="n">
        <v>11</v>
      </c>
      <c r="I177" s="7" t="inlineStr">
        <is>
          <t>HE33S</t>
        </is>
      </c>
      <c r="J177" s="7" t="inlineStr">
        <is>
          <t>なし</t>
        </is>
      </c>
      <c r="K177" s="7" t="n">
        <v>1992</v>
      </c>
      <c r="L177" s="15" t="n">
        <v>12</v>
      </c>
      <c r="M177" s="7" t="n">
        <v>1</v>
      </c>
      <c r="N177" s="7" t="inlineStr">
        <is>
          <t>関東</t>
        </is>
      </c>
      <c r="O177" s="7" t="inlineStr">
        <is>
          <t>ブルー</t>
        </is>
      </c>
      <c r="P177" s="7" t="inlineStr">
        <is>
          <t>日常</t>
        </is>
      </c>
      <c r="Q177" s="7" t="n">
        <v>7000</v>
      </c>
      <c r="R177" s="7" t="inlineStr">
        <is>
          <t>30歳以上</t>
        </is>
      </c>
      <c r="S177" s="7" t="inlineStr">
        <is>
          <t>本配</t>
        </is>
      </c>
      <c r="T177" s="7" t="inlineStr">
        <is>
          <t>無制限</t>
        </is>
      </c>
      <c r="U177" s="7" t="inlineStr">
        <is>
          <t>あり</t>
        </is>
      </c>
      <c r="V177" s="7" t="n">
        <v>1000</v>
      </c>
      <c r="W177" s="7" t="inlineStr">
        <is>
          <t>車内外</t>
        </is>
      </c>
      <c r="X177" s="7" t="n">
        <v>5000</v>
      </c>
      <c r="Y177" s="7" t="inlineStr">
        <is>
          <t>一般</t>
        </is>
      </c>
      <c r="Z177" s="7" t="n">
        <v>110</v>
      </c>
      <c r="AA177" s="7" t="inlineStr">
        <is>
          <t>免責金額なし</t>
        </is>
      </c>
      <c r="AB177" s="7" t="inlineStr">
        <is>
          <t>なし</t>
        </is>
      </c>
      <c r="AC177" s="7" t="inlineStr">
        <is>
          <t>なし</t>
        </is>
      </c>
      <c r="AD177" s="7" t="inlineStr">
        <is>
          <t>なし</t>
        </is>
      </c>
      <c r="AE177" s="7" t="inlineStr">
        <is>
          <t>あり</t>
        </is>
      </c>
      <c r="AF177" s="7" t="inlineStr">
        <is>
          <t>なし</t>
        </is>
      </c>
      <c r="AG177" s="7" t="inlineStr">
        <is>
          <t>なし</t>
        </is>
      </c>
      <c r="AH177" s="7" t="inlineStr">
        <is>
          <t>なし</t>
        </is>
      </c>
      <c r="AI177" s="7"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2018(平成30)</t>
        </is>
      </c>
      <c r="AQ177" s="60" t="n">
        <v>11</v>
      </c>
      <c r="AR177" s="60" t="inlineStr">
        <is>
          <t>HE33S</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110万円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c r="BU177" s="60" t="inlineStr">
        <is>
          <t>E</t>
        </is>
      </c>
      <c r="BV177" s="60" t="inlineStr">
        <is>
          <t xml:space="preserve">Traceback (most recent call last):
  File "C:\Users\safic\Documents\Z\Z_func.py", line 253, in Z_func
    Select(browser.find_element(By.CSS_SELECTOR, '#calculatePremiumForm\:ownDamageSumInsured_plan1')).select_by_visible_text(data['車両AMT2'])
  File "C:\Users\safic\AppData\Local\Programs\Python\Python38\lib\site-packages\selenium\webdriver\support\select.py", line 43, in __init__
    multi = self._el.get_dom_attribute("multiple")
  File "C:\Users\safic\AppData\Local\Programs\Python\Python38\lib\site-packages\selenium\webdriver\remote\webelement.py", line 142, in get_dom_attribute
    return self._execute(Command.GET_ELEMENT_ATTRIBUTE, {"name": name})["value"]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[0x007CACD3+2075859]
	Ordinal0 [0x0075EE61+1633889]
	Ordinal0 [0x0065B7BD+571325]
	Ordinal0 [0x0065E374+582516]
	Ordinal0 [0x0065E225+582181]
	Ordinal0 [0x0065E4C0+582848]
	Ordinal0 [0x0068852B+754987]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77" s="60" t="n"/>
      <c r="BX177" s="60" t="n"/>
      <c r="BY177" s="60" t="n"/>
      <c r="BZ177" s="60" t="n"/>
      <c r="CA177" s="60" t="n"/>
    </row>
    <row r="178">
      <c r="A178" s="60" t="n">
        <v>2022</v>
      </c>
      <c r="B178" s="7" t="n">
        <v>12</v>
      </c>
      <c r="C178" s="7" t="n">
        <v>1</v>
      </c>
      <c r="D178" s="7" t="inlineStr">
        <is>
          <t>6S</t>
        </is>
      </c>
      <c r="E178" s="7" t="inlineStr">
        <is>
          <t>なし</t>
        </is>
      </c>
      <c r="F178" s="7" t="inlineStr">
        <is>
          <t>30歳以上</t>
        </is>
      </c>
      <c r="G178" s="7" t="n">
        <v>2018</v>
      </c>
      <c r="H178" s="7" t="n">
        <v>11</v>
      </c>
      <c r="I178" s="7" t="inlineStr">
        <is>
          <t>HE33S</t>
        </is>
      </c>
      <c r="J178" s="7" t="inlineStr">
        <is>
          <t>なし</t>
        </is>
      </c>
      <c r="K178" s="7" t="n">
        <v>1987</v>
      </c>
      <c r="L178" s="15" t="n">
        <v>12</v>
      </c>
      <c r="M178" s="7" t="n">
        <v>1</v>
      </c>
      <c r="N178" s="7" t="inlineStr">
        <is>
          <t>関東</t>
        </is>
      </c>
      <c r="O178" s="7" t="inlineStr">
        <is>
          <t>ブルー</t>
        </is>
      </c>
      <c r="P178" s="7" t="inlineStr">
        <is>
          <t>日常</t>
        </is>
      </c>
      <c r="Q178" s="7" t="n">
        <v>7000</v>
      </c>
      <c r="R178" s="7" t="inlineStr">
        <is>
          <t>30歳以上</t>
        </is>
      </c>
      <c r="S178" s="7" t="inlineStr">
        <is>
          <t>本配</t>
        </is>
      </c>
      <c r="T178" s="7" t="inlineStr">
        <is>
          <t>無制限</t>
        </is>
      </c>
      <c r="U178" s="7" t="inlineStr">
        <is>
          <t>あり</t>
        </is>
      </c>
      <c r="V178" s="7" t="n">
        <v>1000</v>
      </c>
      <c r="W178" s="7" t="inlineStr">
        <is>
          <t>車内外</t>
        </is>
      </c>
      <c r="X178" s="7" t="n">
        <v>5000</v>
      </c>
      <c r="Y178" s="7" t="inlineStr">
        <is>
          <t>一般</t>
        </is>
      </c>
      <c r="Z178" s="7" t="n">
        <v>110</v>
      </c>
      <c r="AA178" s="7" t="inlineStr">
        <is>
          <t>免責金額なし</t>
        </is>
      </c>
      <c r="AB178" s="7" t="inlineStr">
        <is>
          <t>なし</t>
        </is>
      </c>
      <c r="AC178" s="7" t="inlineStr">
        <is>
          <t>なし</t>
        </is>
      </c>
      <c r="AD178" s="7" t="inlineStr">
        <is>
          <t>なし</t>
        </is>
      </c>
      <c r="AE178" s="7" t="inlineStr">
        <is>
          <t>あり</t>
        </is>
      </c>
      <c r="AF178" s="7" t="inlineStr">
        <is>
          <t>なし</t>
        </is>
      </c>
      <c r="AG178" s="7" t="inlineStr">
        <is>
          <t>なし</t>
        </is>
      </c>
      <c r="AH178" s="7" t="inlineStr">
        <is>
          <t>なし</t>
        </is>
      </c>
      <c r="AI178" s="7"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2018(平成30)</t>
        </is>
      </c>
      <c r="AQ178" s="60" t="n">
        <v>11</v>
      </c>
      <c r="AR178" s="60" t="inlineStr">
        <is>
          <t>HE33S</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110万円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c r="BU178" s="60" t="n">
        <v>47390</v>
      </c>
      <c r="BV178" s="60" t="n">
        <v>33280</v>
      </c>
      <c r="BW178" s="60" t="n">
        <v>16000</v>
      </c>
      <c r="BX178" s="60" t="n">
        <v>10000</v>
      </c>
      <c r="BY178" s="60" t="n">
        <v>0</v>
      </c>
      <c r="BZ178" s="60" t="inlineStr">
        <is>
          <t>車両免責エラー</t>
        </is>
      </c>
      <c r="CA178" s="60" t="n"/>
    </row>
    <row r="179">
      <c r="A179" s="60" t="n">
        <v>2022</v>
      </c>
      <c r="B179" s="7" t="n">
        <v>12</v>
      </c>
      <c r="C179" s="7" t="n">
        <v>1</v>
      </c>
      <c r="D179" s="7" t="inlineStr">
        <is>
          <t>6S</t>
        </is>
      </c>
      <c r="E179" s="7" t="inlineStr">
        <is>
          <t>なし</t>
        </is>
      </c>
      <c r="F179" s="7" t="inlineStr">
        <is>
          <t>30歳以上</t>
        </is>
      </c>
      <c r="G179" s="7" t="n">
        <v>2018</v>
      </c>
      <c r="H179" s="7" t="n">
        <v>11</v>
      </c>
      <c r="I179" s="7" t="inlineStr">
        <is>
          <t>HE33S</t>
        </is>
      </c>
      <c r="J179" s="7" t="inlineStr">
        <is>
          <t>なし</t>
        </is>
      </c>
      <c r="K179" s="7" t="n">
        <v>1982</v>
      </c>
      <c r="L179" s="15" t="n">
        <v>12</v>
      </c>
      <c r="M179" s="7" t="n">
        <v>1</v>
      </c>
      <c r="N179" s="7" t="inlineStr">
        <is>
          <t>関東</t>
        </is>
      </c>
      <c r="O179" s="7" t="inlineStr">
        <is>
          <t>ブルー</t>
        </is>
      </c>
      <c r="P179" s="7" t="inlineStr">
        <is>
          <t>日常</t>
        </is>
      </c>
      <c r="Q179" s="7" t="n">
        <v>7000</v>
      </c>
      <c r="R179" s="7" t="inlineStr">
        <is>
          <t>30歳以上</t>
        </is>
      </c>
      <c r="S179" s="7" t="inlineStr">
        <is>
          <t>本配</t>
        </is>
      </c>
      <c r="T179" s="7" t="inlineStr">
        <is>
          <t>無制限</t>
        </is>
      </c>
      <c r="U179" s="7" t="inlineStr">
        <is>
          <t>あり</t>
        </is>
      </c>
      <c r="V179" s="7" t="n">
        <v>1000</v>
      </c>
      <c r="W179" s="7" t="inlineStr">
        <is>
          <t>車内外</t>
        </is>
      </c>
      <c r="X179" s="7" t="n">
        <v>5000</v>
      </c>
      <c r="Y179" s="7" t="inlineStr">
        <is>
          <t>一般</t>
        </is>
      </c>
      <c r="Z179" s="7" t="n">
        <v>110</v>
      </c>
      <c r="AA179" s="7" t="inlineStr">
        <is>
          <t>免責金額なし</t>
        </is>
      </c>
      <c r="AB179" s="7" t="inlineStr">
        <is>
          <t>なし</t>
        </is>
      </c>
      <c r="AC179" s="7" t="inlineStr">
        <is>
          <t>なし</t>
        </is>
      </c>
      <c r="AD179" s="7" t="inlineStr">
        <is>
          <t>なし</t>
        </is>
      </c>
      <c r="AE179" s="7" t="inlineStr">
        <is>
          <t>あり</t>
        </is>
      </c>
      <c r="AF179" s="7" t="inlineStr">
        <is>
          <t>なし</t>
        </is>
      </c>
      <c r="AG179" s="7" t="inlineStr">
        <is>
          <t>なし</t>
        </is>
      </c>
      <c r="AH179" s="7" t="inlineStr">
        <is>
          <t>なし</t>
        </is>
      </c>
      <c r="AI179" s="7"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2018(平成30)</t>
        </is>
      </c>
      <c r="AQ179" s="60" t="n">
        <v>11</v>
      </c>
      <c r="AR179" s="60" t="inlineStr">
        <is>
          <t>HE33S</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110万円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c r="BU179" s="60" t="n">
        <v>48040</v>
      </c>
      <c r="BV179" s="60" t="n">
        <v>33810</v>
      </c>
      <c r="BW179" s="60" t="n">
        <v>16000</v>
      </c>
      <c r="BX179" s="60" t="n">
        <v>10000</v>
      </c>
      <c r="BY179" s="60" t="n">
        <v>0</v>
      </c>
      <c r="BZ179" s="60" t="inlineStr">
        <is>
          <t>車両免責エラー</t>
        </is>
      </c>
      <c r="CA179" s="60" t="n"/>
    </row>
    <row r="180">
      <c r="A180" s="60" t="n">
        <v>2022</v>
      </c>
      <c r="B180" s="7" t="n">
        <v>12</v>
      </c>
      <c r="C180" s="7" t="n">
        <v>1</v>
      </c>
      <c r="D180" s="7" t="inlineStr">
        <is>
          <t>6S</t>
        </is>
      </c>
      <c r="E180" s="7" t="inlineStr">
        <is>
          <t>なし</t>
        </is>
      </c>
      <c r="F180" s="7" t="inlineStr">
        <is>
          <t>30歳以上</t>
        </is>
      </c>
      <c r="G180" s="7" t="n">
        <v>2018</v>
      </c>
      <c r="H180" s="7" t="n">
        <v>11</v>
      </c>
      <c r="I180" s="7" t="inlineStr">
        <is>
          <t>HE33S</t>
        </is>
      </c>
      <c r="J180" s="7" t="inlineStr">
        <is>
          <t>なし</t>
        </is>
      </c>
      <c r="K180" s="7" t="n">
        <v>1977</v>
      </c>
      <c r="L180" s="15" t="n">
        <v>12</v>
      </c>
      <c r="M180" s="7" t="n">
        <v>1</v>
      </c>
      <c r="N180" s="7" t="inlineStr">
        <is>
          <t>関東</t>
        </is>
      </c>
      <c r="O180" s="7" t="inlineStr">
        <is>
          <t>ブルー</t>
        </is>
      </c>
      <c r="P180" s="7" t="inlineStr">
        <is>
          <t>日常</t>
        </is>
      </c>
      <c r="Q180" s="7" t="n">
        <v>7000</v>
      </c>
      <c r="R180" s="7" t="inlineStr">
        <is>
          <t>30歳以上</t>
        </is>
      </c>
      <c r="S180" s="7" t="inlineStr">
        <is>
          <t>本配</t>
        </is>
      </c>
      <c r="T180" s="7" t="inlineStr">
        <is>
          <t>無制限</t>
        </is>
      </c>
      <c r="U180" s="7" t="inlineStr">
        <is>
          <t>あり</t>
        </is>
      </c>
      <c r="V180" s="7" t="n">
        <v>1000</v>
      </c>
      <c r="W180" s="7" t="inlineStr">
        <is>
          <t>車内外</t>
        </is>
      </c>
      <c r="X180" s="7" t="n">
        <v>5000</v>
      </c>
      <c r="Y180" s="7" t="inlineStr">
        <is>
          <t>一般</t>
        </is>
      </c>
      <c r="Z180" s="7" t="n">
        <v>110</v>
      </c>
      <c r="AA180" s="7" t="inlineStr">
        <is>
          <t>免責金額なし</t>
        </is>
      </c>
      <c r="AB180" s="7" t="inlineStr">
        <is>
          <t>なし</t>
        </is>
      </c>
      <c r="AC180" s="7" t="inlineStr">
        <is>
          <t>なし</t>
        </is>
      </c>
      <c r="AD180" s="7" t="inlineStr">
        <is>
          <t>なし</t>
        </is>
      </c>
      <c r="AE180" s="7" t="inlineStr">
        <is>
          <t>あり</t>
        </is>
      </c>
      <c r="AF180" s="7" t="inlineStr">
        <is>
          <t>なし</t>
        </is>
      </c>
      <c r="AG180" s="7" t="inlineStr">
        <is>
          <t>なし</t>
        </is>
      </c>
      <c r="AH180" s="7" t="inlineStr">
        <is>
          <t>なし</t>
        </is>
      </c>
      <c r="AI180" s="7"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2018(平成30)</t>
        </is>
      </c>
      <c r="AQ180" s="60" t="n">
        <v>11</v>
      </c>
      <c r="AR180" s="60" t="inlineStr">
        <is>
          <t>HE33S</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110万円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c r="BU180" s="60" t="inlineStr">
        <is>
          <t>E</t>
        </is>
      </c>
      <c r="BV180" s="60" t="inlineStr">
        <is>
          <t xml:space="preserve">Traceback (most recent call last):
  File "C:\Users\safic\Documents\Z\Z_func.py", line 253, in Z_func
    Select(browser.find_element(By.CSS_SELECTOR, '#calculatePremiumForm\:ownDamageSumInsured_plan1')).select_by_visible_text(data['車両AMT2'])
  File "C:\Users\safic\AppData\Local\Programs\Python\Python38\lib\site-packages\selenium\webdriver\support\select.py", line 40, in __init__
    if not webelement.is_enabled():
  File "C:\Users\safic\AppData\Local\Programs\Python\Python38\lib\site-packages\selenium\webdriver\remote\webelement.py", line 186, in is_enabled
    return self._execute(Command.IS_ELEMENT_ENABLED)['value']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[0x007CACD3+2075859]
	Ordinal0 [0x0075EE61+1633889]
	Ordinal0 [0x0065B7BD+571325]
	Ordinal0 [0x0065E374+582516]
	Ordinal0 [0x0065E225+582181]
	Ordinal0 [0x0065E4C0+582848]
	Ordinal0 [0x00686F99+749465]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80" s="60" t="n"/>
      <c r="BX180" s="60" t="n"/>
      <c r="BY180" s="60" t="n"/>
      <c r="BZ180" s="60" t="n"/>
      <c r="CA180" s="60" t="n"/>
    </row>
    <row r="181">
      <c r="A181" s="60" t="n">
        <v>2022</v>
      </c>
      <c r="B181" s="7" t="n">
        <v>12</v>
      </c>
      <c r="C181" s="7" t="n">
        <v>1</v>
      </c>
      <c r="D181" s="7" t="inlineStr">
        <is>
          <t>6S</t>
        </is>
      </c>
      <c r="E181" s="7" t="inlineStr">
        <is>
          <t>なし</t>
        </is>
      </c>
      <c r="F181" s="7" t="inlineStr">
        <is>
          <t>30歳以上</t>
        </is>
      </c>
      <c r="G181" s="7" t="n">
        <v>2018</v>
      </c>
      <c r="H181" s="7" t="n">
        <v>11</v>
      </c>
      <c r="I181" s="7" t="inlineStr">
        <is>
          <t>HE33S</t>
        </is>
      </c>
      <c r="J181" s="7" t="inlineStr">
        <is>
          <t>なし</t>
        </is>
      </c>
      <c r="K181" s="7" t="n">
        <v>1972</v>
      </c>
      <c r="L181" s="15" t="n">
        <v>12</v>
      </c>
      <c r="M181" s="7" t="n">
        <v>1</v>
      </c>
      <c r="N181" s="7" t="inlineStr">
        <is>
          <t>関東</t>
        </is>
      </c>
      <c r="O181" s="7" t="inlineStr">
        <is>
          <t>ブルー</t>
        </is>
      </c>
      <c r="P181" s="7" t="inlineStr">
        <is>
          <t>日常</t>
        </is>
      </c>
      <c r="Q181" s="7" t="n">
        <v>7000</v>
      </c>
      <c r="R181" s="7" t="inlineStr">
        <is>
          <t>30歳以上</t>
        </is>
      </c>
      <c r="S181" s="7" t="inlineStr">
        <is>
          <t>本配</t>
        </is>
      </c>
      <c r="T181" s="7" t="inlineStr">
        <is>
          <t>無制限</t>
        </is>
      </c>
      <c r="U181" s="7" t="inlineStr">
        <is>
          <t>あり</t>
        </is>
      </c>
      <c r="V181" s="7" t="n">
        <v>1000</v>
      </c>
      <c r="W181" s="7" t="inlineStr">
        <is>
          <t>車内外</t>
        </is>
      </c>
      <c r="X181" s="7" t="n">
        <v>5000</v>
      </c>
      <c r="Y181" s="7" t="inlineStr">
        <is>
          <t>一般</t>
        </is>
      </c>
      <c r="Z181" s="7" t="n">
        <v>110</v>
      </c>
      <c r="AA181" s="7" t="inlineStr">
        <is>
          <t>免責金額なし</t>
        </is>
      </c>
      <c r="AB181" s="7" t="inlineStr">
        <is>
          <t>なし</t>
        </is>
      </c>
      <c r="AC181" s="7" t="inlineStr">
        <is>
          <t>なし</t>
        </is>
      </c>
      <c r="AD181" s="7" t="inlineStr">
        <is>
          <t>なし</t>
        </is>
      </c>
      <c r="AE181" s="7" t="inlineStr">
        <is>
          <t>あり</t>
        </is>
      </c>
      <c r="AF181" s="7" t="inlineStr">
        <is>
          <t>なし</t>
        </is>
      </c>
      <c r="AG181" s="7" t="inlineStr">
        <is>
          <t>なし</t>
        </is>
      </c>
      <c r="AH181" s="7" t="inlineStr">
        <is>
          <t>なし</t>
        </is>
      </c>
      <c r="AI181" s="7"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2018(平成30)</t>
        </is>
      </c>
      <c r="AQ181" s="60" t="n">
        <v>11</v>
      </c>
      <c r="AR181" s="60" t="inlineStr">
        <is>
          <t>HE33S</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110万円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c r="BU181" s="60" t="inlineStr">
        <is>
          <t>E</t>
        </is>
      </c>
      <c r="BV181" s="60" t="inlineStr">
        <is>
          <t xml:space="preserve">Traceback (most recent call last):
  File "C:\Users\safic\Documents\Z\Z_func.py", line 253, in Z_func
    Select(browser.find_element(By.CSS_SELECTOR, '#calculatePremiumForm\:ownDamageSumInsured_plan1')).select_by_visible_text(data['車両AMT2'])
  File "C:\Users\safic\AppData\Local\Programs\Python\Python38\lib\site-packages\selenium\webdriver\support\select.py", line 118, in select_by_visible_text
    self._set_selected(opt)
  File "C:\Users\safic\AppData\Local\Programs\Python\Python38\lib\site-packages\selenium\webdriver\support\select.py", line 212, in _set_selected
    option.click()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[0x0104ACD3+2075859]
	Ordinal0 [0x00FDEE61+1633889]
	Ordinal0 [0x00EDB7BD+571325]
	Ordinal0 [0x00EDE374+582516]
	Ordinal0 [0x00EDE225+582181]
	Ordinal0 [0x00EDE4C0+582848]
	Ordinal0 [0x00F0C654+771668]
	Ordinal0 [0x00F01AED+727789]
	Ordinal0 [0x00F2731C+881436]
	Ordinal0 [0x00F015BF+726463]
	Ordinal0 [0x00F27534+881972]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181" s="60" t="n"/>
      <c r="BX181" s="60" t="n"/>
      <c r="BY181" s="60" t="n"/>
      <c r="BZ181" s="60" t="n"/>
      <c r="CA181" s="60" t="n"/>
    </row>
    <row r="182">
      <c r="A182" s="60" t="n">
        <v>2022</v>
      </c>
      <c r="B182" s="7" t="n">
        <v>12</v>
      </c>
      <c r="C182" s="7" t="n">
        <v>1</v>
      </c>
      <c r="D182" s="7" t="inlineStr">
        <is>
          <t>6S</t>
        </is>
      </c>
      <c r="E182" s="7" t="inlineStr">
        <is>
          <t>なし</t>
        </is>
      </c>
      <c r="F182" s="7" t="inlineStr">
        <is>
          <t>30歳以上</t>
        </is>
      </c>
      <c r="G182" s="7" t="n">
        <v>2018</v>
      </c>
      <c r="H182" s="7" t="n">
        <v>11</v>
      </c>
      <c r="I182" s="7" t="inlineStr">
        <is>
          <t>HE33S</t>
        </is>
      </c>
      <c r="J182" s="7" t="inlineStr">
        <is>
          <t>なし</t>
        </is>
      </c>
      <c r="K182" s="7" t="n">
        <v>1962</v>
      </c>
      <c r="L182" s="15" t="n">
        <v>12</v>
      </c>
      <c r="M182" s="7" t="n">
        <v>1</v>
      </c>
      <c r="N182" s="7" t="inlineStr">
        <is>
          <t>関東</t>
        </is>
      </c>
      <c r="O182" s="7" t="inlineStr">
        <is>
          <t>ブルー</t>
        </is>
      </c>
      <c r="P182" s="7" t="inlineStr">
        <is>
          <t>日常</t>
        </is>
      </c>
      <c r="Q182" s="7" t="n">
        <v>7000</v>
      </c>
      <c r="R182" s="7" t="inlineStr">
        <is>
          <t>30歳以上</t>
        </is>
      </c>
      <c r="S182" s="7" t="inlineStr">
        <is>
          <t>本配</t>
        </is>
      </c>
      <c r="T182" s="7" t="inlineStr">
        <is>
          <t>無制限</t>
        </is>
      </c>
      <c r="U182" s="7" t="inlineStr">
        <is>
          <t>あり</t>
        </is>
      </c>
      <c r="V182" s="7" t="n">
        <v>1000</v>
      </c>
      <c r="W182" s="7" t="inlineStr">
        <is>
          <t>車内外</t>
        </is>
      </c>
      <c r="X182" s="7" t="n">
        <v>5000</v>
      </c>
      <c r="Y182" s="7" t="inlineStr">
        <is>
          <t>一般</t>
        </is>
      </c>
      <c r="Z182" s="7" t="n">
        <v>110</v>
      </c>
      <c r="AA182" s="7" t="inlineStr">
        <is>
          <t>免責金額なし</t>
        </is>
      </c>
      <c r="AB182" s="7" t="inlineStr">
        <is>
          <t>なし</t>
        </is>
      </c>
      <c r="AC182" s="7" t="inlineStr">
        <is>
          <t>なし</t>
        </is>
      </c>
      <c r="AD182" s="7" t="inlineStr">
        <is>
          <t>なし</t>
        </is>
      </c>
      <c r="AE182" s="7" t="inlineStr">
        <is>
          <t>あり</t>
        </is>
      </c>
      <c r="AF182" s="7" t="inlineStr">
        <is>
          <t>なし</t>
        </is>
      </c>
      <c r="AG182" s="7" t="inlineStr">
        <is>
          <t>なし</t>
        </is>
      </c>
      <c r="AH182" s="7" t="inlineStr">
        <is>
          <t>なし</t>
        </is>
      </c>
      <c r="AI182" s="7"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2018(平成30)</t>
        </is>
      </c>
      <c r="AQ182" s="60" t="n">
        <v>11</v>
      </c>
      <c r="AR182" s="60" t="inlineStr">
        <is>
          <t>HE33S</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110万円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c r="BU182" s="60" t="n">
        <v>52560</v>
      </c>
      <c r="BV182" s="60" t="n">
        <v>32080</v>
      </c>
      <c r="BW182" s="60" t="n">
        <v>16000</v>
      </c>
      <c r="BX182" s="60" t="n">
        <v>13000</v>
      </c>
      <c r="BY182" s="60" t="n">
        <v>0</v>
      </c>
      <c r="BZ182" s="60" t="inlineStr">
        <is>
          <t>車両免責エラー</t>
        </is>
      </c>
      <c r="CA182" s="60" t="n"/>
    </row>
    <row r="183">
      <c r="A183" s="60" t="n">
        <v>2022</v>
      </c>
      <c r="B183" s="7" t="n">
        <v>12</v>
      </c>
      <c r="C183" s="7" t="n">
        <v>1</v>
      </c>
      <c r="D183" s="7" t="inlineStr">
        <is>
          <t>6S</t>
        </is>
      </c>
      <c r="E183" s="7" t="inlineStr">
        <is>
          <t>なし</t>
        </is>
      </c>
      <c r="F183" s="7" t="inlineStr">
        <is>
          <t>30歳以上</t>
        </is>
      </c>
      <c r="G183" s="7" t="n">
        <v>2018</v>
      </c>
      <c r="H183" s="7" t="n">
        <v>11</v>
      </c>
      <c r="I183" s="7" t="inlineStr">
        <is>
          <t>HE33S</t>
        </is>
      </c>
      <c r="J183" s="7" t="inlineStr">
        <is>
          <t>なし</t>
        </is>
      </c>
      <c r="K183" s="7" t="n">
        <v>1952</v>
      </c>
      <c r="L183" s="15" t="n">
        <v>12</v>
      </c>
      <c r="M183" s="7" t="n">
        <v>1</v>
      </c>
      <c r="N183" s="7" t="inlineStr">
        <is>
          <t>関東</t>
        </is>
      </c>
      <c r="O183" s="7" t="inlineStr">
        <is>
          <t>ブルー</t>
        </is>
      </c>
      <c r="P183" s="7" t="inlineStr">
        <is>
          <t>日常</t>
        </is>
      </c>
      <c r="Q183" s="7" t="n">
        <v>7000</v>
      </c>
      <c r="R183" s="7" t="inlineStr">
        <is>
          <t>30歳以上</t>
        </is>
      </c>
      <c r="S183" s="7" t="inlineStr">
        <is>
          <t>本配</t>
        </is>
      </c>
      <c r="T183" s="7" t="inlineStr">
        <is>
          <t>無制限</t>
        </is>
      </c>
      <c r="U183" s="7" t="inlineStr">
        <is>
          <t>あり</t>
        </is>
      </c>
      <c r="V183" s="7" t="n">
        <v>1000</v>
      </c>
      <c r="W183" s="7" t="inlineStr">
        <is>
          <t>車内外</t>
        </is>
      </c>
      <c r="X183" s="7" t="n">
        <v>5000</v>
      </c>
      <c r="Y183" s="7" t="inlineStr">
        <is>
          <t>一般</t>
        </is>
      </c>
      <c r="Z183" s="7" t="n">
        <v>110</v>
      </c>
      <c r="AA183" s="7" t="inlineStr">
        <is>
          <t>免責金額なし</t>
        </is>
      </c>
      <c r="AB183" s="7" t="inlineStr">
        <is>
          <t>なし</t>
        </is>
      </c>
      <c r="AC183" s="7" t="inlineStr">
        <is>
          <t>なし</t>
        </is>
      </c>
      <c r="AD183" s="7" t="inlineStr">
        <is>
          <t>なし</t>
        </is>
      </c>
      <c r="AE183" s="7" t="inlineStr">
        <is>
          <t>あり</t>
        </is>
      </c>
      <c r="AF183" s="7" t="inlineStr">
        <is>
          <t>なし</t>
        </is>
      </c>
      <c r="AG183" s="7" t="inlineStr">
        <is>
          <t>なし</t>
        </is>
      </c>
      <c r="AH183" s="7" t="inlineStr">
        <is>
          <t>なし</t>
        </is>
      </c>
      <c r="AI183" s="7"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2018(平成30)</t>
        </is>
      </c>
      <c r="AQ183" s="60" t="n">
        <v>11</v>
      </c>
      <c r="AR183" s="60" t="inlineStr">
        <is>
          <t>HE33S</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110万円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c r="BU183" s="60" t="n">
        <v>66260</v>
      </c>
      <c r="BV183" s="60" t="n">
        <v>40500</v>
      </c>
      <c r="BW183" s="60" t="n">
        <v>16000</v>
      </c>
      <c r="BX183" s="60" t="n">
        <v>13000</v>
      </c>
      <c r="BY183" s="60" t="n">
        <v>0</v>
      </c>
      <c r="BZ183" s="60" t="inlineStr">
        <is>
          <t>車両免責エラー</t>
        </is>
      </c>
      <c r="CA183" s="60" t="n"/>
    </row>
    <row r="184">
      <c r="A184" s="60" t="n">
        <v>2022</v>
      </c>
      <c r="B184" s="7" t="n">
        <v>12</v>
      </c>
      <c r="C184" s="7" t="n">
        <v>1</v>
      </c>
      <c r="D184" s="7" t="inlineStr">
        <is>
          <t>6S</t>
        </is>
      </c>
      <c r="E184" s="7" t="inlineStr">
        <is>
          <t>なし</t>
        </is>
      </c>
      <c r="F184" s="7" t="inlineStr">
        <is>
          <t>30歳以上</t>
        </is>
      </c>
      <c r="G184" s="7" t="n">
        <v>2018</v>
      </c>
      <c r="H184" s="7" t="n">
        <v>11</v>
      </c>
      <c r="I184" s="7" t="inlineStr">
        <is>
          <t>HE33S</t>
        </is>
      </c>
      <c r="J184" s="7" t="inlineStr">
        <is>
          <t>なし</t>
        </is>
      </c>
      <c r="K184" s="7" t="n">
        <v>1992</v>
      </c>
      <c r="L184" s="15" t="n">
        <v>12</v>
      </c>
      <c r="M184" s="7" t="n">
        <v>1</v>
      </c>
      <c r="N184" s="7" t="inlineStr">
        <is>
          <t>関東</t>
        </is>
      </c>
      <c r="O184" s="7" t="inlineStr">
        <is>
          <t>ブルー</t>
        </is>
      </c>
      <c r="P184" s="7" t="inlineStr">
        <is>
          <t>通勤</t>
        </is>
      </c>
      <c r="Q184" s="7" t="n">
        <v>3000</v>
      </c>
      <c r="R184" s="7" t="inlineStr">
        <is>
          <t>30歳以上</t>
        </is>
      </c>
      <c r="S184" s="7" t="inlineStr">
        <is>
          <t>本配</t>
        </is>
      </c>
      <c r="T184" s="7" t="inlineStr">
        <is>
          <t>無制限</t>
        </is>
      </c>
      <c r="U184" s="7" t="inlineStr">
        <is>
          <t>あり</t>
        </is>
      </c>
      <c r="V184" s="7" t="n">
        <v>1000</v>
      </c>
      <c r="W184" s="7" t="inlineStr">
        <is>
          <t>車内外</t>
        </is>
      </c>
      <c r="X184" s="7" t="n">
        <v>5000</v>
      </c>
      <c r="Y184" s="7" t="inlineStr">
        <is>
          <t>一般</t>
        </is>
      </c>
      <c r="Z184" s="7" t="n">
        <v>110</v>
      </c>
      <c r="AA184" s="7" t="inlineStr">
        <is>
          <t>免責金額なし</t>
        </is>
      </c>
      <c r="AB184" s="7" t="inlineStr">
        <is>
          <t>なし</t>
        </is>
      </c>
      <c r="AC184" s="7" t="inlineStr">
        <is>
          <t>なし</t>
        </is>
      </c>
      <c r="AD184" s="7" t="inlineStr">
        <is>
          <t>なし</t>
        </is>
      </c>
      <c r="AE184" s="7" t="inlineStr">
        <is>
          <t>あり</t>
        </is>
      </c>
      <c r="AF184" s="7" t="inlineStr">
        <is>
          <t>なし</t>
        </is>
      </c>
      <c r="AG184" s="7" t="inlineStr">
        <is>
          <t>なし</t>
        </is>
      </c>
      <c r="AH184" s="7" t="inlineStr">
        <is>
          <t>なし</t>
        </is>
      </c>
      <c r="AI184" s="7"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2018(平成30)</t>
        </is>
      </c>
      <c r="AQ184" s="60" t="n">
        <v>11</v>
      </c>
      <c r="AR184" s="60" t="inlineStr">
        <is>
          <t>HE33S</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110万円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c r="BU184" s="60" t="n">
        <v>52850</v>
      </c>
      <c r="BV184" s="60" t="n">
        <v>32370</v>
      </c>
      <c r="BW184" s="60" t="n">
        <v>16000</v>
      </c>
      <c r="BX184" s="60" t="n">
        <v>13000</v>
      </c>
      <c r="BY184" s="60" t="n">
        <v>0</v>
      </c>
      <c r="BZ184" s="60" t="inlineStr">
        <is>
          <t>車両免責エラー</t>
        </is>
      </c>
      <c r="CA184" s="60" t="n"/>
    </row>
    <row r="185">
      <c r="A185" s="60" t="n">
        <v>2022</v>
      </c>
      <c r="B185" s="7" t="n">
        <v>12</v>
      </c>
      <c r="C185" s="7" t="n">
        <v>1</v>
      </c>
      <c r="D185" s="7" t="inlineStr">
        <is>
          <t>6S</t>
        </is>
      </c>
      <c r="E185" s="7" t="inlineStr">
        <is>
          <t>なし</t>
        </is>
      </c>
      <c r="F185" s="7" t="inlineStr">
        <is>
          <t>30歳以上</t>
        </is>
      </c>
      <c r="G185" s="7" t="n">
        <v>2018</v>
      </c>
      <c r="H185" s="7" t="n">
        <v>11</v>
      </c>
      <c r="I185" s="7" t="inlineStr">
        <is>
          <t>HE33S</t>
        </is>
      </c>
      <c r="J185" s="7" t="inlineStr">
        <is>
          <t>なし</t>
        </is>
      </c>
      <c r="K185" s="7" t="n">
        <v>1987</v>
      </c>
      <c r="L185" s="15" t="n">
        <v>12</v>
      </c>
      <c r="M185" s="7" t="n">
        <v>1</v>
      </c>
      <c r="N185" s="7" t="inlineStr">
        <is>
          <t>関東</t>
        </is>
      </c>
      <c r="O185" s="7" t="inlineStr">
        <is>
          <t>ブルー</t>
        </is>
      </c>
      <c r="P185" s="7" t="inlineStr">
        <is>
          <t>通勤</t>
        </is>
      </c>
      <c r="Q185" s="7" t="n">
        <v>3000</v>
      </c>
      <c r="R185" s="7" t="inlineStr">
        <is>
          <t>30歳以上</t>
        </is>
      </c>
      <c r="S185" s="7" t="inlineStr">
        <is>
          <t>本配</t>
        </is>
      </c>
      <c r="T185" s="7" t="inlineStr">
        <is>
          <t>無制限</t>
        </is>
      </c>
      <c r="U185" s="7" t="inlineStr">
        <is>
          <t>あり</t>
        </is>
      </c>
      <c r="V185" s="7" t="n">
        <v>1000</v>
      </c>
      <c r="W185" s="7" t="inlineStr">
        <is>
          <t>車内外</t>
        </is>
      </c>
      <c r="X185" s="7" t="n">
        <v>5000</v>
      </c>
      <c r="Y185" s="7" t="inlineStr">
        <is>
          <t>一般</t>
        </is>
      </c>
      <c r="Z185" s="7" t="n">
        <v>110</v>
      </c>
      <c r="AA185" s="7" t="inlineStr">
        <is>
          <t>免責金額なし</t>
        </is>
      </c>
      <c r="AB185" s="7" t="inlineStr">
        <is>
          <t>なし</t>
        </is>
      </c>
      <c r="AC185" s="7" t="inlineStr">
        <is>
          <t>なし</t>
        </is>
      </c>
      <c r="AD185" s="7" t="inlineStr">
        <is>
          <t>なし</t>
        </is>
      </c>
      <c r="AE185" s="7" t="inlineStr">
        <is>
          <t>あり</t>
        </is>
      </c>
      <c r="AF185" s="7" t="inlineStr">
        <is>
          <t>なし</t>
        </is>
      </c>
      <c r="AG185" s="7" t="inlineStr">
        <is>
          <t>なし</t>
        </is>
      </c>
      <c r="AH185" s="7" t="inlineStr">
        <is>
          <t>なし</t>
        </is>
      </c>
      <c r="AI185" s="7"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2018(平成30)</t>
        </is>
      </c>
      <c r="AQ185" s="60" t="n">
        <v>11</v>
      </c>
      <c r="AR185" s="60" t="inlineStr">
        <is>
          <t>HE33S</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110万円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c r="BU185" s="60" t="n">
        <v>52570</v>
      </c>
      <c r="BV185" s="60" t="n">
        <v>32250</v>
      </c>
      <c r="BW185" s="60" t="n">
        <v>16000</v>
      </c>
      <c r="BX185" s="60" t="n">
        <v>13000</v>
      </c>
      <c r="BY185" s="60" t="n">
        <v>0</v>
      </c>
      <c r="BZ185" s="60" t="inlineStr">
        <is>
          <t>車両免責エラー</t>
        </is>
      </c>
      <c r="CA185" s="60" t="n"/>
    </row>
    <row r="186">
      <c r="A186" s="60" t="n">
        <v>2022</v>
      </c>
      <c r="B186" s="7" t="n">
        <v>12</v>
      </c>
      <c r="C186" s="7" t="n">
        <v>1</v>
      </c>
      <c r="D186" s="7" t="inlineStr">
        <is>
          <t>6S</t>
        </is>
      </c>
      <c r="E186" s="7" t="inlineStr">
        <is>
          <t>なし</t>
        </is>
      </c>
      <c r="F186" s="7" t="inlineStr">
        <is>
          <t>30歳以上</t>
        </is>
      </c>
      <c r="G186" s="7" t="n">
        <v>2018</v>
      </c>
      <c r="H186" s="7" t="n">
        <v>11</v>
      </c>
      <c r="I186" s="7" t="inlineStr">
        <is>
          <t>HE33S</t>
        </is>
      </c>
      <c r="J186" s="7" t="inlineStr">
        <is>
          <t>なし</t>
        </is>
      </c>
      <c r="K186" s="7" t="n">
        <v>1982</v>
      </c>
      <c r="L186" s="15" t="n">
        <v>12</v>
      </c>
      <c r="M186" s="7" t="n">
        <v>1</v>
      </c>
      <c r="N186" s="7" t="inlineStr">
        <is>
          <t>関東</t>
        </is>
      </c>
      <c r="O186" s="7" t="inlineStr">
        <is>
          <t>ブルー</t>
        </is>
      </c>
      <c r="P186" s="7" t="inlineStr">
        <is>
          <t>通勤</t>
        </is>
      </c>
      <c r="Q186" s="7" t="n">
        <v>3000</v>
      </c>
      <c r="R186" s="7" t="inlineStr">
        <is>
          <t>30歳以上</t>
        </is>
      </c>
      <c r="S186" s="7" t="inlineStr">
        <is>
          <t>本配</t>
        </is>
      </c>
      <c r="T186" s="7" t="inlineStr">
        <is>
          <t>無制限</t>
        </is>
      </c>
      <c r="U186" s="7" t="inlineStr">
        <is>
          <t>あり</t>
        </is>
      </c>
      <c r="V186" s="7" t="n">
        <v>1000</v>
      </c>
      <c r="W186" s="7" t="inlineStr">
        <is>
          <t>車内外</t>
        </is>
      </c>
      <c r="X186" s="7" t="n">
        <v>5000</v>
      </c>
      <c r="Y186" s="7" t="inlineStr">
        <is>
          <t>一般</t>
        </is>
      </c>
      <c r="Z186" s="7" t="n">
        <v>110</v>
      </c>
      <c r="AA186" s="7" t="inlineStr">
        <is>
          <t>免責金額なし</t>
        </is>
      </c>
      <c r="AB186" s="7" t="inlineStr">
        <is>
          <t>なし</t>
        </is>
      </c>
      <c r="AC186" s="7" t="inlineStr">
        <is>
          <t>なし</t>
        </is>
      </c>
      <c r="AD186" s="7" t="inlineStr">
        <is>
          <t>なし</t>
        </is>
      </c>
      <c r="AE186" s="7" t="inlineStr">
        <is>
          <t>あり</t>
        </is>
      </c>
      <c r="AF186" s="7" t="inlineStr">
        <is>
          <t>なし</t>
        </is>
      </c>
      <c r="AG186" s="7" t="inlineStr">
        <is>
          <t>なし</t>
        </is>
      </c>
      <c r="AH186" s="7" t="inlineStr">
        <is>
          <t>なし</t>
        </is>
      </c>
      <c r="AI186" s="7"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2018(平成30)</t>
        </is>
      </c>
      <c r="AQ186" s="60" t="n">
        <v>11</v>
      </c>
      <c r="AR186" s="60" t="inlineStr">
        <is>
          <t>HE33S</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110万円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c r="BU186" s="60" t="n">
        <v>53250</v>
      </c>
      <c r="BV186" s="60" t="n">
        <v>32790</v>
      </c>
      <c r="BW186" s="60" t="n">
        <v>16000</v>
      </c>
      <c r="BX186" s="60" t="n">
        <v>13000</v>
      </c>
      <c r="BY186" s="60" t="n">
        <v>0</v>
      </c>
      <c r="BZ186" s="60" t="inlineStr">
        <is>
          <t>車両免責エラー</t>
        </is>
      </c>
      <c r="CA186" s="60" t="n"/>
    </row>
    <row r="187">
      <c r="A187" s="60" t="n">
        <v>2022</v>
      </c>
      <c r="B187" s="7" t="n">
        <v>12</v>
      </c>
      <c r="C187" s="7" t="n">
        <v>1</v>
      </c>
      <c r="D187" s="7" t="inlineStr">
        <is>
          <t>6S</t>
        </is>
      </c>
      <c r="E187" s="7" t="inlineStr">
        <is>
          <t>なし</t>
        </is>
      </c>
      <c r="F187" s="7" t="inlineStr">
        <is>
          <t>30歳以上</t>
        </is>
      </c>
      <c r="G187" s="7" t="n">
        <v>2018</v>
      </c>
      <c r="H187" s="7" t="n">
        <v>11</v>
      </c>
      <c r="I187" s="7" t="inlineStr">
        <is>
          <t>HE33S</t>
        </is>
      </c>
      <c r="J187" s="7" t="inlineStr">
        <is>
          <t>なし</t>
        </is>
      </c>
      <c r="K187" s="7" t="n">
        <v>1977</v>
      </c>
      <c r="L187" s="15" t="n">
        <v>12</v>
      </c>
      <c r="M187" s="7" t="n">
        <v>1</v>
      </c>
      <c r="N187" s="7" t="inlineStr">
        <is>
          <t>関東</t>
        </is>
      </c>
      <c r="O187" s="7" t="inlineStr">
        <is>
          <t>ブルー</t>
        </is>
      </c>
      <c r="P187" s="7" t="inlineStr">
        <is>
          <t>通勤</t>
        </is>
      </c>
      <c r="Q187" s="7" t="n">
        <v>3000</v>
      </c>
      <c r="R187" s="7" t="inlineStr">
        <is>
          <t>30歳以上</t>
        </is>
      </c>
      <c r="S187" s="7" t="inlineStr">
        <is>
          <t>本配</t>
        </is>
      </c>
      <c r="T187" s="7" t="inlineStr">
        <is>
          <t>無制限</t>
        </is>
      </c>
      <c r="U187" s="7" t="inlineStr">
        <is>
          <t>あり</t>
        </is>
      </c>
      <c r="V187" s="7" t="n">
        <v>1000</v>
      </c>
      <c r="W187" s="7" t="inlineStr">
        <is>
          <t>車内外</t>
        </is>
      </c>
      <c r="X187" s="7" t="n">
        <v>5000</v>
      </c>
      <c r="Y187" s="7" t="inlineStr">
        <is>
          <t>一般</t>
        </is>
      </c>
      <c r="Z187" s="7" t="n">
        <v>110</v>
      </c>
      <c r="AA187" s="7" t="inlineStr">
        <is>
          <t>免責金額なし</t>
        </is>
      </c>
      <c r="AB187" s="7" t="inlineStr">
        <is>
          <t>なし</t>
        </is>
      </c>
      <c r="AC187" s="7" t="inlineStr">
        <is>
          <t>なし</t>
        </is>
      </c>
      <c r="AD187" s="7" t="inlineStr">
        <is>
          <t>なし</t>
        </is>
      </c>
      <c r="AE187" s="7" t="inlineStr">
        <is>
          <t>あり</t>
        </is>
      </c>
      <c r="AF187" s="7" t="inlineStr">
        <is>
          <t>なし</t>
        </is>
      </c>
      <c r="AG187" s="7" t="inlineStr">
        <is>
          <t>なし</t>
        </is>
      </c>
      <c r="AH187" s="7" t="inlineStr">
        <is>
          <t>なし</t>
        </is>
      </c>
      <c r="AI187" s="7"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2018(平成30)</t>
        </is>
      </c>
      <c r="AQ187" s="60" t="n">
        <v>11</v>
      </c>
      <c r="AR187" s="60" t="inlineStr">
        <is>
          <t>HE33S</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110万円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c r="BU187" s="60" t="n">
        <v>54280</v>
      </c>
      <c r="BV187" s="60" t="n">
        <v>32910</v>
      </c>
      <c r="BW187" s="60" t="n">
        <v>16000</v>
      </c>
      <c r="BX187" s="60" t="n">
        <v>13000</v>
      </c>
      <c r="BY187" s="60" t="n">
        <v>0</v>
      </c>
      <c r="BZ187" s="60" t="inlineStr">
        <is>
          <t>車両免責エラー</t>
        </is>
      </c>
      <c r="CA187" s="60" t="n"/>
    </row>
    <row r="188">
      <c r="A188" s="60" t="n">
        <v>2022</v>
      </c>
      <c r="B188" s="7" t="n">
        <v>12</v>
      </c>
      <c r="C188" s="7" t="n">
        <v>1</v>
      </c>
      <c r="D188" s="7" t="inlineStr">
        <is>
          <t>6S</t>
        </is>
      </c>
      <c r="E188" s="7" t="inlineStr">
        <is>
          <t>なし</t>
        </is>
      </c>
      <c r="F188" s="7" t="inlineStr">
        <is>
          <t>30歳以上</t>
        </is>
      </c>
      <c r="G188" s="7" t="n">
        <v>2018</v>
      </c>
      <c r="H188" s="7" t="n">
        <v>11</v>
      </c>
      <c r="I188" s="7" t="inlineStr">
        <is>
          <t>HE33S</t>
        </is>
      </c>
      <c r="J188" s="7" t="inlineStr">
        <is>
          <t>なし</t>
        </is>
      </c>
      <c r="K188" s="7" t="n">
        <v>1972</v>
      </c>
      <c r="L188" s="15" t="n">
        <v>12</v>
      </c>
      <c r="M188" s="7" t="n">
        <v>1</v>
      </c>
      <c r="N188" s="7" t="inlineStr">
        <is>
          <t>関東</t>
        </is>
      </c>
      <c r="O188" s="7" t="inlineStr">
        <is>
          <t>ブルー</t>
        </is>
      </c>
      <c r="P188" s="7" t="inlineStr">
        <is>
          <t>通勤</t>
        </is>
      </c>
      <c r="Q188" s="7" t="n">
        <v>3000</v>
      </c>
      <c r="R188" s="7" t="inlineStr">
        <is>
          <t>30歳以上</t>
        </is>
      </c>
      <c r="S188" s="7" t="inlineStr">
        <is>
          <t>本配</t>
        </is>
      </c>
      <c r="T188" s="7" t="inlineStr">
        <is>
          <t>無制限</t>
        </is>
      </c>
      <c r="U188" s="7" t="inlineStr">
        <is>
          <t>あり</t>
        </is>
      </c>
      <c r="V188" s="7" t="n">
        <v>1000</v>
      </c>
      <c r="W188" s="7" t="inlineStr">
        <is>
          <t>車内外</t>
        </is>
      </c>
      <c r="X188" s="7" t="n">
        <v>5000</v>
      </c>
      <c r="Y188" s="7" t="inlineStr">
        <is>
          <t>一般</t>
        </is>
      </c>
      <c r="Z188" s="7" t="n">
        <v>110</v>
      </c>
      <c r="AA188" s="7" t="inlineStr">
        <is>
          <t>免責金額なし</t>
        </is>
      </c>
      <c r="AB188" s="7" t="inlineStr">
        <is>
          <t>なし</t>
        </is>
      </c>
      <c r="AC188" s="7" t="inlineStr">
        <is>
          <t>なし</t>
        </is>
      </c>
      <c r="AD188" s="7" t="inlineStr">
        <is>
          <t>なし</t>
        </is>
      </c>
      <c r="AE188" s="7" t="inlineStr">
        <is>
          <t>あり</t>
        </is>
      </c>
      <c r="AF188" s="7" t="inlineStr">
        <is>
          <t>なし</t>
        </is>
      </c>
      <c r="AG188" s="7" t="inlineStr">
        <is>
          <t>なし</t>
        </is>
      </c>
      <c r="AH188" s="7" t="inlineStr">
        <is>
          <t>なし</t>
        </is>
      </c>
      <c r="AI188" s="7"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2018(平成30)</t>
        </is>
      </c>
      <c r="AQ188" s="60" t="n">
        <v>11</v>
      </c>
      <c r="AR188" s="60" t="inlineStr">
        <is>
          <t>HE33S</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110万円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c r="BU188" s="60" t="n">
        <v>54540</v>
      </c>
      <c r="BV188" s="60" t="n">
        <v>32680</v>
      </c>
      <c r="BW188" s="60" t="n">
        <v>16000</v>
      </c>
      <c r="BX188" s="60" t="n">
        <v>13000</v>
      </c>
      <c r="BY188" s="60" t="n">
        <v>0</v>
      </c>
      <c r="BZ188" s="60" t="inlineStr">
        <is>
          <t>車両免責エラー</t>
        </is>
      </c>
      <c r="CA188" s="60" t="n"/>
    </row>
    <row r="189">
      <c r="A189" s="60" t="n">
        <v>2022</v>
      </c>
      <c r="B189" s="7" t="n">
        <v>12</v>
      </c>
      <c r="C189" s="7" t="n">
        <v>1</v>
      </c>
      <c r="D189" s="7" t="inlineStr">
        <is>
          <t>6S</t>
        </is>
      </c>
      <c r="E189" s="7" t="inlineStr">
        <is>
          <t>なし</t>
        </is>
      </c>
      <c r="F189" s="7" t="inlineStr">
        <is>
          <t>30歳以上</t>
        </is>
      </c>
      <c r="G189" s="7" t="n">
        <v>2018</v>
      </c>
      <c r="H189" s="7" t="n">
        <v>11</v>
      </c>
      <c r="I189" s="7" t="inlineStr">
        <is>
          <t>HE33S</t>
        </is>
      </c>
      <c r="J189" s="7" t="inlineStr">
        <is>
          <t>なし</t>
        </is>
      </c>
      <c r="K189" s="7" t="n">
        <v>1962</v>
      </c>
      <c r="L189" s="15" t="n">
        <v>12</v>
      </c>
      <c r="M189" s="7" t="n">
        <v>1</v>
      </c>
      <c r="N189" s="7" t="inlineStr">
        <is>
          <t>関東</t>
        </is>
      </c>
      <c r="O189" s="7" t="inlineStr">
        <is>
          <t>ブルー</t>
        </is>
      </c>
      <c r="P189" s="7" t="inlineStr">
        <is>
          <t>通勤</t>
        </is>
      </c>
      <c r="Q189" s="7" t="n">
        <v>3000</v>
      </c>
      <c r="R189" s="7" t="inlineStr">
        <is>
          <t>30歳以上</t>
        </is>
      </c>
      <c r="S189" s="7" t="inlineStr">
        <is>
          <t>本配</t>
        </is>
      </c>
      <c r="T189" s="7" t="inlineStr">
        <is>
          <t>無制限</t>
        </is>
      </c>
      <c r="U189" s="7" t="inlineStr">
        <is>
          <t>あり</t>
        </is>
      </c>
      <c r="V189" s="7" t="n">
        <v>1000</v>
      </c>
      <c r="W189" s="7" t="inlineStr">
        <is>
          <t>車内外</t>
        </is>
      </c>
      <c r="X189" s="7" t="n">
        <v>5000</v>
      </c>
      <c r="Y189" s="7" t="inlineStr">
        <is>
          <t>一般</t>
        </is>
      </c>
      <c r="Z189" s="7" t="n">
        <v>110</v>
      </c>
      <c r="AA189" s="7" t="inlineStr">
        <is>
          <t>免責金額なし</t>
        </is>
      </c>
      <c r="AB189" s="7" t="inlineStr">
        <is>
          <t>なし</t>
        </is>
      </c>
      <c r="AC189" s="7" t="inlineStr">
        <is>
          <t>なし</t>
        </is>
      </c>
      <c r="AD189" s="7" t="inlineStr">
        <is>
          <t>なし</t>
        </is>
      </c>
      <c r="AE189" s="7" t="inlineStr">
        <is>
          <t>あり</t>
        </is>
      </c>
      <c r="AF189" s="7" t="inlineStr">
        <is>
          <t>なし</t>
        </is>
      </c>
      <c r="AG189" s="7" t="inlineStr">
        <is>
          <t>なし</t>
        </is>
      </c>
      <c r="AH189" s="7" t="inlineStr">
        <is>
          <t>なし</t>
        </is>
      </c>
      <c r="AI189" s="7"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2018(平成30)</t>
        </is>
      </c>
      <c r="AQ189" s="60" t="n">
        <v>11</v>
      </c>
      <c r="AR189" s="60" t="inlineStr">
        <is>
          <t>HE33S</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110万円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c r="BU189" s="60" t="n">
        <v>58510</v>
      </c>
      <c r="BV189" s="60" t="n">
        <v>34250</v>
      </c>
      <c r="BW189" s="60" t="n">
        <v>16000</v>
      </c>
      <c r="BX189" s="60" t="n">
        <v>13000</v>
      </c>
      <c r="BY189" s="60" t="n">
        <v>0</v>
      </c>
      <c r="BZ189" s="60" t="inlineStr">
        <is>
          <t>車両免責エラー</t>
        </is>
      </c>
      <c r="CA189" s="60" t="n"/>
    </row>
    <row r="190">
      <c r="A190" s="60" t="n">
        <v>2022</v>
      </c>
      <c r="B190" s="7" t="n">
        <v>12</v>
      </c>
      <c r="C190" s="7" t="n">
        <v>1</v>
      </c>
      <c r="D190" s="7" t="inlineStr">
        <is>
          <t>6S</t>
        </is>
      </c>
      <c r="E190" s="7" t="inlineStr">
        <is>
          <t>なし</t>
        </is>
      </c>
      <c r="F190" s="7" t="inlineStr">
        <is>
          <t>30歳以上</t>
        </is>
      </c>
      <c r="G190" s="7" t="n">
        <v>2018</v>
      </c>
      <c r="H190" s="7" t="n">
        <v>11</v>
      </c>
      <c r="I190" s="7" t="inlineStr">
        <is>
          <t>HE33S</t>
        </is>
      </c>
      <c r="J190" s="7" t="inlineStr">
        <is>
          <t>なし</t>
        </is>
      </c>
      <c r="K190" s="7" t="n">
        <v>1952</v>
      </c>
      <c r="L190" s="15" t="n">
        <v>12</v>
      </c>
      <c r="M190" s="7" t="n">
        <v>1</v>
      </c>
      <c r="N190" s="7" t="inlineStr">
        <is>
          <t>関東</t>
        </is>
      </c>
      <c r="O190" s="7" t="inlineStr">
        <is>
          <t>ブルー</t>
        </is>
      </c>
      <c r="P190" s="7" t="inlineStr">
        <is>
          <t>通勤</t>
        </is>
      </c>
      <c r="Q190" s="7" t="n">
        <v>3000</v>
      </c>
      <c r="R190" s="7" t="inlineStr">
        <is>
          <t>30歳以上</t>
        </is>
      </c>
      <c r="S190" s="7" t="inlineStr">
        <is>
          <t>本配</t>
        </is>
      </c>
      <c r="T190" s="7" t="inlineStr">
        <is>
          <t>無制限</t>
        </is>
      </c>
      <c r="U190" s="7" t="inlineStr">
        <is>
          <t>あり</t>
        </is>
      </c>
      <c r="V190" s="7" t="n">
        <v>1000</v>
      </c>
      <c r="W190" s="7" t="inlineStr">
        <is>
          <t>車内外</t>
        </is>
      </c>
      <c r="X190" s="7" t="n">
        <v>5000</v>
      </c>
      <c r="Y190" s="7" t="inlineStr">
        <is>
          <t>一般</t>
        </is>
      </c>
      <c r="Z190" s="7" t="n">
        <v>110</v>
      </c>
      <c r="AA190" s="7" t="inlineStr">
        <is>
          <t>免責金額なし</t>
        </is>
      </c>
      <c r="AB190" s="7" t="inlineStr">
        <is>
          <t>なし</t>
        </is>
      </c>
      <c r="AC190" s="7" t="inlineStr">
        <is>
          <t>なし</t>
        </is>
      </c>
      <c r="AD190" s="7" t="inlineStr">
        <is>
          <t>なし</t>
        </is>
      </c>
      <c r="AE190" s="7" t="inlineStr">
        <is>
          <t>あり</t>
        </is>
      </c>
      <c r="AF190" s="7" t="inlineStr">
        <is>
          <t>なし</t>
        </is>
      </c>
      <c r="AG190" s="7" t="inlineStr">
        <is>
          <t>なし</t>
        </is>
      </c>
      <c r="AH190" s="7" t="inlineStr">
        <is>
          <t>なし</t>
        </is>
      </c>
      <c r="AI190" s="7"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2018(平成30)</t>
        </is>
      </c>
      <c r="AQ190" s="60" t="n">
        <v>11</v>
      </c>
      <c r="AR190" s="60" t="inlineStr">
        <is>
          <t>HE33S</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110万円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c r="BU190" s="60" t="n">
        <v>73730</v>
      </c>
      <c r="BV190" s="60" t="n">
        <v>41290</v>
      </c>
      <c r="BW190" s="60" t="n">
        <v>16000</v>
      </c>
      <c r="BX190" s="60" t="n">
        <v>15000</v>
      </c>
      <c r="BY190" s="60" t="n">
        <v>0</v>
      </c>
      <c r="BZ190" s="60" t="inlineStr">
        <is>
          <t>車両免責エラー</t>
        </is>
      </c>
      <c r="CA190" s="60" t="n"/>
    </row>
    <row r="191">
      <c r="A191" s="60" t="n">
        <v>2022</v>
      </c>
      <c r="B191" s="7" t="n">
        <v>12</v>
      </c>
      <c r="C191" s="7" t="n">
        <v>1</v>
      </c>
      <c r="D191" s="7" t="inlineStr">
        <is>
          <t>6S</t>
        </is>
      </c>
      <c r="E191" s="7" t="inlineStr">
        <is>
          <t>なし</t>
        </is>
      </c>
      <c r="F191" s="7" t="inlineStr">
        <is>
          <t>30歳以上</t>
        </is>
      </c>
      <c r="G191" s="7" t="n">
        <v>2018</v>
      </c>
      <c r="H191" s="7" t="n">
        <v>11</v>
      </c>
      <c r="I191" s="7" t="inlineStr">
        <is>
          <t>HE33S</t>
        </is>
      </c>
      <c r="J191" s="7" t="inlineStr">
        <is>
          <t>なし</t>
        </is>
      </c>
      <c r="K191" s="7" t="n">
        <v>1992</v>
      </c>
      <c r="L191" s="15" t="n">
        <v>12</v>
      </c>
      <c r="M191" s="7" t="n">
        <v>1</v>
      </c>
      <c r="N191" s="7" t="inlineStr">
        <is>
          <t>関東</t>
        </is>
      </c>
      <c r="O191" s="7" t="inlineStr">
        <is>
          <t>ブルー</t>
        </is>
      </c>
      <c r="P191" s="7" t="inlineStr">
        <is>
          <t>通勤</t>
        </is>
      </c>
      <c r="Q191" s="7" t="n">
        <v>7000</v>
      </c>
      <c r="R191" s="7" t="inlineStr">
        <is>
          <t>30歳以上</t>
        </is>
      </c>
      <c r="S191" s="7" t="inlineStr">
        <is>
          <t>本配</t>
        </is>
      </c>
      <c r="T191" s="7" t="inlineStr">
        <is>
          <t>無制限</t>
        </is>
      </c>
      <c r="U191" s="7" t="inlineStr">
        <is>
          <t>あり</t>
        </is>
      </c>
      <c r="V191" s="7" t="n">
        <v>1000</v>
      </c>
      <c r="W191" s="7" t="inlineStr">
        <is>
          <t>車内外</t>
        </is>
      </c>
      <c r="X191" s="7" t="n">
        <v>5000</v>
      </c>
      <c r="Y191" s="7" t="inlineStr">
        <is>
          <t>一般</t>
        </is>
      </c>
      <c r="Z191" s="7" t="n">
        <v>110</v>
      </c>
      <c r="AA191" s="7" t="inlineStr">
        <is>
          <t>免責金額なし</t>
        </is>
      </c>
      <c r="AB191" s="7" t="inlineStr">
        <is>
          <t>なし</t>
        </is>
      </c>
      <c r="AC191" s="7" t="inlineStr">
        <is>
          <t>なし</t>
        </is>
      </c>
      <c r="AD191" s="7" t="inlineStr">
        <is>
          <t>なし</t>
        </is>
      </c>
      <c r="AE191" s="7" t="inlineStr">
        <is>
          <t>あり</t>
        </is>
      </c>
      <c r="AF191" s="7" t="inlineStr">
        <is>
          <t>なし</t>
        </is>
      </c>
      <c r="AG191" s="7" t="inlineStr">
        <is>
          <t>なし</t>
        </is>
      </c>
      <c r="AH191" s="7" t="inlineStr">
        <is>
          <t>なし</t>
        </is>
      </c>
      <c r="AI191" s="7"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2018(平成30)</t>
        </is>
      </c>
      <c r="AQ191" s="60" t="n">
        <v>11</v>
      </c>
      <c r="AR191" s="60" t="inlineStr">
        <is>
          <t>HE33S</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110万円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c r="BU191" s="60" t="n">
        <v>70730</v>
      </c>
      <c r="BV191" s="60" t="n">
        <v>42760</v>
      </c>
      <c r="BW191" s="60" t="n">
        <v>16000</v>
      </c>
      <c r="BX191" s="60" t="n">
        <v>15000</v>
      </c>
      <c r="BY191" s="60" t="n">
        <v>0</v>
      </c>
      <c r="BZ191" s="60" t="inlineStr">
        <is>
          <t>車両免責エラー</t>
        </is>
      </c>
      <c r="CA191" s="60" t="n"/>
    </row>
    <row r="192">
      <c r="A192" s="60" t="n">
        <v>2022</v>
      </c>
      <c r="B192" s="7" t="n">
        <v>12</v>
      </c>
      <c r="C192" s="7" t="n">
        <v>1</v>
      </c>
      <c r="D192" s="7" t="inlineStr">
        <is>
          <t>6S</t>
        </is>
      </c>
      <c r="E192" s="7" t="inlineStr">
        <is>
          <t>なし</t>
        </is>
      </c>
      <c r="F192" s="7" t="inlineStr">
        <is>
          <t>30歳以上</t>
        </is>
      </c>
      <c r="G192" s="7" t="n">
        <v>2018</v>
      </c>
      <c r="H192" s="7" t="n">
        <v>11</v>
      </c>
      <c r="I192" s="7" t="inlineStr">
        <is>
          <t>HE33S</t>
        </is>
      </c>
      <c r="J192" s="7" t="inlineStr">
        <is>
          <t>なし</t>
        </is>
      </c>
      <c r="K192" s="7" t="n">
        <v>1987</v>
      </c>
      <c r="L192" s="15" t="n">
        <v>12</v>
      </c>
      <c r="M192" s="7" t="n">
        <v>1</v>
      </c>
      <c r="N192" s="7" t="inlineStr">
        <is>
          <t>関東</t>
        </is>
      </c>
      <c r="O192" s="7" t="inlineStr">
        <is>
          <t>ブルー</t>
        </is>
      </c>
      <c r="P192" s="7" t="inlineStr">
        <is>
          <t>通勤</t>
        </is>
      </c>
      <c r="Q192" s="7" t="n">
        <v>7000</v>
      </c>
      <c r="R192" s="7" t="inlineStr">
        <is>
          <t>30歳以上</t>
        </is>
      </c>
      <c r="S192" s="7" t="inlineStr">
        <is>
          <t>本配</t>
        </is>
      </c>
      <c r="T192" s="7" t="inlineStr">
        <is>
          <t>無制限</t>
        </is>
      </c>
      <c r="U192" s="7" t="inlineStr">
        <is>
          <t>あり</t>
        </is>
      </c>
      <c r="V192" s="7" t="n">
        <v>1000</v>
      </c>
      <c r="W192" s="7" t="inlineStr">
        <is>
          <t>車内外</t>
        </is>
      </c>
      <c r="X192" s="7" t="n">
        <v>5000</v>
      </c>
      <c r="Y192" s="7" t="inlineStr">
        <is>
          <t>一般</t>
        </is>
      </c>
      <c r="Z192" s="7" t="n">
        <v>110</v>
      </c>
      <c r="AA192" s="7" t="inlineStr">
        <is>
          <t>免責金額なし</t>
        </is>
      </c>
      <c r="AB192" s="7" t="inlineStr">
        <is>
          <t>なし</t>
        </is>
      </c>
      <c r="AC192" s="7" t="inlineStr">
        <is>
          <t>なし</t>
        </is>
      </c>
      <c r="AD192" s="7" t="inlineStr">
        <is>
          <t>なし</t>
        </is>
      </c>
      <c r="AE192" s="7" t="inlineStr">
        <is>
          <t>あり</t>
        </is>
      </c>
      <c r="AF192" s="7" t="inlineStr">
        <is>
          <t>なし</t>
        </is>
      </c>
      <c r="AG192" s="7" t="inlineStr">
        <is>
          <t>なし</t>
        </is>
      </c>
      <c r="AH192" s="7" t="inlineStr">
        <is>
          <t>なし</t>
        </is>
      </c>
      <c r="AI192" s="7"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2018(平成30)</t>
        </is>
      </c>
      <c r="AQ192" s="60" t="n">
        <v>11</v>
      </c>
      <c r="AR192" s="60" t="inlineStr">
        <is>
          <t>HE33S</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110万円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c r="BU192" s="60" t="n">
        <v>70450</v>
      </c>
      <c r="BV192" s="60" t="n">
        <v>42690</v>
      </c>
      <c r="BW192" s="60" t="n">
        <v>16000</v>
      </c>
      <c r="BX192" s="60" t="n">
        <v>15000</v>
      </c>
      <c r="BY192" s="60" t="n">
        <v>0</v>
      </c>
      <c r="BZ192" s="60" t="inlineStr">
        <is>
          <t>車両免責エラー</t>
        </is>
      </c>
      <c r="CA192" s="60" t="n"/>
    </row>
    <row r="193">
      <c r="A193" s="60" t="n">
        <v>2022</v>
      </c>
      <c r="B193" s="7" t="n">
        <v>12</v>
      </c>
      <c r="C193" s="7" t="n">
        <v>1</v>
      </c>
      <c r="D193" s="7" t="inlineStr">
        <is>
          <t>6S</t>
        </is>
      </c>
      <c r="E193" s="7" t="inlineStr">
        <is>
          <t>なし</t>
        </is>
      </c>
      <c r="F193" s="7" t="inlineStr">
        <is>
          <t>30歳以上</t>
        </is>
      </c>
      <c r="G193" s="7" t="n">
        <v>2018</v>
      </c>
      <c r="H193" s="7" t="n">
        <v>11</v>
      </c>
      <c r="I193" s="7" t="inlineStr">
        <is>
          <t>HE33S</t>
        </is>
      </c>
      <c r="J193" s="7" t="inlineStr">
        <is>
          <t>なし</t>
        </is>
      </c>
      <c r="K193" s="7" t="n">
        <v>1982</v>
      </c>
      <c r="L193" s="15" t="n">
        <v>12</v>
      </c>
      <c r="M193" s="7" t="n">
        <v>1</v>
      </c>
      <c r="N193" s="7" t="inlineStr">
        <is>
          <t>関東</t>
        </is>
      </c>
      <c r="O193" s="7" t="inlineStr">
        <is>
          <t>ブルー</t>
        </is>
      </c>
      <c r="P193" s="7" t="inlineStr">
        <is>
          <t>通勤</t>
        </is>
      </c>
      <c r="Q193" s="7" t="n">
        <v>7000</v>
      </c>
      <c r="R193" s="7" t="inlineStr">
        <is>
          <t>30歳以上</t>
        </is>
      </c>
      <c r="S193" s="7" t="inlineStr">
        <is>
          <t>本配</t>
        </is>
      </c>
      <c r="T193" s="7" t="inlineStr">
        <is>
          <t>無制限</t>
        </is>
      </c>
      <c r="U193" s="7" t="inlineStr">
        <is>
          <t>あり</t>
        </is>
      </c>
      <c r="V193" s="7" t="n">
        <v>1000</v>
      </c>
      <c r="W193" s="7" t="inlineStr">
        <is>
          <t>車内外</t>
        </is>
      </c>
      <c r="X193" s="7" t="n">
        <v>5000</v>
      </c>
      <c r="Y193" s="7" t="inlineStr">
        <is>
          <t>一般</t>
        </is>
      </c>
      <c r="Z193" s="7" t="n">
        <v>110</v>
      </c>
      <c r="AA193" s="7" t="inlineStr">
        <is>
          <t>免責金額なし</t>
        </is>
      </c>
      <c r="AB193" s="7" t="inlineStr">
        <is>
          <t>なし</t>
        </is>
      </c>
      <c r="AC193" s="7" t="inlineStr">
        <is>
          <t>なし</t>
        </is>
      </c>
      <c r="AD193" s="7" t="inlineStr">
        <is>
          <t>なし</t>
        </is>
      </c>
      <c r="AE193" s="7" t="inlineStr">
        <is>
          <t>あり</t>
        </is>
      </c>
      <c r="AF193" s="7" t="inlineStr">
        <is>
          <t>なし</t>
        </is>
      </c>
      <c r="AG193" s="7" t="inlineStr">
        <is>
          <t>なし</t>
        </is>
      </c>
      <c r="AH193" s="7" t="inlineStr">
        <is>
          <t>なし</t>
        </is>
      </c>
      <c r="AI193" s="7"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2018(平成30)</t>
        </is>
      </c>
      <c r="AQ193" s="60" t="n">
        <v>11</v>
      </c>
      <c r="AR193" s="60" t="inlineStr">
        <is>
          <t>HE33S</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110万円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c r="BU193" s="60" t="n">
        <v>71350</v>
      </c>
      <c r="BV193" s="60" t="n">
        <v>43420</v>
      </c>
      <c r="BW193" s="60" t="n">
        <v>16000</v>
      </c>
      <c r="BX193" s="60" t="n">
        <v>15000</v>
      </c>
      <c r="BY193" s="60" t="n">
        <v>0</v>
      </c>
      <c r="BZ193" s="60" t="inlineStr">
        <is>
          <t>車両免責エラー</t>
        </is>
      </c>
      <c r="CA193" s="60" t="n"/>
    </row>
    <row r="194">
      <c r="A194" s="60" t="n">
        <v>2022</v>
      </c>
      <c r="B194" s="7" t="n">
        <v>12</v>
      </c>
      <c r="C194" s="7" t="n">
        <v>1</v>
      </c>
      <c r="D194" s="7" t="inlineStr">
        <is>
          <t>6S</t>
        </is>
      </c>
      <c r="E194" s="7" t="inlineStr">
        <is>
          <t>なし</t>
        </is>
      </c>
      <c r="F194" s="7" t="inlineStr">
        <is>
          <t>30歳以上</t>
        </is>
      </c>
      <c r="G194" s="7" t="n">
        <v>2018</v>
      </c>
      <c r="H194" s="7" t="n">
        <v>11</v>
      </c>
      <c r="I194" s="7" t="inlineStr">
        <is>
          <t>HE33S</t>
        </is>
      </c>
      <c r="J194" s="7" t="inlineStr">
        <is>
          <t>なし</t>
        </is>
      </c>
      <c r="K194" s="7" t="n">
        <v>1977</v>
      </c>
      <c r="L194" s="15" t="n">
        <v>12</v>
      </c>
      <c r="M194" s="7" t="n">
        <v>1</v>
      </c>
      <c r="N194" s="7" t="inlineStr">
        <is>
          <t>関東</t>
        </is>
      </c>
      <c r="O194" s="7" t="inlineStr">
        <is>
          <t>ブルー</t>
        </is>
      </c>
      <c r="P194" s="7" t="inlineStr">
        <is>
          <t>通勤</t>
        </is>
      </c>
      <c r="Q194" s="7" t="n">
        <v>7000</v>
      </c>
      <c r="R194" s="7" t="inlineStr">
        <is>
          <t>30歳以上</t>
        </is>
      </c>
      <c r="S194" s="7" t="inlineStr">
        <is>
          <t>本配</t>
        </is>
      </c>
      <c r="T194" s="7" t="inlineStr">
        <is>
          <t>無制限</t>
        </is>
      </c>
      <c r="U194" s="7" t="inlineStr">
        <is>
          <t>あり</t>
        </is>
      </c>
      <c r="V194" s="7" t="n">
        <v>1000</v>
      </c>
      <c r="W194" s="7" t="inlineStr">
        <is>
          <t>車内外</t>
        </is>
      </c>
      <c r="X194" s="7" t="n">
        <v>5000</v>
      </c>
      <c r="Y194" s="7" t="inlineStr">
        <is>
          <t>一般</t>
        </is>
      </c>
      <c r="Z194" s="7" t="n">
        <v>110</v>
      </c>
      <c r="AA194" s="7" t="inlineStr">
        <is>
          <t>免責金額なし</t>
        </is>
      </c>
      <c r="AB194" s="7" t="inlineStr">
        <is>
          <t>なし</t>
        </is>
      </c>
      <c r="AC194" s="7" t="inlineStr">
        <is>
          <t>なし</t>
        </is>
      </c>
      <c r="AD194" s="7" t="inlineStr">
        <is>
          <t>なし</t>
        </is>
      </c>
      <c r="AE194" s="7" t="inlineStr">
        <is>
          <t>あり</t>
        </is>
      </c>
      <c r="AF194" s="7" t="inlineStr">
        <is>
          <t>なし</t>
        </is>
      </c>
      <c r="AG194" s="7" t="inlineStr">
        <is>
          <t>なし</t>
        </is>
      </c>
      <c r="AH194" s="7" t="inlineStr">
        <is>
          <t>なし</t>
        </is>
      </c>
      <c r="AI194" s="7"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2018(平成30)</t>
        </is>
      </c>
      <c r="AQ194" s="60" t="n">
        <v>11</v>
      </c>
      <c r="AR194" s="60" t="inlineStr">
        <is>
          <t>HE33S</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110万円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c r="BU194" s="60" t="n">
        <v>72650</v>
      </c>
      <c r="BV194" s="60" t="n">
        <v>43580</v>
      </c>
      <c r="BW194" s="60" t="n">
        <v>16000</v>
      </c>
      <c r="BX194" s="60" t="n">
        <v>15000</v>
      </c>
      <c r="BY194" s="60" t="n">
        <v>0</v>
      </c>
      <c r="BZ194" s="60" t="inlineStr">
        <is>
          <t>車両免責エラー</t>
        </is>
      </c>
      <c r="CA194" s="60" t="n"/>
    </row>
    <row r="195">
      <c r="A195" s="60" t="n">
        <v>2022</v>
      </c>
      <c r="B195" s="7" t="n">
        <v>12</v>
      </c>
      <c r="C195" s="7" t="n">
        <v>1</v>
      </c>
      <c r="D195" s="7" t="inlineStr">
        <is>
          <t>6S</t>
        </is>
      </c>
      <c r="E195" s="7" t="inlineStr">
        <is>
          <t>なし</t>
        </is>
      </c>
      <c r="F195" s="7" t="inlineStr">
        <is>
          <t>30歳以上</t>
        </is>
      </c>
      <c r="G195" s="7" t="n">
        <v>2018</v>
      </c>
      <c r="H195" s="7" t="n">
        <v>11</v>
      </c>
      <c r="I195" s="7" t="inlineStr">
        <is>
          <t>HE33S</t>
        </is>
      </c>
      <c r="J195" s="7" t="inlineStr">
        <is>
          <t>なし</t>
        </is>
      </c>
      <c r="K195" s="7" t="n">
        <v>1972</v>
      </c>
      <c r="L195" s="15" t="n">
        <v>12</v>
      </c>
      <c r="M195" s="7" t="n">
        <v>1</v>
      </c>
      <c r="N195" s="7" t="inlineStr">
        <is>
          <t>関東</t>
        </is>
      </c>
      <c r="O195" s="7" t="inlineStr">
        <is>
          <t>ブルー</t>
        </is>
      </c>
      <c r="P195" s="7" t="inlineStr">
        <is>
          <t>通勤</t>
        </is>
      </c>
      <c r="Q195" s="7" t="n">
        <v>7000</v>
      </c>
      <c r="R195" s="7" t="inlineStr">
        <is>
          <t>30歳以上</t>
        </is>
      </c>
      <c r="S195" s="7" t="inlineStr">
        <is>
          <t>本配</t>
        </is>
      </c>
      <c r="T195" s="7" t="inlineStr">
        <is>
          <t>無制限</t>
        </is>
      </c>
      <c r="U195" s="7" t="inlineStr">
        <is>
          <t>あり</t>
        </is>
      </c>
      <c r="V195" s="7" t="n">
        <v>1000</v>
      </c>
      <c r="W195" s="7" t="inlineStr">
        <is>
          <t>車内外</t>
        </is>
      </c>
      <c r="X195" s="7" t="n">
        <v>5000</v>
      </c>
      <c r="Y195" s="7" t="inlineStr">
        <is>
          <t>一般</t>
        </is>
      </c>
      <c r="Z195" s="7" t="n">
        <v>110</v>
      </c>
      <c r="AA195" s="7" t="inlineStr">
        <is>
          <t>免責金額なし</t>
        </is>
      </c>
      <c r="AB195" s="7" t="inlineStr">
        <is>
          <t>なし</t>
        </is>
      </c>
      <c r="AC195" s="7" t="inlineStr">
        <is>
          <t>なし</t>
        </is>
      </c>
      <c r="AD195" s="7" t="inlineStr">
        <is>
          <t>なし</t>
        </is>
      </c>
      <c r="AE195" s="7" t="inlineStr">
        <is>
          <t>あり</t>
        </is>
      </c>
      <c r="AF195" s="7" t="inlineStr">
        <is>
          <t>なし</t>
        </is>
      </c>
      <c r="AG195" s="7" t="inlineStr">
        <is>
          <t>なし</t>
        </is>
      </c>
      <c r="AH195" s="7" t="inlineStr">
        <is>
          <t>なし</t>
        </is>
      </c>
      <c r="AI195" s="7"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2018(平成30)</t>
        </is>
      </c>
      <c r="AQ195" s="60" t="n">
        <v>11</v>
      </c>
      <c r="AR195" s="60" t="inlineStr">
        <is>
          <t>HE33S</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110万円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c r="BU195" s="60" t="n">
        <v>72970</v>
      </c>
      <c r="BV195" s="60" t="n">
        <v>43290</v>
      </c>
      <c r="BW195" s="60" t="n">
        <v>16000</v>
      </c>
      <c r="BX195" s="60" t="n">
        <v>15000</v>
      </c>
      <c r="BY195" s="60" t="n">
        <v>0</v>
      </c>
      <c r="BZ195" s="60" t="inlineStr">
        <is>
          <t>車両免責エラー</t>
        </is>
      </c>
      <c r="CA195" s="60" t="n"/>
    </row>
    <row r="196">
      <c r="A196" s="60" t="n">
        <v>2022</v>
      </c>
      <c r="B196" s="7" t="n">
        <v>12</v>
      </c>
      <c r="C196" s="7" t="n">
        <v>1</v>
      </c>
      <c r="D196" s="7" t="inlineStr">
        <is>
          <t>6S</t>
        </is>
      </c>
      <c r="E196" s="7" t="inlineStr">
        <is>
          <t>なし</t>
        </is>
      </c>
      <c r="F196" s="7" t="inlineStr">
        <is>
          <t>30歳以上</t>
        </is>
      </c>
      <c r="G196" s="7" t="n">
        <v>2018</v>
      </c>
      <c r="H196" s="7" t="n">
        <v>11</v>
      </c>
      <c r="I196" s="7" t="inlineStr">
        <is>
          <t>HE33S</t>
        </is>
      </c>
      <c r="J196" s="7" t="inlineStr">
        <is>
          <t>なし</t>
        </is>
      </c>
      <c r="K196" s="7" t="n">
        <v>1962</v>
      </c>
      <c r="L196" s="15" t="n">
        <v>12</v>
      </c>
      <c r="M196" s="7" t="n">
        <v>1</v>
      </c>
      <c r="N196" s="7" t="inlineStr">
        <is>
          <t>関東</t>
        </is>
      </c>
      <c r="O196" s="7" t="inlineStr">
        <is>
          <t>ブルー</t>
        </is>
      </c>
      <c r="P196" s="7" t="inlineStr">
        <is>
          <t>通勤</t>
        </is>
      </c>
      <c r="Q196" s="7" t="n">
        <v>7000</v>
      </c>
      <c r="R196" s="7" t="inlineStr">
        <is>
          <t>30歳以上</t>
        </is>
      </c>
      <c r="S196" s="7" t="inlineStr">
        <is>
          <t>本配</t>
        </is>
      </c>
      <c r="T196" s="7" t="inlineStr">
        <is>
          <t>無制限</t>
        </is>
      </c>
      <c r="U196" s="7" t="inlineStr">
        <is>
          <t>あり</t>
        </is>
      </c>
      <c r="V196" s="7" t="n">
        <v>1000</v>
      </c>
      <c r="W196" s="7" t="inlineStr">
        <is>
          <t>車内外</t>
        </is>
      </c>
      <c r="X196" s="7" t="n">
        <v>5000</v>
      </c>
      <c r="Y196" s="7" t="inlineStr">
        <is>
          <t>一般</t>
        </is>
      </c>
      <c r="Z196" s="7" t="n">
        <v>110</v>
      </c>
      <c r="AA196" s="7" t="inlineStr">
        <is>
          <t>免責金額なし</t>
        </is>
      </c>
      <c r="AB196" s="7" t="inlineStr">
        <is>
          <t>なし</t>
        </is>
      </c>
      <c r="AC196" s="7" t="inlineStr">
        <is>
          <t>なし</t>
        </is>
      </c>
      <c r="AD196" s="7" t="inlineStr">
        <is>
          <t>なし</t>
        </is>
      </c>
      <c r="AE196" s="7" t="inlineStr">
        <is>
          <t>あり</t>
        </is>
      </c>
      <c r="AF196" s="7" t="inlineStr">
        <is>
          <t>なし</t>
        </is>
      </c>
      <c r="AG196" s="7" t="inlineStr">
        <is>
          <t>なし</t>
        </is>
      </c>
      <c r="AH196" s="7" t="inlineStr">
        <is>
          <t>なし</t>
        </is>
      </c>
      <c r="AI196" s="7"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2018(平成30)</t>
        </is>
      </c>
      <c r="AQ196" s="60" t="n">
        <v>11</v>
      </c>
      <c r="AR196" s="60" t="inlineStr">
        <is>
          <t>HE33S</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110万円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c r="BU196" s="60" t="n">
        <v>78050</v>
      </c>
      <c r="BV196" s="60" t="n">
        <v>44370</v>
      </c>
      <c r="BW196" s="60" t="n">
        <v>16000</v>
      </c>
      <c r="BX196" s="60" t="n">
        <v>16000</v>
      </c>
      <c r="BY196" s="60" t="n">
        <v>0</v>
      </c>
      <c r="BZ196" s="60" t="inlineStr">
        <is>
          <t>車両免責エラー</t>
        </is>
      </c>
      <c r="CA196" s="60" t="n"/>
    </row>
    <row r="197">
      <c r="A197" s="60" t="n">
        <v>2022</v>
      </c>
      <c r="B197" s="7" t="n">
        <v>12</v>
      </c>
      <c r="C197" s="7" t="n">
        <v>1</v>
      </c>
      <c r="D197" s="7" t="inlineStr">
        <is>
          <t>6S</t>
        </is>
      </c>
      <c r="E197" s="7" t="inlineStr">
        <is>
          <t>なし</t>
        </is>
      </c>
      <c r="F197" s="7" t="inlineStr">
        <is>
          <t>30歳以上</t>
        </is>
      </c>
      <c r="G197" s="7" t="n">
        <v>2018</v>
      </c>
      <c r="H197" s="7" t="n">
        <v>11</v>
      </c>
      <c r="I197" s="7" t="inlineStr">
        <is>
          <t>HE33S</t>
        </is>
      </c>
      <c r="J197" s="7" t="inlineStr">
        <is>
          <t>なし</t>
        </is>
      </c>
      <c r="K197" s="7" t="n">
        <v>1952</v>
      </c>
      <c r="L197" s="15" t="n">
        <v>12</v>
      </c>
      <c r="M197" s="7" t="n">
        <v>1</v>
      </c>
      <c r="N197" s="7" t="inlineStr">
        <is>
          <t>関東</t>
        </is>
      </c>
      <c r="O197" s="7" t="inlineStr">
        <is>
          <t>ブルー</t>
        </is>
      </c>
      <c r="P197" s="7" t="inlineStr">
        <is>
          <t>通勤</t>
        </is>
      </c>
      <c r="Q197" s="7" t="n">
        <v>7000</v>
      </c>
      <c r="R197" s="7" t="inlineStr">
        <is>
          <t>30歳以上</t>
        </is>
      </c>
      <c r="S197" s="7" t="inlineStr">
        <is>
          <t>本配</t>
        </is>
      </c>
      <c r="T197" s="7" t="inlineStr">
        <is>
          <t>無制限</t>
        </is>
      </c>
      <c r="U197" s="7" t="inlineStr">
        <is>
          <t>あり</t>
        </is>
      </c>
      <c r="V197" s="7" t="n">
        <v>1000</v>
      </c>
      <c r="W197" s="7" t="inlineStr">
        <is>
          <t>車内外</t>
        </is>
      </c>
      <c r="X197" s="7" t="n">
        <v>5000</v>
      </c>
      <c r="Y197" s="7" t="inlineStr">
        <is>
          <t>一般</t>
        </is>
      </c>
      <c r="Z197" s="7" t="n">
        <v>110</v>
      </c>
      <c r="AA197" s="7" t="inlineStr">
        <is>
          <t>免責金額なし</t>
        </is>
      </c>
      <c r="AB197" s="7" t="inlineStr">
        <is>
          <t>なし</t>
        </is>
      </c>
      <c r="AC197" s="7" t="inlineStr">
        <is>
          <t>なし</t>
        </is>
      </c>
      <c r="AD197" s="7" t="inlineStr">
        <is>
          <t>なし</t>
        </is>
      </c>
      <c r="AE197" s="7" t="inlineStr">
        <is>
          <t>あり</t>
        </is>
      </c>
      <c r="AF197" s="7" t="inlineStr">
        <is>
          <t>なし</t>
        </is>
      </c>
      <c r="AG197" s="7" t="inlineStr">
        <is>
          <t>なし</t>
        </is>
      </c>
      <c r="AH197" s="7" t="inlineStr">
        <is>
          <t>なし</t>
        </is>
      </c>
      <c r="AI197" s="7"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2018(平成30)</t>
        </is>
      </c>
      <c r="AQ197" s="60" t="n">
        <v>11</v>
      </c>
      <c r="AR197" s="60" t="inlineStr">
        <is>
          <t>HE33S</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110万円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c r="BU197" s="60" t="n">
        <v>97630</v>
      </c>
      <c r="BV197" s="60" t="n">
        <v>56250</v>
      </c>
      <c r="BW197" s="60" t="n">
        <v>16000</v>
      </c>
      <c r="BX197" s="60" t="n">
        <v>16000</v>
      </c>
      <c r="BY197" s="60" t="n">
        <v>0</v>
      </c>
      <c r="BZ197" s="60" t="inlineStr">
        <is>
          <t>車両免責エラー</t>
        </is>
      </c>
      <c r="CA197" s="60" t="n"/>
    </row>
    <row r="198">
      <c r="A198" s="60" t="n">
        <v>2022</v>
      </c>
      <c r="B198" s="7" t="n">
        <v>12</v>
      </c>
      <c r="C198" s="7" t="n">
        <v>1</v>
      </c>
      <c r="D198" s="7" t="n">
        <v>17</v>
      </c>
      <c r="E198" s="7" t="inlineStr">
        <is>
          <t>あり</t>
        </is>
      </c>
      <c r="F198" s="7" t="inlineStr">
        <is>
          <t>30歳以上</t>
        </is>
      </c>
      <c r="G198" s="7" t="n">
        <v>2018</v>
      </c>
      <c r="H198" s="7" t="n">
        <v>11</v>
      </c>
      <c r="I198" s="7" t="inlineStr">
        <is>
          <t>DJ5FS</t>
        </is>
      </c>
      <c r="J198" s="7" t="inlineStr">
        <is>
          <t>なし</t>
        </is>
      </c>
      <c r="K198" s="7" t="n">
        <v>1992</v>
      </c>
      <c r="L198" s="15" t="n">
        <v>12</v>
      </c>
      <c r="M198" s="7" t="n">
        <v>1</v>
      </c>
      <c r="N198" s="7" t="inlineStr">
        <is>
          <t>関東</t>
        </is>
      </c>
      <c r="O198" s="7" t="inlineStr">
        <is>
          <t>ゴールド</t>
        </is>
      </c>
      <c r="P198" s="7" t="inlineStr">
        <is>
          <t>日常</t>
        </is>
      </c>
      <c r="Q198" s="7" t="n">
        <v>3000</v>
      </c>
      <c r="R198" s="7" t="inlineStr">
        <is>
          <t>30歳以上</t>
        </is>
      </c>
      <c r="S198" s="7" t="inlineStr">
        <is>
          <t>本配</t>
        </is>
      </c>
      <c r="T198" s="7" t="inlineStr">
        <is>
          <t>無制限</t>
        </is>
      </c>
      <c r="U198" s="7" t="inlineStr">
        <is>
          <t>なし</t>
        </is>
      </c>
      <c r="V198" s="7" t="n">
        <v>1000</v>
      </c>
      <c r="W198" s="7" t="inlineStr">
        <is>
          <t>車内外</t>
        </is>
      </c>
      <c r="X198" s="7" t="n">
        <v>3000</v>
      </c>
      <c r="Y198" s="7" t="inlineStr">
        <is>
          <t>一般</t>
        </is>
      </c>
      <c r="Z198" s="7" t="n">
        <v>110</v>
      </c>
      <c r="AA198" s="7" t="inlineStr">
        <is>
          <t>免責金額なし</t>
        </is>
      </c>
      <c r="AB198" s="7" t="inlineStr">
        <is>
          <t>なし</t>
        </is>
      </c>
      <c r="AC198" s="7" t="inlineStr">
        <is>
          <t>なし</t>
        </is>
      </c>
      <c r="AD198" s="7" t="inlineStr">
        <is>
          <t>なし</t>
        </is>
      </c>
      <c r="AE198" s="7" t="inlineStr">
        <is>
          <t>あり</t>
        </is>
      </c>
      <c r="AF198" s="7" t="inlineStr">
        <is>
          <t>なし</t>
        </is>
      </c>
      <c r="AG198" s="7" t="inlineStr">
        <is>
          <t>なし</t>
        </is>
      </c>
      <c r="AH198" s="7" t="inlineStr">
        <is>
          <t>なし</t>
        </is>
      </c>
      <c r="AI198" s="7"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2018(平成30)</t>
        </is>
      </c>
      <c r="AQ198" s="60" t="n">
        <v>11</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c r="BU198" s="60" t="n">
        <v>32380</v>
      </c>
      <c r="BV198" s="60" t="n">
        <v>19570</v>
      </c>
      <c r="BW198" s="60" t="n">
        <v>13000</v>
      </c>
      <c r="BX198" s="60" t="n">
        <v>6000</v>
      </c>
      <c r="BY198" s="60" t="n">
        <v>0</v>
      </c>
      <c r="BZ198" s="60" t="n"/>
      <c r="CA198" s="60" t="n"/>
    </row>
    <row r="199">
      <c r="A199" s="60" t="n">
        <v>2022</v>
      </c>
      <c r="B199" s="7" t="n">
        <v>12</v>
      </c>
      <c r="C199" s="7" t="n">
        <v>1</v>
      </c>
      <c r="D199" s="7" t="n">
        <v>17</v>
      </c>
      <c r="E199" s="7" t="inlineStr">
        <is>
          <t>あり</t>
        </is>
      </c>
      <c r="F199" s="7" t="inlineStr">
        <is>
          <t>30歳以上</t>
        </is>
      </c>
      <c r="G199" s="7" t="n">
        <v>2018</v>
      </c>
      <c r="H199" s="7" t="n">
        <v>11</v>
      </c>
      <c r="I199" s="7" t="inlineStr">
        <is>
          <t>DJ5FS</t>
        </is>
      </c>
      <c r="J199" s="7" t="inlineStr">
        <is>
          <t>なし</t>
        </is>
      </c>
      <c r="K199" s="7" t="n">
        <v>1987</v>
      </c>
      <c r="L199" s="15" t="n">
        <v>12</v>
      </c>
      <c r="M199" s="7" t="n">
        <v>1</v>
      </c>
      <c r="N199" s="7" t="inlineStr">
        <is>
          <t>関東</t>
        </is>
      </c>
      <c r="O199" s="7" t="inlineStr">
        <is>
          <t>ゴールド</t>
        </is>
      </c>
      <c r="P199" s="7" t="inlineStr">
        <is>
          <t>日常</t>
        </is>
      </c>
      <c r="Q199" s="7" t="n">
        <v>3000</v>
      </c>
      <c r="R199" s="7" t="inlineStr">
        <is>
          <t>30歳以上</t>
        </is>
      </c>
      <c r="S199" s="7" t="inlineStr">
        <is>
          <t>本配</t>
        </is>
      </c>
      <c r="T199" s="7" t="inlineStr">
        <is>
          <t>無制限</t>
        </is>
      </c>
      <c r="U199" s="7" t="inlineStr">
        <is>
          <t>なし</t>
        </is>
      </c>
      <c r="V199" s="7" t="n">
        <v>1000</v>
      </c>
      <c r="W199" s="7" t="inlineStr">
        <is>
          <t>車内外</t>
        </is>
      </c>
      <c r="X199" s="7" t="n">
        <v>3000</v>
      </c>
      <c r="Y199" s="7" t="inlineStr">
        <is>
          <t>一般</t>
        </is>
      </c>
      <c r="Z199" s="7" t="n">
        <v>110</v>
      </c>
      <c r="AA199" s="7" t="inlineStr">
        <is>
          <t>免責金額なし</t>
        </is>
      </c>
      <c r="AB199" s="7" t="inlineStr">
        <is>
          <t>なし</t>
        </is>
      </c>
      <c r="AC199" s="7" t="inlineStr">
        <is>
          <t>なし</t>
        </is>
      </c>
      <c r="AD199" s="7" t="inlineStr">
        <is>
          <t>なし</t>
        </is>
      </c>
      <c r="AE199" s="7" t="inlineStr">
        <is>
          <t>あり</t>
        </is>
      </c>
      <c r="AF199" s="7" t="inlineStr">
        <is>
          <t>なし</t>
        </is>
      </c>
      <c r="AG199" s="7" t="inlineStr">
        <is>
          <t>なし</t>
        </is>
      </c>
      <c r="AH199" s="7" t="inlineStr">
        <is>
          <t>なし</t>
        </is>
      </c>
      <c r="AI199" s="7"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2018(平成30)</t>
        </is>
      </c>
      <c r="AQ199" s="60" t="n">
        <v>11</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c r="BU199" s="60" t="n">
        <v>32140</v>
      </c>
      <c r="BV199" s="60" t="n">
        <v>19460</v>
      </c>
      <c r="BW199" s="60" t="n">
        <v>13000</v>
      </c>
      <c r="BX199" s="60" t="n">
        <v>6000</v>
      </c>
      <c r="BY199" s="60" t="n">
        <v>0</v>
      </c>
      <c r="BZ199" s="60" t="n"/>
      <c r="CA199" s="60" t="n"/>
    </row>
    <row r="200">
      <c r="A200" s="60" t="n">
        <v>2022</v>
      </c>
      <c r="B200" s="7" t="n">
        <v>12</v>
      </c>
      <c r="C200" s="7" t="n">
        <v>1</v>
      </c>
      <c r="D200" s="7" t="n">
        <v>17</v>
      </c>
      <c r="E200" s="7" t="inlineStr">
        <is>
          <t>あり</t>
        </is>
      </c>
      <c r="F200" s="7" t="inlineStr">
        <is>
          <t>30歳以上</t>
        </is>
      </c>
      <c r="G200" s="7" t="n">
        <v>2018</v>
      </c>
      <c r="H200" s="7" t="n">
        <v>11</v>
      </c>
      <c r="I200" s="7" t="inlineStr">
        <is>
          <t>DJ5FS</t>
        </is>
      </c>
      <c r="J200" s="7" t="inlineStr">
        <is>
          <t>なし</t>
        </is>
      </c>
      <c r="K200" s="7" t="n">
        <v>1982</v>
      </c>
      <c r="L200" s="15" t="n">
        <v>12</v>
      </c>
      <c r="M200" s="7" t="n">
        <v>1</v>
      </c>
      <c r="N200" s="7" t="inlineStr">
        <is>
          <t>関東</t>
        </is>
      </c>
      <c r="O200" s="7" t="inlineStr">
        <is>
          <t>ゴールド</t>
        </is>
      </c>
      <c r="P200" s="7" t="inlineStr">
        <is>
          <t>日常</t>
        </is>
      </c>
      <c r="Q200" s="7" t="n">
        <v>3000</v>
      </c>
      <c r="R200" s="7" t="inlineStr">
        <is>
          <t>30歳以上</t>
        </is>
      </c>
      <c r="S200" s="7" t="inlineStr">
        <is>
          <t>本配</t>
        </is>
      </c>
      <c r="T200" s="7" t="inlineStr">
        <is>
          <t>無制限</t>
        </is>
      </c>
      <c r="U200" s="7" t="inlineStr">
        <is>
          <t>なし</t>
        </is>
      </c>
      <c r="V200" s="7" t="n">
        <v>1000</v>
      </c>
      <c r="W200" s="7" t="inlineStr">
        <is>
          <t>車内外</t>
        </is>
      </c>
      <c r="X200" s="7" t="n">
        <v>3000</v>
      </c>
      <c r="Y200" s="7" t="inlineStr">
        <is>
          <t>一般</t>
        </is>
      </c>
      <c r="Z200" s="7" t="n">
        <v>110</v>
      </c>
      <c r="AA200" s="7" t="inlineStr">
        <is>
          <t>免責金額なし</t>
        </is>
      </c>
      <c r="AB200" s="7" t="inlineStr">
        <is>
          <t>なし</t>
        </is>
      </c>
      <c r="AC200" s="7" t="inlineStr">
        <is>
          <t>なし</t>
        </is>
      </c>
      <c r="AD200" s="7" t="inlineStr">
        <is>
          <t>なし</t>
        </is>
      </c>
      <c r="AE200" s="7" t="inlineStr">
        <is>
          <t>あり</t>
        </is>
      </c>
      <c r="AF200" s="7" t="inlineStr">
        <is>
          <t>なし</t>
        </is>
      </c>
      <c r="AG200" s="7" t="inlineStr">
        <is>
          <t>なし</t>
        </is>
      </c>
      <c r="AH200" s="7" t="inlineStr">
        <is>
          <t>なし</t>
        </is>
      </c>
      <c r="AI200" s="7"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2018(平成30)</t>
        </is>
      </c>
      <c r="AQ200" s="60" t="n">
        <v>11</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c r="BU200" s="60" t="n">
        <v>32480</v>
      </c>
      <c r="BV200" s="60" t="n">
        <v>19690</v>
      </c>
      <c r="BW200" s="60" t="n">
        <v>13000</v>
      </c>
      <c r="BX200" s="60" t="n">
        <v>6000</v>
      </c>
      <c r="BY200" s="60" t="n">
        <v>0</v>
      </c>
      <c r="BZ200" s="60" t="n"/>
      <c r="CA200" s="60" t="n"/>
    </row>
    <row r="201">
      <c r="A201" s="60" t="n">
        <v>2022</v>
      </c>
      <c r="B201" s="7" t="n">
        <v>12</v>
      </c>
      <c r="C201" s="7" t="n">
        <v>1</v>
      </c>
      <c r="D201" s="7" t="n">
        <v>17</v>
      </c>
      <c r="E201" s="7" t="inlineStr">
        <is>
          <t>あり</t>
        </is>
      </c>
      <c r="F201" s="7" t="inlineStr">
        <is>
          <t>30歳以上</t>
        </is>
      </c>
      <c r="G201" s="7" t="n">
        <v>2018</v>
      </c>
      <c r="H201" s="7" t="n">
        <v>11</v>
      </c>
      <c r="I201" s="7" t="inlineStr">
        <is>
          <t>DJ5FS</t>
        </is>
      </c>
      <c r="J201" s="7" t="inlineStr">
        <is>
          <t>なし</t>
        </is>
      </c>
      <c r="K201" s="7" t="n">
        <v>1977</v>
      </c>
      <c r="L201" s="15" t="n">
        <v>12</v>
      </c>
      <c r="M201" s="7" t="n">
        <v>1</v>
      </c>
      <c r="N201" s="7" t="inlineStr">
        <is>
          <t>関東</t>
        </is>
      </c>
      <c r="O201" s="7" t="inlineStr">
        <is>
          <t>ゴールド</t>
        </is>
      </c>
      <c r="P201" s="7" t="inlineStr">
        <is>
          <t>日常</t>
        </is>
      </c>
      <c r="Q201" s="7" t="n">
        <v>3000</v>
      </c>
      <c r="R201" s="7" t="inlineStr">
        <is>
          <t>30歳以上</t>
        </is>
      </c>
      <c r="S201" s="7" t="inlineStr">
        <is>
          <t>本配</t>
        </is>
      </c>
      <c r="T201" s="7" t="inlineStr">
        <is>
          <t>無制限</t>
        </is>
      </c>
      <c r="U201" s="7" t="inlineStr">
        <is>
          <t>なし</t>
        </is>
      </c>
      <c r="V201" s="7" t="n">
        <v>1000</v>
      </c>
      <c r="W201" s="7" t="inlineStr">
        <is>
          <t>車内外</t>
        </is>
      </c>
      <c r="X201" s="7" t="n">
        <v>3000</v>
      </c>
      <c r="Y201" s="7" t="inlineStr">
        <is>
          <t>一般</t>
        </is>
      </c>
      <c r="Z201" s="7" t="n">
        <v>110</v>
      </c>
      <c r="AA201" s="7" t="inlineStr">
        <is>
          <t>免責金額なし</t>
        </is>
      </c>
      <c r="AB201" s="7" t="inlineStr">
        <is>
          <t>なし</t>
        </is>
      </c>
      <c r="AC201" s="7" t="inlineStr">
        <is>
          <t>なし</t>
        </is>
      </c>
      <c r="AD201" s="7" t="inlineStr">
        <is>
          <t>なし</t>
        </is>
      </c>
      <c r="AE201" s="7" t="inlineStr">
        <is>
          <t>あり</t>
        </is>
      </c>
      <c r="AF201" s="7" t="inlineStr">
        <is>
          <t>なし</t>
        </is>
      </c>
      <c r="AG201" s="7" t="inlineStr">
        <is>
          <t>なし</t>
        </is>
      </c>
      <c r="AH201" s="7" t="inlineStr">
        <is>
          <t>なし</t>
        </is>
      </c>
      <c r="AI201" s="7"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2018(平成30)</t>
        </is>
      </c>
      <c r="AQ201" s="60" t="n">
        <v>11</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c r="BU201" s="60" t="n">
        <v>33310</v>
      </c>
      <c r="BV201" s="60" t="n">
        <v>19750</v>
      </c>
      <c r="BW201" s="60" t="n">
        <v>13000</v>
      </c>
      <c r="BX201" s="60" t="n">
        <v>6000</v>
      </c>
      <c r="BY201" s="60" t="n">
        <v>0</v>
      </c>
      <c r="BZ201" s="60" t="n"/>
      <c r="CA201" s="60" t="n"/>
    </row>
    <row r="202">
      <c r="A202" s="60" t="n">
        <v>2022</v>
      </c>
      <c r="B202" s="7" t="n">
        <v>12</v>
      </c>
      <c r="C202" s="7" t="n">
        <v>1</v>
      </c>
      <c r="D202" s="7" t="n">
        <v>17</v>
      </c>
      <c r="E202" s="7" t="inlineStr">
        <is>
          <t>あり</t>
        </is>
      </c>
      <c r="F202" s="7" t="inlineStr">
        <is>
          <t>30歳以上</t>
        </is>
      </c>
      <c r="G202" s="7" t="n">
        <v>2018</v>
      </c>
      <c r="H202" s="7" t="n">
        <v>11</v>
      </c>
      <c r="I202" s="7" t="inlineStr">
        <is>
          <t>DJ5FS</t>
        </is>
      </c>
      <c r="J202" s="7" t="inlineStr">
        <is>
          <t>なし</t>
        </is>
      </c>
      <c r="K202" s="7" t="n">
        <v>1972</v>
      </c>
      <c r="L202" s="15" t="n">
        <v>12</v>
      </c>
      <c r="M202" s="7" t="n">
        <v>1</v>
      </c>
      <c r="N202" s="7" t="inlineStr">
        <is>
          <t>関東</t>
        </is>
      </c>
      <c r="O202" s="7" t="inlineStr">
        <is>
          <t>ゴールド</t>
        </is>
      </c>
      <c r="P202" s="7" t="inlineStr">
        <is>
          <t>日常</t>
        </is>
      </c>
      <c r="Q202" s="7" t="n">
        <v>3000</v>
      </c>
      <c r="R202" s="7" t="inlineStr">
        <is>
          <t>30歳以上</t>
        </is>
      </c>
      <c r="S202" s="7" t="inlineStr">
        <is>
          <t>本配</t>
        </is>
      </c>
      <c r="T202" s="7" t="inlineStr">
        <is>
          <t>無制限</t>
        </is>
      </c>
      <c r="U202" s="7" t="inlineStr">
        <is>
          <t>なし</t>
        </is>
      </c>
      <c r="V202" s="7" t="n">
        <v>1000</v>
      </c>
      <c r="W202" s="7" t="inlineStr">
        <is>
          <t>車内外</t>
        </is>
      </c>
      <c r="X202" s="7" t="n">
        <v>3000</v>
      </c>
      <c r="Y202" s="7" t="inlineStr">
        <is>
          <t>一般</t>
        </is>
      </c>
      <c r="Z202" s="7" t="n">
        <v>110</v>
      </c>
      <c r="AA202" s="7" t="inlineStr">
        <is>
          <t>免責金額なし</t>
        </is>
      </c>
      <c r="AB202" s="7" t="inlineStr">
        <is>
          <t>なし</t>
        </is>
      </c>
      <c r="AC202" s="7" t="inlineStr">
        <is>
          <t>なし</t>
        </is>
      </c>
      <c r="AD202" s="7" t="inlineStr">
        <is>
          <t>なし</t>
        </is>
      </c>
      <c r="AE202" s="7" t="inlineStr">
        <is>
          <t>あり</t>
        </is>
      </c>
      <c r="AF202" s="7" t="inlineStr">
        <is>
          <t>なし</t>
        </is>
      </c>
      <c r="AG202" s="7" t="inlineStr">
        <is>
          <t>なし</t>
        </is>
      </c>
      <c r="AH202" s="7" t="inlineStr">
        <is>
          <t>なし</t>
        </is>
      </c>
      <c r="AI202" s="7"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2018(平成30)</t>
        </is>
      </c>
      <c r="AQ202" s="60" t="n">
        <v>11</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c r="BU202" s="60" t="n">
        <v>33620</v>
      </c>
      <c r="BV202" s="60" t="n">
        <v>19660</v>
      </c>
      <c r="BW202" s="60" t="n">
        <v>13000</v>
      </c>
      <c r="BX202" s="60" t="n">
        <v>6000</v>
      </c>
      <c r="BY202" s="60" t="n">
        <v>0</v>
      </c>
      <c r="BZ202" s="60" t="n"/>
      <c r="CA202" s="60" t="n"/>
    </row>
    <row r="203">
      <c r="A203" s="60" t="n">
        <v>2022</v>
      </c>
      <c r="B203" s="7" t="n">
        <v>12</v>
      </c>
      <c r="C203" s="7" t="n">
        <v>1</v>
      </c>
      <c r="D203" s="7" t="n">
        <v>17</v>
      </c>
      <c r="E203" s="7" t="inlineStr">
        <is>
          <t>あり</t>
        </is>
      </c>
      <c r="F203" s="7" t="inlineStr">
        <is>
          <t>30歳以上</t>
        </is>
      </c>
      <c r="G203" s="7" t="n">
        <v>2018</v>
      </c>
      <c r="H203" s="7" t="n">
        <v>11</v>
      </c>
      <c r="I203" s="7" t="inlineStr">
        <is>
          <t>DJ5FS</t>
        </is>
      </c>
      <c r="J203" s="7" t="inlineStr">
        <is>
          <t>なし</t>
        </is>
      </c>
      <c r="K203" s="7" t="n">
        <v>1962</v>
      </c>
      <c r="L203" s="15" t="n">
        <v>12</v>
      </c>
      <c r="M203" s="7" t="n">
        <v>1</v>
      </c>
      <c r="N203" s="7" t="inlineStr">
        <is>
          <t>関東</t>
        </is>
      </c>
      <c r="O203" s="7" t="inlineStr">
        <is>
          <t>ゴールド</t>
        </is>
      </c>
      <c r="P203" s="7" t="inlineStr">
        <is>
          <t>日常</t>
        </is>
      </c>
      <c r="Q203" s="7" t="n">
        <v>3000</v>
      </c>
      <c r="R203" s="7" t="inlineStr">
        <is>
          <t>30歳以上</t>
        </is>
      </c>
      <c r="S203" s="7" t="inlineStr">
        <is>
          <t>本配</t>
        </is>
      </c>
      <c r="T203" s="7" t="inlineStr">
        <is>
          <t>無制限</t>
        </is>
      </c>
      <c r="U203" s="7" t="inlineStr">
        <is>
          <t>なし</t>
        </is>
      </c>
      <c r="V203" s="7" t="n">
        <v>1000</v>
      </c>
      <c r="W203" s="7" t="inlineStr">
        <is>
          <t>車内外</t>
        </is>
      </c>
      <c r="X203" s="7" t="n">
        <v>3000</v>
      </c>
      <c r="Y203" s="7" t="inlineStr">
        <is>
          <t>一般</t>
        </is>
      </c>
      <c r="Z203" s="7" t="n">
        <v>110</v>
      </c>
      <c r="AA203" s="7" t="inlineStr">
        <is>
          <t>免責金額なし</t>
        </is>
      </c>
      <c r="AB203" s="7" t="inlineStr">
        <is>
          <t>なし</t>
        </is>
      </c>
      <c r="AC203" s="7" t="inlineStr">
        <is>
          <t>なし</t>
        </is>
      </c>
      <c r="AD203" s="7" t="inlineStr">
        <is>
          <t>なし</t>
        </is>
      </c>
      <c r="AE203" s="7" t="inlineStr">
        <is>
          <t>あり</t>
        </is>
      </c>
      <c r="AF203" s="7" t="inlineStr">
        <is>
          <t>なし</t>
        </is>
      </c>
      <c r="AG203" s="7" t="inlineStr">
        <is>
          <t>なし</t>
        </is>
      </c>
      <c r="AH203" s="7" t="inlineStr">
        <is>
          <t>なし</t>
        </is>
      </c>
      <c r="AI203" s="7"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2018(平成30)</t>
        </is>
      </c>
      <c r="AQ203" s="60" t="n">
        <v>11</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c r="BU203" s="60" t="n">
        <v>36460</v>
      </c>
      <c r="BV203" s="60" t="n">
        <v>20490</v>
      </c>
      <c r="BW203" s="60" t="n">
        <v>13000</v>
      </c>
      <c r="BX203" s="60" t="n">
        <v>6000</v>
      </c>
      <c r="BY203" s="60" t="n">
        <v>0</v>
      </c>
      <c r="BZ203" s="60" t="n"/>
      <c r="CA203" s="60" t="n"/>
    </row>
    <row r="204">
      <c r="A204" s="60" t="n">
        <v>2022</v>
      </c>
      <c r="B204" s="7" t="n">
        <v>12</v>
      </c>
      <c r="C204" s="7" t="n">
        <v>1</v>
      </c>
      <c r="D204" s="7" t="n">
        <v>17</v>
      </c>
      <c r="E204" s="7" t="inlineStr">
        <is>
          <t>あり</t>
        </is>
      </c>
      <c r="F204" s="7" t="inlineStr">
        <is>
          <t>30歳以上</t>
        </is>
      </c>
      <c r="G204" s="7" t="n">
        <v>2018</v>
      </c>
      <c r="H204" s="7" t="n">
        <v>11</v>
      </c>
      <c r="I204" s="7" t="inlineStr">
        <is>
          <t>DJ5FS</t>
        </is>
      </c>
      <c r="J204" s="7" t="inlineStr">
        <is>
          <t>なし</t>
        </is>
      </c>
      <c r="K204" s="7" t="n">
        <v>1952</v>
      </c>
      <c r="L204" s="15" t="n">
        <v>12</v>
      </c>
      <c r="M204" s="7" t="n">
        <v>1</v>
      </c>
      <c r="N204" s="7" t="inlineStr">
        <is>
          <t>関東</t>
        </is>
      </c>
      <c r="O204" s="7" t="inlineStr">
        <is>
          <t>ゴールド</t>
        </is>
      </c>
      <c r="P204" s="7" t="inlineStr">
        <is>
          <t>日常</t>
        </is>
      </c>
      <c r="Q204" s="7" t="n">
        <v>3000</v>
      </c>
      <c r="R204" s="7" t="inlineStr">
        <is>
          <t>30歳以上</t>
        </is>
      </c>
      <c r="S204" s="7" t="inlineStr">
        <is>
          <t>本配</t>
        </is>
      </c>
      <c r="T204" s="7" t="inlineStr">
        <is>
          <t>無制限</t>
        </is>
      </c>
      <c r="U204" s="7" t="inlineStr">
        <is>
          <t>なし</t>
        </is>
      </c>
      <c r="V204" s="7" t="n">
        <v>1000</v>
      </c>
      <c r="W204" s="7" t="inlineStr">
        <is>
          <t>車内外</t>
        </is>
      </c>
      <c r="X204" s="7" t="n">
        <v>3000</v>
      </c>
      <c r="Y204" s="7" t="inlineStr">
        <is>
          <t>一般</t>
        </is>
      </c>
      <c r="Z204" s="7" t="n">
        <v>110</v>
      </c>
      <c r="AA204" s="7" t="inlineStr">
        <is>
          <t>免責金額なし</t>
        </is>
      </c>
      <c r="AB204" s="7" t="inlineStr">
        <is>
          <t>なし</t>
        </is>
      </c>
      <c r="AC204" s="7" t="inlineStr">
        <is>
          <t>なし</t>
        </is>
      </c>
      <c r="AD204" s="7" t="inlineStr">
        <is>
          <t>なし</t>
        </is>
      </c>
      <c r="AE204" s="7" t="inlineStr">
        <is>
          <t>あり</t>
        </is>
      </c>
      <c r="AF204" s="7" t="inlineStr">
        <is>
          <t>なし</t>
        </is>
      </c>
      <c r="AG204" s="7" t="inlineStr">
        <is>
          <t>なし</t>
        </is>
      </c>
      <c r="AH204" s="7" t="inlineStr">
        <is>
          <t>なし</t>
        </is>
      </c>
      <c r="AI204" s="7"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2018(平成30)</t>
        </is>
      </c>
      <c r="AQ204" s="60" t="n">
        <v>11</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c r="BU204" s="60" t="n">
        <v>44180</v>
      </c>
      <c r="BV204" s="60" t="n">
        <v>22050</v>
      </c>
      <c r="BW204" s="60" t="n">
        <v>15000</v>
      </c>
      <c r="BX204" s="60" t="n">
        <v>9000</v>
      </c>
      <c r="BY204" s="60" t="n">
        <v>0</v>
      </c>
      <c r="BZ204" s="60" t="n"/>
      <c r="CA204" s="60" t="n"/>
    </row>
    <row r="205">
      <c r="A205" s="60" t="n">
        <v>2022</v>
      </c>
      <c r="B205" s="7" t="n">
        <v>12</v>
      </c>
      <c r="C205" s="7" t="n">
        <v>1</v>
      </c>
      <c r="D205" s="7" t="n">
        <v>17</v>
      </c>
      <c r="E205" s="7" t="inlineStr">
        <is>
          <t>あり</t>
        </is>
      </c>
      <c r="F205" s="7" t="inlineStr">
        <is>
          <t>30歳以上</t>
        </is>
      </c>
      <c r="G205" s="7" t="n">
        <v>2018</v>
      </c>
      <c r="H205" s="7" t="n">
        <v>11</v>
      </c>
      <c r="I205" s="7" t="inlineStr">
        <is>
          <t>DJ5FS</t>
        </is>
      </c>
      <c r="J205" s="7" t="inlineStr">
        <is>
          <t>なし</t>
        </is>
      </c>
      <c r="K205" s="7" t="n">
        <v>1992</v>
      </c>
      <c r="L205" s="15" t="n">
        <v>12</v>
      </c>
      <c r="M205" s="7" t="n">
        <v>1</v>
      </c>
      <c r="N205" s="7" t="inlineStr">
        <is>
          <t>関東</t>
        </is>
      </c>
      <c r="O205" s="7" t="inlineStr">
        <is>
          <t>ゴールド</t>
        </is>
      </c>
      <c r="P205" s="7" t="inlineStr">
        <is>
          <t>日常</t>
        </is>
      </c>
      <c r="Q205" s="7" t="n">
        <v>7000</v>
      </c>
      <c r="R205" s="7" t="inlineStr">
        <is>
          <t>30歳以上</t>
        </is>
      </c>
      <c r="S205" s="7" t="inlineStr">
        <is>
          <t>本配</t>
        </is>
      </c>
      <c r="T205" s="7" t="inlineStr">
        <is>
          <t>無制限</t>
        </is>
      </c>
      <c r="U205" s="7" t="inlineStr">
        <is>
          <t>なし</t>
        </is>
      </c>
      <c r="V205" s="7" t="n">
        <v>1000</v>
      </c>
      <c r="W205" s="7" t="inlineStr">
        <is>
          <t>車内外</t>
        </is>
      </c>
      <c r="X205" s="7" t="n">
        <v>3000</v>
      </c>
      <c r="Y205" s="7" t="inlineStr">
        <is>
          <t>一般</t>
        </is>
      </c>
      <c r="Z205" s="7" t="n">
        <v>110</v>
      </c>
      <c r="AA205" s="7" t="inlineStr">
        <is>
          <t>免責金額なし</t>
        </is>
      </c>
      <c r="AB205" s="7" t="inlineStr">
        <is>
          <t>なし</t>
        </is>
      </c>
      <c r="AC205" s="7" t="inlineStr">
        <is>
          <t>なし</t>
        </is>
      </c>
      <c r="AD205" s="7" t="inlineStr">
        <is>
          <t>なし</t>
        </is>
      </c>
      <c r="AE205" s="7" t="inlineStr">
        <is>
          <t>あり</t>
        </is>
      </c>
      <c r="AF205" s="7" t="inlineStr">
        <is>
          <t>なし</t>
        </is>
      </c>
      <c r="AG205" s="7" t="inlineStr">
        <is>
          <t>なし</t>
        </is>
      </c>
      <c r="AH205" s="7" t="inlineStr">
        <is>
          <t>なし</t>
        </is>
      </c>
      <c r="AI205" s="7"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2018(平成30)</t>
        </is>
      </c>
      <c r="AQ205" s="60" t="n">
        <v>11</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c r="BU205" s="60" t="n">
        <v>39500</v>
      </c>
      <c r="BV205" s="60" t="n">
        <v>20830</v>
      </c>
      <c r="BW205" s="60" t="n">
        <v>13000</v>
      </c>
      <c r="BX205" s="60" t="n">
        <v>9000</v>
      </c>
      <c r="BY205" s="60" t="n">
        <v>0</v>
      </c>
      <c r="BZ205" s="60" t="n"/>
      <c r="CA205" s="60" t="n"/>
    </row>
    <row r="206">
      <c r="A206" s="60" t="n">
        <v>2022</v>
      </c>
      <c r="B206" s="7" t="n">
        <v>12</v>
      </c>
      <c r="C206" s="7" t="n">
        <v>1</v>
      </c>
      <c r="D206" s="7" t="n">
        <v>17</v>
      </c>
      <c r="E206" s="7" t="inlineStr">
        <is>
          <t>あり</t>
        </is>
      </c>
      <c r="F206" s="7" t="inlineStr">
        <is>
          <t>30歳以上</t>
        </is>
      </c>
      <c r="G206" s="7" t="n">
        <v>2018</v>
      </c>
      <c r="H206" s="7" t="n">
        <v>11</v>
      </c>
      <c r="I206" s="7" t="inlineStr">
        <is>
          <t>DJ5FS</t>
        </is>
      </c>
      <c r="J206" s="7" t="inlineStr">
        <is>
          <t>なし</t>
        </is>
      </c>
      <c r="K206" s="7" t="n">
        <v>1987</v>
      </c>
      <c r="L206" s="15" t="n">
        <v>12</v>
      </c>
      <c r="M206" s="7" t="n">
        <v>1</v>
      </c>
      <c r="N206" s="7" t="inlineStr">
        <is>
          <t>関東</t>
        </is>
      </c>
      <c r="O206" s="7" t="inlineStr">
        <is>
          <t>ゴールド</t>
        </is>
      </c>
      <c r="P206" s="7" t="inlineStr">
        <is>
          <t>日常</t>
        </is>
      </c>
      <c r="Q206" s="7" t="n">
        <v>7000</v>
      </c>
      <c r="R206" s="7" t="inlineStr">
        <is>
          <t>30歳以上</t>
        </is>
      </c>
      <c r="S206" s="7" t="inlineStr">
        <is>
          <t>本配</t>
        </is>
      </c>
      <c r="T206" s="7" t="inlineStr">
        <is>
          <t>無制限</t>
        </is>
      </c>
      <c r="U206" s="7" t="inlineStr">
        <is>
          <t>なし</t>
        </is>
      </c>
      <c r="V206" s="7" t="n">
        <v>1000</v>
      </c>
      <c r="W206" s="7" t="inlineStr">
        <is>
          <t>車内外</t>
        </is>
      </c>
      <c r="X206" s="7" t="n">
        <v>3000</v>
      </c>
      <c r="Y206" s="7" t="inlineStr">
        <is>
          <t>一般</t>
        </is>
      </c>
      <c r="Z206" s="7" t="n">
        <v>110</v>
      </c>
      <c r="AA206" s="7" t="inlineStr">
        <is>
          <t>免責金額なし</t>
        </is>
      </c>
      <c r="AB206" s="7" t="inlineStr">
        <is>
          <t>なし</t>
        </is>
      </c>
      <c r="AC206" s="7" t="inlineStr">
        <is>
          <t>なし</t>
        </is>
      </c>
      <c r="AD206" s="7" t="inlineStr">
        <is>
          <t>なし</t>
        </is>
      </c>
      <c r="AE206" s="7" t="inlineStr">
        <is>
          <t>あり</t>
        </is>
      </c>
      <c r="AF206" s="7" t="inlineStr">
        <is>
          <t>なし</t>
        </is>
      </c>
      <c r="AG206" s="7" t="inlineStr">
        <is>
          <t>なし</t>
        </is>
      </c>
      <c r="AH206" s="7" t="inlineStr">
        <is>
          <t>なし</t>
        </is>
      </c>
      <c r="AI206" s="7"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2018(平成30)</t>
        </is>
      </c>
      <c r="AQ206" s="60" t="n">
        <v>11</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c r="BU206" s="60" t="n">
        <v>39210</v>
      </c>
      <c r="BV206" s="60" t="n">
        <v>20700</v>
      </c>
      <c r="BW206" s="60" t="n">
        <v>13000</v>
      </c>
      <c r="BX206" s="60" t="n">
        <v>9000</v>
      </c>
      <c r="BY206" s="60" t="n">
        <v>0</v>
      </c>
      <c r="BZ206" s="60" t="n"/>
      <c r="CA206" s="60" t="n"/>
    </row>
    <row r="207">
      <c r="A207" s="60" t="n">
        <v>2022</v>
      </c>
      <c r="B207" s="7" t="n">
        <v>12</v>
      </c>
      <c r="C207" s="7" t="n">
        <v>1</v>
      </c>
      <c r="D207" s="7" t="n">
        <v>17</v>
      </c>
      <c r="E207" s="7" t="inlineStr">
        <is>
          <t>あり</t>
        </is>
      </c>
      <c r="F207" s="7" t="inlineStr">
        <is>
          <t>30歳以上</t>
        </is>
      </c>
      <c r="G207" s="7" t="n">
        <v>2018</v>
      </c>
      <c r="H207" s="7" t="n">
        <v>11</v>
      </c>
      <c r="I207" s="7" t="inlineStr">
        <is>
          <t>DJ5FS</t>
        </is>
      </c>
      <c r="J207" s="7" t="inlineStr">
        <is>
          <t>なし</t>
        </is>
      </c>
      <c r="K207" s="7" t="n">
        <v>1982</v>
      </c>
      <c r="L207" s="15" t="n">
        <v>12</v>
      </c>
      <c r="M207" s="7" t="n">
        <v>1</v>
      </c>
      <c r="N207" s="7" t="inlineStr">
        <is>
          <t>関東</t>
        </is>
      </c>
      <c r="O207" s="7" t="inlineStr">
        <is>
          <t>ゴールド</t>
        </is>
      </c>
      <c r="P207" s="7" t="inlineStr">
        <is>
          <t>日常</t>
        </is>
      </c>
      <c r="Q207" s="7" t="n">
        <v>7000</v>
      </c>
      <c r="R207" s="7" t="inlineStr">
        <is>
          <t>30歳以上</t>
        </is>
      </c>
      <c r="S207" s="7" t="inlineStr">
        <is>
          <t>本配</t>
        </is>
      </c>
      <c r="T207" s="7" t="inlineStr">
        <is>
          <t>無制限</t>
        </is>
      </c>
      <c r="U207" s="7" t="inlineStr">
        <is>
          <t>なし</t>
        </is>
      </c>
      <c r="V207" s="7" t="n">
        <v>1000</v>
      </c>
      <c r="W207" s="7" t="inlineStr">
        <is>
          <t>車内外</t>
        </is>
      </c>
      <c r="X207" s="7" t="n">
        <v>3000</v>
      </c>
      <c r="Y207" s="7" t="inlineStr">
        <is>
          <t>一般</t>
        </is>
      </c>
      <c r="Z207" s="7" t="n">
        <v>110</v>
      </c>
      <c r="AA207" s="7" t="inlineStr">
        <is>
          <t>免責金額なし</t>
        </is>
      </c>
      <c r="AB207" s="7" t="inlineStr">
        <is>
          <t>なし</t>
        </is>
      </c>
      <c r="AC207" s="7" t="inlineStr">
        <is>
          <t>なし</t>
        </is>
      </c>
      <c r="AD207" s="7" t="inlineStr">
        <is>
          <t>なし</t>
        </is>
      </c>
      <c r="AE207" s="7" t="inlineStr">
        <is>
          <t>あり</t>
        </is>
      </c>
      <c r="AF207" s="7" t="inlineStr">
        <is>
          <t>なし</t>
        </is>
      </c>
      <c r="AG207" s="7" t="inlineStr">
        <is>
          <t>なし</t>
        </is>
      </c>
      <c r="AH207" s="7" t="inlineStr">
        <is>
          <t>なし</t>
        </is>
      </c>
      <c r="AI207" s="7"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2018(平成30)</t>
        </is>
      </c>
      <c r="AQ207" s="60" t="n">
        <v>11</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c r="BU207" s="60" t="n">
        <v>39600</v>
      </c>
      <c r="BV207" s="60" t="n">
        <v>20960</v>
      </c>
      <c r="BW207" s="60" t="n">
        <v>13000</v>
      </c>
      <c r="BX207" s="60" t="n">
        <v>9000</v>
      </c>
      <c r="BY207" s="60" t="n">
        <v>0</v>
      </c>
      <c r="BZ207" s="60" t="n"/>
      <c r="CA207" s="60" t="n"/>
    </row>
    <row r="208">
      <c r="A208" s="60" t="n">
        <v>2022</v>
      </c>
      <c r="B208" s="7" t="n">
        <v>12</v>
      </c>
      <c r="C208" s="7" t="n">
        <v>1</v>
      </c>
      <c r="D208" s="7" t="n">
        <v>17</v>
      </c>
      <c r="E208" s="7" t="inlineStr">
        <is>
          <t>あり</t>
        </is>
      </c>
      <c r="F208" s="7" t="inlineStr">
        <is>
          <t>30歳以上</t>
        </is>
      </c>
      <c r="G208" s="7" t="n">
        <v>2018</v>
      </c>
      <c r="H208" s="7" t="n">
        <v>11</v>
      </c>
      <c r="I208" s="7" t="inlineStr">
        <is>
          <t>DJ5FS</t>
        </is>
      </c>
      <c r="J208" s="7" t="inlineStr">
        <is>
          <t>なし</t>
        </is>
      </c>
      <c r="K208" s="7" t="n">
        <v>1977</v>
      </c>
      <c r="L208" s="15" t="n">
        <v>12</v>
      </c>
      <c r="M208" s="7" t="n">
        <v>1</v>
      </c>
      <c r="N208" s="7" t="inlineStr">
        <is>
          <t>関東</t>
        </is>
      </c>
      <c r="O208" s="7" t="inlineStr">
        <is>
          <t>ゴールド</t>
        </is>
      </c>
      <c r="P208" s="7" t="inlineStr">
        <is>
          <t>日常</t>
        </is>
      </c>
      <c r="Q208" s="7" t="n">
        <v>7000</v>
      </c>
      <c r="R208" s="7" t="inlineStr">
        <is>
          <t>30歳以上</t>
        </is>
      </c>
      <c r="S208" s="7" t="inlineStr">
        <is>
          <t>本配</t>
        </is>
      </c>
      <c r="T208" s="7" t="inlineStr">
        <is>
          <t>無制限</t>
        </is>
      </c>
      <c r="U208" s="7" t="inlineStr">
        <is>
          <t>なし</t>
        </is>
      </c>
      <c r="V208" s="7" t="n">
        <v>1000</v>
      </c>
      <c r="W208" s="7" t="inlineStr">
        <is>
          <t>車内外</t>
        </is>
      </c>
      <c r="X208" s="7" t="n">
        <v>3000</v>
      </c>
      <c r="Y208" s="7" t="inlineStr">
        <is>
          <t>一般</t>
        </is>
      </c>
      <c r="Z208" s="7" t="n">
        <v>110</v>
      </c>
      <c r="AA208" s="7" t="inlineStr">
        <is>
          <t>免責金額なし</t>
        </is>
      </c>
      <c r="AB208" s="7" t="inlineStr">
        <is>
          <t>なし</t>
        </is>
      </c>
      <c r="AC208" s="7" t="inlineStr">
        <is>
          <t>なし</t>
        </is>
      </c>
      <c r="AD208" s="7" t="inlineStr">
        <is>
          <t>なし</t>
        </is>
      </c>
      <c r="AE208" s="7" t="inlineStr">
        <is>
          <t>あり</t>
        </is>
      </c>
      <c r="AF208" s="7" t="inlineStr">
        <is>
          <t>なし</t>
        </is>
      </c>
      <c r="AG208" s="7" t="inlineStr">
        <is>
          <t>なし</t>
        </is>
      </c>
      <c r="AH208" s="7" t="inlineStr">
        <is>
          <t>なし</t>
        </is>
      </c>
      <c r="AI208" s="7"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2018(平成30)</t>
        </is>
      </c>
      <c r="AQ208" s="60" t="n">
        <v>11</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c r="BU208" s="60" t="n">
        <v>40570</v>
      </c>
      <c r="BV208" s="60" t="n">
        <v>21040</v>
      </c>
      <c r="BW208" s="60" t="n">
        <v>13000</v>
      </c>
      <c r="BX208" s="60" t="n">
        <v>9000</v>
      </c>
      <c r="BY208" s="60" t="n">
        <v>0</v>
      </c>
      <c r="BZ208" s="60" t="n"/>
      <c r="CA208" s="60" t="n"/>
    </row>
    <row r="209">
      <c r="A209" s="60" t="n">
        <v>2022</v>
      </c>
      <c r="B209" s="7" t="n">
        <v>12</v>
      </c>
      <c r="C209" s="7" t="n">
        <v>1</v>
      </c>
      <c r="D209" s="7" t="n">
        <v>17</v>
      </c>
      <c r="E209" s="7" t="inlineStr">
        <is>
          <t>あり</t>
        </is>
      </c>
      <c r="F209" s="7" t="inlineStr">
        <is>
          <t>30歳以上</t>
        </is>
      </c>
      <c r="G209" s="7" t="n">
        <v>2018</v>
      </c>
      <c r="H209" s="7" t="n">
        <v>11</v>
      </c>
      <c r="I209" s="7" t="inlineStr">
        <is>
          <t>DJ5FS</t>
        </is>
      </c>
      <c r="J209" s="7" t="inlineStr">
        <is>
          <t>なし</t>
        </is>
      </c>
      <c r="K209" s="7" t="n">
        <v>1972</v>
      </c>
      <c r="L209" s="15" t="n">
        <v>12</v>
      </c>
      <c r="M209" s="7" t="n">
        <v>1</v>
      </c>
      <c r="N209" s="7" t="inlineStr">
        <is>
          <t>関東</t>
        </is>
      </c>
      <c r="O209" s="7" t="inlineStr">
        <is>
          <t>ゴールド</t>
        </is>
      </c>
      <c r="P209" s="7" t="inlineStr">
        <is>
          <t>日常</t>
        </is>
      </c>
      <c r="Q209" s="7" t="n">
        <v>7000</v>
      </c>
      <c r="R209" s="7" t="inlineStr">
        <is>
          <t>30歳以上</t>
        </is>
      </c>
      <c r="S209" s="7" t="inlineStr">
        <is>
          <t>本配</t>
        </is>
      </c>
      <c r="T209" s="7" t="inlineStr">
        <is>
          <t>無制限</t>
        </is>
      </c>
      <c r="U209" s="7" t="inlineStr">
        <is>
          <t>なし</t>
        </is>
      </c>
      <c r="V209" s="7" t="n">
        <v>1000</v>
      </c>
      <c r="W209" s="7" t="inlineStr">
        <is>
          <t>車内外</t>
        </is>
      </c>
      <c r="X209" s="7" t="n">
        <v>3000</v>
      </c>
      <c r="Y209" s="7" t="inlineStr">
        <is>
          <t>一般</t>
        </is>
      </c>
      <c r="Z209" s="7" t="n">
        <v>110</v>
      </c>
      <c r="AA209" s="7" t="inlineStr">
        <is>
          <t>免責金額なし</t>
        </is>
      </c>
      <c r="AB209" s="7" t="inlineStr">
        <is>
          <t>なし</t>
        </is>
      </c>
      <c r="AC209" s="7" t="inlineStr">
        <is>
          <t>なし</t>
        </is>
      </c>
      <c r="AD209" s="7" t="inlineStr">
        <is>
          <t>なし</t>
        </is>
      </c>
      <c r="AE209" s="7" t="inlineStr">
        <is>
          <t>あり</t>
        </is>
      </c>
      <c r="AF209" s="7" t="inlineStr">
        <is>
          <t>なし</t>
        </is>
      </c>
      <c r="AG209" s="7" t="inlineStr">
        <is>
          <t>なし</t>
        </is>
      </c>
      <c r="AH209" s="7" t="inlineStr">
        <is>
          <t>なし</t>
        </is>
      </c>
      <c r="AI209" s="7"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2018(平成30)</t>
        </is>
      </c>
      <c r="AQ209" s="60" t="n">
        <v>11</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c r="BU209" s="60" t="inlineStr">
        <is>
          <t>E</t>
        </is>
      </c>
      <c r="BV209" s="60"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chrome=103.0.5060.134)
Stacktrace:
Backtrace:
	Ordinal0 [0x00C35FD3+2187219]
	Ordinal0 [0x00BCE6D1+1763025]
	Ordinal0 [0x00AE3E78+802424]
	Ordinal0 [0x00B11C10+990224]
	Ordinal0 [0x00B11EAB+990891]
	Ordinal0 [0x00B3EC92+1174674]
	Ordinal0 [0x00B2CBD4+1100756]
	Ordinal0 [0x00B3CFC2+1167298]
	Ordinal0 [0x00B2C9A6+1100198]
	Ordinal0 [0x00B06F80+946048]
	Ordinal0 [0x00B07E76+949878]
	GetHandleVerifier [0x00ED90C2+2721218]
	GetHandleVerifier [0x00ECAAF0+2662384]
	GetHandleVerifier [0x00CC137A+526458]
	GetHandleVerifier [0x00CC0416+522518]
	Ordinal0 [0x00BD4EAB+1789611]
	Ordinal0 [0x00BD97A8+1808296]
	Ordinal0 [0x00BD9895+1808533]
	Ordinal0 [0x00BE26C1+1844929]
	BaseThreadInitThunk [0x7715FA29+25]
	RtlGetAppContainerNamedObjectPath [0x772A7BBE+286]
	RtlGetAppContainerNamedObjectPath [0x772A7B8E+238]
</t>
        </is>
      </c>
      <c r="BW209" s="60" t="n"/>
      <c r="BX209" s="60" t="n"/>
      <c r="BY209" s="60" t="n"/>
      <c r="BZ209" s="60" t="n"/>
      <c r="CA209" s="60" t="n"/>
    </row>
    <row r="210">
      <c r="A210" s="60" t="n">
        <v>2022</v>
      </c>
      <c r="B210" s="7" t="n">
        <v>12</v>
      </c>
      <c r="C210" s="7" t="n">
        <v>1</v>
      </c>
      <c r="D210" s="7" t="n">
        <v>17</v>
      </c>
      <c r="E210" s="7" t="inlineStr">
        <is>
          <t>あり</t>
        </is>
      </c>
      <c r="F210" s="7" t="inlineStr">
        <is>
          <t>30歳以上</t>
        </is>
      </c>
      <c r="G210" s="7" t="n">
        <v>2018</v>
      </c>
      <c r="H210" s="7" t="n">
        <v>11</v>
      </c>
      <c r="I210" s="7" t="inlineStr">
        <is>
          <t>DJ5FS</t>
        </is>
      </c>
      <c r="J210" s="7" t="inlineStr">
        <is>
          <t>なし</t>
        </is>
      </c>
      <c r="K210" s="7" t="n">
        <v>1962</v>
      </c>
      <c r="L210" s="15" t="n">
        <v>12</v>
      </c>
      <c r="M210" s="7" t="n">
        <v>1</v>
      </c>
      <c r="N210" s="7" t="inlineStr">
        <is>
          <t>関東</t>
        </is>
      </c>
      <c r="O210" s="7" t="inlineStr">
        <is>
          <t>ゴールド</t>
        </is>
      </c>
      <c r="P210" s="7" t="inlineStr">
        <is>
          <t>日常</t>
        </is>
      </c>
      <c r="Q210" s="7" t="n">
        <v>7000</v>
      </c>
      <c r="R210" s="7" t="inlineStr">
        <is>
          <t>30歳以上</t>
        </is>
      </c>
      <c r="S210" s="7" t="inlineStr">
        <is>
          <t>本配</t>
        </is>
      </c>
      <c r="T210" s="7" t="inlineStr">
        <is>
          <t>無制限</t>
        </is>
      </c>
      <c r="U210" s="7" t="inlineStr">
        <is>
          <t>なし</t>
        </is>
      </c>
      <c r="V210" s="7" t="n">
        <v>1000</v>
      </c>
      <c r="W210" s="7" t="inlineStr">
        <is>
          <t>車内外</t>
        </is>
      </c>
      <c r="X210" s="7" t="n">
        <v>3000</v>
      </c>
      <c r="Y210" s="7" t="inlineStr">
        <is>
          <t>一般</t>
        </is>
      </c>
      <c r="Z210" s="7" t="n">
        <v>110</v>
      </c>
      <c r="AA210" s="7" t="inlineStr">
        <is>
          <t>免責金額なし</t>
        </is>
      </c>
      <c r="AB210" s="7" t="inlineStr">
        <is>
          <t>なし</t>
        </is>
      </c>
      <c r="AC210" s="7" t="inlineStr">
        <is>
          <t>なし</t>
        </is>
      </c>
      <c r="AD210" s="7" t="inlineStr">
        <is>
          <t>なし</t>
        </is>
      </c>
      <c r="AE210" s="7" t="inlineStr">
        <is>
          <t>あり</t>
        </is>
      </c>
      <c r="AF210" s="7" t="inlineStr">
        <is>
          <t>なし</t>
        </is>
      </c>
      <c r="AG210" s="7" t="inlineStr">
        <is>
          <t>なし</t>
        </is>
      </c>
      <c r="AH210" s="7" t="inlineStr">
        <is>
          <t>なし</t>
        </is>
      </c>
      <c r="AI210" s="7"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2018(平成30)</t>
        </is>
      </c>
      <c r="AQ210" s="60" t="n">
        <v>11</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c r="BU210" s="60" t="n">
        <v>42240</v>
      </c>
      <c r="BV210" s="60" t="n">
        <v>21930</v>
      </c>
      <c r="BW210" s="60" t="n">
        <v>15000</v>
      </c>
      <c r="BX210" s="60" t="n">
        <v>9000</v>
      </c>
      <c r="BY210" s="60" t="n">
        <v>0</v>
      </c>
      <c r="BZ210" s="60" t="n"/>
      <c r="CA210" s="60" t="n"/>
    </row>
    <row r="211">
      <c r="A211" s="60" t="n">
        <v>2022</v>
      </c>
      <c r="B211" s="7" t="n">
        <v>12</v>
      </c>
      <c r="C211" s="7" t="n">
        <v>1</v>
      </c>
      <c r="D211" s="7" t="n">
        <v>17</v>
      </c>
      <c r="E211" s="7" t="inlineStr">
        <is>
          <t>あり</t>
        </is>
      </c>
      <c r="F211" s="7" t="inlineStr">
        <is>
          <t>30歳以上</t>
        </is>
      </c>
      <c r="G211" s="7" t="n">
        <v>2018</v>
      </c>
      <c r="H211" s="7" t="n">
        <v>11</v>
      </c>
      <c r="I211" s="7" t="inlineStr">
        <is>
          <t>DJ5FS</t>
        </is>
      </c>
      <c r="J211" s="7" t="inlineStr">
        <is>
          <t>なし</t>
        </is>
      </c>
      <c r="K211" s="7" t="n">
        <v>1952</v>
      </c>
      <c r="L211" s="15" t="n">
        <v>12</v>
      </c>
      <c r="M211" s="7" t="n">
        <v>1</v>
      </c>
      <c r="N211" s="7" t="inlineStr">
        <is>
          <t>関東</t>
        </is>
      </c>
      <c r="O211" s="7" t="inlineStr">
        <is>
          <t>ゴールド</t>
        </is>
      </c>
      <c r="P211" s="7" t="inlineStr">
        <is>
          <t>日常</t>
        </is>
      </c>
      <c r="Q211" s="7" t="n">
        <v>7000</v>
      </c>
      <c r="R211" s="7" t="inlineStr">
        <is>
          <t>30歳以上</t>
        </is>
      </c>
      <c r="S211" s="7" t="inlineStr">
        <is>
          <t>本配</t>
        </is>
      </c>
      <c r="T211" s="7" t="inlineStr">
        <is>
          <t>無制限</t>
        </is>
      </c>
      <c r="U211" s="7" t="inlineStr">
        <is>
          <t>なし</t>
        </is>
      </c>
      <c r="V211" s="7" t="n">
        <v>1000</v>
      </c>
      <c r="W211" s="7" t="inlineStr">
        <is>
          <t>車内外</t>
        </is>
      </c>
      <c r="X211" s="7" t="n">
        <v>3000</v>
      </c>
      <c r="Y211" s="7" t="inlineStr">
        <is>
          <t>一般</t>
        </is>
      </c>
      <c r="Z211" s="7" t="n">
        <v>110</v>
      </c>
      <c r="AA211" s="7" t="inlineStr">
        <is>
          <t>免責金額なし</t>
        </is>
      </c>
      <c r="AB211" s="7" t="inlineStr">
        <is>
          <t>なし</t>
        </is>
      </c>
      <c r="AC211" s="7" t="inlineStr">
        <is>
          <t>なし</t>
        </is>
      </c>
      <c r="AD211" s="7" t="inlineStr">
        <is>
          <t>なし</t>
        </is>
      </c>
      <c r="AE211" s="7" t="inlineStr">
        <is>
          <t>あり</t>
        </is>
      </c>
      <c r="AF211" s="7" t="inlineStr">
        <is>
          <t>なし</t>
        </is>
      </c>
      <c r="AG211" s="7" t="inlineStr">
        <is>
          <t>なし</t>
        </is>
      </c>
      <c r="AH211" s="7" t="inlineStr">
        <is>
          <t>なし</t>
        </is>
      </c>
      <c r="AI211" s="7"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2018(平成30)</t>
        </is>
      </c>
      <c r="AQ211" s="60" t="n">
        <v>11</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c r="BU211" s="60" t="n">
        <v>52750</v>
      </c>
      <c r="BV211" s="60" t="n">
        <v>27490</v>
      </c>
      <c r="BW211" s="60" t="n">
        <v>16000</v>
      </c>
      <c r="BX211" s="60" t="n">
        <v>9000</v>
      </c>
      <c r="BY211" s="60" t="n">
        <v>0</v>
      </c>
      <c r="BZ211" s="60" t="n"/>
      <c r="CA211" s="60" t="n"/>
    </row>
    <row r="212">
      <c r="A212" s="60" t="n">
        <v>2022</v>
      </c>
      <c r="B212" s="7" t="n">
        <v>12</v>
      </c>
      <c r="C212" s="7" t="n">
        <v>1</v>
      </c>
      <c r="D212" s="7" t="n">
        <v>17</v>
      </c>
      <c r="E212" s="7" t="inlineStr">
        <is>
          <t>あり</t>
        </is>
      </c>
      <c r="F212" s="7" t="inlineStr">
        <is>
          <t>30歳以上</t>
        </is>
      </c>
      <c r="G212" s="7" t="n">
        <v>2018</v>
      </c>
      <c r="H212" s="7" t="n">
        <v>11</v>
      </c>
      <c r="I212" s="7" t="inlineStr">
        <is>
          <t>DJ5FS</t>
        </is>
      </c>
      <c r="J212" s="7" t="inlineStr">
        <is>
          <t>なし</t>
        </is>
      </c>
      <c r="K212" s="7" t="n">
        <v>1992</v>
      </c>
      <c r="L212" s="15" t="n">
        <v>12</v>
      </c>
      <c r="M212" s="7" t="n">
        <v>1</v>
      </c>
      <c r="N212" s="7" t="inlineStr">
        <is>
          <t>関東</t>
        </is>
      </c>
      <c r="O212" s="7" t="inlineStr">
        <is>
          <t>ゴールド</t>
        </is>
      </c>
      <c r="P212" s="7" t="inlineStr">
        <is>
          <t>通勤</t>
        </is>
      </c>
      <c r="Q212" s="7" t="n">
        <v>3000</v>
      </c>
      <c r="R212" s="7" t="inlineStr">
        <is>
          <t>30歳以上</t>
        </is>
      </c>
      <c r="S212" s="7" t="inlineStr">
        <is>
          <t>本配</t>
        </is>
      </c>
      <c r="T212" s="7" t="inlineStr">
        <is>
          <t>無制限</t>
        </is>
      </c>
      <c r="U212" s="7" t="inlineStr">
        <is>
          <t>なし</t>
        </is>
      </c>
      <c r="V212" s="7" t="n">
        <v>1000</v>
      </c>
      <c r="W212" s="7" t="inlineStr">
        <is>
          <t>車内外</t>
        </is>
      </c>
      <c r="X212" s="7" t="n">
        <v>3000</v>
      </c>
      <c r="Y212" s="7" t="inlineStr">
        <is>
          <t>一般</t>
        </is>
      </c>
      <c r="Z212" s="7" t="n">
        <v>110</v>
      </c>
      <c r="AA212" s="7" t="inlineStr">
        <is>
          <t>免責金額なし</t>
        </is>
      </c>
      <c r="AB212" s="7" t="inlineStr">
        <is>
          <t>なし</t>
        </is>
      </c>
      <c r="AC212" s="7" t="inlineStr">
        <is>
          <t>なし</t>
        </is>
      </c>
      <c r="AD212" s="7" t="inlineStr">
        <is>
          <t>なし</t>
        </is>
      </c>
      <c r="AE212" s="7" t="inlineStr">
        <is>
          <t>あり</t>
        </is>
      </c>
      <c r="AF212" s="7" t="inlineStr">
        <is>
          <t>なし</t>
        </is>
      </c>
      <c r="AG212" s="7" t="inlineStr">
        <is>
          <t>なし</t>
        </is>
      </c>
      <c r="AH212" s="7" t="inlineStr">
        <is>
          <t>なし</t>
        </is>
      </c>
      <c r="AI212" s="7"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2018(平成30)</t>
        </is>
      </c>
      <c r="AQ212" s="60" t="n">
        <v>11</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c r="BU212" s="60" t="n">
        <v>42640</v>
      </c>
      <c r="BV212" s="60" t="n">
        <v>22330</v>
      </c>
      <c r="BW212" s="60" t="n">
        <v>15000</v>
      </c>
      <c r="BX212" s="60" t="n">
        <v>9000</v>
      </c>
      <c r="BY212" s="60" t="n">
        <v>0</v>
      </c>
      <c r="BZ212" s="60" t="n"/>
      <c r="CA212" s="60" t="n"/>
    </row>
    <row r="213">
      <c r="A213" s="60" t="n">
        <v>2022</v>
      </c>
      <c r="B213" s="7" t="n">
        <v>12</v>
      </c>
      <c r="C213" s="7" t="n">
        <v>1</v>
      </c>
      <c r="D213" s="7" t="n">
        <v>17</v>
      </c>
      <c r="E213" s="7" t="inlineStr">
        <is>
          <t>あり</t>
        </is>
      </c>
      <c r="F213" s="7" t="inlineStr">
        <is>
          <t>30歳以上</t>
        </is>
      </c>
      <c r="G213" s="7" t="n">
        <v>2018</v>
      </c>
      <c r="H213" s="7" t="n">
        <v>11</v>
      </c>
      <c r="I213" s="7" t="inlineStr">
        <is>
          <t>DJ5FS</t>
        </is>
      </c>
      <c r="J213" s="7" t="inlineStr">
        <is>
          <t>なし</t>
        </is>
      </c>
      <c r="K213" s="7" t="n">
        <v>1987</v>
      </c>
      <c r="L213" s="15" t="n">
        <v>12</v>
      </c>
      <c r="M213" s="7" t="n">
        <v>1</v>
      </c>
      <c r="N213" s="7" t="inlineStr">
        <is>
          <t>関東</t>
        </is>
      </c>
      <c r="O213" s="7" t="inlineStr">
        <is>
          <t>ゴールド</t>
        </is>
      </c>
      <c r="P213" s="7" t="inlineStr">
        <is>
          <t>通勤</t>
        </is>
      </c>
      <c r="Q213" s="7" t="n">
        <v>3000</v>
      </c>
      <c r="R213" s="7" t="inlineStr">
        <is>
          <t>30歳以上</t>
        </is>
      </c>
      <c r="S213" s="7" t="inlineStr">
        <is>
          <t>本配</t>
        </is>
      </c>
      <c r="T213" s="7" t="inlineStr">
        <is>
          <t>無制限</t>
        </is>
      </c>
      <c r="U213" s="7" t="inlineStr">
        <is>
          <t>なし</t>
        </is>
      </c>
      <c r="V213" s="7" t="n">
        <v>1000</v>
      </c>
      <c r="W213" s="7" t="inlineStr">
        <is>
          <t>車内外</t>
        </is>
      </c>
      <c r="X213" s="7" t="n">
        <v>3000</v>
      </c>
      <c r="Y213" s="7" t="inlineStr">
        <is>
          <t>一般</t>
        </is>
      </c>
      <c r="Z213" s="7" t="n">
        <v>110</v>
      </c>
      <c r="AA213" s="7" t="inlineStr">
        <is>
          <t>免責金額なし</t>
        </is>
      </c>
      <c r="AB213" s="7" t="inlineStr">
        <is>
          <t>なし</t>
        </is>
      </c>
      <c r="AC213" s="7" t="inlineStr">
        <is>
          <t>なし</t>
        </is>
      </c>
      <c r="AD213" s="7" t="inlineStr">
        <is>
          <t>なし</t>
        </is>
      </c>
      <c r="AE213" s="7" t="inlineStr">
        <is>
          <t>あり</t>
        </is>
      </c>
      <c r="AF213" s="7" t="inlineStr">
        <is>
          <t>なし</t>
        </is>
      </c>
      <c r="AG213" s="7" t="inlineStr">
        <is>
          <t>なし</t>
        </is>
      </c>
      <c r="AH213" s="7" t="inlineStr">
        <is>
          <t>なし</t>
        </is>
      </c>
      <c r="AI213" s="7"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2018(平成30)</t>
        </is>
      </c>
      <c r="AQ213" s="60" t="n">
        <v>11</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c r="BU213" s="60" t="n">
        <v>42290</v>
      </c>
      <c r="BV213" s="60" t="n">
        <v>22160</v>
      </c>
      <c r="BW213" s="60" t="n">
        <v>15000</v>
      </c>
      <c r="BX213" s="60" t="n">
        <v>9000</v>
      </c>
      <c r="BY213" s="60" t="n">
        <v>0</v>
      </c>
      <c r="BZ213" s="60" t="n"/>
      <c r="CA213" s="60" t="n"/>
    </row>
    <row r="214">
      <c r="A214" s="60" t="n">
        <v>2022</v>
      </c>
      <c r="B214" s="7" t="n">
        <v>12</v>
      </c>
      <c r="C214" s="7" t="n">
        <v>1</v>
      </c>
      <c r="D214" s="7" t="n">
        <v>17</v>
      </c>
      <c r="E214" s="7" t="inlineStr">
        <is>
          <t>あり</t>
        </is>
      </c>
      <c r="F214" s="7" t="inlineStr">
        <is>
          <t>30歳以上</t>
        </is>
      </c>
      <c r="G214" s="7" t="n">
        <v>2018</v>
      </c>
      <c r="H214" s="7" t="n">
        <v>11</v>
      </c>
      <c r="I214" s="7" t="inlineStr">
        <is>
          <t>DJ5FS</t>
        </is>
      </c>
      <c r="J214" s="7" t="inlineStr">
        <is>
          <t>なし</t>
        </is>
      </c>
      <c r="K214" s="7" t="n">
        <v>1982</v>
      </c>
      <c r="L214" s="15" t="n">
        <v>12</v>
      </c>
      <c r="M214" s="7" t="n">
        <v>1</v>
      </c>
      <c r="N214" s="7" t="inlineStr">
        <is>
          <t>関東</t>
        </is>
      </c>
      <c r="O214" s="7" t="inlineStr">
        <is>
          <t>ゴールド</t>
        </is>
      </c>
      <c r="P214" s="7" t="inlineStr">
        <is>
          <t>通勤</t>
        </is>
      </c>
      <c r="Q214" s="7" t="n">
        <v>3000</v>
      </c>
      <c r="R214" s="7" t="inlineStr">
        <is>
          <t>30歳以上</t>
        </is>
      </c>
      <c r="S214" s="7" t="inlineStr">
        <is>
          <t>本配</t>
        </is>
      </c>
      <c r="T214" s="7" t="inlineStr">
        <is>
          <t>無制限</t>
        </is>
      </c>
      <c r="U214" s="7" t="inlineStr">
        <is>
          <t>なし</t>
        </is>
      </c>
      <c r="V214" s="7" t="n">
        <v>1000</v>
      </c>
      <c r="W214" s="7" t="inlineStr">
        <is>
          <t>車内外</t>
        </is>
      </c>
      <c r="X214" s="7" t="n">
        <v>3000</v>
      </c>
      <c r="Y214" s="7" t="inlineStr">
        <is>
          <t>一般</t>
        </is>
      </c>
      <c r="Z214" s="7" t="n">
        <v>110</v>
      </c>
      <c r="AA214" s="7" t="inlineStr">
        <is>
          <t>免責金額なし</t>
        </is>
      </c>
      <c r="AB214" s="7" t="inlineStr">
        <is>
          <t>なし</t>
        </is>
      </c>
      <c r="AC214" s="7" t="inlineStr">
        <is>
          <t>なし</t>
        </is>
      </c>
      <c r="AD214" s="7" t="inlineStr">
        <is>
          <t>なし</t>
        </is>
      </c>
      <c r="AE214" s="7" t="inlineStr">
        <is>
          <t>あり</t>
        </is>
      </c>
      <c r="AF214" s="7" t="inlineStr">
        <is>
          <t>なし</t>
        </is>
      </c>
      <c r="AG214" s="7" t="inlineStr">
        <is>
          <t>なし</t>
        </is>
      </c>
      <c r="AH214" s="7" t="inlineStr">
        <is>
          <t>なし</t>
        </is>
      </c>
      <c r="AI214" s="7"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2018(平成30)</t>
        </is>
      </c>
      <c r="AQ214" s="60" t="n">
        <v>11</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c r="BU214" s="60" t="n">
        <v>42730</v>
      </c>
      <c r="BV214" s="60" t="n">
        <v>22450</v>
      </c>
      <c r="BW214" s="60" t="n">
        <v>15000</v>
      </c>
      <c r="BX214" s="60" t="n">
        <v>9000</v>
      </c>
      <c r="BY214" s="60" t="n">
        <v>0</v>
      </c>
      <c r="BZ214" s="60" t="n"/>
      <c r="CA214" s="60" t="n"/>
    </row>
    <row r="215">
      <c r="A215" s="60" t="n">
        <v>2022</v>
      </c>
      <c r="B215" s="7" t="n">
        <v>12</v>
      </c>
      <c r="C215" s="7" t="n">
        <v>1</v>
      </c>
      <c r="D215" s="7" t="n">
        <v>17</v>
      </c>
      <c r="E215" s="7" t="inlineStr">
        <is>
          <t>あり</t>
        </is>
      </c>
      <c r="F215" s="7" t="inlineStr">
        <is>
          <t>30歳以上</t>
        </is>
      </c>
      <c r="G215" s="7" t="n">
        <v>2018</v>
      </c>
      <c r="H215" s="7" t="n">
        <v>11</v>
      </c>
      <c r="I215" s="7" t="inlineStr">
        <is>
          <t>DJ5FS</t>
        </is>
      </c>
      <c r="J215" s="7" t="inlineStr">
        <is>
          <t>なし</t>
        </is>
      </c>
      <c r="K215" s="7" t="n">
        <v>1977</v>
      </c>
      <c r="L215" s="15" t="n">
        <v>12</v>
      </c>
      <c r="M215" s="7" t="n">
        <v>1</v>
      </c>
      <c r="N215" s="7" t="inlineStr">
        <is>
          <t>関東</t>
        </is>
      </c>
      <c r="O215" s="7" t="inlineStr">
        <is>
          <t>ゴールド</t>
        </is>
      </c>
      <c r="P215" s="7" t="inlineStr">
        <is>
          <t>通勤</t>
        </is>
      </c>
      <c r="Q215" s="7" t="n">
        <v>3000</v>
      </c>
      <c r="R215" s="7" t="inlineStr">
        <is>
          <t>30歳以上</t>
        </is>
      </c>
      <c r="S215" s="7" t="inlineStr">
        <is>
          <t>本配</t>
        </is>
      </c>
      <c r="T215" s="7" t="inlineStr">
        <is>
          <t>無制限</t>
        </is>
      </c>
      <c r="U215" s="7" t="inlineStr">
        <is>
          <t>なし</t>
        </is>
      </c>
      <c r="V215" s="7" t="n">
        <v>1000</v>
      </c>
      <c r="W215" s="7" t="inlineStr">
        <is>
          <t>車内外</t>
        </is>
      </c>
      <c r="X215" s="7" t="n">
        <v>3000</v>
      </c>
      <c r="Y215" s="7" t="inlineStr">
        <is>
          <t>一般</t>
        </is>
      </c>
      <c r="Z215" s="7" t="n">
        <v>110</v>
      </c>
      <c r="AA215" s="7" t="inlineStr">
        <is>
          <t>免責金額なし</t>
        </is>
      </c>
      <c r="AB215" s="7" t="inlineStr">
        <is>
          <t>なし</t>
        </is>
      </c>
      <c r="AC215" s="7" t="inlineStr">
        <is>
          <t>なし</t>
        </is>
      </c>
      <c r="AD215" s="7" t="inlineStr">
        <is>
          <t>なし</t>
        </is>
      </c>
      <c r="AE215" s="7" t="inlineStr">
        <is>
          <t>あり</t>
        </is>
      </c>
      <c r="AF215" s="7" t="inlineStr">
        <is>
          <t>なし</t>
        </is>
      </c>
      <c r="AG215" s="7" t="inlineStr">
        <is>
          <t>なし</t>
        </is>
      </c>
      <c r="AH215" s="7" t="inlineStr">
        <is>
          <t>なし</t>
        </is>
      </c>
      <c r="AI215" s="7"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2018(平成30)</t>
        </is>
      </c>
      <c r="AQ215" s="60" t="n">
        <v>11</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c r="BU215" s="60" t="n">
        <v>43830</v>
      </c>
      <c r="BV215" s="60" t="n">
        <v>22520</v>
      </c>
      <c r="BW215" s="60" t="n">
        <v>15000</v>
      </c>
      <c r="BX215" s="60" t="n">
        <v>9000</v>
      </c>
      <c r="BY215" s="60" t="n">
        <v>0</v>
      </c>
      <c r="BZ215" s="60" t="n"/>
      <c r="CA215" s="60" t="n"/>
    </row>
    <row r="216">
      <c r="A216" s="60" t="n">
        <v>2022</v>
      </c>
      <c r="B216" s="7" t="n">
        <v>12</v>
      </c>
      <c r="C216" s="7" t="n">
        <v>1</v>
      </c>
      <c r="D216" s="7" t="n">
        <v>17</v>
      </c>
      <c r="E216" s="7" t="inlineStr">
        <is>
          <t>あり</t>
        </is>
      </c>
      <c r="F216" s="7" t="inlineStr">
        <is>
          <t>30歳以上</t>
        </is>
      </c>
      <c r="G216" s="7" t="n">
        <v>2018</v>
      </c>
      <c r="H216" s="7" t="n">
        <v>11</v>
      </c>
      <c r="I216" s="7" t="inlineStr">
        <is>
          <t>DJ5FS</t>
        </is>
      </c>
      <c r="J216" s="7" t="inlineStr">
        <is>
          <t>なし</t>
        </is>
      </c>
      <c r="K216" s="7" t="n">
        <v>1972</v>
      </c>
      <c r="L216" s="15" t="n">
        <v>12</v>
      </c>
      <c r="M216" s="7" t="n">
        <v>1</v>
      </c>
      <c r="N216" s="7" t="inlineStr">
        <is>
          <t>関東</t>
        </is>
      </c>
      <c r="O216" s="7" t="inlineStr">
        <is>
          <t>ゴールド</t>
        </is>
      </c>
      <c r="P216" s="7" t="inlineStr">
        <is>
          <t>通勤</t>
        </is>
      </c>
      <c r="Q216" s="7" t="n">
        <v>3000</v>
      </c>
      <c r="R216" s="7" t="inlineStr">
        <is>
          <t>30歳以上</t>
        </is>
      </c>
      <c r="S216" s="7" t="inlineStr">
        <is>
          <t>本配</t>
        </is>
      </c>
      <c r="T216" s="7" t="inlineStr">
        <is>
          <t>無制限</t>
        </is>
      </c>
      <c r="U216" s="7" t="inlineStr">
        <is>
          <t>なし</t>
        </is>
      </c>
      <c r="V216" s="7" t="n">
        <v>1000</v>
      </c>
      <c r="W216" s="7" t="inlineStr">
        <is>
          <t>車内外</t>
        </is>
      </c>
      <c r="X216" s="7" t="n">
        <v>3000</v>
      </c>
      <c r="Y216" s="7" t="inlineStr">
        <is>
          <t>一般</t>
        </is>
      </c>
      <c r="Z216" s="7" t="n">
        <v>110</v>
      </c>
      <c r="AA216" s="7" t="inlineStr">
        <is>
          <t>免責金額なし</t>
        </is>
      </c>
      <c r="AB216" s="7" t="inlineStr">
        <is>
          <t>なし</t>
        </is>
      </c>
      <c r="AC216" s="7" t="inlineStr">
        <is>
          <t>なし</t>
        </is>
      </c>
      <c r="AD216" s="7" t="inlineStr">
        <is>
          <t>なし</t>
        </is>
      </c>
      <c r="AE216" s="7" t="inlineStr">
        <is>
          <t>あり</t>
        </is>
      </c>
      <c r="AF216" s="7" t="inlineStr">
        <is>
          <t>なし</t>
        </is>
      </c>
      <c r="AG216" s="7" t="inlineStr">
        <is>
          <t>なし</t>
        </is>
      </c>
      <c r="AH216" s="7" t="inlineStr">
        <is>
          <t>なし</t>
        </is>
      </c>
      <c r="AI216" s="7"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2018(平成30)</t>
        </is>
      </c>
      <c r="AQ216" s="60" t="n">
        <v>11</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c r="BU216" s="60" t="n">
        <v>44290</v>
      </c>
      <c r="BV216" s="60" t="n">
        <v>22430</v>
      </c>
      <c r="BW216" s="60" t="n">
        <v>15000</v>
      </c>
      <c r="BX216" s="60" t="n">
        <v>9000</v>
      </c>
      <c r="BY216" s="60" t="n">
        <v>0</v>
      </c>
      <c r="BZ216" s="60" t="n"/>
      <c r="CA216" s="60" t="n"/>
    </row>
    <row r="217">
      <c r="A217" s="60" t="n">
        <v>2022</v>
      </c>
      <c r="B217" s="7" t="n">
        <v>12</v>
      </c>
      <c r="C217" s="7" t="n">
        <v>1</v>
      </c>
      <c r="D217" s="7" t="n">
        <v>17</v>
      </c>
      <c r="E217" s="7" t="inlineStr">
        <is>
          <t>あり</t>
        </is>
      </c>
      <c r="F217" s="7" t="inlineStr">
        <is>
          <t>30歳以上</t>
        </is>
      </c>
      <c r="G217" s="7" t="n">
        <v>2018</v>
      </c>
      <c r="H217" s="7" t="n">
        <v>11</v>
      </c>
      <c r="I217" s="7" t="inlineStr">
        <is>
          <t>DJ5FS</t>
        </is>
      </c>
      <c r="J217" s="7" t="inlineStr">
        <is>
          <t>なし</t>
        </is>
      </c>
      <c r="K217" s="7" t="n">
        <v>1962</v>
      </c>
      <c r="L217" s="15" t="n">
        <v>12</v>
      </c>
      <c r="M217" s="7" t="n">
        <v>1</v>
      </c>
      <c r="N217" s="7" t="inlineStr">
        <is>
          <t>関東</t>
        </is>
      </c>
      <c r="O217" s="7" t="inlineStr">
        <is>
          <t>ゴールド</t>
        </is>
      </c>
      <c r="P217" s="7" t="inlineStr">
        <is>
          <t>通勤</t>
        </is>
      </c>
      <c r="Q217" s="7" t="n">
        <v>3000</v>
      </c>
      <c r="R217" s="7" t="inlineStr">
        <is>
          <t>30歳以上</t>
        </is>
      </c>
      <c r="S217" s="7" t="inlineStr">
        <is>
          <t>本配</t>
        </is>
      </c>
      <c r="T217" s="7" t="inlineStr">
        <is>
          <t>無制限</t>
        </is>
      </c>
      <c r="U217" s="7" t="inlineStr">
        <is>
          <t>なし</t>
        </is>
      </c>
      <c r="V217" s="7" t="n">
        <v>1000</v>
      </c>
      <c r="W217" s="7" t="inlineStr">
        <is>
          <t>車内外</t>
        </is>
      </c>
      <c r="X217" s="7" t="n">
        <v>3000</v>
      </c>
      <c r="Y217" s="7" t="inlineStr">
        <is>
          <t>一般</t>
        </is>
      </c>
      <c r="Z217" s="7" t="n">
        <v>110</v>
      </c>
      <c r="AA217" s="7" t="inlineStr">
        <is>
          <t>免責金額なし</t>
        </is>
      </c>
      <c r="AB217" s="7" t="inlineStr">
        <is>
          <t>なし</t>
        </is>
      </c>
      <c r="AC217" s="7" t="inlineStr">
        <is>
          <t>なし</t>
        </is>
      </c>
      <c r="AD217" s="7" t="inlineStr">
        <is>
          <t>なし</t>
        </is>
      </c>
      <c r="AE217" s="7" t="inlineStr">
        <is>
          <t>あり</t>
        </is>
      </c>
      <c r="AF217" s="7" t="inlineStr">
        <is>
          <t>なし</t>
        </is>
      </c>
      <c r="AG217" s="7" t="inlineStr">
        <is>
          <t>なし</t>
        </is>
      </c>
      <c r="AH217" s="7" t="inlineStr">
        <is>
          <t>なし</t>
        </is>
      </c>
      <c r="AI217" s="7"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2018(平成30)</t>
        </is>
      </c>
      <c r="AQ217" s="60" t="n">
        <v>11</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c r="BU217" s="60" t="n">
        <v>47090</v>
      </c>
      <c r="BV217" s="60" t="n">
        <v>23520</v>
      </c>
      <c r="BW217" s="60" t="n">
        <v>16000</v>
      </c>
      <c r="BX217" s="60" t="n">
        <v>9000</v>
      </c>
      <c r="BY217" s="60" t="n">
        <v>0</v>
      </c>
      <c r="BZ217" s="60" t="n"/>
      <c r="CA217" s="60" t="n"/>
    </row>
    <row r="218">
      <c r="A218" s="60" t="n">
        <v>2022</v>
      </c>
      <c r="B218" s="7" t="n">
        <v>12</v>
      </c>
      <c r="C218" s="7" t="n">
        <v>1</v>
      </c>
      <c r="D218" s="7" t="n">
        <v>17</v>
      </c>
      <c r="E218" s="7" t="inlineStr">
        <is>
          <t>あり</t>
        </is>
      </c>
      <c r="F218" s="7" t="inlineStr">
        <is>
          <t>30歳以上</t>
        </is>
      </c>
      <c r="G218" s="7" t="n">
        <v>2018</v>
      </c>
      <c r="H218" s="7" t="n">
        <v>11</v>
      </c>
      <c r="I218" s="7" t="inlineStr">
        <is>
          <t>DJ5FS</t>
        </is>
      </c>
      <c r="J218" s="7" t="inlineStr">
        <is>
          <t>なし</t>
        </is>
      </c>
      <c r="K218" s="7" t="n">
        <v>1952</v>
      </c>
      <c r="L218" s="15" t="n">
        <v>12</v>
      </c>
      <c r="M218" s="7" t="n">
        <v>1</v>
      </c>
      <c r="N218" s="7" t="inlineStr">
        <is>
          <t>関東</t>
        </is>
      </c>
      <c r="O218" s="7" t="inlineStr">
        <is>
          <t>ゴールド</t>
        </is>
      </c>
      <c r="P218" s="7" t="inlineStr">
        <is>
          <t>通勤</t>
        </is>
      </c>
      <c r="Q218" s="7" t="n">
        <v>3000</v>
      </c>
      <c r="R218" s="7" t="inlineStr">
        <is>
          <t>30歳以上</t>
        </is>
      </c>
      <c r="S218" s="7" t="inlineStr">
        <is>
          <t>本配</t>
        </is>
      </c>
      <c r="T218" s="7" t="inlineStr">
        <is>
          <t>無制限</t>
        </is>
      </c>
      <c r="U218" s="7" t="inlineStr">
        <is>
          <t>なし</t>
        </is>
      </c>
      <c r="V218" s="7" t="n">
        <v>1000</v>
      </c>
      <c r="W218" s="7" t="inlineStr">
        <is>
          <t>車内外</t>
        </is>
      </c>
      <c r="X218" s="7" t="n">
        <v>3000</v>
      </c>
      <c r="Y218" s="7" t="inlineStr">
        <is>
          <t>一般</t>
        </is>
      </c>
      <c r="Z218" s="7" t="n">
        <v>110</v>
      </c>
      <c r="AA218" s="7" t="inlineStr">
        <is>
          <t>免責金額なし</t>
        </is>
      </c>
      <c r="AB218" s="7" t="inlineStr">
        <is>
          <t>なし</t>
        </is>
      </c>
      <c r="AC218" s="7" t="inlineStr">
        <is>
          <t>なし</t>
        </is>
      </c>
      <c r="AD218" s="7" t="inlineStr">
        <is>
          <t>なし</t>
        </is>
      </c>
      <c r="AE218" s="7" t="inlineStr">
        <is>
          <t>あり</t>
        </is>
      </c>
      <c r="AF218" s="7" t="inlineStr">
        <is>
          <t>なし</t>
        </is>
      </c>
      <c r="AG218" s="7" t="inlineStr">
        <is>
          <t>なし</t>
        </is>
      </c>
      <c r="AH218" s="7" t="inlineStr">
        <is>
          <t>なし</t>
        </is>
      </c>
      <c r="AI218" s="7"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2018(平成30)</t>
        </is>
      </c>
      <c r="AQ218" s="60" t="n">
        <v>11</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c r="BU218" s="60" t="n">
        <v>60050</v>
      </c>
      <c r="BV218" s="60" t="n">
        <v>29510</v>
      </c>
      <c r="BW218" s="60" t="n">
        <v>16000</v>
      </c>
      <c r="BX218" s="60" t="n">
        <v>9000</v>
      </c>
      <c r="BY218" s="60" t="n">
        <v>0</v>
      </c>
      <c r="BZ218" s="60" t="n"/>
      <c r="CA218" s="60" t="n"/>
    </row>
    <row r="219">
      <c r="A219" s="60" t="n">
        <v>2022</v>
      </c>
      <c r="B219" s="7" t="n">
        <v>12</v>
      </c>
      <c r="C219" s="7" t="n">
        <v>1</v>
      </c>
      <c r="D219" s="7" t="n">
        <v>17</v>
      </c>
      <c r="E219" s="7" t="inlineStr">
        <is>
          <t>あり</t>
        </is>
      </c>
      <c r="F219" s="7" t="inlineStr">
        <is>
          <t>30歳以上</t>
        </is>
      </c>
      <c r="G219" s="7" t="n">
        <v>2018</v>
      </c>
      <c r="H219" s="7" t="n">
        <v>11</v>
      </c>
      <c r="I219" s="7" t="inlineStr">
        <is>
          <t>DJ5FS</t>
        </is>
      </c>
      <c r="J219" s="7" t="inlineStr">
        <is>
          <t>なし</t>
        </is>
      </c>
      <c r="K219" s="7" t="n">
        <v>1992</v>
      </c>
      <c r="L219" s="15" t="n">
        <v>12</v>
      </c>
      <c r="M219" s="7" t="n">
        <v>1</v>
      </c>
      <c r="N219" s="7" t="inlineStr">
        <is>
          <t>関東</t>
        </is>
      </c>
      <c r="O219" s="7" t="inlineStr">
        <is>
          <t>ゴールド</t>
        </is>
      </c>
      <c r="P219" s="7" t="inlineStr">
        <is>
          <t>通勤</t>
        </is>
      </c>
      <c r="Q219" s="7" t="n">
        <v>7000</v>
      </c>
      <c r="R219" s="7" t="inlineStr">
        <is>
          <t>30歳以上</t>
        </is>
      </c>
      <c r="S219" s="7" t="inlineStr">
        <is>
          <t>本配</t>
        </is>
      </c>
      <c r="T219" s="7" t="inlineStr">
        <is>
          <t>無制限</t>
        </is>
      </c>
      <c r="U219" s="7" t="inlineStr">
        <is>
          <t>なし</t>
        </is>
      </c>
      <c r="V219" s="7" t="n">
        <v>1000</v>
      </c>
      <c r="W219" s="7" t="inlineStr">
        <is>
          <t>車内外</t>
        </is>
      </c>
      <c r="X219" s="7" t="n">
        <v>3000</v>
      </c>
      <c r="Y219" s="7" t="inlineStr">
        <is>
          <t>一般</t>
        </is>
      </c>
      <c r="Z219" s="7" t="n">
        <v>110</v>
      </c>
      <c r="AA219" s="7" t="inlineStr">
        <is>
          <t>免責金額なし</t>
        </is>
      </c>
      <c r="AB219" s="7" t="inlineStr">
        <is>
          <t>なし</t>
        </is>
      </c>
      <c r="AC219" s="7" t="inlineStr">
        <is>
          <t>なし</t>
        </is>
      </c>
      <c r="AD219" s="7" t="inlineStr">
        <is>
          <t>なし</t>
        </is>
      </c>
      <c r="AE219" s="7" t="inlineStr">
        <is>
          <t>あり</t>
        </is>
      </c>
      <c r="AF219" s="7" t="inlineStr">
        <is>
          <t>なし</t>
        </is>
      </c>
      <c r="AG219" s="7" t="inlineStr">
        <is>
          <t>なし</t>
        </is>
      </c>
      <c r="AH219" s="7" t="inlineStr">
        <is>
          <t>なし</t>
        </is>
      </c>
      <c r="AI219" s="7"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2018(平成30)</t>
        </is>
      </c>
      <c r="AQ219" s="60" t="n">
        <v>11</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c r="BU219" s="60" t="inlineStr">
        <is>
          <t>E</t>
        </is>
      </c>
      <c r="BV219" s="60" t="inlineStr">
        <is>
          <t xml:space="preserve">Traceback (most recent call last):
  File "C:\Users\syougyou01\Documents\Z\Z_func.py", line 235, in Z_func
    Select(browser.find_element(By.CSS_SELECTOR, '#calculatePremiumForm\:propertyDifferenceExceededClause_plan1')).select_by_visible_text(data['対物LL2'])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219" s="60" t="n"/>
      <c r="BX219" s="60" t="n"/>
      <c r="BY219" s="60" t="n"/>
      <c r="BZ219" s="60" t="n"/>
      <c r="CA219" s="60" t="n"/>
    </row>
    <row r="220">
      <c r="A220" s="60" t="n">
        <v>2022</v>
      </c>
      <c r="B220" s="7" t="n">
        <v>12</v>
      </c>
      <c r="C220" s="7" t="n">
        <v>1</v>
      </c>
      <c r="D220" s="7" t="n">
        <v>17</v>
      </c>
      <c r="E220" s="7" t="inlineStr">
        <is>
          <t>あり</t>
        </is>
      </c>
      <c r="F220" s="7" t="inlineStr">
        <is>
          <t>30歳以上</t>
        </is>
      </c>
      <c r="G220" s="7" t="n">
        <v>2018</v>
      </c>
      <c r="H220" s="7" t="n">
        <v>11</v>
      </c>
      <c r="I220" s="7" t="inlineStr">
        <is>
          <t>DJ5FS</t>
        </is>
      </c>
      <c r="J220" s="7" t="inlineStr">
        <is>
          <t>なし</t>
        </is>
      </c>
      <c r="K220" s="7" t="n">
        <v>1987</v>
      </c>
      <c r="L220" s="15" t="n">
        <v>12</v>
      </c>
      <c r="M220" s="7" t="n">
        <v>1</v>
      </c>
      <c r="N220" s="7" t="inlineStr">
        <is>
          <t>関東</t>
        </is>
      </c>
      <c r="O220" s="7" t="inlineStr">
        <is>
          <t>ゴールド</t>
        </is>
      </c>
      <c r="P220" s="7" t="inlineStr">
        <is>
          <t>通勤</t>
        </is>
      </c>
      <c r="Q220" s="7" t="n">
        <v>7000</v>
      </c>
      <c r="R220" s="7" t="inlineStr">
        <is>
          <t>30歳以上</t>
        </is>
      </c>
      <c r="S220" s="7" t="inlineStr">
        <is>
          <t>本配</t>
        </is>
      </c>
      <c r="T220" s="7" t="inlineStr">
        <is>
          <t>無制限</t>
        </is>
      </c>
      <c r="U220" s="7" t="inlineStr">
        <is>
          <t>なし</t>
        </is>
      </c>
      <c r="V220" s="7" t="n">
        <v>1000</v>
      </c>
      <c r="W220" s="7" t="inlineStr">
        <is>
          <t>車内外</t>
        </is>
      </c>
      <c r="X220" s="7" t="n">
        <v>3000</v>
      </c>
      <c r="Y220" s="7" t="inlineStr">
        <is>
          <t>一般</t>
        </is>
      </c>
      <c r="Z220" s="7" t="n">
        <v>110</v>
      </c>
      <c r="AA220" s="7" t="inlineStr">
        <is>
          <t>免責金額なし</t>
        </is>
      </c>
      <c r="AB220" s="7" t="inlineStr">
        <is>
          <t>なし</t>
        </is>
      </c>
      <c r="AC220" s="7" t="inlineStr">
        <is>
          <t>なし</t>
        </is>
      </c>
      <c r="AD220" s="7" t="inlineStr">
        <is>
          <t>なし</t>
        </is>
      </c>
      <c r="AE220" s="7" t="inlineStr">
        <is>
          <t>あり</t>
        </is>
      </c>
      <c r="AF220" s="7" t="inlineStr">
        <is>
          <t>なし</t>
        </is>
      </c>
      <c r="AG220" s="7" t="inlineStr">
        <is>
          <t>なし</t>
        </is>
      </c>
      <c r="AH220" s="7" t="inlineStr">
        <is>
          <t>なし</t>
        </is>
      </c>
      <c r="AI220" s="7"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2018(平成30)</t>
        </is>
      </c>
      <c r="AQ220" s="60" t="n">
        <v>11</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c r="BU220" s="60" t="n">
        <v>55160</v>
      </c>
      <c r="BV220" s="60" t="n">
        <v>29900</v>
      </c>
      <c r="BW220" s="60" t="n">
        <v>16000</v>
      </c>
      <c r="BX220" s="60" t="n">
        <v>9000</v>
      </c>
      <c r="BY220" s="60" t="n">
        <v>0</v>
      </c>
      <c r="BZ220" s="60" t="n"/>
      <c r="CA220" s="60" t="n"/>
    </row>
    <row r="221">
      <c r="A221" s="60" t="n">
        <v>2022</v>
      </c>
      <c r="B221" s="7" t="n">
        <v>12</v>
      </c>
      <c r="C221" s="7" t="n">
        <v>1</v>
      </c>
      <c r="D221" s="7" t="n">
        <v>17</v>
      </c>
      <c r="E221" s="7" t="inlineStr">
        <is>
          <t>あり</t>
        </is>
      </c>
      <c r="F221" s="7" t="inlineStr">
        <is>
          <t>30歳以上</t>
        </is>
      </c>
      <c r="G221" s="7" t="n">
        <v>2018</v>
      </c>
      <c r="H221" s="7" t="n">
        <v>11</v>
      </c>
      <c r="I221" s="7" t="inlineStr">
        <is>
          <t>DJ5FS</t>
        </is>
      </c>
      <c r="J221" s="7" t="inlineStr">
        <is>
          <t>なし</t>
        </is>
      </c>
      <c r="K221" s="7" t="n">
        <v>1982</v>
      </c>
      <c r="L221" s="15" t="n">
        <v>12</v>
      </c>
      <c r="M221" s="7" t="n">
        <v>1</v>
      </c>
      <c r="N221" s="7" t="inlineStr">
        <is>
          <t>関東</t>
        </is>
      </c>
      <c r="O221" s="7" t="inlineStr">
        <is>
          <t>ゴールド</t>
        </is>
      </c>
      <c r="P221" s="7" t="inlineStr">
        <is>
          <t>通勤</t>
        </is>
      </c>
      <c r="Q221" s="7" t="n">
        <v>7000</v>
      </c>
      <c r="R221" s="7" t="inlineStr">
        <is>
          <t>30歳以上</t>
        </is>
      </c>
      <c r="S221" s="7" t="inlineStr">
        <is>
          <t>本配</t>
        </is>
      </c>
      <c r="T221" s="7" t="inlineStr">
        <is>
          <t>無制限</t>
        </is>
      </c>
      <c r="U221" s="7" t="inlineStr">
        <is>
          <t>なし</t>
        </is>
      </c>
      <c r="V221" s="7" t="n">
        <v>1000</v>
      </c>
      <c r="W221" s="7" t="inlineStr">
        <is>
          <t>車内外</t>
        </is>
      </c>
      <c r="X221" s="7" t="n">
        <v>3000</v>
      </c>
      <c r="Y221" s="7" t="inlineStr">
        <is>
          <t>一般</t>
        </is>
      </c>
      <c r="Z221" s="7" t="n">
        <v>110</v>
      </c>
      <c r="AA221" s="7" t="inlineStr">
        <is>
          <t>免責金額なし</t>
        </is>
      </c>
      <c r="AB221" s="7" t="inlineStr">
        <is>
          <t>なし</t>
        </is>
      </c>
      <c r="AC221" s="7" t="inlineStr">
        <is>
          <t>なし</t>
        </is>
      </c>
      <c r="AD221" s="7" t="inlineStr">
        <is>
          <t>なし</t>
        </is>
      </c>
      <c r="AE221" s="7" t="inlineStr">
        <is>
          <t>あり</t>
        </is>
      </c>
      <c r="AF221" s="7" t="inlineStr">
        <is>
          <t>なし</t>
        </is>
      </c>
      <c r="AG221" s="7" t="inlineStr">
        <is>
          <t>なし</t>
        </is>
      </c>
      <c r="AH221" s="7" t="inlineStr">
        <is>
          <t>なし</t>
        </is>
      </c>
      <c r="AI221" s="7"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2018(平成30)</t>
        </is>
      </c>
      <c r="AQ221" s="60" t="n">
        <v>11</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c r="BU221" s="60" t="n">
        <v>55740</v>
      </c>
      <c r="BV221" s="60" t="n">
        <v>30280</v>
      </c>
      <c r="BW221" s="60" t="n">
        <v>16000</v>
      </c>
      <c r="BX221" s="60" t="n">
        <v>9000</v>
      </c>
      <c r="BY221" s="60" t="n">
        <v>0</v>
      </c>
      <c r="BZ221" s="60" t="n"/>
      <c r="CA221" s="60" t="n"/>
    </row>
    <row r="222">
      <c r="A222" s="60" t="n">
        <v>2022</v>
      </c>
      <c r="B222" s="7" t="n">
        <v>12</v>
      </c>
      <c r="C222" s="7" t="n">
        <v>1</v>
      </c>
      <c r="D222" s="7" t="n">
        <v>17</v>
      </c>
      <c r="E222" s="7" t="inlineStr">
        <is>
          <t>あり</t>
        </is>
      </c>
      <c r="F222" s="7" t="inlineStr">
        <is>
          <t>30歳以上</t>
        </is>
      </c>
      <c r="G222" s="7" t="n">
        <v>2018</v>
      </c>
      <c r="H222" s="7" t="n">
        <v>11</v>
      </c>
      <c r="I222" s="7" t="inlineStr">
        <is>
          <t>DJ5FS</t>
        </is>
      </c>
      <c r="J222" s="7" t="inlineStr">
        <is>
          <t>なし</t>
        </is>
      </c>
      <c r="K222" s="7" t="n">
        <v>1977</v>
      </c>
      <c r="L222" s="15" t="n">
        <v>12</v>
      </c>
      <c r="M222" s="7" t="n">
        <v>1</v>
      </c>
      <c r="N222" s="7" t="inlineStr">
        <is>
          <t>関東</t>
        </is>
      </c>
      <c r="O222" s="7" t="inlineStr">
        <is>
          <t>ゴールド</t>
        </is>
      </c>
      <c r="P222" s="7" t="inlineStr">
        <is>
          <t>通勤</t>
        </is>
      </c>
      <c r="Q222" s="7" t="n">
        <v>7000</v>
      </c>
      <c r="R222" s="7" t="inlineStr">
        <is>
          <t>30歳以上</t>
        </is>
      </c>
      <c r="S222" s="7" t="inlineStr">
        <is>
          <t>本配</t>
        </is>
      </c>
      <c r="T222" s="7" t="inlineStr">
        <is>
          <t>無制限</t>
        </is>
      </c>
      <c r="U222" s="7" t="inlineStr">
        <is>
          <t>なし</t>
        </is>
      </c>
      <c r="V222" s="7" t="n">
        <v>1000</v>
      </c>
      <c r="W222" s="7" t="inlineStr">
        <is>
          <t>車内外</t>
        </is>
      </c>
      <c r="X222" s="7" t="n">
        <v>3000</v>
      </c>
      <c r="Y222" s="7" t="inlineStr">
        <is>
          <t>一般</t>
        </is>
      </c>
      <c r="Z222" s="7" t="n">
        <v>110</v>
      </c>
      <c r="AA222" s="7" t="inlineStr">
        <is>
          <t>免責金額なし</t>
        </is>
      </c>
      <c r="AB222" s="7" t="inlineStr">
        <is>
          <t>なし</t>
        </is>
      </c>
      <c r="AC222" s="7" t="inlineStr">
        <is>
          <t>なし</t>
        </is>
      </c>
      <c r="AD222" s="7" t="inlineStr">
        <is>
          <t>なし</t>
        </is>
      </c>
      <c r="AE222" s="7" t="inlineStr">
        <is>
          <t>あり</t>
        </is>
      </c>
      <c r="AF222" s="7" t="inlineStr">
        <is>
          <t>なし</t>
        </is>
      </c>
      <c r="AG222" s="7" t="inlineStr">
        <is>
          <t>なし</t>
        </is>
      </c>
      <c r="AH222" s="7" t="inlineStr">
        <is>
          <t>なし</t>
        </is>
      </c>
      <c r="AI222" s="7"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2018(平成30)</t>
        </is>
      </c>
      <c r="AQ222" s="60" t="n">
        <v>11</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c r="BU222" s="60" t="n">
        <v>57140</v>
      </c>
      <c r="BV222" t="n">
        <v>30400</v>
      </c>
      <c r="BW222" t="n">
        <v>16000</v>
      </c>
      <c r="BX222" t="n">
        <v>9000</v>
      </c>
      <c r="BY222" t="n">
        <v>0</v>
      </c>
      <c r="BZ222" t="n">
        <v/>
      </c>
      <c r="CA222" t="n">
        <v/>
      </c>
    </row>
    <row r="223">
      <c r="A223" s="60" t="n">
        <v>2022</v>
      </c>
      <c r="B223" s="7" t="n">
        <v>12</v>
      </c>
      <c r="C223" s="7" t="n">
        <v>1</v>
      </c>
      <c r="D223" s="7" t="n">
        <v>17</v>
      </c>
      <c r="E223" s="7" t="inlineStr">
        <is>
          <t>あり</t>
        </is>
      </c>
      <c r="F223" s="7" t="inlineStr">
        <is>
          <t>30歳以上</t>
        </is>
      </c>
      <c r="G223" s="7" t="n">
        <v>2018</v>
      </c>
      <c r="H223" s="7" t="n">
        <v>11</v>
      </c>
      <c r="I223" s="7" t="inlineStr">
        <is>
          <t>DJ5FS</t>
        </is>
      </c>
      <c r="J223" s="7" t="inlineStr">
        <is>
          <t>なし</t>
        </is>
      </c>
      <c r="K223" s="7" t="n">
        <v>1972</v>
      </c>
      <c r="L223" s="15" t="n">
        <v>12</v>
      </c>
      <c r="M223" s="7" t="n">
        <v>1</v>
      </c>
      <c r="N223" s="7" t="inlineStr">
        <is>
          <t>関東</t>
        </is>
      </c>
      <c r="O223" s="7" t="inlineStr">
        <is>
          <t>ゴールド</t>
        </is>
      </c>
      <c r="P223" s="7" t="inlineStr">
        <is>
          <t>通勤</t>
        </is>
      </c>
      <c r="Q223" s="7" t="n">
        <v>7000</v>
      </c>
      <c r="R223" s="7" t="inlineStr">
        <is>
          <t>30歳以上</t>
        </is>
      </c>
      <c r="S223" s="7" t="inlineStr">
        <is>
          <t>本配</t>
        </is>
      </c>
      <c r="T223" s="7" t="inlineStr">
        <is>
          <t>無制限</t>
        </is>
      </c>
      <c r="U223" s="7" t="inlineStr">
        <is>
          <t>なし</t>
        </is>
      </c>
      <c r="V223" s="7" t="n">
        <v>1000</v>
      </c>
      <c r="W223" s="7" t="inlineStr">
        <is>
          <t>車内外</t>
        </is>
      </c>
      <c r="X223" s="7" t="n">
        <v>3000</v>
      </c>
      <c r="Y223" s="7" t="inlineStr">
        <is>
          <t>一般</t>
        </is>
      </c>
      <c r="Z223" s="7" t="n">
        <v>110</v>
      </c>
      <c r="AA223" s="7" t="inlineStr">
        <is>
          <t>免責金額なし</t>
        </is>
      </c>
      <c r="AB223" s="7" t="inlineStr">
        <is>
          <t>なし</t>
        </is>
      </c>
      <c r="AC223" s="7" t="inlineStr">
        <is>
          <t>なし</t>
        </is>
      </c>
      <c r="AD223" s="7" t="inlineStr">
        <is>
          <t>なし</t>
        </is>
      </c>
      <c r="AE223" s="7" t="inlineStr">
        <is>
          <t>あり</t>
        </is>
      </c>
      <c r="AF223" s="7" t="inlineStr">
        <is>
          <t>なし</t>
        </is>
      </c>
      <c r="AG223" s="7" t="inlineStr">
        <is>
          <t>なし</t>
        </is>
      </c>
      <c r="AH223" s="7" t="inlineStr">
        <is>
          <t>なし</t>
        </is>
      </c>
      <c r="AI223" s="7"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2018(平成30)</t>
        </is>
      </c>
      <c r="AQ223" s="60" t="n">
        <v>11</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c r="BU223" s="60" t="inlineStr">
        <is>
          <t>E</t>
        </is>
      </c>
      <c r="BV223" t="inlineStr">
        <is>
          <t xml:space="preserve">Traceback (most recent call last):
  File "C:\Users\Python\Documents\Z\Z_func.py", line 236, in Z_func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223" t="n">
        <v/>
      </c>
      <c r="BX223" t="n">
        <v/>
      </c>
      <c r="BY223" t="n">
        <v/>
      </c>
      <c r="BZ223" t="n">
        <v/>
      </c>
      <c r="CA223" t="n">
        <v/>
      </c>
    </row>
    <row r="224">
      <c r="A224" s="60" t="n">
        <v>2022</v>
      </c>
      <c r="B224" s="7" t="n">
        <v>12</v>
      </c>
      <c r="C224" s="7" t="n">
        <v>1</v>
      </c>
      <c r="D224" s="7" t="n">
        <v>17</v>
      </c>
      <c r="E224" s="7" t="inlineStr">
        <is>
          <t>あり</t>
        </is>
      </c>
      <c r="F224" s="7" t="inlineStr">
        <is>
          <t>30歳以上</t>
        </is>
      </c>
      <c r="G224" s="7" t="n">
        <v>2018</v>
      </c>
      <c r="H224" s="7" t="n">
        <v>11</v>
      </c>
      <c r="I224" s="7" t="inlineStr">
        <is>
          <t>DJ5FS</t>
        </is>
      </c>
      <c r="J224" s="7" t="inlineStr">
        <is>
          <t>なし</t>
        </is>
      </c>
      <c r="K224" s="7" t="n">
        <v>1962</v>
      </c>
      <c r="L224" s="15" t="n">
        <v>12</v>
      </c>
      <c r="M224" s="7" t="n">
        <v>1</v>
      </c>
      <c r="N224" s="7" t="inlineStr">
        <is>
          <t>関東</t>
        </is>
      </c>
      <c r="O224" s="7" t="inlineStr">
        <is>
          <t>ゴールド</t>
        </is>
      </c>
      <c r="P224" s="7" t="inlineStr">
        <is>
          <t>通勤</t>
        </is>
      </c>
      <c r="Q224" s="7" t="n">
        <v>7000</v>
      </c>
      <c r="R224" s="7" t="inlineStr">
        <is>
          <t>30歳以上</t>
        </is>
      </c>
      <c r="S224" s="7" t="inlineStr">
        <is>
          <t>本配</t>
        </is>
      </c>
      <c r="T224" s="7" t="inlineStr">
        <is>
          <t>無制限</t>
        </is>
      </c>
      <c r="U224" s="7" t="inlineStr">
        <is>
          <t>なし</t>
        </is>
      </c>
      <c r="V224" s="7" t="n">
        <v>1000</v>
      </c>
      <c r="W224" s="7" t="inlineStr">
        <is>
          <t>車内外</t>
        </is>
      </c>
      <c r="X224" s="7" t="n">
        <v>3000</v>
      </c>
      <c r="Y224" s="7" t="inlineStr">
        <is>
          <t>一般</t>
        </is>
      </c>
      <c r="Z224" s="7" t="n">
        <v>110</v>
      </c>
      <c r="AA224" s="7" t="inlineStr">
        <is>
          <t>免責金額なし</t>
        </is>
      </c>
      <c r="AB224" s="7" t="inlineStr">
        <is>
          <t>なし</t>
        </is>
      </c>
      <c r="AC224" s="7" t="inlineStr">
        <is>
          <t>なし</t>
        </is>
      </c>
      <c r="AD224" s="7" t="inlineStr">
        <is>
          <t>なし</t>
        </is>
      </c>
      <c r="AE224" s="7" t="inlineStr">
        <is>
          <t>あり</t>
        </is>
      </c>
      <c r="AF224" s="7" t="inlineStr">
        <is>
          <t>なし</t>
        </is>
      </c>
      <c r="AG224" s="7" t="inlineStr">
        <is>
          <t>なし</t>
        </is>
      </c>
      <c r="AH224" s="7" t="inlineStr">
        <is>
          <t>なし</t>
        </is>
      </c>
      <c r="AI224" s="7"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2018(平成30)</t>
        </is>
      </c>
      <c r="AQ224" s="60" t="n">
        <v>11</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c r="BU224" s="60" t="inlineStr">
        <is>
          <t>E</t>
        </is>
      </c>
      <c r="BV224" t="inlineStr">
        <is>
          <t xml:space="preserve">Traceback (most recent call last):
  File "C:\Users\Python\Documents\Z\Z_func.py", line 160, in Z_func
    elif data['走行距離2'] == 4: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224" t="n">
        <v/>
      </c>
      <c r="BX224" t="n">
        <v/>
      </c>
      <c r="BY224" t="n">
        <v/>
      </c>
      <c r="BZ224" t="n">
        <v/>
      </c>
      <c r="CA224" t="n">
        <v/>
      </c>
    </row>
    <row r="225">
      <c r="A225" s="60" t="n">
        <v>2022</v>
      </c>
      <c r="B225" s="7" t="n">
        <v>12</v>
      </c>
      <c r="C225" s="7" t="n">
        <v>1</v>
      </c>
      <c r="D225" s="7" t="n">
        <v>17</v>
      </c>
      <c r="E225" s="7" t="inlineStr">
        <is>
          <t>あり</t>
        </is>
      </c>
      <c r="F225" s="7" t="inlineStr">
        <is>
          <t>30歳以上</t>
        </is>
      </c>
      <c r="G225" s="7" t="n">
        <v>2018</v>
      </c>
      <c r="H225" s="7" t="n">
        <v>11</v>
      </c>
      <c r="I225" s="7" t="inlineStr">
        <is>
          <t>DJ5FS</t>
        </is>
      </c>
      <c r="J225" s="7" t="inlineStr">
        <is>
          <t>なし</t>
        </is>
      </c>
      <c r="K225" s="7" t="n">
        <v>1952</v>
      </c>
      <c r="L225" s="15" t="n">
        <v>12</v>
      </c>
      <c r="M225" s="7" t="n">
        <v>1</v>
      </c>
      <c r="N225" s="7" t="inlineStr">
        <is>
          <t>関東</t>
        </is>
      </c>
      <c r="O225" s="7" t="inlineStr">
        <is>
          <t>ゴールド</t>
        </is>
      </c>
      <c r="P225" s="7" t="inlineStr">
        <is>
          <t>通勤</t>
        </is>
      </c>
      <c r="Q225" s="7" t="n">
        <v>7000</v>
      </c>
      <c r="R225" s="7" t="inlineStr">
        <is>
          <t>30歳以上</t>
        </is>
      </c>
      <c r="S225" s="7" t="inlineStr">
        <is>
          <t>本配</t>
        </is>
      </c>
      <c r="T225" s="7" t="inlineStr">
        <is>
          <t>無制限</t>
        </is>
      </c>
      <c r="U225" s="7" t="inlineStr">
        <is>
          <t>なし</t>
        </is>
      </c>
      <c r="V225" s="7" t="n">
        <v>1000</v>
      </c>
      <c r="W225" s="7" t="inlineStr">
        <is>
          <t>車内外</t>
        </is>
      </c>
      <c r="X225" s="7" t="n">
        <v>3000</v>
      </c>
      <c r="Y225" s="7" t="inlineStr">
        <is>
          <t>一般</t>
        </is>
      </c>
      <c r="Z225" s="7" t="n">
        <v>110</v>
      </c>
      <c r="AA225" s="7" t="inlineStr">
        <is>
          <t>免責金額なし</t>
        </is>
      </c>
      <c r="AB225" s="7" t="inlineStr">
        <is>
          <t>なし</t>
        </is>
      </c>
      <c r="AC225" s="7" t="inlineStr">
        <is>
          <t>なし</t>
        </is>
      </c>
      <c r="AD225" s="7" t="inlineStr">
        <is>
          <t>なし</t>
        </is>
      </c>
      <c r="AE225" s="7" t="inlineStr">
        <is>
          <t>あり</t>
        </is>
      </c>
      <c r="AF225" s="7" t="inlineStr">
        <is>
          <t>なし</t>
        </is>
      </c>
      <c r="AG225" s="7" t="inlineStr">
        <is>
          <t>なし</t>
        </is>
      </c>
      <c r="AH225" s="7" t="inlineStr">
        <is>
          <t>なし</t>
        </is>
      </c>
      <c r="AI225" s="7"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2018(平成30)</t>
        </is>
      </c>
      <c r="AQ225" s="60" t="n">
        <v>11</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c r="BU225" s="60" t="n">
        <v>79060</v>
      </c>
      <c r="BV225" t="n">
        <v>35570</v>
      </c>
      <c r="BW225" t="n">
        <v>16000</v>
      </c>
      <c r="BX225" t="n">
        <v>13000</v>
      </c>
      <c r="BY225" t="n">
        <v>0</v>
      </c>
      <c r="BZ225" t="n">
        <v/>
      </c>
      <c r="CA225" t="n">
        <v/>
      </c>
    </row>
    <row r="226">
      <c r="A226" s="60" t="n">
        <v>2022</v>
      </c>
      <c r="B226" s="7" t="n">
        <v>12</v>
      </c>
      <c r="C226" s="7" t="n">
        <v>1</v>
      </c>
      <c r="D226" s="7" t="n">
        <v>17</v>
      </c>
      <c r="E226" s="7" t="inlineStr">
        <is>
          <t>あり</t>
        </is>
      </c>
      <c r="F226" s="7" t="inlineStr">
        <is>
          <t>30歳以上</t>
        </is>
      </c>
      <c r="G226" s="7" t="n">
        <v>2018</v>
      </c>
      <c r="H226" s="7" t="n">
        <v>11</v>
      </c>
      <c r="I226" s="7" t="inlineStr">
        <is>
          <t>HE33S</t>
        </is>
      </c>
      <c r="J226" s="7" t="inlineStr">
        <is>
          <t>なし</t>
        </is>
      </c>
      <c r="K226" s="7" t="n">
        <v>1992</v>
      </c>
      <c r="L226" s="15" t="n">
        <v>12</v>
      </c>
      <c r="M226" s="7" t="n">
        <v>1</v>
      </c>
      <c r="N226" s="7" t="inlineStr">
        <is>
          <t>関東</t>
        </is>
      </c>
      <c r="O226" s="7" t="inlineStr">
        <is>
          <t>ブルー</t>
        </is>
      </c>
      <c r="P226" s="7" t="inlineStr">
        <is>
          <t>日常</t>
        </is>
      </c>
      <c r="Q226" s="7" t="n">
        <v>3000</v>
      </c>
      <c r="R226" s="7" t="inlineStr">
        <is>
          <t>30歳以上</t>
        </is>
      </c>
      <c r="S226" s="7" t="inlineStr">
        <is>
          <t>本配</t>
        </is>
      </c>
      <c r="T226" s="7" t="inlineStr">
        <is>
          <t>無制限</t>
        </is>
      </c>
      <c r="U226" s="7" t="inlineStr">
        <is>
          <t>あり</t>
        </is>
      </c>
      <c r="V226" s="7" t="n">
        <v>1000</v>
      </c>
      <c r="W226" s="7" t="inlineStr">
        <is>
          <t>車内外</t>
        </is>
      </c>
      <c r="X226" s="7" t="n">
        <v>5000</v>
      </c>
      <c r="Y226" s="7" t="inlineStr">
        <is>
          <t>一般</t>
        </is>
      </c>
      <c r="Z226" s="7" t="n">
        <v>110</v>
      </c>
      <c r="AA226" s="7" t="inlineStr">
        <is>
          <t>免責金額なし</t>
        </is>
      </c>
      <c r="AB226" s="7" t="inlineStr">
        <is>
          <t>なし</t>
        </is>
      </c>
      <c r="AC226" s="7" t="inlineStr">
        <is>
          <t>なし</t>
        </is>
      </c>
      <c r="AD226" s="7" t="inlineStr">
        <is>
          <t>なし</t>
        </is>
      </c>
      <c r="AE226" s="7" t="inlineStr">
        <is>
          <t>あり</t>
        </is>
      </c>
      <c r="AF226" s="7" t="inlineStr">
        <is>
          <t>なし</t>
        </is>
      </c>
      <c r="AG226" s="7" t="inlineStr">
        <is>
          <t>なし</t>
        </is>
      </c>
      <c r="AH226" s="7" t="inlineStr">
        <is>
          <t>なし</t>
        </is>
      </c>
      <c r="AI226" s="7"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2018(平成30)</t>
        </is>
      </c>
      <c r="AQ226" s="60" t="n">
        <v>11</v>
      </c>
      <c r="AR226" s="60" t="inlineStr">
        <is>
          <t>HE33S</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110万円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c r="BU226" s="60" t="n">
        <v>33080</v>
      </c>
      <c r="BV226" t="n">
        <v>21480</v>
      </c>
      <c r="BW226" t="n">
        <v>10000</v>
      </c>
      <c r="BX226" t="n">
        <v>6000</v>
      </c>
      <c r="BY226" t="n">
        <v>0</v>
      </c>
      <c r="BZ226" t="n">
        <v/>
      </c>
      <c r="CA226" t="n">
        <v/>
      </c>
    </row>
    <row r="227">
      <c r="A227" s="60" t="n">
        <v>2022</v>
      </c>
      <c r="B227" s="7" t="n">
        <v>12</v>
      </c>
      <c r="C227" s="7" t="n">
        <v>1</v>
      </c>
      <c r="D227" s="7" t="n">
        <v>17</v>
      </c>
      <c r="E227" s="7" t="inlineStr">
        <is>
          <t>あり</t>
        </is>
      </c>
      <c r="F227" s="7" t="inlineStr">
        <is>
          <t>30歳以上</t>
        </is>
      </c>
      <c r="G227" s="7" t="n">
        <v>2018</v>
      </c>
      <c r="H227" s="7" t="n">
        <v>11</v>
      </c>
      <c r="I227" s="7" t="inlineStr">
        <is>
          <t>HE33S</t>
        </is>
      </c>
      <c r="J227" s="7" t="inlineStr">
        <is>
          <t>なし</t>
        </is>
      </c>
      <c r="K227" s="7" t="n">
        <v>1987</v>
      </c>
      <c r="L227" s="15" t="n">
        <v>12</v>
      </c>
      <c r="M227" s="7" t="n">
        <v>1</v>
      </c>
      <c r="N227" s="7" t="inlineStr">
        <is>
          <t>関東</t>
        </is>
      </c>
      <c r="O227" s="7" t="inlineStr">
        <is>
          <t>ブルー</t>
        </is>
      </c>
      <c r="P227" s="7" t="inlineStr">
        <is>
          <t>日常</t>
        </is>
      </c>
      <c r="Q227" s="7" t="n">
        <v>3000</v>
      </c>
      <c r="R227" s="7" t="inlineStr">
        <is>
          <t>30歳以上</t>
        </is>
      </c>
      <c r="S227" s="7" t="inlineStr">
        <is>
          <t>本配</t>
        </is>
      </c>
      <c r="T227" s="7" t="inlineStr">
        <is>
          <t>無制限</t>
        </is>
      </c>
      <c r="U227" s="7" t="inlineStr">
        <is>
          <t>あり</t>
        </is>
      </c>
      <c r="V227" s="7" t="n">
        <v>1000</v>
      </c>
      <c r="W227" s="7" t="inlineStr">
        <is>
          <t>車内外</t>
        </is>
      </c>
      <c r="X227" s="7" t="n">
        <v>5000</v>
      </c>
      <c r="Y227" s="7" t="inlineStr">
        <is>
          <t>一般</t>
        </is>
      </c>
      <c r="Z227" s="7" t="n">
        <v>110</v>
      </c>
      <c r="AA227" s="7" t="inlineStr">
        <is>
          <t>免責金額なし</t>
        </is>
      </c>
      <c r="AB227" s="7" t="inlineStr">
        <is>
          <t>なし</t>
        </is>
      </c>
      <c r="AC227" s="7" t="inlineStr">
        <is>
          <t>なし</t>
        </is>
      </c>
      <c r="AD227" s="7" t="inlineStr">
        <is>
          <t>なし</t>
        </is>
      </c>
      <c r="AE227" s="7" t="inlineStr">
        <is>
          <t>あり</t>
        </is>
      </c>
      <c r="AF227" s="7" t="inlineStr">
        <is>
          <t>なし</t>
        </is>
      </c>
      <c r="AG227" s="7" t="inlineStr">
        <is>
          <t>なし</t>
        </is>
      </c>
      <c r="AH227" s="7" t="inlineStr">
        <is>
          <t>なし</t>
        </is>
      </c>
      <c r="AI227" s="7"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2018(平成30)</t>
        </is>
      </c>
      <c r="AQ227" s="60" t="n">
        <v>11</v>
      </c>
      <c r="AR227" s="60" t="inlineStr">
        <is>
          <t>HE33S</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110万円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c r="BU227" s="60" t="n">
        <v>32940</v>
      </c>
      <c r="BV227" t="n">
        <v>21450</v>
      </c>
      <c r="BW227" t="n">
        <v>10000</v>
      </c>
      <c r="BX227" t="n">
        <v>6000</v>
      </c>
      <c r="BY227" t="n">
        <v>0</v>
      </c>
      <c r="BZ227" t="n">
        <v/>
      </c>
      <c r="CA227" t="n">
        <v/>
      </c>
    </row>
    <row r="228">
      <c r="A228" s="60" t="n">
        <v>2022</v>
      </c>
      <c r="B228" s="7" t="n">
        <v>12</v>
      </c>
      <c r="C228" s="7" t="n">
        <v>1</v>
      </c>
      <c r="D228" s="7" t="n">
        <v>17</v>
      </c>
      <c r="E228" s="7" t="inlineStr">
        <is>
          <t>あり</t>
        </is>
      </c>
      <c r="F228" s="7" t="inlineStr">
        <is>
          <t>30歳以上</t>
        </is>
      </c>
      <c r="G228" s="7" t="n">
        <v>2018</v>
      </c>
      <c r="H228" s="7" t="n">
        <v>11</v>
      </c>
      <c r="I228" s="7" t="inlineStr">
        <is>
          <t>HE33S</t>
        </is>
      </c>
      <c r="J228" s="7" t="inlineStr">
        <is>
          <t>なし</t>
        </is>
      </c>
      <c r="K228" s="7" t="n">
        <v>1982</v>
      </c>
      <c r="L228" s="15" t="n">
        <v>12</v>
      </c>
      <c r="M228" s="7" t="n">
        <v>1</v>
      </c>
      <c r="N228" s="7" t="inlineStr">
        <is>
          <t>関東</t>
        </is>
      </c>
      <c r="O228" s="7" t="inlineStr">
        <is>
          <t>ブルー</t>
        </is>
      </c>
      <c r="P228" s="7" t="inlineStr">
        <is>
          <t>日常</t>
        </is>
      </c>
      <c r="Q228" s="7" t="n">
        <v>3000</v>
      </c>
      <c r="R228" s="7" t="inlineStr">
        <is>
          <t>30歳以上</t>
        </is>
      </c>
      <c r="S228" s="7" t="inlineStr">
        <is>
          <t>本配</t>
        </is>
      </c>
      <c r="T228" s="7" t="inlineStr">
        <is>
          <t>無制限</t>
        </is>
      </c>
      <c r="U228" s="7" t="inlineStr">
        <is>
          <t>あり</t>
        </is>
      </c>
      <c r="V228" s="7" t="n">
        <v>1000</v>
      </c>
      <c r="W228" s="7" t="inlineStr">
        <is>
          <t>車内外</t>
        </is>
      </c>
      <c r="X228" s="7" t="n">
        <v>5000</v>
      </c>
      <c r="Y228" s="7" t="inlineStr">
        <is>
          <t>一般</t>
        </is>
      </c>
      <c r="Z228" s="7" t="n">
        <v>110</v>
      </c>
      <c r="AA228" s="7" t="inlineStr">
        <is>
          <t>免責金額なし</t>
        </is>
      </c>
      <c r="AB228" s="7" t="inlineStr">
        <is>
          <t>なし</t>
        </is>
      </c>
      <c r="AC228" s="7" t="inlineStr">
        <is>
          <t>なし</t>
        </is>
      </c>
      <c r="AD228" s="7" t="inlineStr">
        <is>
          <t>なし</t>
        </is>
      </c>
      <c r="AE228" s="7" t="inlineStr">
        <is>
          <t>あり</t>
        </is>
      </c>
      <c r="AF228" s="7" t="inlineStr">
        <is>
          <t>なし</t>
        </is>
      </c>
      <c r="AG228" s="7" t="inlineStr">
        <is>
          <t>なし</t>
        </is>
      </c>
      <c r="AH228" s="7" t="inlineStr">
        <is>
          <t>なし</t>
        </is>
      </c>
      <c r="AI228" s="7"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2018(平成30)</t>
        </is>
      </c>
      <c r="AQ228" s="60" t="n">
        <v>11</v>
      </c>
      <c r="AR228" s="60" t="inlineStr">
        <is>
          <t>HE33S</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110万円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c r="BU228" s="60" t="n">
        <v>33340</v>
      </c>
      <c r="BV228" t="n">
        <v>21760</v>
      </c>
      <c r="BW228" t="n">
        <v>10000</v>
      </c>
      <c r="BX228" t="n">
        <v>6000</v>
      </c>
      <c r="BY228" t="n">
        <v>0</v>
      </c>
      <c r="BZ228" t="n">
        <v/>
      </c>
      <c r="CA228" t="n">
        <v/>
      </c>
    </row>
    <row r="229">
      <c r="A229" s="60" t="n">
        <v>2022</v>
      </c>
      <c r="B229" s="7" t="n">
        <v>12</v>
      </c>
      <c r="C229" s="7" t="n">
        <v>1</v>
      </c>
      <c r="D229" s="7" t="n">
        <v>17</v>
      </c>
      <c r="E229" s="7" t="inlineStr">
        <is>
          <t>あり</t>
        </is>
      </c>
      <c r="F229" s="7" t="inlineStr">
        <is>
          <t>30歳以上</t>
        </is>
      </c>
      <c r="G229" s="7" t="n">
        <v>2018</v>
      </c>
      <c r="H229" s="7" t="n">
        <v>11</v>
      </c>
      <c r="I229" s="7" t="inlineStr">
        <is>
          <t>HE33S</t>
        </is>
      </c>
      <c r="J229" s="7" t="inlineStr">
        <is>
          <t>なし</t>
        </is>
      </c>
      <c r="K229" s="7" t="n">
        <v>1977</v>
      </c>
      <c r="L229" s="15" t="n">
        <v>12</v>
      </c>
      <c r="M229" s="7" t="n">
        <v>1</v>
      </c>
      <c r="N229" s="7" t="inlineStr">
        <is>
          <t>関東</t>
        </is>
      </c>
      <c r="O229" s="7" t="inlineStr">
        <is>
          <t>ブルー</t>
        </is>
      </c>
      <c r="P229" s="7" t="inlineStr">
        <is>
          <t>日常</t>
        </is>
      </c>
      <c r="Q229" s="7" t="n">
        <v>3000</v>
      </c>
      <c r="R229" s="7" t="inlineStr">
        <is>
          <t>30歳以上</t>
        </is>
      </c>
      <c r="S229" s="7" t="inlineStr">
        <is>
          <t>本配</t>
        </is>
      </c>
      <c r="T229" s="7" t="inlineStr">
        <is>
          <t>無制限</t>
        </is>
      </c>
      <c r="U229" s="7" t="inlineStr">
        <is>
          <t>あり</t>
        </is>
      </c>
      <c r="V229" s="7" t="n">
        <v>1000</v>
      </c>
      <c r="W229" s="7" t="inlineStr">
        <is>
          <t>車内外</t>
        </is>
      </c>
      <c r="X229" s="7" t="n">
        <v>5000</v>
      </c>
      <c r="Y229" s="7" t="inlineStr">
        <is>
          <t>一般</t>
        </is>
      </c>
      <c r="Z229" s="7" t="n">
        <v>110</v>
      </c>
      <c r="AA229" s="7" t="inlineStr">
        <is>
          <t>免責金額なし</t>
        </is>
      </c>
      <c r="AB229" s="7" t="inlineStr">
        <is>
          <t>なし</t>
        </is>
      </c>
      <c r="AC229" s="7" t="inlineStr">
        <is>
          <t>なし</t>
        </is>
      </c>
      <c r="AD229" s="7" t="inlineStr">
        <is>
          <t>なし</t>
        </is>
      </c>
      <c r="AE229" s="7" t="inlineStr">
        <is>
          <t>あり</t>
        </is>
      </c>
      <c r="AF229" s="7" t="inlineStr">
        <is>
          <t>なし</t>
        </is>
      </c>
      <c r="AG229" s="7" t="inlineStr">
        <is>
          <t>なし</t>
        </is>
      </c>
      <c r="AH229" s="7" t="inlineStr">
        <is>
          <t>なし</t>
        </is>
      </c>
      <c r="AI229" s="7"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2018(平成30)</t>
        </is>
      </c>
      <c r="AQ229" s="60" t="n">
        <v>11</v>
      </c>
      <c r="AR229" s="60" t="inlineStr">
        <is>
          <t>HE33S</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110万円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c r="BU229" s="60" t="n">
        <v>33990</v>
      </c>
      <c r="BV229" t="n">
        <v>21820</v>
      </c>
      <c r="BW229" t="n">
        <v>10000</v>
      </c>
      <c r="BX229" t="n">
        <v>6000</v>
      </c>
      <c r="BY229" t="n">
        <v>0</v>
      </c>
      <c r="BZ229" t="n">
        <v/>
      </c>
      <c r="CA229" t="n">
        <v/>
      </c>
    </row>
    <row r="230">
      <c r="A230" s="60" t="n">
        <v>2022</v>
      </c>
      <c r="B230" s="7" t="n">
        <v>12</v>
      </c>
      <c r="C230" s="7" t="n">
        <v>1</v>
      </c>
      <c r="D230" s="7" t="n">
        <v>17</v>
      </c>
      <c r="E230" s="7" t="inlineStr">
        <is>
          <t>あり</t>
        </is>
      </c>
      <c r="F230" s="7" t="inlineStr">
        <is>
          <t>30歳以上</t>
        </is>
      </c>
      <c r="G230" s="7" t="n">
        <v>2018</v>
      </c>
      <c r="H230" s="7" t="n">
        <v>11</v>
      </c>
      <c r="I230" s="7" t="inlineStr">
        <is>
          <t>HE33S</t>
        </is>
      </c>
      <c r="J230" s="7" t="inlineStr">
        <is>
          <t>なし</t>
        </is>
      </c>
      <c r="K230" s="7" t="n">
        <v>1972</v>
      </c>
      <c r="L230" s="15" t="n">
        <v>12</v>
      </c>
      <c r="M230" s="7" t="n">
        <v>1</v>
      </c>
      <c r="N230" s="7" t="inlineStr">
        <is>
          <t>関東</t>
        </is>
      </c>
      <c r="O230" s="7" t="inlineStr">
        <is>
          <t>ブルー</t>
        </is>
      </c>
      <c r="P230" s="7" t="inlineStr">
        <is>
          <t>日常</t>
        </is>
      </c>
      <c r="Q230" s="7" t="n">
        <v>3000</v>
      </c>
      <c r="R230" s="7" t="inlineStr">
        <is>
          <t>30歳以上</t>
        </is>
      </c>
      <c r="S230" s="7" t="inlineStr">
        <is>
          <t>本配</t>
        </is>
      </c>
      <c r="T230" s="7" t="inlineStr">
        <is>
          <t>無制限</t>
        </is>
      </c>
      <c r="U230" s="7" t="inlineStr">
        <is>
          <t>あり</t>
        </is>
      </c>
      <c r="V230" s="7" t="n">
        <v>1000</v>
      </c>
      <c r="W230" s="7" t="inlineStr">
        <is>
          <t>車内外</t>
        </is>
      </c>
      <c r="X230" s="7" t="n">
        <v>5000</v>
      </c>
      <c r="Y230" s="7" t="inlineStr">
        <is>
          <t>一般</t>
        </is>
      </c>
      <c r="Z230" s="7" t="n">
        <v>110</v>
      </c>
      <c r="AA230" s="7" t="inlineStr">
        <is>
          <t>免責金額なし</t>
        </is>
      </c>
      <c r="AB230" s="7" t="inlineStr">
        <is>
          <t>なし</t>
        </is>
      </c>
      <c r="AC230" s="7" t="inlineStr">
        <is>
          <t>なし</t>
        </is>
      </c>
      <c r="AD230" s="7" t="inlineStr">
        <is>
          <t>なし</t>
        </is>
      </c>
      <c r="AE230" s="7" t="inlineStr">
        <is>
          <t>あり</t>
        </is>
      </c>
      <c r="AF230" s="7" t="inlineStr">
        <is>
          <t>なし</t>
        </is>
      </c>
      <c r="AG230" s="7" t="inlineStr">
        <is>
          <t>なし</t>
        </is>
      </c>
      <c r="AH230" s="7" t="inlineStr">
        <is>
          <t>なし</t>
        </is>
      </c>
      <c r="AI230" s="7"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2018(平成30)</t>
        </is>
      </c>
      <c r="AQ230" s="60" t="n">
        <v>11</v>
      </c>
      <c r="AR230" s="60" t="inlineStr">
        <is>
          <t>HE33S</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110万円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c r="BU230" s="60" t="n">
        <v>34160</v>
      </c>
      <c r="BV230" t="n">
        <v>21680</v>
      </c>
      <c r="BW230" t="n">
        <v>10000</v>
      </c>
      <c r="BX230" t="n">
        <v>6000</v>
      </c>
      <c r="BY230" t="n">
        <v>0</v>
      </c>
      <c r="BZ230" t="n">
        <v/>
      </c>
      <c r="CA230" t="n">
        <v/>
      </c>
    </row>
    <row r="231">
      <c r="A231" s="60" t="n">
        <v>2022</v>
      </c>
      <c r="B231" s="7" t="n">
        <v>12</v>
      </c>
      <c r="C231" s="7" t="n">
        <v>1</v>
      </c>
      <c r="D231" s="7" t="n">
        <v>17</v>
      </c>
      <c r="E231" s="7" t="inlineStr">
        <is>
          <t>あり</t>
        </is>
      </c>
      <c r="F231" s="7" t="inlineStr">
        <is>
          <t>30歳以上</t>
        </is>
      </c>
      <c r="G231" s="7" t="n">
        <v>2018</v>
      </c>
      <c r="H231" s="7" t="n">
        <v>11</v>
      </c>
      <c r="I231" s="7" t="inlineStr">
        <is>
          <t>HE33S</t>
        </is>
      </c>
      <c r="J231" s="7" t="inlineStr">
        <is>
          <t>なし</t>
        </is>
      </c>
      <c r="K231" s="7" t="n">
        <v>1962</v>
      </c>
      <c r="L231" s="15" t="n">
        <v>12</v>
      </c>
      <c r="M231" s="7" t="n">
        <v>1</v>
      </c>
      <c r="N231" s="7" t="inlineStr">
        <is>
          <t>関東</t>
        </is>
      </c>
      <c r="O231" s="7" t="inlineStr">
        <is>
          <t>ブルー</t>
        </is>
      </c>
      <c r="P231" s="7" t="inlineStr">
        <is>
          <t>日常</t>
        </is>
      </c>
      <c r="Q231" s="7" t="n">
        <v>3000</v>
      </c>
      <c r="R231" s="7" t="inlineStr">
        <is>
          <t>30歳以上</t>
        </is>
      </c>
      <c r="S231" s="7" t="inlineStr">
        <is>
          <t>本配</t>
        </is>
      </c>
      <c r="T231" s="7" t="inlineStr">
        <is>
          <t>無制限</t>
        </is>
      </c>
      <c r="U231" s="7" t="inlineStr">
        <is>
          <t>あり</t>
        </is>
      </c>
      <c r="V231" s="7" t="n">
        <v>1000</v>
      </c>
      <c r="W231" s="7" t="inlineStr">
        <is>
          <t>車内外</t>
        </is>
      </c>
      <c r="X231" s="7" t="n">
        <v>5000</v>
      </c>
      <c r="Y231" s="7" t="inlineStr">
        <is>
          <t>一般</t>
        </is>
      </c>
      <c r="Z231" s="7" t="n">
        <v>110</v>
      </c>
      <c r="AA231" s="7" t="inlineStr">
        <is>
          <t>免責金額なし</t>
        </is>
      </c>
      <c r="AB231" s="7" t="inlineStr">
        <is>
          <t>なし</t>
        </is>
      </c>
      <c r="AC231" s="7" t="inlineStr">
        <is>
          <t>なし</t>
        </is>
      </c>
      <c r="AD231" s="7" t="inlineStr">
        <is>
          <t>なし</t>
        </is>
      </c>
      <c r="AE231" s="7" t="inlineStr">
        <is>
          <t>あり</t>
        </is>
      </c>
      <c r="AF231" s="7" t="inlineStr">
        <is>
          <t>なし</t>
        </is>
      </c>
      <c r="AG231" s="7" t="inlineStr">
        <is>
          <t>なし</t>
        </is>
      </c>
      <c r="AH231" s="7" t="inlineStr">
        <is>
          <t>なし</t>
        </is>
      </c>
      <c r="AI231" s="7"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2018(平成30)</t>
        </is>
      </c>
      <c r="AQ231" s="60" t="n">
        <v>11</v>
      </c>
      <c r="AR231" s="60" t="inlineStr">
        <is>
          <t>HE33S</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110万円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c r="BU231" s="60" t="n">
        <v>33540</v>
      </c>
      <c r="BV231" t="n">
        <v>22500</v>
      </c>
      <c r="BW231" t="n">
        <v>13000</v>
      </c>
      <c r="BX231" t="n">
        <v>6000</v>
      </c>
      <c r="BY231" t="n">
        <v>0</v>
      </c>
      <c r="BZ231" t="n">
        <v/>
      </c>
      <c r="CA231" t="n">
        <v/>
      </c>
    </row>
    <row r="232">
      <c r="A232" s="60" t="n">
        <v>2022</v>
      </c>
      <c r="B232" s="7" t="n">
        <v>12</v>
      </c>
      <c r="C232" s="7" t="n">
        <v>1</v>
      </c>
      <c r="D232" s="7" t="n">
        <v>17</v>
      </c>
      <c r="E232" s="7" t="inlineStr">
        <is>
          <t>あり</t>
        </is>
      </c>
      <c r="F232" s="7" t="inlineStr">
        <is>
          <t>30歳以上</t>
        </is>
      </c>
      <c r="G232" s="7" t="n">
        <v>2018</v>
      </c>
      <c r="H232" s="7" t="n">
        <v>11</v>
      </c>
      <c r="I232" s="7" t="inlineStr">
        <is>
          <t>HE33S</t>
        </is>
      </c>
      <c r="J232" s="7" t="inlineStr">
        <is>
          <t>なし</t>
        </is>
      </c>
      <c r="K232" s="7" t="n">
        <v>1952</v>
      </c>
      <c r="L232" s="15" t="n">
        <v>12</v>
      </c>
      <c r="M232" s="7" t="n">
        <v>1</v>
      </c>
      <c r="N232" s="7" t="inlineStr">
        <is>
          <t>関東</t>
        </is>
      </c>
      <c r="O232" s="7" t="inlineStr">
        <is>
          <t>ブルー</t>
        </is>
      </c>
      <c r="P232" s="7" t="inlineStr">
        <is>
          <t>日常</t>
        </is>
      </c>
      <c r="Q232" s="7" t="n">
        <v>3000</v>
      </c>
      <c r="R232" s="7" t="inlineStr">
        <is>
          <t>30歳以上</t>
        </is>
      </c>
      <c r="S232" s="7" t="inlineStr">
        <is>
          <t>本配</t>
        </is>
      </c>
      <c r="T232" s="7" t="inlineStr">
        <is>
          <t>無制限</t>
        </is>
      </c>
      <c r="U232" s="7" t="inlineStr">
        <is>
          <t>あり</t>
        </is>
      </c>
      <c r="V232" s="7" t="n">
        <v>1000</v>
      </c>
      <c r="W232" s="7" t="inlineStr">
        <is>
          <t>車内外</t>
        </is>
      </c>
      <c r="X232" s="7" t="n">
        <v>5000</v>
      </c>
      <c r="Y232" s="7" t="inlineStr">
        <is>
          <t>一般</t>
        </is>
      </c>
      <c r="Z232" s="7" t="n">
        <v>110</v>
      </c>
      <c r="AA232" s="7" t="inlineStr">
        <is>
          <t>免責金額なし</t>
        </is>
      </c>
      <c r="AB232" s="7" t="inlineStr">
        <is>
          <t>なし</t>
        </is>
      </c>
      <c r="AC232" s="7" t="inlineStr">
        <is>
          <t>なし</t>
        </is>
      </c>
      <c r="AD232" s="7" t="inlineStr">
        <is>
          <t>なし</t>
        </is>
      </c>
      <c r="AE232" s="7" t="inlineStr">
        <is>
          <t>あり</t>
        </is>
      </c>
      <c r="AF232" s="7" t="inlineStr">
        <is>
          <t>なし</t>
        </is>
      </c>
      <c r="AG232" s="7" t="inlineStr">
        <is>
          <t>なし</t>
        </is>
      </c>
      <c r="AH232" s="7" t="inlineStr">
        <is>
          <t>なし</t>
        </is>
      </c>
      <c r="AI232" s="7"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2018(平成30)</t>
        </is>
      </c>
      <c r="AQ232" s="60" t="n">
        <v>11</v>
      </c>
      <c r="AR232" s="60" t="inlineStr">
        <is>
          <t>HE33S</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110万円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c r="BU232" s="60" t="n">
        <v>40310</v>
      </c>
      <c r="BV232" t="n">
        <v>24280</v>
      </c>
      <c r="BW232" t="n">
        <v>15000</v>
      </c>
      <c r="BX232" t="n">
        <v>9000</v>
      </c>
      <c r="BY232" t="n">
        <v>0</v>
      </c>
      <c r="BZ232" t="n">
        <v/>
      </c>
      <c r="CA232" t="n">
        <v/>
      </c>
    </row>
    <row r="233">
      <c r="A233" s="60" t="n">
        <v>2022</v>
      </c>
      <c r="B233" s="7" t="n">
        <v>12</v>
      </c>
      <c r="C233" s="7" t="n">
        <v>1</v>
      </c>
      <c r="D233" s="7" t="n">
        <v>17</v>
      </c>
      <c r="E233" s="7" t="inlineStr">
        <is>
          <t>あり</t>
        </is>
      </c>
      <c r="F233" s="7" t="inlineStr">
        <is>
          <t>30歳以上</t>
        </is>
      </c>
      <c r="G233" s="7" t="n">
        <v>2018</v>
      </c>
      <c r="H233" s="7" t="n">
        <v>11</v>
      </c>
      <c r="I233" s="7" t="inlineStr">
        <is>
          <t>HE33S</t>
        </is>
      </c>
      <c r="J233" s="7" t="inlineStr">
        <is>
          <t>なし</t>
        </is>
      </c>
      <c r="K233" s="7" t="n">
        <v>1992</v>
      </c>
      <c r="L233" s="15" t="n">
        <v>12</v>
      </c>
      <c r="M233" s="7" t="n">
        <v>1</v>
      </c>
      <c r="N233" s="7" t="inlineStr">
        <is>
          <t>関東</t>
        </is>
      </c>
      <c r="O233" s="7" t="inlineStr">
        <is>
          <t>ブルー</t>
        </is>
      </c>
      <c r="P233" s="7" t="inlineStr">
        <is>
          <t>日常</t>
        </is>
      </c>
      <c r="Q233" s="7" t="n">
        <v>7000</v>
      </c>
      <c r="R233" s="7" t="inlineStr">
        <is>
          <t>30歳以上</t>
        </is>
      </c>
      <c r="S233" s="7" t="inlineStr">
        <is>
          <t>本配</t>
        </is>
      </c>
      <c r="T233" s="7" t="inlineStr">
        <is>
          <t>無制限</t>
        </is>
      </c>
      <c r="U233" s="7" t="inlineStr">
        <is>
          <t>あり</t>
        </is>
      </c>
      <c r="V233" s="7" t="n">
        <v>1000</v>
      </c>
      <c r="W233" s="7" t="inlineStr">
        <is>
          <t>車内外</t>
        </is>
      </c>
      <c r="X233" s="7" t="n">
        <v>5000</v>
      </c>
      <c r="Y233" s="7" t="inlineStr">
        <is>
          <t>一般</t>
        </is>
      </c>
      <c r="Z233" s="7" t="n">
        <v>110</v>
      </c>
      <c r="AA233" s="7" t="inlineStr">
        <is>
          <t>免責金額なし</t>
        </is>
      </c>
      <c r="AB233" s="7" t="inlineStr">
        <is>
          <t>なし</t>
        </is>
      </c>
      <c r="AC233" s="7" t="inlineStr">
        <is>
          <t>なし</t>
        </is>
      </c>
      <c r="AD233" s="7" t="inlineStr">
        <is>
          <t>なし</t>
        </is>
      </c>
      <c r="AE233" s="7" t="inlineStr">
        <is>
          <t>あり</t>
        </is>
      </c>
      <c r="AF233" s="7" t="inlineStr">
        <is>
          <t>なし</t>
        </is>
      </c>
      <c r="AG233" s="7" t="inlineStr">
        <is>
          <t>なし</t>
        </is>
      </c>
      <c r="AH233" s="7" t="inlineStr">
        <is>
          <t>なし</t>
        </is>
      </c>
      <c r="AI233" s="7"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2018(平成30)</t>
        </is>
      </c>
      <c r="AQ233" s="60" t="n">
        <v>11</v>
      </c>
      <c r="AR233" s="60" t="inlineStr">
        <is>
          <t>HE33S</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110万円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c r="BU233" s="60" t="n">
        <v>36970</v>
      </c>
      <c r="BV233" t="n">
        <v>23170</v>
      </c>
      <c r="BW233" t="n">
        <v>13000</v>
      </c>
      <c r="BX233" t="n">
        <v>9000</v>
      </c>
      <c r="BY233" t="n">
        <v>0</v>
      </c>
      <c r="BZ233" t="n">
        <v/>
      </c>
      <c r="CA233" t="n">
        <v/>
      </c>
    </row>
    <row r="234">
      <c r="A234" s="60" t="n">
        <v>2022</v>
      </c>
      <c r="B234" s="7" t="n">
        <v>12</v>
      </c>
      <c r="C234" s="7" t="n">
        <v>1</v>
      </c>
      <c r="D234" s="7" t="n">
        <v>17</v>
      </c>
      <c r="E234" s="7" t="inlineStr">
        <is>
          <t>あり</t>
        </is>
      </c>
      <c r="F234" s="7" t="inlineStr">
        <is>
          <t>30歳以上</t>
        </is>
      </c>
      <c r="G234" s="7" t="n">
        <v>2018</v>
      </c>
      <c r="H234" s="7" t="n">
        <v>11</v>
      </c>
      <c r="I234" s="7" t="inlineStr">
        <is>
          <t>HE33S</t>
        </is>
      </c>
      <c r="J234" s="7" t="inlineStr">
        <is>
          <t>なし</t>
        </is>
      </c>
      <c r="K234" s="7" t="n">
        <v>1987</v>
      </c>
      <c r="L234" s="15" t="n">
        <v>12</v>
      </c>
      <c r="M234" s="7" t="n">
        <v>1</v>
      </c>
      <c r="N234" s="7" t="inlineStr">
        <is>
          <t>関東</t>
        </is>
      </c>
      <c r="O234" s="7" t="inlineStr">
        <is>
          <t>ブルー</t>
        </is>
      </c>
      <c r="P234" s="7" t="inlineStr">
        <is>
          <t>日常</t>
        </is>
      </c>
      <c r="Q234" s="7" t="n">
        <v>7000</v>
      </c>
      <c r="R234" s="7" t="inlineStr">
        <is>
          <t>30歳以上</t>
        </is>
      </c>
      <c r="S234" s="7" t="inlineStr">
        <is>
          <t>本配</t>
        </is>
      </c>
      <c r="T234" s="7" t="inlineStr">
        <is>
          <t>無制限</t>
        </is>
      </c>
      <c r="U234" s="7" t="inlineStr">
        <is>
          <t>あり</t>
        </is>
      </c>
      <c r="V234" s="7" t="n">
        <v>1000</v>
      </c>
      <c r="W234" s="7" t="inlineStr">
        <is>
          <t>車内外</t>
        </is>
      </c>
      <c r="X234" s="7" t="n">
        <v>5000</v>
      </c>
      <c r="Y234" s="7" t="inlineStr">
        <is>
          <t>一般</t>
        </is>
      </c>
      <c r="Z234" s="7" t="n">
        <v>110</v>
      </c>
      <c r="AA234" s="7" t="inlineStr">
        <is>
          <t>免責金額なし</t>
        </is>
      </c>
      <c r="AB234" s="7" t="inlineStr">
        <is>
          <t>なし</t>
        </is>
      </c>
      <c r="AC234" s="7" t="inlineStr">
        <is>
          <t>なし</t>
        </is>
      </c>
      <c r="AD234" s="7" t="inlineStr">
        <is>
          <t>なし</t>
        </is>
      </c>
      <c r="AE234" s="7" t="inlineStr">
        <is>
          <t>あり</t>
        </is>
      </c>
      <c r="AF234" s="7" t="inlineStr">
        <is>
          <t>なし</t>
        </is>
      </c>
      <c r="AG234" s="7" t="inlineStr">
        <is>
          <t>なし</t>
        </is>
      </c>
      <c r="AH234" s="7" t="inlineStr">
        <is>
          <t>なし</t>
        </is>
      </c>
      <c r="AI234" s="7"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2018(平成30)</t>
        </is>
      </c>
      <c r="AQ234" s="60" t="n">
        <v>11</v>
      </c>
      <c r="AR234" s="60" t="inlineStr">
        <is>
          <t>HE33S</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110万円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c r="BU234" s="60" t="inlineStr">
        <is>
          <t>E</t>
        </is>
      </c>
      <c r="BV234" t="inlineStr">
        <is>
          <t xml:space="preserve">Traceback (most recent call last):
  File "C:\Users\Python\Documents\Z\Z_func.py", line 209, in Z_func
    #IDでログイン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234" t="n">
        <v/>
      </c>
      <c r="BX234" t="n">
        <v/>
      </c>
      <c r="BY234" t="n">
        <v/>
      </c>
      <c r="BZ234" t="n">
        <v/>
      </c>
      <c r="CA234" t="n">
        <v/>
      </c>
    </row>
    <row r="235">
      <c r="A235" s="60" t="n">
        <v>2022</v>
      </c>
      <c r="B235" s="7" t="n">
        <v>12</v>
      </c>
      <c r="C235" s="7" t="n">
        <v>1</v>
      </c>
      <c r="D235" s="7" t="n">
        <v>17</v>
      </c>
      <c r="E235" s="7" t="inlineStr">
        <is>
          <t>あり</t>
        </is>
      </c>
      <c r="F235" s="7" t="inlineStr">
        <is>
          <t>30歳以上</t>
        </is>
      </c>
      <c r="G235" s="7" t="n">
        <v>2018</v>
      </c>
      <c r="H235" s="7" t="n">
        <v>11</v>
      </c>
      <c r="I235" s="7" t="inlineStr">
        <is>
          <t>HE33S</t>
        </is>
      </c>
      <c r="J235" s="7" t="inlineStr">
        <is>
          <t>なし</t>
        </is>
      </c>
      <c r="K235" s="7" t="n">
        <v>1982</v>
      </c>
      <c r="L235" s="15" t="n">
        <v>12</v>
      </c>
      <c r="M235" s="7" t="n">
        <v>1</v>
      </c>
      <c r="N235" s="7" t="inlineStr">
        <is>
          <t>関東</t>
        </is>
      </c>
      <c r="O235" s="7" t="inlineStr">
        <is>
          <t>ブルー</t>
        </is>
      </c>
      <c r="P235" s="7" t="inlineStr">
        <is>
          <t>日常</t>
        </is>
      </c>
      <c r="Q235" s="7" t="n">
        <v>7000</v>
      </c>
      <c r="R235" s="7" t="inlineStr">
        <is>
          <t>30歳以上</t>
        </is>
      </c>
      <c r="S235" s="7" t="inlineStr">
        <is>
          <t>本配</t>
        </is>
      </c>
      <c r="T235" s="7" t="inlineStr">
        <is>
          <t>無制限</t>
        </is>
      </c>
      <c r="U235" s="7" t="inlineStr">
        <is>
          <t>あり</t>
        </is>
      </c>
      <c r="V235" s="7" t="n">
        <v>1000</v>
      </c>
      <c r="W235" s="7" t="inlineStr">
        <is>
          <t>車内外</t>
        </is>
      </c>
      <c r="X235" s="7" t="n">
        <v>5000</v>
      </c>
      <c r="Y235" s="7" t="inlineStr">
        <is>
          <t>一般</t>
        </is>
      </c>
      <c r="Z235" s="7" t="n">
        <v>110</v>
      </c>
      <c r="AA235" s="7" t="inlineStr">
        <is>
          <t>免責金額なし</t>
        </is>
      </c>
      <c r="AB235" s="7" t="inlineStr">
        <is>
          <t>なし</t>
        </is>
      </c>
      <c r="AC235" s="7" t="inlineStr">
        <is>
          <t>なし</t>
        </is>
      </c>
      <c r="AD235" s="7" t="inlineStr">
        <is>
          <t>なし</t>
        </is>
      </c>
      <c r="AE235" s="7" t="inlineStr">
        <is>
          <t>あり</t>
        </is>
      </c>
      <c r="AF235" s="7" t="inlineStr">
        <is>
          <t>なし</t>
        </is>
      </c>
      <c r="AG235" s="7" t="inlineStr">
        <is>
          <t>なし</t>
        </is>
      </c>
      <c r="AH235" s="7" t="inlineStr">
        <is>
          <t>なし</t>
        </is>
      </c>
      <c r="AI235" s="7"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2018(平成30)</t>
        </is>
      </c>
      <c r="AQ235" s="60" t="n">
        <v>11</v>
      </c>
      <c r="AR235" s="60" t="inlineStr">
        <is>
          <t>HE33S</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110万円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c r="BU235" s="60" t="inlineStr">
        <is>
          <t>E</t>
        </is>
      </c>
      <c r="BV235" t="inlineStr">
        <is>
          <t xml:space="preserve">Traceback (most recent call last):
  File "C:\Users\Python\Documents\Z\Z_func.py", line 160, in Z_func
    elif data['走行距離2'] == 4: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235" t="n">
        <v/>
      </c>
      <c r="BX235" t="n">
        <v/>
      </c>
      <c r="BY235" t="n">
        <v/>
      </c>
      <c r="BZ235" t="n">
        <v/>
      </c>
      <c r="CA235" t="n">
        <v/>
      </c>
    </row>
    <row r="236">
      <c r="A236" s="60" t="n">
        <v>2022</v>
      </c>
      <c r="B236" s="7" t="n">
        <v>12</v>
      </c>
      <c r="C236" s="7" t="n">
        <v>1</v>
      </c>
      <c r="D236" s="7" t="n">
        <v>17</v>
      </c>
      <c r="E236" s="7" t="inlineStr">
        <is>
          <t>あり</t>
        </is>
      </c>
      <c r="F236" s="7" t="inlineStr">
        <is>
          <t>30歳以上</t>
        </is>
      </c>
      <c r="G236" s="7" t="n">
        <v>2018</v>
      </c>
      <c r="H236" s="7" t="n">
        <v>11</v>
      </c>
      <c r="I236" s="7" t="inlineStr">
        <is>
          <t>HE33S</t>
        </is>
      </c>
      <c r="J236" s="7" t="inlineStr">
        <is>
          <t>なし</t>
        </is>
      </c>
      <c r="K236" s="7" t="n">
        <v>1977</v>
      </c>
      <c r="L236" s="15" t="n">
        <v>12</v>
      </c>
      <c r="M236" s="7" t="n">
        <v>1</v>
      </c>
      <c r="N236" s="7" t="inlineStr">
        <is>
          <t>関東</t>
        </is>
      </c>
      <c r="O236" s="7" t="inlineStr">
        <is>
          <t>ブルー</t>
        </is>
      </c>
      <c r="P236" s="7" t="inlineStr">
        <is>
          <t>日常</t>
        </is>
      </c>
      <c r="Q236" s="7" t="n">
        <v>7000</v>
      </c>
      <c r="R236" s="7" t="inlineStr">
        <is>
          <t>30歳以上</t>
        </is>
      </c>
      <c r="S236" s="7" t="inlineStr">
        <is>
          <t>本配</t>
        </is>
      </c>
      <c r="T236" s="7" t="inlineStr">
        <is>
          <t>無制限</t>
        </is>
      </c>
      <c r="U236" s="7" t="inlineStr">
        <is>
          <t>あり</t>
        </is>
      </c>
      <c r="V236" s="7" t="n">
        <v>1000</v>
      </c>
      <c r="W236" s="7" t="inlineStr">
        <is>
          <t>車内外</t>
        </is>
      </c>
      <c r="X236" s="7" t="n">
        <v>5000</v>
      </c>
      <c r="Y236" s="7" t="inlineStr">
        <is>
          <t>一般</t>
        </is>
      </c>
      <c r="Z236" s="7" t="n">
        <v>110</v>
      </c>
      <c r="AA236" s="7" t="inlineStr">
        <is>
          <t>免責金額なし</t>
        </is>
      </c>
      <c r="AB236" s="7" t="inlineStr">
        <is>
          <t>なし</t>
        </is>
      </c>
      <c r="AC236" s="7" t="inlineStr">
        <is>
          <t>なし</t>
        </is>
      </c>
      <c r="AD236" s="7" t="inlineStr">
        <is>
          <t>なし</t>
        </is>
      </c>
      <c r="AE236" s="7" t="inlineStr">
        <is>
          <t>あり</t>
        </is>
      </c>
      <c r="AF236" s="7" t="inlineStr">
        <is>
          <t>なし</t>
        </is>
      </c>
      <c r="AG236" s="7" t="inlineStr">
        <is>
          <t>なし</t>
        </is>
      </c>
      <c r="AH236" s="7" t="inlineStr">
        <is>
          <t>なし</t>
        </is>
      </c>
      <c r="AI236" s="7"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2018(平成30)</t>
        </is>
      </c>
      <c r="AQ236" s="60" t="n">
        <v>11</v>
      </c>
      <c r="AR236" s="60" t="inlineStr">
        <is>
          <t>HE33S</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110万円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c r="BU236" s="60" t="inlineStr">
        <is>
          <t>E</t>
        </is>
      </c>
      <c r="BV236" t="inlineStr">
        <is>
          <t xml:space="preserve">Traceback (most recent call last):
  File "C:\Users\Python\Documents\Z\Z_func.py", line 236, in Z_func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236" t="n">
        <v/>
      </c>
      <c r="BX236" t="n">
        <v/>
      </c>
      <c r="BY236" t="n">
        <v/>
      </c>
      <c r="BZ236" t="n">
        <v/>
      </c>
      <c r="CA236" t="n">
        <v/>
      </c>
    </row>
    <row r="237">
      <c r="A237" s="60" t="n">
        <v>2022</v>
      </c>
      <c r="B237" s="7" t="n">
        <v>12</v>
      </c>
      <c r="C237" s="7" t="n">
        <v>1</v>
      </c>
      <c r="D237" s="7" t="n">
        <v>17</v>
      </c>
      <c r="E237" s="7" t="inlineStr">
        <is>
          <t>あり</t>
        </is>
      </c>
      <c r="F237" s="7" t="inlineStr">
        <is>
          <t>30歳以上</t>
        </is>
      </c>
      <c r="G237" s="7" t="n">
        <v>2018</v>
      </c>
      <c r="H237" s="7" t="n">
        <v>11</v>
      </c>
      <c r="I237" s="7" t="inlineStr">
        <is>
          <t>HE33S</t>
        </is>
      </c>
      <c r="J237" s="7" t="inlineStr">
        <is>
          <t>なし</t>
        </is>
      </c>
      <c r="K237" s="7" t="n">
        <v>1972</v>
      </c>
      <c r="L237" s="15" t="n">
        <v>12</v>
      </c>
      <c r="M237" s="7" t="n">
        <v>1</v>
      </c>
      <c r="N237" s="7" t="inlineStr">
        <is>
          <t>関東</t>
        </is>
      </c>
      <c r="O237" s="7" t="inlineStr">
        <is>
          <t>ブルー</t>
        </is>
      </c>
      <c r="P237" s="7" t="inlineStr">
        <is>
          <t>日常</t>
        </is>
      </c>
      <c r="Q237" s="7" t="n">
        <v>7000</v>
      </c>
      <c r="R237" s="7" t="inlineStr">
        <is>
          <t>30歳以上</t>
        </is>
      </c>
      <c r="S237" s="7" t="inlineStr">
        <is>
          <t>本配</t>
        </is>
      </c>
      <c r="T237" s="7" t="inlineStr">
        <is>
          <t>無制限</t>
        </is>
      </c>
      <c r="U237" s="7" t="inlineStr">
        <is>
          <t>あり</t>
        </is>
      </c>
      <c r="V237" s="7" t="n">
        <v>1000</v>
      </c>
      <c r="W237" s="7" t="inlineStr">
        <is>
          <t>車内外</t>
        </is>
      </c>
      <c r="X237" s="7" t="n">
        <v>5000</v>
      </c>
      <c r="Y237" s="7" t="inlineStr">
        <is>
          <t>一般</t>
        </is>
      </c>
      <c r="Z237" s="7" t="n">
        <v>110</v>
      </c>
      <c r="AA237" s="7" t="inlineStr">
        <is>
          <t>免責金額なし</t>
        </is>
      </c>
      <c r="AB237" s="7" t="inlineStr">
        <is>
          <t>なし</t>
        </is>
      </c>
      <c r="AC237" s="7" t="inlineStr">
        <is>
          <t>なし</t>
        </is>
      </c>
      <c r="AD237" s="7" t="inlineStr">
        <is>
          <t>なし</t>
        </is>
      </c>
      <c r="AE237" s="7" t="inlineStr">
        <is>
          <t>あり</t>
        </is>
      </c>
      <c r="AF237" s="7" t="inlineStr">
        <is>
          <t>なし</t>
        </is>
      </c>
      <c r="AG237" s="7" t="inlineStr">
        <is>
          <t>なし</t>
        </is>
      </c>
      <c r="AH237" s="7" t="inlineStr">
        <is>
          <t>なし</t>
        </is>
      </c>
      <c r="AI237" s="7"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2018(平成30)</t>
        </is>
      </c>
      <c r="AQ237" s="60" t="n">
        <v>11</v>
      </c>
      <c r="AR237" s="60" t="inlineStr">
        <is>
          <t>HE33S</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110万円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c r="BU237" s="60" t="n">
        <v>38230</v>
      </c>
      <c r="BV237" t="n">
        <v>23400</v>
      </c>
      <c r="BW237" t="n">
        <v>13000</v>
      </c>
      <c r="BX237" t="n">
        <v>9000</v>
      </c>
      <c r="BY237" t="n">
        <v>0</v>
      </c>
      <c r="BZ237" t="n">
        <v/>
      </c>
      <c r="CA237" t="n">
        <v/>
      </c>
    </row>
    <row r="238">
      <c r="A238" s="60" t="n">
        <v>2022</v>
      </c>
      <c r="B238" s="7" t="n">
        <v>12</v>
      </c>
      <c r="C238" s="7" t="n">
        <v>1</v>
      </c>
      <c r="D238" s="7" t="n">
        <v>17</v>
      </c>
      <c r="E238" s="7" t="inlineStr">
        <is>
          <t>あり</t>
        </is>
      </c>
      <c r="F238" s="7" t="inlineStr">
        <is>
          <t>30歳以上</t>
        </is>
      </c>
      <c r="G238" s="7" t="n">
        <v>2018</v>
      </c>
      <c r="H238" s="7" t="n">
        <v>11</v>
      </c>
      <c r="I238" s="7" t="inlineStr">
        <is>
          <t>HE33S</t>
        </is>
      </c>
      <c r="J238" s="7" t="inlineStr">
        <is>
          <t>なし</t>
        </is>
      </c>
      <c r="K238" s="7" t="n">
        <v>1962</v>
      </c>
      <c r="L238" s="15" t="n">
        <v>12</v>
      </c>
      <c r="M238" s="7" t="n">
        <v>1</v>
      </c>
      <c r="N238" s="7" t="inlineStr">
        <is>
          <t>関東</t>
        </is>
      </c>
      <c r="O238" s="7" t="inlineStr">
        <is>
          <t>ブルー</t>
        </is>
      </c>
      <c r="P238" s="7" t="inlineStr">
        <is>
          <t>日常</t>
        </is>
      </c>
      <c r="Q238" s="7" t="n">
        <v>7000</v>
      </c>
      <c r="R238" s="7" t="inlineStr">
        <is>
          <t>30歳以上</t>
        </is>
      </c>
      <c r="S238" s="7" t="inlineStr">
        <is>
          <t>本配</t>
        </is>
      </c>
      <c r="T238" s="7" t="inlineStr">
        <is>
          <t>無制限</t>
        </is>
      </c>
      <c r="U238" s="7" t="inlineStr">
        <is>
          <t>あり</t>
        </is>
      </c>
      <c r="V238" s="7" t="n">
        <v>1000</v>
      </c>
      <c r="W238" s="7" t="inlineStr">
        <is>
          <t>車内外</t>
        </is>
      </c>
      <c r="X238" s="7" t="n">
        <v>5000</v>
      </c>
      <c r="Y238" s="7" t="inlineStr">
        <is>
          <t>一般</t>
        </is>
      </c>
      <c r="Z238" s="7" t="n">
        <v>110</v>
      </c>
      <c r="AA238" s="7" t="inlineStr">
        <is>
          <t>免責金額なし</t>
        </is>
      </c>
      <c r="AB238" s="7" t="inlineStr">
        <is>
          <t>なし</t>
        </is>
      </c>
      <c r="AC238" s="7" t="inlineStr">
        <is>
          <t>なし</t>
        </is>
      </c>
      <c r="AD238" s="7" t="inlineStr">
        <is>
          <t>なし</t>
        </is>
      </c>
      <c r="AE238" s="7" t="inlineStr">
        <is>
          <t>あり</t>
        </is>
      </c>
      <c r="AF238" s="7" t="inlineStr">
        <is>
          <t>なし</t>
        </is>
      </c>
      <c r="AG238" s="7" t="inlineStr">
        <is>
          <t>なし</t>
        </is>
      </c>
      <c r="AH238" s="7" t="inlineStr">
        <is>
          <t>なし</t>
        </is>
      </c>
      <c r="AI238" s="7"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2018(平成30)</t>
        </is>
      </c>
      <c r="AQ238" s="60" t="n">
        <v>11</v>
      </c>
      <c r="AR238" s="60" t="inlineStr">
        <is>
          <t>HE33S</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110万円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c r="BU238" s="60" t="n">
        <v>40990</v>
      </c>
      <c r="BV238" t="n">
        <v>24370</v>
      </c>
      <c r="BW238" t="n">
        <v>13000</v>
      </c>
      <c r="BX238" t="n">
        <v>9000</v>
      </c>
      <c r="BY238" t="n">
        <v>0</v>
      </c>
      <c r="BZ238" t="n">
        <v/>
      </c>
      <c r="CA238" t="n">
        <v/>
      </c>
    </row>
    <row r="239">
      <c r="A239" s="60" t="n">
        <v>2022</v>
      </c>
      <c r="B239" s="7" t="n">
        <v>12</v>
      </c>
      <c r="C239" s="7" t="n">
        <v>1</v>
      </c>
      <c r="D239" s="7" t="n">
        <v>17</v>
      </c>
      <c r="E239" s="7" t="inlineStr">
        <is>
          <t>あり</t>
        </is>
      </c>
      <c r="F239" s="7" t="inlineStr">
        <is>
          <t>30歳以上</t>
        </is>
      </c>
      <c r="G239" s="7" t="n">
        <v>2018</v>
      </c>
      <c r="H239" s="7" t="n">
        <v>11</v>
      </c>
      <c r="I239" s="7" t="inlineStr">
        <is>
          <t>HE33S</t>
        </is>
      </c>
      <c r="J239" s="7" t="inlineStr">
        <is>
          <t>なし</t>
        </is>
      </c>
      <c r="K239" s="7" t="n">
        <v>1952</v>
      </c>
      <c r="L239" s="15" t="n">
        <v>12</v>
      </c>
      <c r="M239" s="7" t="n">
        <v>1</v>
      </c>
      <c r="N239" s="7" t="inlineStr">
        <is>
          <t>関東</t>
        </is>
      </c>
      <c r="O239" s="7" t="inlineStr">
        <is>
          <t>ブルー</t>
        </is>
      </c>
      <c r="P239" s="7" t="inlineStr">
        <is>
          <t>日常</t>
        </is>
      </c>
      <c r="Q239" s="7" t="n">
        <v>7000</v>
      </c>
      <c r="R239" s="7" t="inlineStr">
        <is>
          <t>30歳以上</t>
        </is>
      </c>
      <c r="S239" s="7" t="inlineStr">
        <is>
          <t>本配</t>
        </is>
      </c>
      <c r="T239" s="7" t="inlineStr">
        <is>
          <t>無制限</t>
        </is>
      </c>
      <c r="U239" s="7" t="inlineStr">
        <is>
          <t>あり</t>
        </is>
      </c>
      <c r="V239" s="7" t="n">
        <v>1000</v>
      </c>
      <c r="W239" s="7" t="inlineStr">
        <is>
          <t>車内外</t>
        </is>
      </c>
      <c r="X239" s="7" t="n">
        <v>5000</v>
      </c>
      <c r="Y239" s="7" t="inlineStr">
        <is>
          <t>一般</t>
        </is>
      </c>
      <c r="Z239" s="7" t="n">
        <v>110</v>
      </c>
      <c r="AA239" s="7" t="inlineStr">
        <is>
          <t>免責金額なし</t>
        </is>
      </c>
      <c r="AB239" s="7" t="inlineStr">
        <is>
          <t>なし</t>
        </is>
      </c>
      <c r="AC239" s="7" t="inlineStr">
        <is>
          <t>なし</t>
        </is>
      </c>
      <c r="AD239" s="7" t="inlineStr">
        <is>
          <t>なし</t>
        </is>
      </c>
      <c r="AE239" s="7" t="inlineStr">
        <is>
          <t>あり</t>
        </is>
      </c>
      <c r="AF239" s="7" t="inlineStr">
        <is>
          <t>なし</t>
        </is>
      </c>
      <c r="AG239" s="7" t="inlineStr">
        <is>
          <t>なし</t>
        </is>
      </c>
      <c r="AH239" s="7" t="inlineStr">
        <is>
          <t>なし</t>
        </is>
      </c>
      <c r="AI239" s="7"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2018(平成30)</t>
        </is>
      </c>
      <c r="AQ239" s="60" t="n">
        <v>11</v>
      </c>
      <c r="AR239" s="60" t="inlineStr">
        <is>
          <t>HE33S</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110万円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c r="BU239" s="60" t="n">
        <v>48420</v>
      </c>
      <c r="BV239" t="n">
        <v>30200</v>
      </c>
      <c r="BW239" t="n">
        <v>16000</v>
      </c>
      <c r="BX239" t="n">
        <v>9000</v>
      </c>
      <c r="BY239" t="n">
        <v>0</v>
      </c>
      <c r="BZ239" t="n">
        <v/>
      </c>
      <c r="CA239" t="n">
        <v/>
      </c>
    </row>
    <row r="240">
      <c r="A240" s="60" t="n">
        <v>2022</v>
      </c>
      <c r="B240" s="7" t="n">
        <v>12</v>
      </c>
      <c r="C240" s="7" t="n">
        <v>1</v>
      </c>
      <c r="D240" s="7" t="n">
        <v>17</v>
      </c>
      <c r="E240" s="7" t="inlineStr">
        <is>
          <t>あり</t>
        </is>
      </c>
      <c r="F240" s="7" t="inlineStr">
        <is>
          <t>30歳以上</t>
        </is>
      </c>
      <c r="G240" s="7" t="n">
        <v>2018</v>
      </c>
      <c r="H240" s="7" t="n">
        <v>11</v>
      </c>
      <c r="I240" s="7" t="inlineStr">
        <is>
          <t>HE33S</t>
        </is>
      </c>
      <c r="J240" s="7" t="inlineStr">
        <is>
          <t>なし</t>
        </is>
      </c>
      <c r="K240" s="7" t="n">
        <v>1992</v>
      </c>
      <c r="L240" s="15" t="n">
        <v>12</v>
      </c>
      <c r="M240" s="7" t="n">
        <v>1</v>
      </c>
      <c r="N240" s="7" t="inlineStr">
        <is>
          <t>関東</t>
        </is>
      </c>
      <c r="O240" s="7" t="inlineStr">
        <is>
          <t>ブルー</t>
        </is>
      </c>
      <c r="P240" s="7" t="inlineStr">
        <is>
          <t>通勤</t>
        </is>
      </c>
      <c r="Q240" s="7" t="n">
        <v>3000</v>
      </c>
      <c r="R240" s="7" t="inlineStr">
        <is>
          <t>30歳以上</t>
        </is>
      </c>
      <c r="S240" s="7" t="inlineStr">
        <is>
          <t>本配</t>
        </is>
      </c>
      <c r="T240" s="7" t="inlineStr">
        <is>
          <t>無制限</t>
        </is>
      </c>
      <c r="U240" s="7" t="inlineStr">
        <is>
          <t>あり</t>
        </is>
      </c>
      <c r="V240" s="7" t="n">
        <v>1000</v>
      </c>
      <c r="W240" s="7" t="inlineStr">
        <is>
          <t>車内外</t>
        </is>
      </c>
      <c r="X240" s="7" t="n">
        <v>5000</v>
      </c>
      <c r="Y240" s="7" t="inlineStr">
        <is>
          <t>一般</t>
        </is>
      </c>
      <c r="Z240" s="7" t="n">
        <v>110</v>
      </c>
      <c r="AA240" s="7" t="inlineStr">
        <is>
          <t>免責金額なし</t>
        </is>
      </c>
      <c r="AB240" s="7" t="inlineStr">
        <is>
          <t>なし</t>
        </is>
      </c>
      <c r="AC240" s="7" t="inlineStr">
        <is>
          <t>なし</t>
        </is>
      </c>
      <c r="AD240" s="7" t="inlineStr">
        <is>
          <t>なし</t>
        </is>
      </c>
      <c r="AE240" s="7" t="inlineStr">
        <is>
          <t>あり</t>
        </is>
      </c>
      <c r="AF240" s="7" t="inlineStr">
        <is>
          <t>なし</t>
        </is>
      </c>
      <c r="AG240" s="7" t="inlineStr">
        <is>
          <t>なし</t>
        </is>
      </c>
      <c r="AH240" s="7" t="inlineStr">
        <is>
          <t>なし</t>
        </is>
      </c>
      <c r="AI240" s="7"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2018(平成30)</t>
        </is>
      </c>
      <c r="AQ240" s="60" t="n">
        <v>11</v>
      </c>
      <c r="AR240" s="60" t="inlineStr">
        <is>
          <t>HE33S</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110万円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c r="BU240" s="60" t="n">
        <v>41190</v>
      </c>
      <c r="BV240" t="n">
        <v>24570</v>
      </c>
      <c r="BW240" t="n">
        <v>13000</v>
      </c>
      <c r="BX240" t="n">
        <v>9000</v>
      </c>
      <c r="BY240" t="n">
        <v>0</v>
      </c>
      <c r="BZ240" t="n">
        <v/>
      </c>
      <c r="CA240" t="n">
        <v/>
      </c>
    </row>
    <row r="241">
      <c r="A241" s="60" t="n">
        <v>2022</v>
      </c>
      <c r="B241" s="7" t="n">
        <v>12</v>
      </c>
      <c r="C241" s="7" t="n">
        <v>1</v>
      </c>
      <c r="D241" s="7" t="n">
        <v>17</v>
      </c>
      <c r="E241" s="7" t="inlineStr">
        <is>
          <t>あり</t>
        </is>
      </c>
      <c r="F241" s="7" t="inlineStr">
        <is>
          <t>30歳以上</t>
        </is>
      </c>
      <c r="G241" s="7" t="n">
        <v>2018</v>
      </c>
      <c r="H241" s="7" t="n">
        <v>11</v>
      </c>
      <c r="I241" s="7" t="inlineStr">
        <is>
          <t>HE33S</t>
        </is>
      </c>
      <c r="J241" s="7" t="inlineStr">
        <is>
          <t>なし</t>
        </is>
      </c>
      <c r="K241" s="7" t="n">
        <v>1987</v>
      </c>
      <c r="L241" s="15" t="n">
        <v>12</v>
      </c>
      <c r="M241" s="7" t="n">
        <v>1</v>
      </c>
      <c r="N241" s="7" t="inlineStr">
        <is>
          <t>関東</t>
        </is>
      </c>
      <c r="O241" s="7" t="inlineStr">
        <is>
          <t>ブルー</t>
        </is>
      </c>
      <c r="P241" s="7" t="inlineStr">
        <is>
          <t>通勤</t>
        </is>
      </c>
      <c r="Q241" s="7" t="n">
        <v>3000</v>
      </c>
      <c r="R241" s="7" t="inlineStr">
        <is>
          <t>30歳以上</t>
        </is>
      </c>
      <c r="S241" s="7" t="inlineStr">
        <is>
          <t>本配</t>
        </is>
      </c>
      <c r="T241" s="7" t="inlineStr">
        <is>
          <t>無制限</t>
        </is>
      </c>
      <c r="U241" s="7" t="inlineStr">
        <is>
          <t>あり</t>
        </is>
      </c>
      <c r="V241" s="7" t="n">
        <v>1000</v>
      </c>
      <c r="W241" s="7" t="inlineStr">
        <is>
          <t>車内外</t>
        </is>
      </c>
      <c r="X241" s="7" t="n">
        <v>5000</v>
      </c>
      <c r="Y241" s="7" t="inlineStr">
        <is>
          <t>一般</t>
        </is>
      </c>
      <c r="Z241" s="7" t="n">
        <v>110</v>
      </c>
      <c r="AA241" s="7" t="inlineStr">
        <is>
          <t>免責金額なし</t>
        </is>
      </c>
      <c r="AB241" s="7" t="inlineStr">
        <is>
          <t>なし</t>
        </is>
      </c>
      <c r="AC241" s="7" t="inlineStr">
        <is>
          <t>なし</t>
        </is>
      </c>
      <c r="AD241" s="7" t="inlineStr">
        <is>
          <t>なし</t>
        </is>
      </c>
      <c r="AE241" s="7" t="inlineStr">
        <is>
          <t>あり</t>
        </is>
      </c>
      <c r="AF241" s="7" t="inlineStr">
        <is>
          <t>なし</t>
        </is>
      </c>
      <c r="AG241" s="7" t="inlineStr">
        <is>
          <t>なし</t>
        </is>
      </c>
      <c r="AH241" s="7" t="inlineStr">
        <is>
          <t>なし</t>
        </is>
      </c>
      <c r="AI241" s="7"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2018(平成30)</t>
        </is>
      </c>
      <c r="AQ241" s="60" t="n">
        <v>11</v>
      </c>
      <c r="AR241" s="60" t="inlineStr">
        <is>
          <t>HE33S</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110万円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c r="BU241" s="60" t="n">
        <v>40980</v>
      </c>
      <c r="BV241" t="n">
        <v>24500</v>
      </c>
      <c r="BW241" t="n">
        <v>13000</v>
      </c>
      <c r="BX241" t="n">
        <v>9000</v>
      </c>
      <c r="BY241" t="n">
        <v>0</v>
      </c>
      <c r="BZ241" t="n">
        <v/>
      </c>
      <c r="CA241" t="n">
        <v/>
      </c>
    </row>
    <row r="242">
      <c r="A242" s="60" t="n">
        <v>2022</v>
      </c>
      <c r="B242" s="7" t="n">
        <v>12</v>
      </c>
      <c r="C242" s="7" t="n">
        <v>1</v>
      </c>
      <c r="D242" s="7" t="n">
        <v>17</v>
      </c>
      <c r="E242" s="7" t="inlineStr">
        <is>
          <t>あり</t>
        </is>
      </c>
      <c r="F242" s="7" t="inlineStr">
        <is>
          <t>30歳以上</t>
        </is>
      </c>
      <c r="G242" s="7" t="n">
        <v>2018</v>
      </c>
      <c r="H242" s="7" t="n">
        <v>11</v>
      </c>
      <c r="I242" s="7" t="inlineStr">
        <is>
          <t>HE33S</t>
        </is>
      </c>
      <c r="J242" s="7" t="inlineStr">
        <is>
          <t>なし</t>
        </is>
      </c>
      <c r="K242" s="7" t="n">
        <v>1982</v>
      </c>
      <c r="L242" s="15" t="n">
        <v>12</v>
      </c>
      <c r="M242" s="7" t="n">
        <v>1</v>
      </c>
      <c r="N242" s="7" t="inlineStr">
        <is>
          <t>関東</t>
        </is>
      </c>
      <c r="O242" s="7" t="inlineStr">
        <is>
          <t>ブルー</t>
        </is>
      </c>
      <c r="P242" s="7" t="inlineStr">
        <is>
          <t>通勤</t>
        </is>
      </c>
      <c r="Q242" s="7" t="n">
        <v>3000</v>
      </c>
      <c r="R242" s="7" t="inlineStr">
        <is>
          <t>30歳以上</t>
        </is>
      </c>
      <c r="S242" s="7" t="inlineStr">
        <is>
          <t>本配</t>
        </is>
      </c>
      <c r="T242" s="7" t="inlineStr">
        <is>
          <t>無制限</t>
        </is>
      </c>
      <c r="U242" s="7" t="inlineStr">
        <is>
          <t>あり</t>
        </is>
      </c>
      <c r="V242" s="7" t="n">
        <v>1000</v>
      </c>
      <c r="W242" s="7" t="inlineStr">
        <is>
          <t>車内外</t>
        </is>
      </c>
      <c r="X242" s="7" t="n">
        <v>5000</v>
      </c>
      <c r="Y242" s="7" t="inlineStr">
        <is>
          <t>一般</t>
        </is>
      </c>
      <c r="Z242" s="7" t="n">
        <v>110</v>
      </c>
      <c r="AA242" s="7" t="inlineStr">
        <is>
          <t>免責金額なし</t>
        </is>
      </c>
      <c r="AB242" s="7" t="inlineStr">
        <is>
          <t>なし</t>
        </is>
      </c>
      <c r="AC242" s="7" t="inlineStr">
        <is>
          <t>なし</t>
        </is>
      </c>
      <c r="AD242" s="7" t="inlineStr">
        <is>
          <t>なし</t>
        </is>
      </c>
      <c r="AE242" s="7" t="inlineStr">
        <is>
          <t>あり</t>
        </is>
      </c>
      <c r="AF242" s="7" t="inlineStr">
        <is>
          <t>なし</t>
        </is>
      </c>
      <c r="AG242" s="7" t="inlineStr">
        <is>
          <t>なし</t>
        </is>
      </c>
      <c r="AH242" s="7" t="inlineStr">
        <is>
          <t>なし</t>
        </is>
      </c>
      <c r="AI242" s="7"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2018(平成30)</t>
        </is>
      </c>
      <c r="AQ242" s="60" t="n">
        <v>11</v>
      </c>
      <c r="AR242" s="60" t="inlineStr">
        <is>
          <t>HE33S</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110万円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c r="BU242" s="60" t="n">
        <v>41470</v>
      </c>
      <c r="BV242" s="60" t="n">
        <v>24870</v>
      </c>
      <c r="BW242" s="60" t="n">
        <v>13000</v>
      </c>
      <c r="BX242" s="60" t="n">
        <v>9000</v>
      </c>
      <c r="BY242" s="60" t="n">
        <v>0</v>
      </c>
      <c r="BZ242" s="60" t="n"/>
      <c r="CA242" s="60" t="n"/>
    </row>
    <row r="243">
      <c r="A243" s="60" t="n">
        <v>2022</v>
      </c>
      <c r="B243" s="7" t="n">
        <v>12</v>
      </c>
      <c r="C243" s="7" t="n">
        <v>1</v>
      </c>
      <c r="D243" s="7" t="n">
        <v>17</v>
      </c>
      <c r="E243" s="7" t="inlineStr">
        <is>
          <t>あり</t>
        </is>
      </c>
      <c r="F243" s="7" t="inlineStr">
        <is>
          <t>30歳以上</t>
        </is>
      </c>
      <c r="G243" s="7" t="n">
        <v>2018</v>
      </c>
      <c r="H243" s="7" t="n">
        <v>11</v>
      </c>
      <c r="I243" s="7" t="inlineStr">
        <is>
          <t>HE33S</t>
        </is>
      </c>
      <c r="J243" s="7" t="inlineStr">
        <is>
          <t>なし</t>
        </is>
      </c>
      <c r="K243" s="7" t="n">
        <v>1977</v>
      </c>
      <c r="L243" s="15" t="n">
        <v>12</v>
      </c>
      <c r="M243" s="7" t="n">
        <v>1</v>
      </c>
      <c r="N243" s="7" t="inlineStr">
        <is>
          <t>関東</t>
        </is>
      </c>
      <c r="O243" s="7" t="inlineStr">
        <is>
          <t>ブルー</t>
        </is>
      </c>
      <c r="P243" s="7" t="inlineStr">
        <is>
          <t>通勤</t>
        </is>
      </c>
      <c r="Q243" s="7" t="n">
        <v>3000</v>
      </c>
      <c r="R243" s="7" t="inlineStr">
        <is>
          <t>30歳以上</t>
        </is>
      </c>
      <c r="S243" s="7" t="inlineStr">
        <is>
          <t>本配</t>
        </is>
      </c>
      <c r="T243" s="7" t="inlineStr">
        <is>
          <t>無制限</t>
        </is>
      </c>
      <c r="U243" s="7" t="inlineStr">
        <is>
          <t>あり</t>
        </is>
      </c>
      <c r="V243" s="7" t="n">
        <v>1000</v>
      </c>
      <c r="W243" s="7" t="inlineStr">
        <is>
          <t>車内外</t>
        </is>
      </c>
      <c r="X243" s="7" t="n">
        <v>5000</v>
      </c>
      <c r="Y243" s="7" t="inlineStr">
        <is>
          <t>一般</t>
        </is>
      </c>
      <c r="Z243" s="7" t="n">
        <v>110</v>
      </c>
      <c r="AA243" s="7" t="inlineStr">
        <is>
          <t>免責金額なし</t>
        </is>
      </c>
      <c r="AB243" s="7" t="inlineStr">
        <is>
          <t>なし</t>
        </is>
      </c>
      <c r="AC243" s="7" t="inlineStr">
        <is>
          <t>なし</t>
        </is>
      </c>
      <c r="AD243" s="7" t="inlineStr">
        <is>
          <t>なし</t>
        </is>
      </c>
      <c r="AE243" s="7" t="inlineStr">
        <is>
          <t>あり</t>
        </is>
      </c>
      <c r="AF243" s="7" t="inlineStr">
        <is>
          <t>なし</t>
        </is>
      </c>
      <c r="AG243" s="7" t="inlineStr">
        <is>
          <t>なし</t>
        </is>
      </c>
      <c r="AH243" s="7" t="inlineStr">
        <is>
          <t>なし</t>
        </is>
      </c>
      <c r="AI243" s="7"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2018(平成30)</t>
        </is>
      </c>
      <c r="AQ243" s="60" t="n">
        <v>11</v>
      </c>
      <c r="AR243" s="60" t="inlineStr">
        <is>
          <t>HE33S</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110万円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c r="BU243" s="60" t="n">
        <v>40340</v>
      </c>
      <c r="BV243" s="60" t="n">
        <v>24950</v>
      </c>
      <c r="BW243" s="60" t="n">
        <v>15000</v>
      </c>
      <c r="BX243" s="60" t="n">
        <v>9000</v>
      </c>
      <c r="BY243" s="60" t="n">
        <v>0</v>
      </c>
      <c r="BZ243" s="60" t="n"/>
      <c r="CA243" s="60" t="n"/>
    </row>
    <row r="244">
      <c r="A244" s="60" t="n">
        <v>2022</v>
      </c>
      <c r="B244" s="7" t="n">
        <v>12</v>
      </c>
      <c r="C244" s="7" t="n">
        <v>1</v>
      </c>
      <c r="D244" s="7" t="n">
        <v>17</v>
      </c>
      <c r="E244" s="7" t="inlineStr">
        <is>
          <t>あり</t>
        </is>
      </c>
      <c r="F244" s="7" t="inlineStr">
        <is>
          <t>30歳以上</t>
        </is>
      </c>
      <c r="G244" s="7" t="n">
        <v>2018</v>
      </c>
      <c r="H244" s="7" t="n">
        <v>11</v>
      </c>
      <c r="I244" s="7" t="inlineStr">
        <is>
          <t>HE33S</t>
        </is>
      </c>
      <c r="J244" s="7" t="inlineStr">
        <is>
          <t>なし</t>
        </is>
      </c>
      <c r="K244" s="7" t="n">
        <v>1972</v>
      </c>
      <c r="L244" s="15" t="n">
        <v>12</v>
      </c>
      <c r="M244" s="7" t="n">
        <v>1</v>
      </c>
      <c r="N244" s="7" t="inlineStr">
        <is>
          <t>関東</t>
        </is>
      </c>
      <c r="O244" s="7" t="inlineStr">
        <is>
          <t>ブルー</t>
        </is>
      </c>
      <c r="P244" s="7" t="inlineStr">
        <is>
          <t>通勤</t>
        </is>
      </c>
      <c r="Q244" s="7" t="n">
        <v>3000</v>
      </c>
      <c r="R244" s="7" t="inlineStr">
        <is>
          <t>30歳以上</t>
        </is>
      </c>
      <c r="S244" s="7" t="inlineStr">
        <is>
          <t>本配</t>
        </is>
      </c>
      <c r="T244" s="7" t="inlineStr">
        <is>
          <t>無制限</t>
        </is>
      </c>
      <c r="U244" s="7" t="inlineStr">
        <is>
          <t>あり</t>
        </is>
      </c>
      <c r="V244" s="7" t="n">
        <v>1000</v>
      </c>
      <c r="W244" s="7" t="inlineStr">
        <is>
          <t>車内外</t>
        </is>
      </c>
      <c r="X244" s="7" t="n">
        <v>5000</v>
      </c>
      <c r="Y244" s="7" t="inlineStr">
        <is>
          <t>一般</t>
        </is>
      </c>
      <c r="Z244" s="7" t="n">
        <v>110</v>
      </c>
      <c r="AA244" s="7" t="inlineStr">
        <is>
          <t>免責金額なし</t>
        </is>
      </c>
      <c r="AB244" s="7" t="inlineStr">
        <is>
          <t>なし</t>
        </is>
      </c>
      <c r="AC244" s="7" t="inlineStr">
        <is>
          <t>なし</t>
        </is>
      </c>
      <c r="AD244" s="7" t="inlineStr">
        <is>
          <t>なし</t>
        </is>
      </c>
      <c r="AE244" s="7" t="inlineStr">
        <is>
          <t>あり</t>
        </is>
      </c>
      <c r="AF244" s="7" t="inlineStr">
        <is>
          <t>なし</t>
        </is>
      </c>
      <c r="AG244" s="7" t="inlineStr">
        <is>
          <t>なし</t>
        </is>
      </c>
      <c r="AH244" s="7" t="inlineStr">
        <is>
          <t>なし</t>
        </is>
      </c>
      <c r="AI244" s="7"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2018(平成30)</t>
        </is>
      </c>
      <c r="AQ244" s="60" t="n">
        <v>11</v>
      </c>
      <c r="AR244" s="60" t="inlineStr">
        <is>
          <t>HE33S</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110万円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c r="BU244" s="60" t="n">
        <v>40620</v>
      </c>
      <c r="BV244" s="60" t="n">
        <v>24800</v>
      </c>
      <c r="BW244" s="60" t="n">
        <v>15000</v>
      </c>
      <c r="BX244" s="60" t="n">
        <v>9000</v>
      </c>
      <c r="BY244" s="60" t="n">
        <v>0</v>
      </c>
      <c r="BZ244" s="60" t="n"/>
      <c r="CA244" s="60" t="n"/>
    </row>
    <row r="245">
      <c r="A245" s="60" t="n">
        <v>2022</v>
      </c>
      <c r="B245" s="7" t="n">
        <v>12</v>
      </c>
      <c r="C245" s="7" t="n">
        <v>1</v>
      </c>
      <c r="D245" s="7" t="n">
        <v>17</v>
      </c>
      <c r="E245" s="7" t="inlineStr">
        <is>
          <t>あり</t>
        </is>
      </c>
      <c r="F245" s="7" t="inlineStr">
        <is>
          <t>30歳以上</t>
        </is>
      </c>
      <c r="G245" s="7" t="n">
        <v>2018</v>
      </c>
      <c r="H245" s="7" t="n">
        <v>11</v>
      </c>
      <c r="I245" s="7" t="inlineStr">
        <is>
          <t>HE33S</t>
        </is>
      </c>
      <c r="J245" s="7" t="inlineStr">
        <is>
          <t>なし</t>
        </is>
      </c>
      <c r="K245" s="7" t="n">
        <v>1962</v>
      </c>
      <c r="L245" s="15" t="n">
        <v>12</v>
      </c>
      <c r="M245" s="7" t="n">
        <v>1</v>
      </c>
      <c r="N245" s="7" t="inlineStr">
        <is>
          <t>関東</t>
        </is>
      </c>
      <c r="O245" s="7" t="inlineStr">
        <is>
          <t>ブルー</t>
        </is>
      </c>
      <c r="P245" s="7" t="inlineStr">
        <is>
          <t>通勤</t>
        </is>
      </c>
      <c r="Q245" s="7" t="n">
        <v>3000</v>
      </c>
      <c r="R245" s="7" t="inlineStr">
        <is>
          <t>30歳以上</t>
        </is>
      </c>
      <c r="S245" s="7" t="inlineStr">
        <is>
          <t>本配</t>
        </is>
      </c>
      <c r="T245" s="7" t="inlineStr">
        <is>
          <t>無制限</t>
        </is>
      </c>
      <c r="U245" s="7" t="inlineStr">
        <is>
          <t>あり</t>
        </is>
      </c>
      <c r="V245" s="7" t="n">
        <v>1000</v>
      </c>
      <c r="W245" s="7" t="inlineStr">
        <is>
          <t>車内外</t>
        </is>
      </c>
      <c r="X245" s="7" t="n">
        <v>5000</v>
      </c>
      <c r="Y245" s="7" t="inlineStr">
        <is>
          <t>一般</t>
        </is>
      </c>
      <c r="Z245" s="7" t="n">
        <v>110</v>
      </c>
      <c r="AA245" s="7" t="inlineStr">
        <is>
          <t>免責金額なし</t>
        </is>
      </c>
      <c r="AB245" s="7" t="inlineStr">
        <is>
          <t>なし</t>
        </is>
      </c>
      <c r="AC245" s="7" t="inlineStr">
        <is>
          <t>なし</t>
        </is>
      </c>
      <c r="AD245" s="7" t="inlineStr">
        <is>
          <t>なし</t>
        </is>
      </c>
      <c r="AE245" s="7" t="inlineStr">
        <is>
          <t>あり</t>
        </is>
      </c>
      <c r="AF245" s="7" t="inlineStr">
        <is>
          <t>なし</t>
        </is>
      </c>
      <c r="AG245" s="7" t="inlineStr">
        <is>
          <t>なし</t>
        </is>
      </c>
      <c r="AH245" s="7" t="inlineStr">
        <is>
          <t>なし</t>
        </is>
      </c>
      <c r="AI245" s="7"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2018(平成30)</t>
        </is>
      </c>
      <c r="AQ245" s="60" t="n">
        <v>11</v>
      </c>
      <c r="AR245" s="60" t="inlineStr">
        <is>
          <t>HE33S</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110万円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c r="BU245" s="60" t="n">
        <v>43790</v>
      </c>
      <c r="BV245" s="60" t="n">
        <v>25880</v>
      </c>
      <c r="BW245" s="60" t="n">
        <v>15000</v>
      </c>
      <c r="BX245" s="60" t="n">
        <v>9000</v>
      </c>
      <c r="BY245" s="60" t="n">
        <v>0</v>
      </c>
      <c r="BZ245" s="60" t="n"/>
      <c r="CA245" s="60" t="n"/>
    </row>
    <row r="246">
      <c r="A246" s="60" t="n">
        <v>2022</v>
      </c>
      <c r="B246" s="7" t="n">
        <v>12</v>
      </c>
      <c r="C246" s="7" t="n">
        <v>1</v>
      </c>
      <c r="D246" s="7" t="n">
        <v>17</v>
      </c>
      <c r="E246" s="7" t="inlineStr">
        <is>
          <t>あり</t>
        </is>
      </c>
      <c r="F246" s="7" t="inlineStr">
        <is>
          <t>30歳以上</t>
        </is>
      </c>
      <c r="G246" s="7" t="n">
        <v>2018</v>
      </c>
      <c r="H246" s="7" t="n">
        <v>11</v>
      </c>
      <c r="I246" s="7" t="inlineStr">
        <is>
          <t>HE33S</t>
        </is>
      </c>
      <c r="J246" s="7" t="inlineStr">
        <is>
          <t>なし</t>
        </is>
      </c>
      <c r="K246" s="7" t="n">
        <v>1952</v>
      </c>
      <c r="L246" s="15" t="n">
        <v>12</v>
      </c>
      <c r="M246" s="7" t="n">
        <v>1</v>
      </c>
      <c r="N246" s="7" t="inlineStr">
        <is>
          <t>関東</t>
        </is>
      </c>
      <c r="O246" s="7" t="inlineStr">
        <is>
          <t>ブルー</t>
        </is>
      </c>
      <c r="P246" s="7" t="inlineStr">
        <is>
          <t>通勤</t>
        </is>
      </c>
      <c r="Q246" s="7" t="n">
        <v>3000</v>
      </c>
      <c r="R246" s="7" t="inlineStr">
        <is>
          <t>30歳以上</t>
        </is>
      </c>
      <c r="S246" s="7" t="inlineStr">
        <is>
          <t>本配</t>
        </is>
      </c>
      <c r="T246" s="7" t="inlineStr">
        <is>
          <t>無制限</t>
        </is>
      </c>
      <c r="U246" s="7" t="inlineStr">
        <is>
          <t>あり</t>
        </is>
      </c>
      <c r="V246" s="7" t="n">
        <v>1000</v>
      </c>
      <c r="W246" s="7" t="inlineStr">
        <is>
          <t>車内外</t>
        </is>
      </c>
      <c r="X246" s="7" t="n">
        <v>5000</v>
      </c>
      <c r="Y246" s="7" t="inlineStr">
        <is>
          <t>一般</t>
        </is>
      </c>
      <c r="Z246" s="7" t="n">
        <v>110</v>
      </c>
      <c r="AA246" s="7" t="inlineStr">
        <is>
          <t>免責金額なし</t>
        </is>
      </c>
      <c r="AB246" s="7" t="inlineStr">
        <is>
          <t>なし</t>
        </is>
      </c>
      <c r="AC246" s="7" t="inlineStr">
        <is>
          <t>なし</t>
        </is>
      </c>
      <c r="AD246" s="7" t="inlineStr">
        <is>
          <t>なし</t>
        </is>
      </c>
      <c r="AE246" s="7" t="inlineStr">
        <is>
          <t>あり</t>
        </is>
      </c>
      <c r="AF246" s="7" t="inlineStr">
        <is>
          <t>なし</t>
        </is>
      </c>
      <c r="AG246" s="7" t="inlineStr">
        <is>
          <t>なし</t>
        </is>
      </c>
      <c r="AH246" s="7" t="inlineStr">
        <is>
          <t>なし</t>
        </is>
      </c>
      <c r="AI246" s="7"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2018(平成30)</t>
        </is>
      </c>
      <c r="AQ246" s="60" t="n">
        <v>11</v>
      </c>
      <c r="AR246" s="60" t="inlineStr">
        <is>
          <t>HE33S</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110万円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c r="BU246" s="60" t="n">
        <v>54430</v>
      </c>
      <c r="BV246" s="60" t="n">
        <v>31130</v>
      </c>
      <c r="BW246" s="60" t="n">
        <v>16000</v>
      </c>
      <c r="BX246" s="60" t="n">
        <v>10000</v>
      </c>
      <c r="BY246" s="60" t="n">
        <v>0</v>
      </c>
      <c r="BZ246" s="60" t="n"/>
      <c r="CA246" s="60" t="n"/>
    </row>
    <row r="247">
      <c r="A247" s="60" t="n">
        <v>2022</v>
      </c>
      <c r="B247" s="7" t="n">
        <v>12</v>
      </c>
      <c r="C247" s="7" t="n">
        <v>1</v>
      </c>
      <c r="D247" s="7" t="n">
        <v>17</v>
      </c>
      <c r="E247" s="7" t="inlineStr">
        <is>
          <t>あり</t>
        </is>
      </c>
      <c r="F247" s="7" t="inlineStr">
        <is>
          <t>30歳以上</t>
        </is>
      </c>
      <c r="G247" s="7" t="n">
        <v>2018</v>
      </c>
      <c r="H247" s="7" t="n">
        <v>11</v>
      </c>
      <c r="I247" s="7" t="inlineStr">
        <is>
          <t>HE33S</t>
        </is>
      </c>
      <c r="J247" s="7" t="inlineStr">
        <is>
          <t>なし</t>
        </is>
      </c>
      <c r="K247" s="7" t="n">
        <v>1992</v>
      </c>
      <c r="L247" s="15" t="n">
        <v>12</v>
      </c>
      <c r="M247" s="7" t="n">
        <v>1</v>
      </c>
      <c r="N247" s="7" t="inlineStr">
        <is>
          <t>関東</t>
        </is>
      </c>
      <c r="O247" s="7" t="inlineStr">
        <is>
          <t>ブルー</t>
        </is>
      </c>
      <c r="P247" s="7" t="inlineStr">
        <is>
          <t>通勤</t>
        </is>
      </c>
      <c r="Q247" s="7" t="n">
        <v>7000</v>
      </c>
      <c r="R247" s="7" t="inlineStr">
        <is>
          <t>30歳以上</t>
        </is>
      </c>
      <c r="S247" s="7" t="inlineStr">
        <is>
          <t>本配</t>
        </is>
      </c>
      <c r="T247" s="7" t="inlineStr">
        <is>
          <t>無制限</t>
        </is>
      </c>
      <c r="U247" s="7" t="inlineStr">
        <is>
          <t>あり</t>
        </is>
      </c>
      <c r="V247" s="7" t="n">
        <v>1000</v>
      </c>
      <c r="W247" s="7" t="inlineStr">
        <is>
          <t>車内外</t>
        </is>
      </c>
      <c r="X247" s="7" t="n">
        <v>5000</v>
      </c>
      <c r="Y247" s="7" t="inlineStr">
        <is>
          <t>一般</t>
        </is>
      </c>
      <c r="Z247" s="7" t="n">
        <v>110</v>
      </c>
      <c r="AA247" s="7" t="inlineStr">
        <is>
          <t>免責金額なし</t>
        </is>
      </c>
      <c r="AB247" s="7" t="inlineStr">
        <is>
          <t>なし</t>
        </is>
      </c>
      <c r="AC247" s="7" t="inlineStr">
        <is>
          <t>なし</t>
        </is>
      </c>
      <c r="AD247" s="7" t="inlineStr">
        <is>
          <t>なし</t>
        </is>
      </c>
      <c r="AE247" s="7" t="inlineStr">
        <is>
          <t>あり</t>
        </is>
      </c>
      <c r="AF247" s="7" t="inlineStr">
        <is>
          <t>なし</t>
        </is>
      </c>
      <c r="AG247" s="7" t="inlineStr">
        <is>
          <t>なし</t>
        </is>
      </c>
      <c r="AH247" s="7" t="inlineStr">
        <is>
          <t>なし</t>
        </is>
      </c>
      <c r="AI247" s="7"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2018(平成30)</t>
        </is>
      </c>
      <c r="AQ247" s="60" t="n">
        <v>11</v>
      </c>
      <c r="AR247" s="60" t="inlineStr">
        <is>
          <t>HE33S</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110万円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c r="BU247" s="60" t="n">
        <v>51550</v>
      </c>
      <c r="BV247" s="60" t="n">
        <v>32160</v>
      </c>
      <c r="BW247" s="60" t="n">
        <v>16000</v>
      </c>
      <c r="BX247" s="60" t="n">
        <v>10000</v>
      </c>
      <c r="BY247" s="60" t="n">
        <v>0</v>
      </c>
      <c r="BZ247" s="60" t="n"/>
      <c r="CA247" s="60" t="n"/>
    </row>
    <row r="248">
      <c r="A248" s="60" t="n">
        <v>2022</v>
      </c>
      <c r="B248" s="7" t="n">
        <v>12</v>
      </c>
      <c r="C248" s="7" t="n">
        <v>1</v>
      </c>
      <c r="D248" s="7" t="n">
        <v>17</v>
      </c>
      <c r="E248" s="7" t="inlineStr">
        <is>
          <t>あり</t>
        </is>
      </c>
      <c r="F248" s="7" t="inlineStr">
        <is>
          <t>30歳以上</t>
        </is>
      </c>
      <c r="G248" s="7" t="n">
        <v>2018</v>
      </c>
      <c r="H248" s="7" t="n">
        <v>11</v>
      </c>
      <c r="I248" s="7" t="inlineStr">
        <is>
          <t>HE33S</t>
        </is>
      </c>
      <c r="J248" s="7" t="inlineStr">
        <is>
          <t>なし</t>
        </is>
      </c>
      <c r="K248" s="7" t="n">
        <v>1987</v>
      </c>
      <c r="L248" s="15" t="n">
        <v>12</v>
      </c>
      <c r="M248" s="7" t="n">
        <v>1</v>
      </c>
      <c r="N248" s="7" t="inlineStr">
        <is>
          <t>関東</t>
        </is>
      </c>
      <c r="O248" s="7" t="inlineStr">
        <is>
          <t>ブルー</t>
        </is>
      </c>
      <c r="P248" s="7" t="inlineStr">
        <is>
          <t>通勤</t>
        </is>
      </c>
      <c r="Q248" s="7" t="n">
        <v>7000</v>
      </c>
      <c r="R248" s="7" t="inlineStr">
        <is>
          <t>30歳以上</t>
        </is>
      </c>
      <c r="S248" s="7" t="inlineStr">
        <is>
          <t>本配</t>
        </is>
      </c>
      <c r="T248" s="7" t="inlineStr">
        <is>
          <t>無制限</t>
        </is>
      </c>
      <c r="U248" s="7" t="inlineStr">
        <is>
          <t>あり</t>
        </is>
      </c>
      <c r="V248" s="7" t="n">
        <v>1000</v>
      </c>
      <c r="W248" s="7" t="inlineStr">
        <is>
          <t>車内外</t>
        </is>
      </c>
      <c r="X248" s="7" t="n">
        <v>5000</v>
      </c>
      <c r="Y248" s="7" t="inlineStr">
        <is>
          <t>一般</t>
        </is>
      </c>
      <c r="Z248" s="7" t="n">
        <v>110</v>
      </c>
      <c r="AA248" s="7" t="inlineStr">
        <is>
          <t>免責金額なし</t>
        </is>
      </c>
      <c r="AB248" s="7" t="inlineStr">
        <is>
          <t>なし</t>
        </is>
      </c>
      <c r="AC248" s="7" t="inlineStr">
        <is>
          <t>なし</t>
        </is>
      </c>
      <c r="AD248" s="7" t="inlineStr">
        <is>
          <t>なし</t>
        </is>
      </c>
      <c r="AE248" s="7" t="inlineStr">
        <is>
          <t>あり</t>
        </is>
      </c>
      <c r="AF248" s="7" t="inlineStr">
        <is>
          <t>なし</t>
        </is>
      </c>
      <c r="AG248" s="7" t="inlineStr">
        <is>
          <t>なし</t>
        </is>
      </c>
      <c r="AH248" s="7" t="inlineStr">
        <is>
          <t>なし</t>
        </is>
      </c>
      <c r="AI248" s="7"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2018(平成30)</t>
        </is>
      </c>
      <c r="AQ248" s="60" t="n">
        <v>11</v>
      </c>
      <c r="AR248" s="60" t="inlineStr">
        <is>
          <t>HE33S</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110万円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c r="BU248" s="60" t="n">
        <v>51310</v>
      </c>
      <c r="BV248" s="60" t="n">
        <v>32090</v>
      </c>
      <c r="BW248" s="60" t="n">
        <v>16000</v>
      </c>
      <c r="BX248" s="60" t="n">
        <v>10000</v>
      </c>
      <c r="BY248" s="60" t="n">
        <v>0</v>
      </c>
      <c r="BZ248" s="60" t="n"/>
      <c r="CA248" s="60" t="n"/>
    </row>
    <row r="249">
      <c r="A249" s="60" t="n">
        <v>2022</v>
      </c>
      <c r="B249" s="7" t="n">
        <v>12</v>
      </c>
      <c r="C249" s="7" t="n">
        <v>1</v>
      </c>
      <c r="D249" s="7" t="n">
        <v>17</v>
      </c>
      <c r="E249" s="7" t="inlineStr">
        <is>
          <t>あり</t>
        </is>
      </c>
      <c r="F249" s="7" t="inlineStr">
        <is>
          <t>30歳以上</t>
        </is>
      </c>
      <c r="G249" s="7" t="n">
        <v>2018</v>
      </c>
      <c r="H249" s="7" t="n">
        <v>11</v>
      </c>
      <c r="I249" s="7" t="inlineStr">
        <is>
          <t>HE33S</t>
        </is>
      </c>
      <c r="J249" s="7" t="inlineStr">
        <is>
          <t>なし</t>
        </is>
      </c>
      <c r="K249" s="7" t="n">
        <v>1982</v>
      </c>
      <c r="L249" s="15" t="n">
        <v>12</v>
      </c>
      <c r="M249" s="7" t="n">
        <v>1</v>
      </c>
      <c r="N249" s="7" t="inlineStr">
        <is>
          <t>関東</t>
        </is>
      </c>
      <c r="O249" s="7" t="inlineStr">
        <is>
          <t>ブルー</t>
        </is>
      </c>
      <c r="P249" s="7" t="inlineStr">
        <is>
          <t>通勤</t>
        </is>
      </c>
      <c r="Q249" s="7" t="n">
        <v>7000</v>
      </c>
      <c r="R249" s="7" t="inlineStr">
        <is>
          <t>30歳以上</t>
        </is>
      </c>
      <c r="S249" s="7" t="inlineStr">
        <is>
          <t>本配</t>
        </is>
      </c>
      <c r="T249" s="7" t="inlineStr">
        <is>
          <t>無制限</t>
        </is>
      </c>
      <c r="U249" s="7" t="inlineStr">
        <is>
          <t>あり</t>
        </is>
      </c>
      <c r="V249" s="7" t="n">
        <v>1000</v>
      </c>
      <c r="W249" s="7" t="inlineStr">
        <is>
          <t>車内外</t>
        </is>
      </c>
      <c r="X249" s="7" t="n">
        <v>5000</v>
      </c>
      <c r="Y249" s="7" t="inlineStr">
        <is>
          <t>一般</t>
        </is>
      </c>
      <c r="Z249" s="7" t="n">
        <v>110</v>
      </c>
      <c r="AA249" s="7" t="inlineStr">
        <is>
          <t>免責金額なし</t>
        </is>
      </c>
      <c r="AB249" s="7" t="inlineStr">
        <is>
          <t>なし</t>
        </is>
      </c>
      <c r="AC249" s="7" t="inlineStr">
        <is>
          <t>なし</t>
        </is>
      </c>
      <c r="AD249" s="7" t="inlineStr">
        <is>
          <t>なし</t>
        </is>
      </c>
      <c r="AE249" s="7" t="inlineStr">
        <is>
          <t>あり</t>
        </is>
      </c>
      <c r="AF249" s="7" t="inlineStr">
        <is>
          <t>なし</t>
        </is>
      </c>
      <c r="AG249" s="7" t="inlineStr">
        <is>
          <t>なし</t>
        </is>
      </c>
      <c r="AH249" s="7" t="inlineStr">
        <is>
          <t>なし</t>
        </is>
      </c>
      <c r="AI249" s="7"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2018(平成30)</t>
        </is>
      </c>
      <c r="AQ249" s="60" t="n">
        <v>11</v>
      </c>
      <c r="AR249" s="60" t="inlineStr">
        <is>
          <t>HE33S</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110万円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c r="BU249" s="60" t="n">
        <v>51980</v>
      </c>
      <c r="BV249" s="60" t="n">
        <v>32610</v>
      </c>
      <c r="BW249" s="60" t="n">
        <v>16000</v>
      </c>
      <c r="BX249" s="60" t="n">
        <v>10000</v>
      </c>
      <c r="BY249" s="60" t="n">
        <v>0</v>
      </c>
      <c r="BZ249" s="60" t="n"/>
      <c r="CA249" s="60" t="n"/>
    </row>
    <row r="250">
      <c r="A250" s="60" t="n">
        <v>2022</v>
      </c>
      <c r="B250" s="7" t="n">
        <v>12</v>
      </c>
      <c r="C250" s="7" t="n">
        <v>1</v>
      </c>
      <c r="D250" s="7" t="n">
        <v>17</v>
      </c>
      <c r="E250" s="7" t="inlineStr">
        <is>
          <t>あり</t>
        </is>
      </c>
      <c r="F250" s="7" t="inlineStr">
        <is>
          <t>30歳以上</t>
        </is>
      </c>
      <c r="G250" s="7" t="n">
        <v>2018</v>
      </c>
      <c r="H250" s="7" t="n">
        <v>11</v>
      </c>
      <c r="I250" s="7" t="inlineStr">
        <is>
          <t>HE33S</t>
        </is>
      </c>
      <c r="J250" s="7" t="inlineStr">
        <is>
          <t>なし</t>
        </is>
      </c>
      <c r="K250" s="7" t="n">
        <v>1977</v>
      </c>
      <c r="L250" s="15" t="n">
        <v>12</v>
      </c>
      <c r="M250" s="7" t="n">
        <v>1</v>
      </c>
      <c r="N250" s="7" t="inlineStr">
        <is>
          <t>関東</t>
        </is>
      </c>
      <c r="O250" s="7" t="inlineStr">
        <is>
          <t>ブルー</t>
        </is>
      </c>
      <c r="P250" s="7" t="inlineStr">
        <is>
          <t>通勤</t>
        </is>
      </c>
      <c r="Q250" s="7" t="n">
        <v>7000</v>
      </c>
      <c r="R250" s="7" t="inlineStr">
        <is>
          <t>30歳以上</t>
        </is>
      </c>
      <c r="S250" s="7" t="inlineStr">
        <is>
          <t>本配</t>
        </is>
      </c>
      <c r="T250" s="7" t="inlineStr">
        <is>
          <t>無制限</t>
        </is>
      </c>
      <c r="U250" s="7" t="inlineStr">
        <is>
          <t>あり</t>
        </is>
      </c>
      <c r="V250" s="7" t="n">
        <v>1000</v>
      </c>
      <c r="W250" s="7" t="inlineStr">
        <is>
          <t>車内外</t>
        </is>
      </c>
      <c r="X250" s="7" t="n">
        <v>5000</v>
      </c>
      <c r="Y250" s="7" t="inlineStr">
        <is>
          <t>一般</t>
        </is>
      </c>
      <c r="Z250" s="7" t="n">
        <v>110</v>
      </c>
      <c r="AA250" s="7" t="inlineStr">
        <is>
          <t>免責金額なし</t>
        </is>
      </c>
      <c r="AB250" s="7" t="inlineStr">
        <is>
          <t>なし</t>
        </is>
      </c>
      <c r="AC250" s="7" t="inlineStr">
        <is>
          <t>なし</t>
        </is>
      </c>
      <c r="AD250" s="7" t="inlineStr">
        <is>
          <t>なし</t>
        </is>
      </c>
      <c r="AE250" s="7" t="inlineStr">
        <is>
          <t>あり</t>
        </is>
      </c>
      <c r="AF250" s="7" t="inlineStr">
        <is>
          <t>なし</t>
        </is>
      </c>
      <c r="AG250" s="7" t="inlineStr">
        <is>
          <t>なし</t>
        </is>
      </c>
      <c r="AH250" s="7" t="inlineStr">
        <is>
          <t>なし</t>
        </is>
      </c>
      <c r="AI250" s="7"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2018(平成30)</t>
        </is>
      </c>
      <c r="AQ250" s="60" t="n">
        <v>11</v>
      </c>
      <c r="AR250" s="60" t="inlineStr">
        <is>
          <t>HE33S</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110万円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c r="BU250" s="60" t="n">
        <v>53080</v>
      </c>
      <c r="BV250" s="60" t="n">
        <v>32720</v>
      </c>
      <c r="BW250" s="60" t="n">
        <v>16000</v>
      </c>
      <c r="BX250" s="60" t="n">
        <v>10000</v>
      </c>
      <c r="BY250" s="60" t="n">
        <v>0</v>
      </c>
      <c r="BZ250" s="60" t="n"/>
      <c r="CA250" s="60" t="n"/>
    </row>
    <row r="251">
      <c r="A251" s="60" t="n">
        <v>2022</v>
      </c>
      <c r="B251" s="7" t="n">
        <v>12</v>
      </c>
      <c r="C251" s="7" t="n">
        <v>1</v>
      </c>
      <c r="D251" s="7" t="n">
        <v>17</v>
      </c>
      <c r="E251" s="7" t="inlineStr">
        <is>
          <t>あり</t>
        </is>
      </c>
      <c r="F251" s="7" t="inlineStr">
        <is>
          <t>30歳以上</t>
        </is>
      </c>
      <c r="G251" s="7" t="n">
        <v>2018</v>
      </c>
      <c r="H251" s="7" t="n">
        <v>11</v>
      </c>
      <c r="I251" s="7" t="inlineStr">
        <is>
          <t>HE33S</t>
        </is>
      </c>
      <c r="J251" s="7" t="inlineStr">
        <is>
          <t>なし</t>
        </is>
      </c>
      <c r="K251" s="7" t="n">
        <v>1972</v>
      </c>
      <c r="L251" s="15" t="n">
        <v>12</v>
      </c>
      <c r="M251" s="7" t="n">
        <v>1</v>
      </c>
      <c r="N251" s="7" t="inlineStr">
        <is>
          <t>関東</t>
        </is>
      </c>
      <c r="O251" s="7" t="inlineStr">
        <is>
          <t>ブルー</t>
        </is>
      </c>
      <c r="P251" s="7" t="inlineStr">
        <is>
          <t>通勤</t>
        </is>
      </c>
      <c r="Q251" s="7" t="n">
        <v>7000</v>
      </c>
      <c r="R251" s="7" t="inlineStr">
        <is>
          <t>30歳以上</t>
        </is>
      </c>
      <c r="S251" s="7" t="inlineStr">
        <is>
          <t>本配</t>
        </is>
      </c>
      <c r="T251" s="7" t="inlineStr">
        <is>
          <t>無制限</t>
        </is>
      </c>
      <c r="U251" s="7" t="inlineStr">
        <is>
          <t>あり</t>
        </is>
      </c>
      <c r="V251" s="7" t="n">
        <v>1000</v>
      </c>
      <c r="W251" s="7" t="inlineStr">
        <is>
          <t>車内外</t>
        </is>
      </c>
      <c r="X251" s="7" t="n">
        <v>5000</v>
      </c>
      <c r="Y251" s="7" t="inlineStr">
        <is>
          <t>一般</t>
        </is>
      </c>
      <c r="Z251" s="7" t="n">
        <v>110</v>
      </c>
      <c r="AA251" s="7" t="inlineStr">
        <is>
          <t>免責金額なし</t>
        </is>
      </c>
      <c r="AB251" s="7" t="inlineStr">
        <is>
          <t>なし</t>
        </is>
      </c>
      <c r="AC251" s="7" t="inlineStr">
        <is>
          <t>なし</t>
        </is>
      </c>
      <c r="AD251" s="7" t="inlineStr">
        <is>
          <t>なし</t>
        </is>
      </c>
      <c r="AE251" s="7" t="inlineStr">
        <is>
          <t>あり</t>
        </is>
      </c>
      <c r="AF251" s="7" t="inlineStr">
        <is>
          <t>なし</t>
        </is>
      </c>
      <c r="AG251" s="7" t="inlineStr">
        <is>
          <t>なし</t>
        </is>
      </c>
      <c r="AH251" s="7" t="inlineStr">
        <is>
          <t>なし</t>
        </is>
      </c>
      <c r="AI251" s="7"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2018(平成30)</t>
        </is>
      </c>
      <c r="AQ251" s="60" t="n">
        <v>11</v>
      </c>
      <c r="AR251" s="60" t="inlineStr">
        <is>
          <t>HE33S</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110万円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c r="BU251" s="60" t="n">
        <v>53400</v>
      </c>
      <c r="BV251" s="60" t="n">
        <v>32510</v>
      </c>
      <c r="BW251" s="60" t="n">
        <v>16000</v>
      </c>
      <c r="BX251" s="60" t="n">
        <v>10000</v>
      </c>
      <c r="BY251" s="60" t="n">
        <v>0</v>
      </c>
      <c r="BZ251" s="60" t="n"/>
      <c r="CA251" s="60" t="n"/>
    </row>
    <row r="252">
      <c r="A252" s="60" t="n">
        <v>2022</v>
      </c>
      <c r="B252" s="7" t="n">
        <v>12</v>
      </c>
      <c r="C252" s="7" t="n">
        <v>1</v>
      </c>
      <c r="D252" s="7" t="n">
        <v>17</v>
      </c>
      <c r="E252" s="7" t="inlineStr">
        <is>
          <t>あり</t>
        </is>
      </c>
      <c r="F252" s="7" t="inlineStr">
        <is>
          <t>30歳以上</t>
        </is>
      </c>
      <c r="G252" s="7" t="n">
        <v>2018</v>
      </c>
      <c r="H252" s="7" t="n">
        <v>11</v>
      </c>
      <c r="I252" s="7" t="inlineStr">
        <is>
          <t>HE33S</t>
        </is>
      </c>
      <c r="J252" s="7" t="inlineStr">
        <is>
          <t>なし</t>
        </is>
      </c>
      <c r="K252" s="7" t="n">
        <v>1962</v>
      </c>
      <c r="L252" s="15" t="n">
        <v>12</v>
      </c>
      <c r="M252" s="7" t="n">
        <v>1</v>
      </c>
      <c r="N252" s="7" t="inlineStr">
        <is>
          <t>関東</t>
        </is>
      </c>
      <c r="O252" s="7" t="inlineStr">
        <is>
          <t>ブルー</t>
        </is>
      </c>
      <c r="P252" s="7" t="inlineStr">
        <is>
          <t>通勤</t>
        </is>
      </c>
      <c r="Q252" s="7" t="n">
        <v>7000</v>
      </c>
      <c r="R252" s="7" t="inlineStr">
        <is>
          <t>30歳以上</t>
        </is>
      </c>
      <c r="S252" s="7" t="inlineStr">
        <is>
          <t>本配</t>
        </is>
      </c>
      <c r="T252" s="7" t="inlineStr">
        <is>
          <t>無制限</t>
        </is>
      </c>
      <c r="U252" s="7" t="inlineStr">
        <is>
          <t>あり</t>
        </is>
      </c>
      <c r="V252" s="7" t="n">
        <v>1000</v>
      </c>
      <c r="W252" s="7" t="inlineStr">
        <is>
          <t>車内外</t>
        </is>
      </c>
      <c r="X252" s="7" t="n">
        <v>5000</v>
      </c>
      <c r="Y252" s="7" t="inlineStr">
        <is>
          <t>一般</t>
        </is>
      </c>
      <c r="Z252" s="7" t="n">
        <v>110</v>
      </c>
      <c r="AA252" s="7" t="inlineStr">
        <is>
          <t>免責金額なし</t>
        </is>
      </c>
      <c r="AB252" s="7" t="inlineStr">
        <is>
          <t>なし</t>
        </is>
      </c>
      <c r="AC252" s="7" t="inlineStr">
        <is>
          <t>なし</t>
        </is>
      </c>
      <c r="AD252" s="7" t="inlineStr">
        <is>
          <t>なし</t>
        </is>
      </c>
      <c r="AE252" s="7" t="inlineStr">
        <is>
          <t>あり</t>
        </is>
      </c>
      <c r="AF252" s="7" t="inlineStr">
        <is>
          <t>なし</t>
        </is>
      </c>
      <c r="AG252" s="7" t="inlineStr">
        <is>
          <t>なし</t>
        </is>
      </c>
      <c r="AH252" s="7" t="inlineStr">
        <is>
          <t>なし</t>
        </is>
      </c>
      <c r="AI252" s="7"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2018(平成30)</t>
        </is>
      </c>
      <c r="AQ252" s="60" t="n">
        <v>11</v>
      </c>
      <c r="AR252" s="60" t="inlineStr">
        <is>
          <t>HE33S</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110万円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c r="BU252" s="60" t="n">
        <v>57450</v>
      </c>
      <c r="BV252" s="60" t="n">
        <v>33950</v>
      </c>
      <c r="BW252" s="60" t="n">
        <v>16000</v>
      </c>
      <c r="BX252" s="60" t="n">
        <v>10000</v>
      </c>
      <c r="BY252" s="60" t="n">
        <v>0</v>
      </c>
      <c r="BZ252" s="60" t="n"/>
      <c r="CA252" s="60" t="n"/>
    </row>
    <row r="253">
      <c r="A253" s="60" t="n">
        <v>2022</v>
      </c>
      <c r="B253" s="7" t="n">
        <v>12</v>
      </c>
      <c r="C253" s="7" t="n">
        <v>1</v>
      </c>
      <c r="D253" s="7" t="n">
        <v>17</v>
      </c>
      <c r="E253" s="7" t="inlineStr">
        <is>
          <t>あり</t>
        </is>
      </c>
      <c r="F253" s="7" t="inlineStr">
        <is>
          <t>30歳以上</t>
        </is>
      </c>
      <c r="G253" s="7" t="n">
        <v>2018</v>
      </c>
      <c r="H253" s="7" t="n">
        <v>11</v>
      </c>
      <c r="I253" s="7" t="inlineStr">
        <is>
          <t>HE33S</t>
        </is>
      </c>
      <c r="J253" s="7" t="inlineStr">
        <is>
          <t>なし</t>
        </is>
      </c>
      <c r="K253" s="7" t="n">
        <v>1952</v>
      </c>
      <c r="L253" s="15" t="n">
        <v>12</v>
      </c>
      <c r="M253" s="7" t="n">
        <v>1</v>
      </c>
      <c r="N253" s="7" t="inlineStr">
        <is>
          <t>関東</t>
        </is>
      </c>
      <c r="O253" s="7" t="inlineStr">
        <is>
          <t>ブルー</t>
        </is>
      </c>
      <c r="P253" s="7" t="inlineStr">
        <is>
          <t>通勤</t>
        </is>
      </c>
      <c r="Q253" s="7" t="n">
        <v>7000</v>
      </c>
      <c r="R253" s="7" t="inlineStr">
        <is>
          <t>30歳以上</t>
        </is>
      </c>
      <c r="S253" s="7" t="inlineStr">
        <is>
          <t>本配</t>
        </is>
      </c>
      <c r="T253" s="7" t="inlineStr">
        <is>
          <t>無制限</t>
        </is>
      </c>
      <c r="U253" s="7" t="inlineStr">
        <is>
          <t>あり</t>
        </is>
      </c>
      <c r="V253" s="7" t="n">
        <v>1000</v>
      </c>
      <c r="W253" s="7" t="inlineStr">
        <is>
          <t>車内外</t>
        </is>
      </c>
      <c r="X253" s="7" t="n">
        <v>5000</v>
      </c>
      <c r="Y253" s="7" t="inlineStr">
        <is>
          <t>一般</t>
        </is>
      </c>
      <c r="Z253" s="7" t="n">
        <v>110</v>
      </c>
      <c r="AA253" s="7" t="inlineStr">
        <is>
          <t>免責金額なし</t>
        </is>
      </c>
      <c r="AB253" s="7" t="inlineStr">
        <is>
          <t>なし</t>
        </is>
      </c>
      <c r="AC253" s="7" t="inlineStr">
        <is>
          <t>なし</t>
        </is>
      </c>
      <c r="AD253" s="7" t="inlineStr">
        <is>
          <t>なし</t>
        </is>
      </c>
      <c r="AE253" s="7" t="inlineStr">
        <is>
          <t>あり</t>
        </is>
      </c>
      <c r="AF253" s="7" t="inlineStr">
        <is>
          <t>なし</t>
        </is>
      </c>
      <c r="AG253" s="7" t="inlineStr">
        <is>
          <t>なし</t>
        </is>
      </c>
      <c r="AH253" s="7" t="inlineStr">
        <is>
          <t>なし</t>
        </is>
      </c>
      <c r="AI253" s="7"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2018(平成30)</t>
        </is>
      </c>
      <c r="AQ253" s="60" t="n">
        <v>11</v>
      </c>
      <c r="AR253" s="60" t="inlineStr">
        <is>
          <t>HE33S</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110万円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c r="BU253" s="60" t="n">
        <v>72400</v>
      </c>
      <c r="BV253" s="60" t="n">
        <v>39180</v>
      </c>
      <c r="BW253" s="60" t="n">
        <v>16000</v>
      </c>
      <c r="BX253" s="60" t="n">
        <v>13000</v>
      </c>
      <c r="BY253" s="60" t="n">
        <v>0</v>
      </c>
      <c r="BZ253" s="60" t="n"/>
      <c r="CA253" s="60" t="n"/>
    </row>
    <row r="254">
      <c r="A254" s="60" t="n">
        <v>2022</v>
      </c>
      <c r="B254" s="7" t="n">
        <v>12</v>
      </c>
      <c r="C254" s="7" t="n">
        <v>1</v>
      </c>
      <c r="D254" s="7" t="inlineStr">
        <is>
          <t>6S</t>
        </is>
      </c>
      <c r="E254" s="7" t="inlineStr">
        <is>
          <t>なし</t>
        </is>
      </c>
      <c r="F254" s="7" t="inlineStr">
        <is>
          <t>30歳以上</t>
        </is>
      </c>
      <c r="G254" s="7" t="n">
        <v>2022</v>
      </c>
      <c r="H254" s="7" t="n">
        <v>11</v>
      </c>
      <c r="I254" s="7" t="inlineStr">
        <is>
          <t>KG2P</t>
        </is>
      </c>
      <c r="J254" s="7" t="inlineStr">
        <is>
          <t>なし</t>
        </is>
      </c>
      <c r="K254" s="7" t="n">
        <v>1992</v>
      </c>
      <c r="L254" s="15" t="n">
        <v>12</v>
      </c>
      <c r="M254" s="7" t="n">
        <v>1</v>
      </c>
      <c r="N254" s="7" t="inlineStr">
        <is>
          <t>関東</t>
        </is>
      </c>
      <c r="O254" s="7" t="inlineStr">
        <is>
          <t>ゴールド</t>
        </is>
      </c>
      <c r="P254" s="7" t="inlineStr">
        <is>
          <t>日常</t>
        </is>
      </c>
      <c r="Q254" s="7" t="n">
        <v>3000</v>
      </c>
      <c r="R254" s="7" t="inlineStr">
        <is>
          <t>30歳以上</t>
        </is>
      </c>
      <c r="S254" s="7" t="inlineStr">
        <is>
          <t>本配</t>
        </is>
      </c>
      <c r="T254" s="7" t="inlineStr">
        <is>
          <t>無制限</t>
        </is>
      </c>
      <c r="U254" s="7" t="inlineStr">
        <is>
          <t>なし</t>
        </is>
      </c>
      <c r="V254" s="7" t="n">
        <v>1000</v>
      </c>
      <c r="W254" s="7" t="inlineStr">
        <is>
          <t>車内外</t>
        </is>
      </c>
      <c r="X254" s="7" t="n">
        <v>3000</v>
      </c>
      <c r="Y254" s="7" t="inlineStr">
        <is>
          <t>一般</t>
        </is>
      </c>
      <c r="Z254" s="7" t="n">
        <v>480</v>
      </c>
      <c r="AA254" s="7" t="inlineStr">
        <is>
          <t>免責金額なし</t>
        </is>
      </c>
      <c r="AB254" s="7" t="inlineStr">
        <is>
          <t>なし</t>
        </is>
      </c>
      <c r="AC254" s="7" t="inlineStr">
        <is>
          <t>なし</t>
        </is>
      </c>
      <c r="AD254" s="7" t="inlineStr">
        <is>
          <t>なし</t>
        </is>
      </c>
      <c r="AE254" s="7" t="inlineStr">
        <is>
          <t>あり</t>
        </is>
      </c>
      <c r="AF254" s="7" t="inlineStr">
        <is>
          <t>なし</t>
        </is>
      </c>
      <c r="AG254" s="7" t="inlineStr">
        <is>
          <t>なし</t>
        </is>
      </c>
      <c r="AH254" s="7" t="inlineStr">
        <is>
          <t>なし</t>
        </is>
      </c>
      <c r="AI254" s="7"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11</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480万円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c r="BU254" s="60" t="n">
        <v>59930</v>
      </c>
      <c r="BV254" s="60" t="n">
        <v>25510</v>
      </c>
      <c r="BW254" s="60" t="n">
        <v>16000</v>
      </c>
      <c r="BX254" s="60" t="n">
        <v>9000</v>
      </c>
      <c r="BY254" s="60" t="n">
        <v>0</v>
      </c>
      <c r="BZ254" s="60" t="inlineStr">
        <is>
          <t>車両免責エラー</t>
        </is>
      </c>
      <c r="CA254" s="60" t="n"/>
    </row>
    <row r="255">
      <c r="A255" s="60" t="n">
        <v>2022</v>
      </c>
      <c r="B255" s="7" t="n">
        <v>12</v>
      </c>
      <c r="C255" s="7" t="n">
        <v>1</v>
      </c>
      <c r="D255" s="7" t="inlineStr">
        <is>
          <t>6S</t>
        </is>
      </c>
      <c r="E255" s="7" t="inlineStr">
        <is>
          <t>なし</t>
        </is>
      </c>
      <c r="F255" s="7" t="inlineStr">
        <is>
          <t>30歳以上</t>
        </is>
      </c>
      <c r="G255" s="7" t="n">
        <v>2022</v>
      </c>
      <c r="H255" s="7" t="n">
        <v>11</v>
      </c>
      <c r="I255" s="7" t="inlineStr">
        <is>
          <t>KG2P</t>
        </is>
      </c>
      <c r="J255" s="7" t="inlineStr">
        <is>
          <t>なし</t>
        </is>
      </c>
      <c r="K255" s="7" t="n">
        <v>1987</v>
      </c>
      <c r="L255" s="15" t="n">
        <v>12</v>
      </c>
      <c r="M255" s="7" t="n">
        <v>1</v>
      </c>
      <c r="N255" s="7" t="inlineStr">
        <is>
          <t>関東</t>
        </is>
      </c>
      <c r="O255" s="7" t="inlineStr">
        <is>
          <t>ゴールド</t>
        </is>
      </c>
      <c r="P255" s="7" t="inlineStr">
        <is>
          <t>日常</t>
        </is>
      </c>
      <c r="Q255" s="7" t="n">
        <v>3000</v>
      </c>
      <c r="R255" s="7" t="inlineStr">
        <is>
          <t>30歳以上</t>
        </is>
      </c>
      <c r="S255" s="7" t="inlineStr">
        <is>
          <t>本配</t>
        </is>
      </c>
      <c r="T255" s="7" t="inlineStr">
        <is>
          <t>無制限</t>
        </is>
      </c>
      <c r="U255" s="7" t="inlineStr">
        <is>
          <t>なし</t>
        </is>
      </c>
      <c r="V255" s="7" t="n">
        <v>1000</v>
      </c>
      <c r="W255" s="7" t="inlineStr">
        <is>
          <t>車内外</t>
        </is>
      </c>
      <c r="X255" s="7" t="n">
        <v>3000</v>
      </c>
      <c r="Y255" s="7" t="inlineStr">
        <is>
          <t>一般</t>
        </is>
      </c>
      <c r="Z255" s="7" t="n">
        <v>480</v>
      </c>
      <c r="AA255" s="7" t="inlineStr">
        <is>
          <t>免責金額なし</t>
        </is>
      </c>
      <c r="AB255" s="7" t="inlineStr">
        <is>
          <t>なし</t>
        </is>
      </c>
      <c r="AC255" s="7" t="inlineStr">
        <is>
          <t>なし</t>
        </is>
      </c>
      <c r="AD255" s="7" t="inlineStr">
        <is>
          <t>なし</t>
        </is>
      </c>
      <c r="AE255" s="7" t="inlineStr">
        <is>
          <t>あり</t>
        </is>
      </c>
      <c r="AF255" s="7" t="inlineStr">
        <is>
          <t>なし</t>
        </is>
      </c>
      <c r="AG255" s="7" t="inlineStr">
        <is>
          <t>なし</t>
        </is>
      </c>
      <c r="AH255" s="7" t="inlineStr">
        <is>
          <t>なし</t>
        </is>
      </c>
      <c r="AI255" s="7"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11</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480万円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c r="BU255" s="60" t="n">
        <v>59430</v>
      </c>
      <c r="BV255" s="60" t="n">
        <v>25300</v>
      </c>
      <c r="BW255" s="60" t="n">
        <v>16000</v>
      </c>
      <c r="BX255" s="60" t="n">
        <v>9000</v>
      </c>
      <c r="BY255" s="60" t="n">
        <v>0</v>
      </c>
      <c r="BZ255" s="60" t="inlineStr">
        <is>
          <t>車両免責エラー</t>
        </is>
      </c>
      <c r="CA255" s="60" t="n"/>
    </row>
    <row r="256">
      <c r="A256" s="60" t="n">
        <v>2022</v>
      </c>
      <c r="B256" s="7" t="n">
        <v>12</v>
      </c>
      <c r="C256" s="7" t="n">
        <v>1</v>
      </c>
      <c r="D256" s="7" t="inlineStr">
        <is>
          <t>6S</t>
        </is>
      </c>
      <c r="E256" s="7" t="inlineStr">
        <is>
          <t>なし</t>
        </is>
      </c>
      <c r="F256" s="7" t="inlineStr">
        <is>
          <t>30歳以上</t>
        </is>
      </c>
      <c r="G256" s="7" t="n">
        <v>2022</v>
      </c>
      <c r="H256" s="7" t="n">
        <v>11</v>
      </c>
      <c r="I256" s="7" t="inlineStr">
        <is>
          <t>KG2P</t>
        </is>
      </c>
      <c r="J256" s="7" t="inlineStr">
        <is>
          <t>なし</t>
        </is>
      </c>
      <c r="K256" s="7" t="n">
        <v>1982</v>
      </c>
      <c r="L256" s="15" t="n">
        <v>12</v>
      </c>
      <c r="M256" s="7" t="n">
        <v>1</v>
      </c>
      <c r="N256" s="7" t="inlineStr">
        <is>
          <t>関東</t>
        </is>
      </c>
      <c r="O256" s="7" t="inlineStr">
        <is>
          <t>ゴールド</t>
        </is>
      </c>
      <c r="P256" s="7" t="inlineStr">
        <is>
          <t>日常</t>
        </is>
      </c>
      <c r="Q256" s="7" t="n">
        <v>3000</v>
      </c>
      <c r="R256" s="7" t="inlineStr">
        <is>
          <t>30歳以上</t>
        </is>
      </c>
      <c r="S256" s="7" t="inlineStr">
        <is>
          <t>本配</t>
        </is>
      </c>
      <c r="T256" s="7" t="inlineStr">
        <is>
          <t>無制限</t>
        </is>
      </c>
      <c r="U256" s="7" t="inlineStr">
        <is>
          <t>なし</t>
        </is>
      </c>
      <c r="V256" s="7" t="n">
        <v>1000</v>
      </c>
      <c r="W256" s="7" t="inlineStr">
        <is>
          <t>車内外</t>
        </is>
      </c>
      <c r="X256" s="7" t="n">
        <v>3000</v>
      </c>
      <c r="Y256" s="7" t="inlineStr">
        <is>
          <t>一般</t>
        </is>
      </c>
      <c r="Z256" s="7" t="n">
        <v>480</v>
      </c>
      <c r="AA256" s="7" t="inlineStr">
        <is>
          <t>免責金額なし</t>
        </is>
      </c>
      <c r="AB256" s="7" t="inlineStr">
        <is>
          <t>なし</t>
        </is>
      </c>
      <c r="AC256" s="7" t="inlineStr">
        <is>
          <t>なし</t>
        </is>
      </c>
      <c r="AD256" s="7" t="inlineStr">
        <is>
          <t>なし</t>
        </is>
      </c>
      <c r="AE256" s="7" t="inlineStr">
        <is>
          <t>あり</t>
        </is>
      </c>
      <c r="AF256" s="7" t="inlineStr">
        <is>
          <t>なし</t>
        </is>
      </c>
      <c r="AG256" s="7" t="inlineStr">
        <is>
          <t>なし</t>
        </is>
      </c>
      <c r="AH256" s="7" t="inlineStr">
        <is>
          <t>なし</t>
        </is>
      </c>
      <c r="AI256" s="7"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11</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480万円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c r="BU256" s="60" t="inlineStr">
        <is>
          <t>E</t>
        </is>
      </c>
      <c r="BV256" s="60" t="inlineStr">
        <is>
          <t xml:space="preserve">Traceback (most recent call last):
  File "C:\Users\safic\Documents\Z\Z_func.py", line 155, in Z_func
    browser.find_element(By.CSS_SELECTOR, '#riskFactor'+ new + 'Form\:anualMilleageField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td.firstChild &gt; label"}
  (Session info: chrome=107.0.5304.88)
Stacktrace:
Backtrace:
	Ordinal0 [0x0104ACD3+2075859]
	Ordinal0 [0x00FDEE61+1633889]
	Ordinal0 [0x00EDB7BD+571325]
	Ordinal0 [0x00F0AC2F+764975]
	Ordinal0 [0x00F0AE1B+765467]
	Ordinal0 [0x00F3D0F2+970994]
	Ordinal0 [0x00F27364+881508]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256" s="60" t="n"/>
      <c r="BX256" s="60" t="n"/>
      <c r="BY256" s="60" t="n"/>
      <c r="BZ256" s="60" t="n"/>
      <c r="CA256" s="60" t="n"/>
    </row>
    <row r="257">
      <c r="A257" s="60" t="n">
        <v>2022</v>
      </c>
      <c r="B257" s="7" t="n">
        <v>12</v>
      </c>
      <c r="C257" s="7" t="n">
        <v>1</v>
      </c>
      <c r="D257" s="7" t="inlineStr">
        <is>
          <t>6S</t>
        </is>
      </c>
      <c r="E257" s="7" t="inlineStr">
        <is>
          <t>なし</t>
        </is>
      </c>
      <c r="F257" s="7" t="inlineStr">
        <is>
          <t>30歳以上</t>
        </is>
      </c>
      <c r="G257" s="7" t="n">
        <v>2022</v>
      </c>
      <c r="H257" s="7" t="n">
        <v>11</v>
      </c>
      <c r="I257" s="7" t="inlineStr">
        <is>
          <t>KG2P</t>
        </is>
      </c>
      <c r="J257" s="7" t="inlineStr">
        <is>
          <t>なし</t>
        </is>
      </c>
      <c r="K257" s="7" t="n">
        <v>1977</v>
      </c>
      <c r="L257" s="15" t="n">
        <v>12</v>
      </c>
      <c r="M257" s="7" t="n">
        <v>1</v>
      </c>
      <c r="N257" s="7" t="inlineStr">
        <is>
          <t>関東</t>
        </is>
      </c>
      <c r="O257" s="7" t="inlineStr">
        <is>
          <t>ゴールド</t>
        </is>
      </c>
      <c r="P257" s="7" t="inlineStr">
        <is>
          <t>日常</t>
        </is>
      </c>
      <c r="Q257" s="7" t="n">
        <v>3000</v>
      </c>
      <c r="R257" s="7" t="inlineStr">
        <is>
          <t>30歳以上</t>
        </is>
      </c>
      <c r="S257" s="7" t="inlineStr">
        <is>
          <t>本配</t>
        </is>
      </c>
      <c r="T257" s="7" t="inlineStr">
        <is>
          <t>無制限</t>
        </is>
      </c>
      <c r="U257" s="7" t="inlineStr">
        <is>
          <t>なし</t>
        </is>
      </c>
      <c r="V257" s="7" t="n">
        <v>1000</v>
      </c>
      <c r="W257" s="7" t="inlineStr">
        <is>
          <t>車内外</t>
        </is>
      </c>
      <c r="X257" s="7" t="n">
        <v>3000</v>
      </c>
      <c r="Y257" s="7" t="inlineStr">
        <is>
          <t>一般</t>
        </is>
      </c>
      <c r="Z257" s="7" t="n">
        <v>480</v>
      </c>
      <c r="AA257" s="7" t="inlineStr">
        <is>
          <t>免責金額なし</t>
        </is>
      </c>
      <c r="AB257" s="7" t="inlineStr">
        <is>
          <t>なし</t>
        </is>
      </c>
      <c r="AC257" s="7" t="inlineStr">
        <is>
          <t>なし</t>
        </is>
      </c>
      <c r="AD257" s="7" t="inlineStr">
        <is>
          <t>なし</t>
        </is>
      </c>
      <c r="AE257" s="7" t="inlineStr">
        <is>
          <t>あり</t>
        </is>
      </c>
      <c r="AF257" s="7" t="inlineStr">
        <is>
          <t>なし</t>
        </is>
      </c>
      <c r="AG257" s="7" t="inlineStr">
        <is>
          <t>なし</t>
        </is>
      </c>
      <c r="AH257" s="7" t="inlineStr">
        <is>
          <t>なし</t>
        </is>
      </c>
      <c r="AI257" s="7"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11</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480万円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c r="BU257" s="60" t="n">
        <v>61770</v>
      </c>
      <c r="BV257" s="60" t="n">
        <v>25740</v>
      </c>
      <c r="BW257" s="60" t="n">
        <v>16000</v>
      </c>
      <c r="BX257" s="60" t="n">
        <v>9000</v>
      </c>
      <c r="BY257" s="60" t="n">
        <v>0</v>
      </c>
      <c r="BZ257" s="60" t="inlineStr">
        <is>
          <t>車両免責エラー</t>
        </is>
      </c>
      <c r="CA257" s="60" t="n"/>
    </row>
    <row r="258">
      <c r="A258" s="60" t="n">
        <v>2022</v>
      </c>
      <c r="B258" s="7" t="n">
        <v>12</v>
      </c>
      <c r="C258" s="7" t="n">
        <v>1</v>
      </c>
      <c r="D258" s="7" t="inlineStr">
        <is>
          <t>6S</t>
        </is>
      </c>
      <c r="E258" s="7" t="inlineStr">
        <is>
          <t>なし</t>
        </is>
      </c>
      <c r="F258" s="7" t="inlineStr">
        <is>
          <t>30歳以上</t>
        </is>
      </c>
      <c r="G258" s="7" t="n">
        <v>2022</v>
      </c>
      <c r="H258" s="7" t="n">
        <v>11</v>
      </c>
      <c r="I258" s="7" t="inlineStr">
        <is>
          <t>KG2P</t>
        </is>
      </c>
      <c r="J258" s="7" t="inlineStr">
        <is>
          <t>なし</t>
        </is>
      </c>
      <c r="K258" s="7" t="n">
        <v>1972</v>
      </c>
      <c r="L258" s="15" t="n">
        <v>12</v>
      </c>
      <c r="M258" s="7" t="n">
        <v>1</v>
      </c>
      <c r="N258" s="7" t="inlineStr">
        <is>
          <t>関東</t>
        </is>
      </c>
      <c r="O258" s="7" t="inlineStr">
        <is>
          <t>ゴールド</t>
        </is>
      </c>
      <c r="P258" s="7" t="inlineStr">
        <is>
          <t>日常</t>
        </is>
      </c>
      <c r="Q258" s="7" t="n">
        <v>3000</v>
      </c>
      <c r="R258" s="7" t="inlineStr">
        <is>
          <t>30歳以上</t>
        </is>
      </c>
      <c r="S258" s="7" t="inlineStr">
        <is>
          <t>本配</t>
        </is>
      </c>
      <c r="T258" s="7" t="inlineStr">
        <is>
          <t>無制限</t>
        </is>
      </c>
      <c r="U258" s="7" t="inlineStr">
        <is>
          <t>なし</t>
        </is>
      </c>
      <c r="V258" s="7" t="n">
        <v>1000</v>
      </c>
      <c r="W258" s="7" t="inlineStr">
        <is>
          <t>車内外</t>
        </is>
      </c>
      <c r="X258" s="7" t="n">
        <v>3000</v>
      </c>
      <c r="Y258" s="7" t="inlineStr">
        <is>
          <t>一般</t>
        </is>
      </c>
      <c r="Z258" s="7" t="n">
        <v>480</v>
      </c>
      <c r="AA258" s="7" t="inlineStr">
        <is>
          <t>免責金額なし</t>
        </is>
      </c>
      <c r="AB258" s="7" t="inlineStr">
        <is>
          <t>なし</t>
        </is>
      </c>
      <c r="AC258" s="7" t="inlineStr">
        <is>
          <t>なし</t>
        </is>
      </c>
      <c r="AD258" s="7" t="inlineStr">
        <is>
          <t>なし</t>
        </is>
      </c>
      <c r="AE258" s="7" t="inlineStr">
        <is>
          <t>あり</t>
        </is>
      </c>
      <c r="AF258" s="7" t="inlineStr">
        <is>
          <t>なし</t>
        </is>
      </c>
      <c r="AG258" s="7" t="inlineStr">
        <is>
          <t>なし</t>
        </is>
      </c>
      <c r="AH258" s="7" t="inlineStr">
        <is>
          <t>なし</t>
        </is>
      </c>
      <c r="AI258" s="7"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11</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480万円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c r="BU258" s="60" t="n">
        <v>62530</v>
      </c>
      <c r="BV258" s="60" t="n">
        <v>25630</v>
      </c>
      <c r="BW258" s="60" t="n">
        <v>16000</v>
      </c>
      <c r="BX258" s="60" t="n">
        <v>9000</v>
      </c>
      <c r="BY258" s="60" t="n">
        <v>0</v>
      </c>
      <c r="BZ258" s="60" t="inlineStr">
        <is>
          <t>車両免責エラー</t>
        </is>
      </c>
      <c r="CA258" s="60" t="n"/>
    </row>
    <row r="259">
      <c r="A259" s="60" t="n">
        <v>2022</v>
      </c>
      <c r="B259" s="7" t="n">
        <v>12</v>
      </c>
      <c r="C259" s="7" t="n">
        <v>1</v>
      </c>
      <c r="D259" s="7" t="inlineStr">
        <is>
          <t>6S</t>
        </is>
      </c>
      <c r="E259" s="7" t="inlineStr">
        <is>
          <t>なし</t>
        </is>
      </c>
      <c r="F259" s="7" t="inlineStr">
        <is>
          <t>30歳以上</t>
        </is>
      </c>
      <c r="G259" s="7" t="n">
        <v>2022</v>
      </c>
      <c r="H259" s="7" t="n">
        <v>11</v>
      </c>
      <c r="I259" s="7" t="inlineStr">
        <is>
          <t>KG2P</t>
        </is>
      </c>
      <c r="J259" s="7" t="inlineStr">
        <is>
          <t>なし</t>
        </is>
      </c>
      <c r="K259" s="7" t="n">
        <v>1962</v>
      </c>
      <c r="L259" s="15" t="n">
        <v>12</v>
      </c>
      <c r="M259" s="7" t="n">
        <v>1</v>
      </c>
      <c r="N259" s="7" t="inlineStr">
        <is>
          <t>関東</t>
        </is>
      </c>
      <c r="O259" s="7" t="inlineStr">
        <is>
          <t>ゴールド</t>
        </is>
      </c>
      <c r="P259" s="7" t="inlineStr">
        <is>
          <t>日常</t>
        </is>
      </c>
      <c r="Q259" s="7" t="n">
        <v>3000</v>
      </c>
      <c r="R259" s="7" t="inlineStr">
        <is>
          <t>30歳以上</t>
        </is>
      </c>
      <c r="S259" s="7" t="inlineStr">
        <is>
          <t>本配</t>
        </is>
      </c>
      <c r="T259" s="7" t="inlineStr">
        <is>
          <t>無制限</t>
        </is>
      </c>
      <c r="U259" s="7" t="inlineStr">
        <is>
          <t>なし</t>
        </is>
      </c>
      <c r="V259" s="7" t="n">
        <v>1000</v>
      </c>
      <c r="W259" s="7" t="inlineStr">
        <is>
          <t>車内外</t>
        </is>
      </c>
      <c r="X259" s="7" t="n">
        <v>3000</v>
      </c>
      <c r="Y259" s="7" t="inlineStr">
        <is>
          <t>一般</t>
        </is>
      </c>
      <c r="Z259" s="7" t="n">
        <v>480</v>
      </c>
      <c r="AA259" s="7" t="inlineStr">
        <is>
          <t>免責金額なし</t>
        </is>
      </c>
      <c r="AB259" s="7" t="inlineStr">
        <is>
          <t>なし</t>
        </is>
      </c>
      <c r="AC259" s="7" t="inlineStr">
        <is>
          <t>なし</t>
        </is>
      </c>
      <c r="AD259" s="7" t="inlineStr">
        <is>
          <t>なし</t>
        </is>
      </c>
      <c r="AE259" s="7" t="inlineStr">
        <is>
          <t>あり</t>
        </is>
      </c>
      <c r="AF259" s="7" t="inlineStr">
        <is>
          <t>なし</t>
        </is>
      </c>
      <c r="AG259" s="7" t="inlineStr">
        <is>
          <t>なし</t>
        </is>
      </c>
      <c r="AH259" s="7" t="inlineStr">
        <is>
          <t>なし</t>
        </is>
      </c>
      <c r="AI259" s="7"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11</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480万円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c r="BU259" s="60" t="n">
        <v>68170</v>
      </c>
      <c r="BV259" s="60" t="n">
        <v>26920</v>
      </c>
      <c r="BW259" s="60" t="n">
        <v>16000</v>
      </c>
      <c r="BX259" s="60" t="n">
        <v>9000</v>
      </c>
      <c r="BY259" s="60" t="n">
        <v>0</v>
      </c>
      <c r="BZ259" s="60" t="inlineStr">
        <is>
          <t>車両免責エラー</t>
        </is>
      </c>
      <c r="CA259" s="60" t="n"/>
    </row>
    <row r="260">
      <c r="A260" s="60" t="n">
        <v>2022</v>
      </c>
      <c r="B260" s="7" t="n">
        <v>12</v>
      </c>
      <c r="C260" s="7" t="n">
        <v>1</v>
      </c>
      <c r="D260" s="7" t="inlineStr">
        <is>
          <t>6S</t>
        </is>
      </c>
      <c r="E260" s="7" t="inlineStr">
        <is>
          <t>なし</t>
        </is>
      </c>
      <c r="F260" s="7" t="inlineStr">
        <is>
          <t>30歳以上</t>
        </is>
      </c>
      <c r="G260" s="7" t="n">
        <v>2022</v>
      </c>
      <c r="H260" s="7" t="n">
        <v>11</v>
      </c>
      <c r="I260" s="7" t="inlineStr">
        <is>
          <t>KG2P</t>
        </is>
      </c>
      <c r="J260" s="7" t="inlineStr">
        <is>
          <t>なし</t>
        </is>
      </c>
      <c r="K260" s="7" t="n">
        <v>1952</v>
      </c>
      <c r="L260" s="15" t="n">
        <v>12</v>
      </c>
      <c r="M260" s="7" t="n">
        <v>1</v>
      </c>
      <c r="N260" s="7" t="inlineStr">
        <is>
          <t>関東</t>
        </is>
      </c>
      <c r="O260" s="7" t="inlineStr">
        <is>
          <t>ゴールド</t>
        </is>
      </c>
      <c r="P260" s="7" t="inlineStr">
        <is>
          <t>日常</t>
        </is>
      </c>
      <c r="Q260" s="7" t="n">
        <v>3000</v>
      </c>
      <c r="R260" s="7" t="inlineStr">
        <is>
          <t>30歳以上</t>
        </is>
      </c>
      <c r="S260" s="7" t="inlineStr">
        <is>
          <t>本配</t>
        </is>
      </c>
      <c r="T260" s="7" t="inlineStr">
        <is>
          <t>無制限</t>
        </is>
      </c>
      <c r="U260" s="7" t="inlineStr">
        <is>
          <t>なし</t>
        </is>
      </c>
      <c r="V260" s="7" t="n">
        <v>1000</v>
      </c>
      <c r="W260" s="7" t="inlineStr">
        <is>
          <t>車内外</t>
        </is>
      </c>
      <c r="X260" s="7" t="n">
        <v>3000</v>
      </c>
      <c r="Y260" s="7" t="inlineStr">
        <is>
          <t>一般</t>
        </is>
      </c>
      <c r="Z260" s="7" t="n">
        <v>480</v>
      </c>
      <c r="AA260" s="7" t="inlineStr">
        <is>
          <t>免責金額なし</t>
        </is>
      </c>
      <c r="AB260" s="7" t="inlineStr">
        <is>
          <t>なし</t>
        </is>
      </c>
      <c r="AC260" s="7" t="inlineStr">
        <is>
          <t>なし</t>
        </is>
      </c>
      <c r="AD260" s="7" t="inlineStr">
        <is>
          <t>なし</t>
        </is>
      </c>
      <c r="AE260" s="7" t="inlineStr">
        <is>
          <t>あり</t>
        </is>
      </c>
      <c r="AF260" s="7" t="inlineStr">
        <is>
          <t>なし</t>
        </is>
      </c>
      <c r="AG260" s="7" t="inlineStr">
        <is>
          <t>なし</t>
        </is>
      </c>
      <c r="AH260" s="7" t="inlineStr">
        <is>
          <t>なし</t>
        </is>
      </c>
      <c r="AI260" s="7"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11</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480万円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c r="BU260" s="60" t="n">
        <v>86220</v>
      </c>
      <c r="BV260" s="60" t="n">
        <v>32800</v>
      </c>
      <c r="BW260" s="60" t="n">
        <v>16000</v>
      </c>
      <c r="BX260" s="60" t="n">
        <v>10000</v>
      </c>
      <c r="BY260" s="60" t="n">
        <v>0</v>
      </c>
      <c r="BZ260" s="60" t="inlineStr">
        <is>
          <t>車両免責エラー</t>
        </is>
      </c>
      <c r="CA260" s="60" t="n"/>
    </row>
    <row r="261">
      <c r="A261" s="60" t="n">
        <v>2022</v>
      </c>
      <c r="B261" s="7" t="n">
        <v>12</v>
      </c>
      <c r="C261" s="7" t="n">
        <v>1</v>
      </c>
      <c r="D261" s="7" t="inlineStr">
        <is>
          <t>6S</t>
        </is>
      </c>
      <c r="E261" s="7" t="inlineStr">
        <is>
          <t>なし</t>
        </is>
      </c>
      <c r="F261" s="7" t="inlineStr">
        <is>
          <t>30歳以上</t>
        </is>
      </c>
      <c r="G261" s="7" t="n">
        <v>2022</v>
      </c>
      <c r="H261" s="7" t="n">
        <v>11</v>
      </c>
      <c r="I261" s="7" t="inlineStr">
        <is>
          <t>KG2P</t>
        </is>
      </c>
      <c r="J261" s="7" t="inlineStr">
        <is>
          <t>なし</t>
        </is>
      </c>
      <c r="K261" s="7" t="n">
        <v>1992</v>
      </c>
      <c r="L261" s="15" t="n">
        <v>12</v>
      </c>
      <c r="M261" s="7" t="n">
        <v>1</v>
      </c>
      <c r="N261" s="7" t="inlineStr">
        <is>
          <t>関東</t>
        </is>
      </c>
      <c r="O261" s="7" t="inlineStr">
        <is>
          <t>ゴールド</t>
        </is>
      </c>
      <c r="P261" s="7" t="inlineStr">
        <is>
          <t>日常</t>
        </is>
      </c>
      <c r="Q261" s="7" t="n">
        <v>7000</v>
      </c>
      <c r="R261" s="7" t="inlineStr">
        <is>
          <t>30歳以上</t>
        </is>
      </c>
      <c r="S261" s="7" t="inlineStr">
        <is>
          <t>本配</t>
        </is>
      </c>
      <c r="T261" s="7" t="inlineStr">
        <is>
          <t>無制限</t>
        </is>
      </c>
      <c r="U261" s="7" t="inlineStr">
        <is>
          <t>なし</t>
        </is>
      </c>
      <c r="V261" s="7" t="n">
        <v>1000</v>
      </c>
      <c r="W261" s="7" t="inlineStr">
        <is>
          <t>車内外</t>
        </is>
      </c>
      <c r="X261" s="7" t="n">
        <v>3000</v>
      </c>
      <c r="Y261" s="7" t="inlineStr">
        <is>
          <t>一般</t>
        </is>
      </c>
      <c r="Z261" s="7" t="n">
        <v>480</v>
      </c>
      <c r="AA261" s="7" t="inlineStr">
        <is>
          <t>免責金額なし</t>
        </is>
      </c>
      <c r="AB261" s="7" t="inlineStr">
        <is>
          <t>なし</t>
        </is>
      </c>
      <c r="AC261" s="7" t="inlineStr">
        <is>
          <t>なし</t>
        </is>
      </c>
      <c r="AD261" s="7" t="inlineStr">
        <is>
          <t>なし</t>
        </is>
      </c>
      <c r="AE261" s="7" t="inlineStr">
        <is>
          <t>あり</t>
        </is>
      </c>
      <c r="AF261" s="7" t="inlineStr">
        <is>
          <t>なし</t>
        </is>
      </c>
      <c r="AG261" s="7" t="inlineStr">
        <is>
          <t>なし</t>
        </is>
      </c>
      <c r="AH261" s="7" t="inlineStr">
        <is>
          <t>なし</t>
        </is>
      </c>
      <c r="AI261" s="7"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11</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480万円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c r="BU261" s="60" t="n">
        <v>72400</v>
      </c>
      <c r="BV261" s="60" t="n">
        <v>30800</v>
      </c>
      <c r="BW261" s="60" t="n">
        <v>16000</v>
      </c>
      <c r="BX261" s="60" t="n">
        <v>10000</v>
      </c>
      <c r="BY261" s="60" t="n">
        <v>0</v>
      </c>
      <c r="BZ261" s="60" t="inlineStr">
        <is>
          <t>車両免責エラー</t>
        </is>
      </c>
      <c r="CA261" s="60" t="n"/>
    </row>
    <row r="262">
      <c r="A262" s="60" t="n">
        <v>2022</v>
      </c>
      <c r="B262" s="7" t="n">
        <v>12</v>
      </c>
      <c r="C262" s="7" t="n">
        <v>1</v>
      </c>
      <c r="D262" s="7" t="inlineStr">
        <is>
          <t>6S</t>
        </is>
      </c>
      <c r="E262" s="7" t="inlineStr">
        <is>
          <t>なし</t>
        </is>
      </c>
      <c r="F262" s="7" t="inlineStr">
        <is>
          <t>30歳以上</t>
        </is>
      </c>
      <c r="G262" s="7" t="n">
        <v>2022</v>
      </c>
      <c r="H262" s="7" t="n">
        <v>11</v>
      </c>
      <c r="I262" s="7" t="inlineStr">
        <is>
          <t>KG2P</t>
        </is>
      </c>
      <c r="J262" s="7" t="inlineStr">
        <is>
          <t>なし</t>
        </is>
      </c>
      <c r="K262" s="7" t="n">
        <v>1987</v>
      </c>
      <c r="L262" s="15" t="n">
        <v>12</v>
      </c>
      <c r="M262" s="7" t="n">
        <v>1</v>
      </c>
      <c r="N262" s="7" t="inlineStr">
        <is>
          <t>関東</t>
        </is>
      </c>
      <c r="O262" s="7" t="inlineStr">
        <is>
          <t>ゴールド</t>
        </is>
      </c>
      <c r="P262" s="7" t="inlineStr">
        <is>
          <t>日常</t>
        </is>
      </c>
      <c r="Q262" s="7" t="n">
        <v>7000</v>
      </c>
      <c r="R262" s="7" t="inlineStr">
        <is>
          <t>30歳以上</t>
        </is>
      </c>
      <c r="S262" s="7" t="inlineStr">
        <is>
          <t>本配</t>
        </is>
      </c>
      <c r="T262" s="7" t="inlineStr">
        <is>
          <t>無制限</t>
        </is>
      </c>
      <c r="U262" s="7" t="inlineStr">
        <is>
          <t>なし</t>
        </is>
      </c>
      <c r="V262" s="7" t="n">
        <v>1000</v>
      </c>
      <c r="W262" s="7" t="inlineStr">
        <is>
          <t>車内外</t>
        </is>
      </c>
      <c r="X262" s="7" t="n">
        <v>3000</v>
      </c>
      <c r="Y262" s="7" t="inlineStr">
        <is>
          <t>一般</t>
        </is>
      </c>
      <c r="Z262" s="7" t="n">
        <v>480</v>
      </c>
      <c r="AA262" s="7" t="inlineStr">
        <is>
          <t>免責金額なし</t>
        </is>
      </c>
      <c r="AB262" s="7" t="inlineStr">
        <is>
          <t>なし</t>
        </is>
      </c>
      <c r="AC262" s="7" t="inlineStr">
        <is>
          <t>なし</t>
        </is>
      </c>
      <c r="AD262" s="7" t="inlineStr">
        <is>
          <t>なし</t>
        </is>
      </c>
      <c r="AE262" s="7" t="inlineStr">
        <is>
          <t>あり</t>
        </is>
      </c>
      <c r="AF262" s="7" t="inlineStr">
        <is>
          <t>なし</t>
        </is>
      </c>
      <c r="AG262" s="7" t="inlineStr">
        <is>
          <t>なし</t>
        </is>
      </c>
      <c r="AH262" s="7" t="inlineStr">
        <is>
          <t>なし</t>
        </is>
      </c>
      <c r="AI262" s="7"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11</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480万円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c r="BU262" s="60" t="n">
        <v>71780</v>
      </c>
      <c r="BV262" s="60" t="n">
        <v>30520</v>
      </c>
      <c r="BW262" s="60" t="n">
        <v>16000</v>
      </c>
      <c r="BX262" s="60" t="n">
        <v>10000</v>
      </c>
      <c r="BY262" s="60" t="n">
        <v>0</v>
      </c>
      <c r="BZ262" s="60" t="inlineStr">
        <is>
          <t>車両免責エラー</t>
        </is>
      </c>
      <c r="CA262" s="60" t="n"/>
    </row>
    <row r="263">
      <c r="A263" s="60" t="n">
        <v>2022</v>
      </c>
      <c r="B263" s="7" t="n">
        <v>12</v>
      </c>
      <c r="C263" s="7" t="n">
        <v>1</v>
      </c>
      <c r="D263" s="7" t="inlineStr">
        <is>
          <t>6S</t>
        </is>
      </c>
      <c r="E263" s="7" t="inlineStr">
        <is>
          <t>なし</t>
        </is>
      </c>
      <c r="F263" s="7" t="inlineStr">
        <is>
          <t>30歳以上</t>
        </is>
      </c>
      <c r="G263" s="7" t="n">
        <v>2022</v>
      </c>
      <c r="H263" s="7" t="n">
        <v>11</v>
      </c>
      <c r="I263" s="7" t="inlineStr">
        <is>
          <t>KG2P</t>
        </is>
      </c>
      <c r="J263" s="7" t="inlineStr">
        <is>
          <t>なし</t>
        </is>
      </c>
      <c r="K263" s="7" t="n">
        <v>1982</v>
      </c>
      <c r="L263" s="15" t="n">
        <v>12</v>
      </c>
      <c r="M263" s="7" t="n">
        <v>1</v>
      </c>
      <c r="N263" s="7" t="inlineStr">
        <is>
          <t>関東</t>
        </is>
      </c>
      <c r="O263" s="7" t="inlineStr">
        <is>
          <t>ゴールド</t>
        </is>
      </c>
      <c r="P263" s="7" t="inlineStr">
        <is>
          <t>日常</t>
        </is>
      </c>
      <c r="Q263" s="7" t="n">
        <v>7000</v>
      </c>
      <c r="R263" s="7" t="inlineStr">
        <is>
          <t>30歳以上</t>
        </is>
      </c>
      <c r="S263" s="7" t="inlineStr">
        <is>
          <t>本配</t>
        </is>
      </c>
      <c r="T263" s="7" t="inlineStr">
        <is>
          <t>無制限</t>
        </is>
      </c>
      <c r="U263" s="7" t="inlineStr">
        <is>
          <t>なし</t>
        </is>
      </c>
      <c r="V263" s="7" t="n">
        <v>1000</v>
      </c>
      <c r="W263" s="7" t="inlineStr">
        <is>
          <t>車内外</t>
        </is>
      </c>
      <c r="X263" s="7" t="n">
        <v>3000</v>
      </c>
      <c r="Y263" s="7" t="inlineStr">
        <is>
          <t>一般</t>
        </is>
      </c>
      <c r="Z263" s="7" t="n">
        <v>480</v>
      </c>
      <c r="AA263" s="7" t="inlineStr">
        <is>
          <t>免責金額なし</t>
        </is>
      </c>
      <c r="AB263" s="7" t="inlineStr">
        <is>
          <t>なし</t>
        </is>
      </c>
      <c r="AC263" s="7" t="inlineStr">
        <is>
          <t>なし</t>
        </is>
      </c>
      <c r="AD263" s="7" t="inlineStr">
        <is>
          <t>なし</t>
        </is>
      </c>
      <c r="AE263" s="7" t="inlineStr">
        <is>
          <t>あり</t>
        </is>
      </c>
      <c r="AF263" s="7" t="inlineStr">
        <is>
          <t>なし</t>
        </is>
      </c>
      <c r="AG263" s="7" t="inlineStr">
        <is>
          <t>なし</t>
        </is>
      </c>
      <c r="AH263" s="7" t="inlineStr">
        <is>
          <t>なし</t>
        </is>
      </c>
      <c r="AI263" s="7"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11</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480万円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c r="BU263" s="60" t="inlineStr">
        <is>
          <t>E</t>
        </is>
      </c>
      <c r="BV263" s="60" t="inlineStr">
        <is>
          <t xml:space="preserve">Traceback (most recent call last):
  File "C:\Users\safic\Documents\Z\Z_func.py", line 253, in Z_func
    Select(browser.find_element(By.CSS_SELECTOR, '#calculatePremiumForm\:ownDamageSumInsured_plan1')).select_by_visible_text(data['車両AMT2'])
  File "C:\Users\safic\AppData\Local\Programs\Python\Python38\lib\site-packages\selenium\webdriver\support\select.py", line 43, in __init__
    multi = self._el.get_dom_attribute("multiple")
  File "C:\Users\safic\AppData\Local\Programs\Python\Python38\lib\site-packages\selenium\webdriver\remote\webelement.py", line 142, in get_dom_attribute
    return self._execute(Command.GET_ELEMENT_ATTRIBUTE, {"name": name})["value"]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[0x007CACD3+2075859]
	Ordinal0 [0x0075EE61+1633889]
	Ordinal0 [0x0065B7BD+571325]
	Ordinal0 [0x0065E374+582516]
	Ordinal0 [0x0065E225+582181]
	Ordinal0 [0x0065E4C0+582848]
	Ordinal0 [0x0068852B+754987]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263" s="60" t="n"/>
      <c r="BX263" s="60" t="n"/>
      <c r="BY263" s="60" t="n"/>
      <c r="BZ263" s="60" t="n"/>
      <c r="CA263" s="60" t="n"/>
    </row>
    <row r="264">
      <c r="A264" s="60" t="n">
        <v>2022</v>
      </c>
      <c r="B264" s="7" t="n">
        <v>12</v>
      </c>
      <c r="C264" s="7" t="n">
        <v>1</v>
      </c>
      <c r="D264" s="7" t="inlineStr">
        <is>
          <t>6S</t>
        </is>
      </c>
      <c r="E264" s="7" t="inlineStr">
        <is>
          <t>なし</t>
        </is>
      </c>
      <c r="F264" s="7" t="inlineStr">
        <is>
          <t>30歳以上</t>
        </is>
      </c>
      <c r="G264" s="7" t="n">
        <v>2022</v>
      </c>
      <c r="H264" s="7" t="n">
        <v>11</v>
      </c>
      <c r="I264" s="7" t="inlineStr">
        <is>
          <t>KG2P</t>
        </is>
      </c>
      <c r="J264" s="7" t="inlineStr">
        <is>
          <t>なし</t>
        </is>
      </c>
      <c r="K264" s="7" t="n">
        <v>1977</v>
      </c>
      <c r="L264" s="15" t="n">
        <v>12</v>
      </c>
      <c r="M264" s="7" t="n">
        <v>1</v>
      </c>
      <c r="N264" s="7" t="inlineStr">
        <is>
          <t>関東</t>
        </is>
      </c>
      <c r="O264" s="7" t="inlineStr">
        <is>
          <t>ゴールド</t>
        </is>
      </c>
      <c r="P264" s="7" t="inlineStr">
        <is>
          <t>日常</t>
        </is>
      </c>
      <c r="Q264" s="7" t="n">
        <v>7000</v>
      </c>
      <c r="R264" s="7" t="inlineStr">
        <is>
          <t>30歳以上</t>
        </is>
      </c>
      <c r="S264" s="7" t="inlineStr">
        <is>
          <t>本配</t>
        </is>
      </c>
      <c r="T264" s="7" t="inlineStr">
        <is>
          <t>無制限</t>
        </is>
      </c>
      <c r="U264" s="7" t="inlineStr">
        <is>
          <t>なし</t>
        </is>
      </c>
      <c r="V264" s="7" t="n">
        <v>1000</v>
      </c>
      <c r="W264" s="7" t="inlineStr">
        <is>
          <t>車内外</t>
        </is>
      </c>
      <c r="X264" s="7" t="n">
        <v>3000</v>
      </c>
      <c r="Y264" s="7" t="inlineStr">
        <is>
          <t>一般</t>
        </is>
      </c>
      <c r="Z264" s="7" t="n">
        <v>480</v>
      </c>
      <c r="AA264" s="7" t="inlineStr">
        <is>
          <t>免責金額なし</t>
        </is>
      </c>
      <c r="AB264" s="7" t="inlineStr">
        <is>
          <t>なし</t>
        </is>
      </c>
      <c r="AC264" s="7" t="inlineStr">
        <is>
          <t>なし</t>
        </is>
      </c>
      <c r="AD264" s="7" t="inlineStr">
        <is>
          <t>なし</t>
        </is>
      </c>
      <c r="AE264" s="7" t="inlineStr">
        <is>
          <t>あり</t>
        </is>
      </c>
      <c r="AF264" s="7" t="inlineStr">
        <is>
          <t>なし</t>
        </is>
      </c>
      <c r="AG264" s="7" t="inlineStr">
        <is>
          <t>なし</t>
        </is>
      </c>
      <c r="AH264" s="7" t="inlineStr">
        <is>
          <t>なし</t>
        </is>
      </c>
      <c r="AI264" s="7"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11</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480万円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c r="BU264" s="60" t="n">
        <v>74490</v>
      </c>
      <c r="BV264" s="60" t="n">
        <v>31040</v>
      </c>
      <c r="BW264" s="60" t="n">
        <v>16000</v>
      </c>
      <c r="BX264" s="60" t="n">
        <v>10000</v>
      </c>
      <c r="BY264" s="60" t="n">
        <v>0</v>
      </c>
      <c r="BZ264" s="60" t="inlineStr">
        <is>
          <t>車両免責エラー</t>
        </is>
      </c>
      <c r="CA264" s="60" t="n"/>
    </row>
    <row r="265">
      <c r="A265" s="60" t="n">
        <v>2022</v>
      </c>
      <c r="B265" s="7" t="n">
        <v>12</v>
      </c>
      <c r="C265" s="7" t="n">
        <v>1</v>
      </c>
      <c r="D265" s="7" t="inlineStr">
        <is>
          <t>6S</t>
        </is>
      </c>
      <c r="E265" s="7" t="inlineStr">
        <is>
          <t>なし</t>
        </is>
      </c>
      <c r="F265" s="7" t="inlineStr">
        <is>
          <t>30歳以上</t>
        </is>
      </c>
      <c r="G265" s="7" t="n">
        <v>2022</v>
      </c>
      <c r="H265" s="7" t="n">
        <v>11</v>
      </c>
      <c r="I265" s="7" t="inlineStr">
        <is>
          <t>KG2P</t>
        </is>
      </c>
      <c r="J265" s="7" t="inlineStr">
        <is>
          <t>なし</t>
        </is>
      </c>
      <c r="K265" s="7" t="n">
        <v>1972</v>
      </c>
      <c r="L265" s="15" t="n">
        <v>12</v>
      </c>
      <c r="M265" s="7" t="n">
        <v>1</v>
      </c>
      <c r="N265" s="7" t="inlineStr">
        <is>
          <t>関東</t>
        </is>
      </c>
      <c r="O265" s="7" t="inlineStr">
        <is>
          <t>ゴールド</t>
        </is>
      </c>
      <c r="P265" s="7" t="inlineStr">
        <is>
          <t>日常</t>
        </is>
      </c>
      <c r="Q265" s="7" t="n">
        <v>7000</v>
      </c>
      <c r="R265" s="7" t="inlineStr">
        <is>
          <t>30歳以上</t>
        </is>
      </c>
      <c r="S265" s="7" t="inlineStr">
        <is>
          <t>本配</t>
        </is>
      </c>
      <c r="T265" s="7" t="inlineStr">
        <is>
          <t>無制限</t>
        </is>
      </c>
      <c r="U265" s="7" t="inlineStr">
        <is>
          <t>なし</t>
        </is>
      </c>
      <c r="V265" s="7" t="n">
        <v>1000</v>
      </c>
      <c r="W265" s="7" t="inlineStr">
        <is>
          <t>車内外</t>
        </is>
      </c>
      <c r="X265" s="7" t="n">
        <v>3000</v>
      </c>
      <c r="Y265" s="7" t="inlineStr">
        <is>
          <t>一般</t>
        </is>
      </c>
      <c r="Z265" s="7" t="n">
        <v>480</v>
      </c>
      <c r="AA265" s="7" t="inlineStr">
        <is>
          <t>免責金額なし</t>
        </is>
      </c>
      <c r="AB265" s="7" t="inlineStr">
        <is>
          <t>なし</t>
        </is>
      </c>
      <c r="AC265" s="7" t="inlineStr">
        <is>
          <t>なし</t>
        </is>
      </c>
      <c r="AD265" s="7" t="inlineStr">
        <is>
          <t>なし</t>
        </is>
      </c>
      <c r="AE265" s="7" t="inlineStr">
        <is>
          <t>あり</t>
        </is>
      </c>
      <c r="AF265" s="7" t="inlineStr">
        <is>
          <t>なし</t>
        </is>
      </c>
      <c r="AG265" s="7" t="inlineStr">
        <is>
          <t>なし</t>
        </is>
      </c>
      <c r="AH265" s="7" t="inlineStr">
        <is>
          <t>なし</t>
        </is>
      </c>
      <c r="AI265" s="7"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11</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480万円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c r="BU265" s="60" t="n">
        <v>75360</v>
      </c>
      <c r="BV265" s="60" t="n">
        <v>30890</v>
      </c>
      <c r="BW265" s="60" t="n">
        <v>16000</v>
      </c>
      <c r="BX265" s="60" t="n">
        <v>10000</v>
      </c>
      <c r="BY265" s="60" t="n">
        <v>0</v>
      </c>
      <c r="BZ265" s="60" t="inlineStr">
        <is>
          <t>車両免責エラー</t>
        </is>
      </c>
      <c r="CA265" s="60" t="n"/>
    </row>
    <row r="266">
      <c r="A266" s="60" t="n">
        <v>2022</v>
      </c>
      <c r="B266" s="7" t="n">
        <v>12</v>
      </c>
      <c r="C266" s="7" t="n">
        <v>1</v>
      </c>
      <c r="D266" s="7" t="inlineStr">
        <is>
          <t>6S</t>
        </is>
      </c>
      <c r="E266" s="7" t="inlineStr">
        <is>
          <t>なし</t>
        </is>
      </c>
      <c r="F266" s="7" t="inlineStr">
        <is>
          <t>30歳以上</t>
        </is>
      </c>
      <c r="G266" s="7" t="n">
        <v>2022</v>
      </c>
      <c r="H266" s="7" t="n">
        <v>11</v>
      </c>
      <c r="I266" s="7" t="inlineStr">
        <is>
          <t>KG2P</t>
        </is>
      </c>
      <c r="J266" s="7" t="inlineStr">
        <is>
          <t>なし</t>
        </is>
      </c>
      <c r="K266" s="7" t="n">
        <v>1962</v>
      </c>
      <c r="L266" s="15" t="n">
        <v>12</v>
      </c>
      <c r="M266" s="7" t="n">
        <v>1</v>
      </c>
      <c r="N266" s="7" t="inlineStr">
        <is>
          <t>関東</t>
        </is>
      </c>
      <c r="O266" s="7" t="inlineStr">
        <is>
          <t>ゴールド</t>
        </is>
      </c>
      <c r="P266" s="7" t="inlineStr">
        <is>
          <t>日常</t>
        </is>
      </c>
      <c r="Q266" s="7" t="n">
        <v>7000</v>
      </c>
      <c r="R266" s="7" t="inlineStr">
        <is>
          <t>30歳以上</t>
        </is>
      </c>
      <c r="S266" s="7" t="inlineStr">
        <is>
          <t>本配</t>
        </is>
      </c>
      <c r="T266" s="7" t="inlineStr">
        <is>
          <t>無制限</t>
        </is>
      </c>
      <c r="U266" s="7" t="inlineStr">
        <is>
          <t>なし</t>
        </is>
      </c>
      <c r="V266" s="7" t="n">
        <v>1000</v>
      </c>
      <c r="W266" s="7" t="inlineStr">
        <is>
          <t>車内外</t>
        </is>
      </c>
      <c r="X266" s="7" t="n">
        <v>3000</v>
      </c>
      <c r="Y266" s="7" t="inlineStr">
        <is>
          <t>一般</t>
        </is>
      </c>
      <c r="Z266" s="7" t="n">
        <v>480</v>
      </c>
      <c r="AA266" s="7" t="inlineStr">
        <is>
          <t>免責金額なし</t>
        </is>
      </c>
      <c r="AB266" s="7" t="inlineStr">
        <is>
          <t>なし</t>
        </is>
      </c>
      <c r="AC266" s="7" t="inlineStr">
        <is>
          <t>なし</t>
        </is>
      </c>
      <c r="AD266" s="7" t="inlineStr">
        <is>
          <t>なし</t>
        </is>
      </c>
      <c r="AE266" s="7" t="inlineStr">
        <is>
          <t>あり</t>
        </is>
      </c>
      <c r="AF266" s="7" t="inlineStr">
        <is>
          <t>なし</t>
        </is>
      </c>
      <c r="AG266" s="7" t="inlineStr">
        <is>
          <t>なし</t>
        </is>
      </c>
      <c r="AH266" s="7" t="inlineStr">
        <is>
          <t>なし</t>
        </is>
      </c>
      <c r="AI266" s="7"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11</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480万円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c r="BU266" s="60" t="n">
        <v>81930</v>
      </c>
      <c r="BV266" s="60" t="n">
        <v>32450</v>
      </c>
      <c r="BW266" s="60" t="n">
        <v>16000</v>
      </c>
      <c r="BX266" s="60" t="n">
        <v>10000</v>
      </c>
      <c r="BY266" s="60" t="n">
        <v>0</v>
      </c>
      <c r="BZ266" s="60" t="inlineStr">
        <is>
          <t>車両免責エラー</t>
        </is>
      </c>
      <c r="CA266" s="60" t="n"/>
    </row>
    <row r="267">
      <c r="A267" s="60" t="n">
        <v>2022</v>
      </c>
      <c r="B267" s="7" t="n">
        <v>12</v>
      </c>
      <c r="C267" s="7" t="n">
        <v>1</v>
      </c>
      <c r="D267" s="7" t="inlineStr">
        <is>
          <t>6S</t>
        </is>
      </c>
      <c r="E267" s="7" t="inlineStr">
        <is>
          <t>なし</t>
        </is>
      </c>
      <c r="F267" s="7" t="inlineStr">
        <is>
          <t>30歳以上</t>
        </is>
      </c>
      <c r="G267" s="7" t="n">
        <v>2022</v>
      </c>
      <c r="H267" s="7" t="n">
        <v>11</v>
      </c>
      <c r="I267" s="7" t="inlineStr">
        <is>
          <t>KG2P</t>
        </is>
      </c>
      <c r="J267" s="7" t="inlineStr">
        <is>
          <t>なし</t>
        </is>
      </c>
      <c r="K267" s="7" t="n">
        <v>1952</v>
      </c>
      <c r="L267" s="15" t="n">
        <v>12</v>
      </c>
      <c r="M267" s="7" t="n">
        <v>1</v>
      </c>
      <c r="N267" s="7" t="inlineStr">
        <is>
          <t>関東</t>
        </is>
      </c>
      <c r="O267" s="7" t="inlineStr">
        <is>
          <t>ゴールド</t>
        </is>
      </c>
      <c r="P267" s="7" t="inlineStr">
        <is>
          <t>日常</t>
        </is>
      </c>
      <c r="Q267" s="7" t="n">
        <v>7000</v>
      </c>
      <c r="R267" s="7" t="inlineStr">
        <is>
          <t>30歳以上</t>
        </is>
      </c>
      <c r="S267" s="7" t="inlineStr">
        <is>
          <t>本配</t>
        </is>
      </c>
      <c r="T267" s="7" t="inlineStr">
        <is>
          <t>無制限</t>
        </is>
      </c>
      <c r="U267" s="7" t="inlineStr">
        <is>
          <t>なし</t>
        </is>
      </c>
      <c r="V267" s="7" t="n">
        <v>1000</v>
      </c>
      <c r="W267" s="7" t="inlineStr">
        <is>
          <t>車内外</t>
        </is>
      </c>
      <c r="X267" s="7" t="n">
        <v>3000</v>
      </c>
      <c r="Y267" s="7" t="inlineStr">
        <is>
          <t>一般</t>
        </is>
      </c>
      <c r="Z267" s="7" t="n">
        <v>480</v>
      </c>
      <c r="AA267" s="7" t="inlineStr">
        <is>
          <t>免責金額なし</t>
        </is>
      </c>
      <c r="AB267" s="7" t="inlineStr">
        <is>
          <t>なし</t>
        </is>
      </c>
      <c r="AC267" s="7" t="inlineStr">
        <is>
          <t>なし</t>
        </is>
      </c>
      <c r="AD267" s="7" t="inlineStr">
        <is>
          <t>なし</t>
        </is>
      </c>
      <c r="AE267" s="7" t="inlineStr">
        <is>
          <t>あり</t>
        </is>
      </c>
      <c r="AF267" s="7" t="inlineStr">
        <is>
          <t>なし</t>
        </is>
      </c>
      <c r="AG267" s="7" t="inlineStr">
        <is>
          <t>なし</t>
        </is>
      </c>
      <c r="AH267" s="7" t="inlineStr">
        <is>
          <t>なし</t>
        </is>
      </c>
      <c r="AI267" s="7"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11</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480万円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c r="BU267" s="60" t="n">
        <v>103220</v>
      </c>
      <c r="BV267" s="60" t="n">
        <v>37850</v>
      </c>
      <c r="BW267" s="60" t="n">
        <v>16000</v>
      </c>
      <c r="BX267" s="60" t="n">
        <v>13000</v>
      </c>
      <c r="BY267" s="60" t="n">
        <v>0</v>
      </c>
      <c r="BZ267" s="60" t="inlineStr">
        <is>
          <t>車両免責エラー</t>
        </is>
      </c>
      <c r="CA267" s="60" t="n"/>
    </row>
    <row r="268">
      <c r="A268" s="60" t="n">
        <v>2022</v>
      </c>
      <c r="B268" s="7" t="n">
        <v>12</v>
      </c>
      <c r="C268" s="7" t="n">
        <v>1</v>
      </c>
      <c r="D268" s="7" t="inlineStr">
        <is>
          <t>6S</t>
        </is>
      </c>
      <c r="E268" s="7" t="inlineStr">
        <is>
          <t>なし</t>
        </is>
      </c>
      <c r="F268" s="7" t="inlineStr">
        <is>
          <t>30歳以上</t>
        </is>
      </c>
      <c r="G268" s="7" t="n">
        <v>2022</v>
      </c>
      <c r="H268" s="7" t="n">
        <v>11</v>
      </c>
      <c r="I268" s="7" t="inlineStr">
        <is>
          <t>KG2P</t>
        </is>
      </c>
      <c r="J268" s="7" t="inlineStr">
        <is>
          <t>なし</t>
        </is>
      </c>
      <c r="K268" s="7" t="n">
        <v>1992</v>
      </c>
      <c r="L268" s="15" t="n">
        <v>12</v>
      </c>
      <c r="M268" s="7" t="n">
        <v>1</v>
      </c>
      <c r="N268" s="7" t="inlineStr">
        <is>
          <t>関東</t>
        </is>
      </c>
      <c r="O268" s="7" t="inlineStr">
        <is>
          <t>ゴールド</t>
        </is>
      </c>
      <c r="P268" s="7" t="inlineStr">
        <is>
          <t>通勤</t>
        </is>
      </c>
      <c r="Q268" s="7" t="n">
        <v>3000</v>
      </c>
      <c r="R268" s="7" t="inlineStr">
        <is>
          <t>30歳以上</t>
        </is>
      </c>
      <c r="S268" s="7" t="inlineStr">
        <is>
          <t>本配</t>
        </is>
      </c>
      <c r="T268" s="7" t="inlineStr">
        <is>
          <t>無制限</t>
        </is>
      </c>
      <c r="U268" s="7" t="inlineStr">
        <is>
          <t>なし</t>
        </is>
      </c>
      <c r="V268" s="7" t="n">
        <v>1000</v>
      </c>
      <c r="W268" s="7" t="inlineStr">
        <is>
          <t>車内外</t>
        </is>
      </c>
      <c r="X268" s="7" t="n">
        <v>3000</v>
      </c>
      <c r="Y268" s="7" t="inlineStr">
        <is>
          <t>一般</t>
        </is>
      </c>
      <c r="Z268" s="7" t="n">
        <v>480</v>
      </c>
      <c r="AA268" s="7" t="inlineStr">
        <is>
          <t>免責金額なし</t>
        </is>
      </c>
      <c r="AB268" s="7" t="inlineStr">
        <is>
          <t>なし</t>
        </is>
      </c>
      <c r="AC268" s="7" t="inlineStr">
        <is>
          <t>なし</t>
        </is>
      </c>
      <c r="AD268" s="7" t="inlineStr">
        <is>
          <t>なし</t>
        </is>
      </c>
      <c r="AE268" s="7" t="inlineStr">
        <is>
          <t>あり</t>
        </is>
      </c>
      <c r="AF268" s="7" t="inlineStr">
        <is>
          <t>なし</t>
        </is>
      </c>
      <c r="AG268" s="7" t="inlineStr">
        <is>
          <t>なし</t>
        </is>
      </c>
      <c r="AH268" s="7" t="inlineStr">
        <is>
          <t>なし</t>
        </is>
      </c>
      <c r="AI268" s="7"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11</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480万円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c r="BU268" s="60" t="inlineStr">
        <is>
          <t>E</t>
        </is>
      </c>
      <c r="BV268" s="60" t="inlineStr">
        <is>
          <t xml:space="preserve">Traceback (most recent call last):
  File "C:\Users\safic\Documents\Z\Z_func.py", line 155, in Z_func
    browser.find_element(By.CSS_SELECTOR, '#riskFactor'+ new + 'Form\:anualMilleageField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td.firstChild &gt; label"}
  (Session info: chrome=103.0.5060.134)
Stacktrace:
Backtrace:
	Ordinal0 [0x007A5FD3+2187219]
	Ordinal0 [0x0073E6D1+1763025]
	Ordinal0 [0x00653E78+802424]
	Ordinal0 [0x00681C10+990224]
	Ordinal0 [0x00681EAB+990891]
	Ordinal0 [0x006AEC92+1174674]
	Ordinal0 [0x0069CBD4+1100756]
	Ordinal0 [0x006ACFC2+1167298]
	Ordinal0 [0x0069C9A6+1100198]
	Ordinal0 [0x00676F80+946048]
	Ordinal0 [0x00677E76+949878]
	GetHandleVerifier [0x00A490C2+2721218]
	GetHandleVerifier [0x00A3AAF0+2662384]
	GetHandleVerifier [0x0083137A+526458]
	GetHandleVerifier [0x00830416+522518]
	Ordinal0 [0x00744EAB+1789611]
	Ordinal0 [0x007497A8+1808296]
	Ordinal0 [0x00749895+1808533]
	Ordinal0 [0x007526C1+1844929]
	BaseThreadInitThunk [0x74F8FA29+25]
	RtlGetAppContainerNamedObjectPath [0x77007BBE+286]
	RtlGetAppContainerNamedObjectPath [0x77007B8E+238]
</t>
        </is>
      </c>
      <c r="BW268" s="60" t="n"/>
      <c r="BX268" s="60" t="n"/>
      <c r="BY268" s="60" t="n"/>
      <c r="BZ268" s="60" t="n"/>
      <c r="CA268" s="60" t="n"/>
    </row>
    <row r="269">
      <c r="A269" s="60" t="n">
        <v>2022</v>
      </c>
      <c r="B269" s="7" t="n">
        <v>12</v>
      </c>
      <c r="C269" s="7" t="n">
        <v>1</v>
      </c>
      <c r="D269" s="7" t="inlineStr">
        <is>
          <t>6S</t>
        </is>
      </c>
      <c r="E269" s="7" t="inlineStr">
        <is>
          <t>なし</t>
        </is>
      </c>
      <c r="F269" s="7" t="inlineStr">
        <is>
          <t>30歳以上</t>
        </is>
      </c>
      <c r="G269" s="7" t="n">
        <v>2022</v>
      </c>
      <c r="H269" s="7" t="n">
        <v>11</v>
      </c>
      <c r="I269" s="7" t="inlineStr">
        <is>
          <t>KG2P</t>
        </is>
      </c>
      <c r="J269" s="7" t="inlineStr">
        <is>
          <t>なし</t>
        </is>
      </c>
      <c r="K269" s="7" t="n">
        <v>1987</v>
      </c>
      <c r="L269" s="15" t="n">
        <v>12</v>
      </c>
      <c r="M269" s="7" t="n">
        <v>1</v>
      </c>
      <c r="N269" s="7" t="inlineStr">
        <is>
          <t>関東</t>
        </is>
      </c>
      <c r="O269" s="7" t="inlineStr">
        <is>
          <t>ゴールド</t>
        </is>
      </c>
      <c r="P269" s="7" t="inlineStr">
        <is>
          <t>通勤</t>
        </is>
      </c>
      <c r="Q269" s="7" t="n">
        <v>3000</v>
      </c>
      <c r="R269" s="7" t="inlineStr">
        <is>
          <t>30歳以上</t>
        </is>
      </c>
      <c r="S269" s="7" t="inlineStr">
        <is>
          <t>本配</t>
        </is>
      </c>
      <c r="T269" s="7" t="inlineStr">
        <is>
          <t>無制限</t>
        </is>
      </c>
      <c r="U269" s="7" t="inlineStr">
        <is>
          <t>なし</t>
        </is>
      </c>
      <c r="V269" s="7" t="n">
        <v>1000</v>
      </c>
      <c r="W269" s="7" t="inlineStr">
        <is>
          <t>車内外</t>
        </is>
      </c>
      <c r="X269" s="7" t="n">
        <v>3000</v>
      </c>
      <c r="Y269" s="7" t="inlineStr">
        <is>
          <t>一般</t>
        </is>
      </c>
      <c r="Z269" s="7" t="n">
        <v>480</v>
      </c>
      <c r="AA269" s="7" t="inlineStr">
        <is>
          <t>免責金額なし</t>
        </is>
      </c>
      <c r="AB269" s="7" t="inlineStr">
        <is>
          <t>なし</t>
        </is>
      </c>
      <c r="AC269" s="7" t="inlineStr">
        <is>
          <t>なし</t>
        </is>
      </c>
      <c r="AD269" s="7" t="inlineStr">
        <is>
          <t>なし</t>
        </is>
      </c>
      <c r="AE269" s="7" t="inlineStr">
        <is>
          <t>あり</t>
        </is>
      </c>
      <c r="AF269" s="7" t="inlineStr">
        <is>
          <t>なし</t>
        </is>
      </c>
      <c r="AG269" s="7" t="inlineStr">
        <is>
          <t>なし</t>
        </is>
      </c>
      <c r="AH269" s="7" t="inlineStr">
        <is>
          <t>なし</t>
        </is>
      </c>
      <c r="AI269" s="7"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11</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480万円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c r="BU269" s="60" t="n">
        <v>81910</v>
      </c>
      <c r="BV269" s="60" t="n">
        <v>32820</v>
      </c>
      <c r="BW269" s="60" t="n">
        <v>16000</v>
      </c>
      <c r="BX269" s="60" t="n">
        <v>10000</v>
      </c>
      <c r="BY269" s="60" t="n">
        <v>0</v>
      </c>
      <c r="BZ269" s="60" t="inlineStr">
        <is>
          <t>車両免責エラー</t>
        </is>
      </c>
      <c r="CA269" s="60" t="n"/>
    </row>
    <row r="270">
      <c r="A270" s="60" t="n">
        <v>2022</v>
      </c>
      <c r="B270" s="7" t="n">
        <v>12</v>
      </c>
      <c r="C270" s="7" t="n">
        <v>1</v>
      </c>
      <c r="D270" s="7" t="inlineStr">
        <is>
          <t>6S</t>
        </is>
      </c>
      <c r="E270" s="7" t="inlineStr">
        <is>
          <t>なし</t>
        </is>
      </c>
      <c r="F270" s="7" t="inlineStr">
        <is>
          <t>30歳以上</t>
        </is>
      </c>
      <c r="G270" s="7" t="n">
        <v>2022</v>
      </c>
      <c r="H270" s="7" t="n">
        <v>11</v>
      </c>
      <c r="I270" s="7" t="inlineStr">
        <is>
          <t>KG2P</t>
        </is>
      </c>
      <c r="J270" s="7" t="inlineStr">
        <is>
          <t>なし</t>
        </is>
      </c>
      <c r="K270" s="7" t="n">
        <v>1982</v>
      </c>
      <c r="L270" s="15" t="n">
        <v>12</v>
      </c>
      <c r="M270" s="7" t="n">
        <v>1</v>
      </c>
      <c r="N270" s="7" t="inlineStr">
        <is>
          <t>関東</t>
        </is>
      </c>
      <c r="O270" s="7" t="inlineStr">
        <is>
          <t>ゴールド</t>
        </is>
      </c>
      <c r="P270" s="7" t="inlineStr">
        <is>
          <t>通勤</t>
        </is>
      </c>
      <c r="Q270" s="7" t="n">
        <v>3000</v>
      </c>
      <c r="R270" s="7" t="inlineStr">
        <is>
          <t>30歳以上</t>
        </is>
      </c>
      <c r="S270" s="7" t="inlineStr">
        <is>
          <t>本配</t>
        </is>
      </c>
      <c r="T270" s="7" t="inlineStr">
        <is>
          <t>無制限</t>
        </is>
      </c>
      <c r="U270" s="7" t="inlineStr">
        <is>
          <t>なし</t>
        </is>
      </c>
      <c r="V270" s="7" t="n">
        <v>1000</v>
      </c>
      <c r="W270" s="7" t="inlineStr">
        <is>
          <t>車内外</t>
        </is>
      </c>
      <c r="X270" s="7" t="n">
        <v>3000</v>
      </c>
      <c r="Y270" s="7" t="inlineStr">
        <is>
          <t>一般</t>
        </is>
      </c>
      <c r="Z270" s="7" t="n">
        <v>480</v>
      </c>
      <c r="AA270" s="7" t="inlineStr">
        <is>
          <t>免責金額なし</t>
        </is>
      </c>
      <c r="AB270" s="7" t="inlineStr">
        <is>
          <t>なし</t>
        </is>
      </c>
      <c r="AC270" s="7" t="inlineStr">
        <is>
          <t>なし</t>
        </is>
      </c>
      <c r="AD270" s="7" t="inlineStr">
        <is>
          <t>なし</t>
        </is>
      </c>
      <c r="AE270" s="7" t="inlineStr">
        <is>
          <t>あり</t>
        </is>
      </c>
      <c r="AF270" s="7" t="inlineStr">
        <is>
          <t>なし</t>
        </is>
      </c>
      <c r="AG270" s="7" t="inlineStr">
        <is>
          <t>なし</t>
        </is>
      </c>
      <c r="AH270" s="7" t="inlineStr">
        <is>
          <t>なし</t>
        </is>
      </c>
      <c r="AI270" s="7"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11</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480万円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c r="BU270" s="60" t="n">
        <v>82650</v>
      </c>
      <c r="BV270" s="60" t="n">
        <v>33220</v>
      </c>
      <c r="BW270" s="60" t="n">
        <v>16000</v>
      </c>
      <c r="BX270" s="60" t="n">
        <v>10000</v>
      </c>
      <c r="BY270" s="60" t="n">
        <v>0</v>
      </c>
      <c r="BZ270" s="60" t="inlineStr">
        <is>
          <t>車両免責エラー</t>
        </is>
      </c>
      <c r="CA270" s="60" t="n"/>
    </row>
    <row r="271">
      <c r="A271" s="60" t="n">
        <v>2022</v>
      </c>
      <c r="B271" s="7" t="n">
        <v>12</v>
      </c>
      <c r="C271" s="7" t="n">
        <v>1</v>
      </c>
      <c r="D271" s="7" t="inlineStr">
        <is>
          <t>6S</t>
        </is>
      </c>
      <c r="E271" s="7" t="inlineStr">
        <is>
          <t>なし</t>
        </is>
      </c>
      <c r="F271" s="7" t="inlineStr">
        <is>
          <t>30歳以上</t>
        </is>
      </c>
      <c r="G271" s="7" t="n">
        <v>2022</v>
      </c>
      <c r="H271" s="7" t="n">
        <v>11</v>
      </c>
      <c r="I271" s="7" t="inlineStr">
        <is>
          <t>KG2P</t>
        </is>
      </c>
      <c r="J271" s="7" t="inlineStr">
        <is>
          <t>なし</t>
        </is>
      </c>
      <c r="K271" s="7" t="n">
        <v>1977</v>
      </c>
      <c r="L271" s="15" t="n">
        <v>12</v>
      </c>
      <c r="M271" s="7" t="n">
        <v>1</v>
      </c>
      <c r="N271" s="7" t="inlineStr">
        <is>
          <t>関東</t>
        </is>
      </c>
      <c r="O271" s="7" t="inlineStr">
        <is>
          <t>ゴールド</t>
        </is>
      </c>
      <c r="P271" s="7" t="inlineStr">
        <is>
          <t>通勤</t>
        </is>
      </c>
      <c r="Q271" s="7" t="n">
        <v>3000</v>
      </c>
      <c r="R271" s="7" t="inlineStr">
        <is>
          <t>30歳以上</t>
        </is>
      </c>
      <c r="S271" s="7" t="inlineStr">
        <is>
          <t>本配</t>
        </is>
      </c>
      <c r="T271" s="7" t="inlineStr">
        <is>
          <t>無制限</t>
        </is>
      </c>
      <c r="U271" s="7" t="inlineStr">
        <is>
          <t>なし</t>
        </is>
      </c>
      <c r="V271" s="7" t="n">
        <v>1000</v>
      </c>
      <c r="W271" s="7" t="inlineStr">
        <is>
          <t>車内外</t>
        </is>
      </c>
      <c r="X271" s="7" t="n">
        <v>3000</v>
      </c>
      <c r="Y271" s="7" t="inlineStr">
        <is>
          <t>一般</t>
        </is>
      </c>
      <c r="Z271" s="7" t="n">
        <v>480</v>
      </c>
      <c r="AA271" s="7" t="inlineStr">
        <is>
          <t>免責金額なし</t>
        </is>
      </c>
      <c r="AB271" s="7" t="inlineStr">
        <is>
          <t>なし</t>
        </is>
      </c>
      <c r="AC271" s="7" t="inlineStr">
        <is>
          <t>なし</t>
        </is>
      </c>
      <c r="AD271" s="7" t="inlineStr">
        <is>
          <t>なし</t>
        </is>
      </c>
      <c r="AE271" s="7" t="inlineStr">
        <is>
          <t>あり</t>
        </is>
      </c>
      <c r="AF271" s="7" t="inlineStr">
        <is>
          <t>なし</t>
        </is>
      </c>
      <c r="AG271" s="7" t="inlineStr">
        <is>
          <t>なし</t>
        </is>
      </c>
      <c r="AH271" s="7" t="inlineStr">
        <is>
          <t>なし</t>
        </is>
      </c>
      <c r="AI271" s="7"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11</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480万円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c r="BU271" s="60" t="n">
        <v>85020</v>
      </c>
      <c r="BV271" s="60" t="n">
        <v>33370</v>
      </c>
      <c r="BW271" s="60" t="n">
        <v>16000</v>
      </c>
      <c r="BX271" s="60" t="n">
        <v>10000</v>
      </c>
      <c r="BY271" s="60" t="n">
        <v>0</v>
      </c>
      <c r="BZ271" s="60" t="inlineStr">
        <is>
          <t>車両免責エラー</t>
        </is>
      </c>
      <c r="CA271" s="60" t="n"/>
    </row>
    <row r="272">
      <c r="A272" s="60" t="n">
        <v>2022</v>
      </c>
      <c r="B272" s="7" t="n">
        <v>12</v>
      </c>
      <c r="C272" s="7" t="n">
        <v>1</v>
      </c>
      <c r="D272" s="7" t="inlineStr">
        <is>
          <t>6S</t>
        </is>
      </c>
      <c r="E272" s="7" t="inlineStr">
        <is>
          <t>なし</t>
        </is>
      </c>
      <c r="F272" s="7" t="inlineStr">
        <is>
          <t>30歳以上</t>
        </is>
      </c>
      <c r="G272" s="7" t="n">
        <v>2022</v>
      </c>
      <c r="H272" s="7" t="n">
        <v>11</v>
      </c>
      <c r="I272" s="7" t="inlineStr">
        <is>
          <t>KG2P</t>
        </is>
      </c>
      <c r="J272" s="7" t="inlineStr">
        <is>
          <t>なし</t>
        </is>
      </c>
      <c r="K272" s="7" t="n">
        <v>1972</v>
      </c>
      <c r="L272" s="15" t="n">
        <v>12</v>
      </c>
      <c r="M272" s="7" t="n">
        <v>1</v>
      </c>
      <c r="N272" s="7" t="inlineStr">
        <is>
          <t>関東</t>
        </is>
      </c>
      <c r="O272" s="7" t="inlineStr">
        <is>
          <t>ゴールド</t>
        </is>
      </c>
      <c r="P272" s="7" t="inlineStr">
        <is>
          <t>通勤</t>
        </is>
      </c>
      <c r="Q272" s="7" t="n">
        <v>3000</v>
      </c>
      <c r="R272" s="7" t="inlineStr">
        <is>
          <t>30歳以上</t>
        </is>
      </c>
      <c r="S272" s="7" t="inlineStr">
        <is>
          <t>本配</t>
        </is>
      </c>
      <c r="T272" s="7" t="inlineStr">
        <is>
          <t>無制限</t>
        </is>
      </c>
      <c r="U272" s="7" t="inlineStr">
        <is>
          <t>なし</t>
        </is>
      </c>
      <c r="V272" s="7" t="n">
        <v>1000</v>
      </c>
      <c r="W272" s="7" t="inlineStr">
        <is>
          <t>車内外</t>
        </is>
      </c>
      <c r="X272" s="7" t="n">
        <v>3000</v>
      </c>
      <c r="Y272" s="7" t="inlineStr">
        <is>
          <t>一般</t>
        </is>
      </c>
      <c r="Z272" s="7" t="n">
        <v>480</v>
      </c>
      <c r="AA272" s="7" t="inlineStr">
        <is>
          <t>免責金額なし</t>
        </is>
      </c>
      <c r="AB272" s="7" t="inlineStr">
        <is>
          <t>なし</t>
        </is>
      </c>
      <c r="AC272" s="7" t="inlineStr">
        <is>
          <t>なし</t>
        </is>
      </c>
      <c r="AD272" s="7" t="inlineStr">
        <is>
          <t>なし</t>
        </is>
      </c>
      <c r="AE272" s="7" t="inlineStr">
        <is>
          <t>あり</t>
        </is>
      </c>
      <c r="AF272" s="7" t="inlineStr">
        <is>
          <t>なし</t>
        </is>
      </c>
      <c r="AG272" s="7" t="inlineStr">
        <is>
          <t>なし</t>
        </is>
      </c>
      <c r="AH272" s="7" t="inlineStr">
        <is>
          <t>なし</t>
        </is>
      </c>
      <c r="AI272" s="7"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11</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480万円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c r="BU272" s="60" t="n">
        <v>86070</v>
      </c>
      <c r="BV272" s="60" t="n">
        <v>33230</v>
      </c>
      <c r="BW272" s="60" t="n">
        <v>16000</v>
      </c>
      <c r="BX272" s="60" t="n">
        <v>10000</v>
      </c>
      <c r="BY272" s="60" t="n">
        <v>0</v>
      </c>
      <c r="BZ272" s="60" t="inlineStr">
        <is>
          <t>車両免責エラー</t>
        </is>
      </c>
      <c r="CA272" s="60" t="n"/>
    </row>
    <row r="273">
      <c r="A273" s="60" t="n">
        <v>2022</v>
      </c>
      <c r="B273" s="7" t="n">
        <v>12</v>
      </c>
      <c r="C273" s="7" t="n">
        <v>1</v>
      </c>
      <c r="D273" s="7" t="inlineStr">
        <is>
          <t>6S</t>
        </is>
      </c>
      <c r="E273" s="7" t="inlineStr">
        <is>
          <t>なし</t>
        </is>
      </c>
      <c r="F273" s="7" t="inlineStr">
        <is>
          <t>30歳以上</t>
        </is>
      </c>
      <c r="G273" s="7" t="n">
        <v>2022</v>
      </c>
      <c r="H273" s="7" t="n">
        <v>11</v>
      </c>
      <c r="I273" s="7" t="inlineStr">
        <is>
          <t>KG2P</t>
        </is>
      </c>
      <c r="J273" s="7" t="inlineStr">
        <is>
          <t>なし</t>
        </is>
      </c>
      <c r="K273" s="7" t="n">
        <v>1962</v>
      </c>
      <c r="L273" s="15" t="n">
        <v>12</v>
      </c>
      <c r="M273" s="7" t="n">
        <v>1</v>
      </c>
      <c r="N273" s="7" t="inlineStr">
        <is>
          <t>関東</t>
        </is>
      </c>
      <c r="O273" s="7" t="inlineStr">
        <is>
          <t>ゴールド</t>
        </is>
      </c>
      <c r="P273" s="7" t="inlineStr">
        <is>
          <t>通勤</t>
        </is>
      </c>
      <c r="Q273" s="7" t="n">
        <v>3000</v>
      </c>
      <c r="R273" s="7" t="inlineStr">
        <is>
          <t>30歳以上</t>
        </is>
      </c>
      <c r="S273" s="7" t="inlineStr">
        <is>
          <t>本配</t>
        </is>
      </c>
      <c r="T273" s="7" t="inlineStr">
        <is>
          <t>無制限</t>
        </is>
      </c>
      <c r="U273" s="7" t="inlineStr">
        <is>
          <t>なし</t>
        </is>
      </c>
      <c r="V273" s="7" t="n">
        <v>1000</v>
      </c>
      <c r="W273" s="7" t="inlineStr">
        <is>
          <t>車内外</t>
        </is>
      </c>
      <c r="X273" s="7" t="n">
        <v>3000</v>
      </c>
      <c r="Y273" s="7" t="inlineStr">
        <is>
          <t>一般</t>
        </is>
      </c>
      <c r="Z273" s="7" t="n">
        <v>480</v>
      </c>
      <c r="AA273" s="7" t="inlineStr">
        <is>
          <t>免責金額なし</t>
        </is>
      </c>
      <c r="AB273" s="7" t="inlineStr">
        <is>
          <t>なし</t>
        </is>
      </c>
      <c r="AC273" s="7" t="inlineStr">
        <is>
          <t>なし</t>
        </is>
      </c>
      <c r="AD273" s="7" t="inlineStr">
        <is>
          <t>なし</t>
        </is>
      </c>
      <c r="AE273" s="7" t="inlineStr">
        <is>
          <t>あり</t>
        </is>
      </c>
      <c r="AF273" s="7" t="inlineStr">
        <is>
          <t>なし</t>
        </is>
      </c>
      <c r="AG273" s="7" t="inlineStr">
        <is>
          <t>なし</t>
        </is>
      </c>
      <c r="AH273" s="7" t="inlineStr">
        <is>
          <t>なし</t>
        </is>
      </c>
      <c r="AI273" s="7"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11</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480万円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c r="BU273" s="60" t="n">
        <v>93640</v>
      </c>
      <c r="BV273" s="60" t="n">
        <v>31940</v>
      </c>
      <c r="BW273" s="60" t="n">
        <v>16000</v>
      </c>
      <c r="BX273" s="60" t="n">
        <v>13000</v>
      </c>
      <c r="BY273" s="60" t="n">
        <v>0</v>
      </c>
      <c r="BZ273" s="60" t="inlineStr">
        <is>
          <t>車両免責エラー</t>
        </is>
      </c>
      <c r="CA273" s="60" t="n"/>
    </row>
    <row r="274">
      <c r="A274" s="60" t="n">
        <v>2022</v>
      </c>
      <c r="B274" s="7" t="n">
        <v>12</v>
      </c>
      <c r="C274" s="7" t="n">
        <v>1</v>
      </c>
      <c r="D274" s="7" t="inlineStr">
        <is>
          <t>6S</t>
        </is>
      </c>
      <c r="E274" s="7" t="inlineStr">
        <is>
          <t>なし</t>
        </is>
      </c>
      <c r="F274" s="7" t="inlineStr">
        <is>
          <t>30歳以上</t>
        </is>
      </c>
      <c r="G274" s="7" t="n">
        <v>2022</v>
      </c>
      <c r="H274" s="7" t="n">
        <v>11</v>
      </c>
      <c r="I274" s="7" t="inlineStr">
        <is>
          <t>KG2P</t>
        </is>
      </c>
      <c r="J274" s="7" t="inlineStr">
        <is>
          <t>なし</t>
        </is>
      </c>
      <c r="K274" s="7" t="n">
        <v>1952</v>
      </c>
      <c r="L274" s="15" t="n">
        <v>12</v>
      </c>
      <c r="M274" s="7" t="n">
        <v>1</v>
      </c>
      <c r="N274" s="7" t="inlineStr">
        <is>
          <t>関東</t>
        </is>
      </c>
      <c r="O274" s="7" t="inlineStr">
        <is>
          <t>ゴールド</t>
        </is>
      </c>
      <c r="P274" s="7" t="inlineStr">
        <is>
          <t>通勤</t>
        </is>
      </c>
      <c r="Q274" s="7" t="n">
        <v>3000</v>
      </c>
      <c r="R274" s="7" t="inlineStr">
        <is>
          <t>30歳以上</t>
        </is>
      </c>
      <c r="S274" s="7" t="inlineStr">
        <is>
          <t>本配</t>
        </is>
      </c>
      <c r="T274" s="7" t="inlineStr">
        <is>
          <t>無制限</t>
        </is>
      </c>
      <c r="U274" s="7" t="inlineStr">
        <is>
          <t>なし</t>
        </is>
      </c>
      <c r="V274" s="7" t="n">
        <v>1000</v>
      </c>
      <c r="W274" s="7" t="inlineStr">
        <is>
          <t>車内外</t>
        </is>
      </c>
      <c r="X274" s="7" t="n">
        <v>3000</v>
      </c>
      <c r="Y274" s="7" t="inlineStr">
        <is>
          <t>一般</t>
        </is>
      </c>
      <c r="Z274" s="7" t="n">
        <v>480</v>
      </c>
      <c r="AA274" s="7" t="inlineStr">
        <is>
          <t>免責金額なし</t>
        </is>
      </c>
      <c r="AB274" s="7" t="inlineStr">
        <is>
          <t>なし</t>
        </is>
      </c>
      <c r="AC274" s="7" t="inlineStr">
        <is>
          <t>なし</t>
        </is>
      </c>
      <c r="AD274" s="7" t="inlineStr">
        <is>
          <t>なし</t>
        </is>
      </c>
      <c r="AE274" s="7" t="inlineStr">
        <is>
          <t>あり</t>
        </is>
      </c>
      <c r="AF274" s="7" t="inlineStr">
        <is>
          <t>なし</t>
        </is>
      </c>
      <c r="AG274" s="7" t="inlineStr">
        <is>
          <t>なし</t>
        </is>
      </c>
      <c r="AH274" s="7" t="inlineStr">
        <is>
          <t>なし</t>
        </is>
      </c>
      <c r="AI274" s="7"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11</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480万円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c r="BU274" s="60" t="n">
        <v>115810</v>
      </c>
      <c r="BV274" s="60" t="n">
        <v>41020</v>
      </c>
      <c r="BW274" s="60" t="n">
        <v>18000</v>
      </c>
      <c r="BX274" s="60" t="n">
        <v>13000</v>
      </c>
      <c r="BY274" s="60" t="n">
        <v>0</v>
      </c>
      <c r="BZ274" s="60" t="inlineStr">
        <is>
          <t>車両免責エラー</t>
        </is>
      </c>
      <c r="CA274" s="60" t="n"/>
    </row>
    <row r="275">
      <c r="A275" s="60" t="n">
        <v>2022</v>
      </c>
      <c r="B275" s="7" t="n">
        <v>12</v>
      </c>
      <c r="C275" s="7" t="n">
        <v>1</v>
      </c>
      <c r="D275" s="7" t="inlineStr">
        <is>
          <t>6S</t>
        </is>
      </c>
      <c r="E275" s="7" t="inlineStr">
        <is>
          <t>なし</t>
        </is>
      </c>
      <c r="F275" s="7" t="inlineStr">
        <is>
          <t>30歳以上</t>
        </is>
      </c>
      <c r="G275" s="7" t="n">
        <v>2022</v>
      </c>
      <c r="H275" s="7" t="n">
        <v>11</v>
      </c>
      <c r="I275" s="7" t="inlineStr">
        <is>
          <t>KG2P</t>
        </is>
      </c>
      <c r="J275" s="7" t="inlineStr">
        <is>
          <t>なし</t>
        </is>
      </c>
      <c r="K275" s="7" t="n">
        <v>1992</v>
      </c>
      <c r="L275" s="15" t="n">
        <v>12</v>
      </c>
      <c r="M275" s="7" t="n">
        <v>1</v>
      </c>
      <c r="N275" s="7" t="inlineStr">
        <is>
          <t>関東</t>
        </is>
      </c>
      <c r="O275" s="7" t="inlineStr">
        <is>
          <t>ゴールド</t>
        </is>
      </c>
      <c r="P275" s="7" t="inlineStr">
        <is>
          <t>通勤</t>
        </is>
      </c>
      <c r="Q275" s="7" t="n">
        <v>7000</v>
      </c>
      <c r="R275" s="7" t="inlineStr">
        <is>
          <t>30歳以上</t>
        </is>
      </c>
      <c r="S275" s="7" t="inlineStr">
        <is>
          <t>本配</t>
        </is>
      </c>
      <c r="T275" s="7" t="inlineStr">
        <is>
          <t>無制限</t>
        </is>
      </c>
      <c r="U275" s="7" t="inlineStr">
        <is>
          <t>なし</t>
        </is>
      </c>
      <c r="V275" s="7" t="n">
        <v>1000</v>
      </c>
      <c r="W275" s="7" t="inlineStr">
        <is>
          <t>車内外</t>
        </is>
      </c>
      <c r="X275" s="7" t="n">
        <v>3000</v>
      </c>
      <c r="Y275" s="7" t="inlineStr">
        <is>
          <t>一般</t>
        </is>
      </c>
      <c r="Z275" s="7" t="n">
        <v>480</v>
      </c>
      <c r="AA275" s="7" t="inlineStr">
        <is>
          <t>免責金額なし</t>
        </is>
      </c>
      <c r="AB275" s="7" t="inlineStr">
        <is>
          <t>なし</t>
        </is>
      </c>
      <c r="AC275" s="7" t="inlineStr">
        <is>
          <t>なし</t>
        </is>
      </c>
      <c r="AD275" s="7" t="inlineStr">
        <is>
          <t>なし</t>
        </is>
      </c>
      <c r="AE275" s="7" t="inlineStr">
        <is>
          <t>あり</t>
        </is>
      </c>
      <c r="AF275" s="7" t="inlineStr">
        <is>
          <t>なし</t>
        </is>
      </c>
      <c r="AG275" s="7" t="inlineStr">
        <is>
          <t>なし</t>
        </is>
      </c>
      <c r="AH275" s="7" t="inlineStr">
        <is>
          <t>なし</t>
        </is>
      </c>
      <c r="AI275" s="7"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11</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480万円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c r="BU275" s="60" t="n">
        <v>105350</v>
      </c>
      <c r="BV275" s="60" t="n">
        <v>41490</v>
      </c>
      <c r="BW275" s="60" t="n">
        <v>18000</v>
      </c>
      <c r="BX275" s="60" t="n">
        <v>13000</v>
      </c>
      <c r="BY275" s="60" t="n">
        <v>0</v>
      </c>
      <c r="BZ275" s="60" t="inlineStr">
        <is>
          <t>車両免責エラー</t>
        </is>
      </c>
      <c r="CA275" s="60" t="n"/>
    </row>
    <row r="276">
      <c r="A276" s="60" t="n">
        <v>2022</v>
      </c>
      <c r="B276" s="7" t="n">
        <v>12</v>
      </c>
      <c r="C276" s="7" t="n">
        <v>1</v>
      </c>
      <c r="D276" s="7" t="inlineStr">
        <is>
          <t>6S</t>
        </is>
      </c>
      <c r="E276" s="7" t="inlineStr">
        <is>
          <t>なし</t>
        </is>
      </c>
      <c r="F276" s="7" t="inlineStr">
        <is>
          <t>30歳以上</t>
        </is>
      </c>
      <c r="G276" s="7" t="n">
        <v>2022</v>
      </c>
      <c r="H276" s="7" t="n">
        <v>11</v>
      </c>
      <c r="I276" s="7" t="inlineStr">
        <is>
          <t>KG2P</t>
        </is>
      </c>
      <c r="J276" s="7" t="inlineStr">
        <is>
          <t>なし</t>
        </is>
      </c>
      <c r="K276" s="7" t="n">
        <v>1987</v>
      </c>
      <c r="L276" s="15" t="n">
        <v>12</v>
      </c>
      <c r="M276" s="7" t="n">
        <v>1</v>
      </c>
      <c r="N276" s="7" t="inlineStr">
        <is>
          <t>関東</t>
        </is>
      </c>
      <c r="O276" s="7" t="inlineStr">
        <is>
          <t>ゴールド</t>
        </is>
      </c>
      <c r="P276" s="7" t="inlineStr">
        <is>
          <t>通勤</t>
        </is>
      </c>
      <c r="Q276" s="7" t="n">
        <v>7000</v>
      </c>
      <c r="R276" s="7" t="inlineStr">
        <is>
          <t>30歳以上</t>
        </is>
      </c>
      <c r="S276" s="7" t="inlineStr">
        <is>
          <t>本配</t>
        </is>
      </c>
      <c r="T276" s="7" t="inlineStr">
        <is>
          <t>無制限</t>
        </is>
      </c>
      <c r="U276" s="7" t="inlineStr">
        <is>
          <t>なし</t>
        </is>
      </c>
      <c r="V276" s="7" t="n">
        <v>1000</v>
      </c>
      <c r="W276" s="7" t="inlineStr">
        <is>
          <t>車内外</t>
        </is>
      </c>
      <c r="X276" s="7" t="n">
        <v>3000</v>
      </c>
      <c r="Y276" s="7" t="inlineStr">
        <is>
          <t>一般</t>
        </is>
      </c>
      <c r="Z276" s="7" t="n">
        <v>480</v>
      </c>
      <c r="AA276" s="7" t="inlineStr">
        <is>
          <t>免責金額なし</t>
        </is>
      </c>
      <c r="AB276" s="7" t="inlineStr">
        <is>
          <t>なし</t>
        </is>
      </c>
      <c r="AC276" s="7" t="inlineStr">
        <is>
          <t>なし</t>
        </is>
      </c>
      <c r="AD276" s="7" t="inlineStr">
        <is>
          <t>なし</t>
        </is>
      </c>
      <c r="AE276" s="7" t="inlineStr">
        <is>
          <t>あり</t>
        </is>
      </c>
      <c r="AF276" s="7" t="inlineStr">
        <is>
          <t>なし</t>
        </is>
      </c>
      <c r="AG276" s="7" t="inlineStr">
        <is>
          <t>なし</t>
        </is>
      </c>
      <c r="AH276" s="7" t="inlineStr">
        <is>
          <t>なし</t>
        </is>
      </c>
      <c r="AI276" s="7"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11</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480万円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c r="BU276" s="60" t="n">
        <v>104530</v>
      </c>
      <c r="BV276" s="60" t="n">
        <v>41160</v>
      </c>
      <c r="BW276" s="60" t="n">
        <v>18000</v>
      </c>
      <c r="BX276" s="60" t="n">
        <v>13000</v>
      </c>
      <c r="BY276" s="60" t="n">
        <v>0</v>
      </c>
      <c r="BZ276" s="60" t="inlineStr">
        <is>
          <t>車両免責エラー</t>
        </is>
      </c>
      <c r="CA276" s="60" t="n"/>
    </row>
    <row r="277">
      <c r="A277" s="60" t="n">
        <v>2022</v>
      </c>
      <c r="B277" s="7" t="n">
        <v>12</v>
      </c>
      <c r="C277" s="7" t="n">
        <v>1</v>
      </c>
      <c r="D277" s="7" t="inlineStr">
        <is>
          <t>6S</t>
        </is>
      </c>
      <c r="E277" s="7" t="inlineStr">
        <is>
          <t>なし</t>
        </is>
      </c>
      <c r="F277" s="7" t="inlineStr">
        <is>
          <t>30歳以上</t>
        </is>
      </c>
      <c r="G277" s="7" t="n">
        <v>2022</v>
      </c>
      <c r="H277" s="7" t="n">
        <v>11</v>
      </c>
      <c r="I277" s="7" t="inlineStr">
        <is>
          <t>KG2P</t>
        </is>
      </c>
      <c r="J277" s="7" t="inlineStr">
        <is>
          <t>なし</t>
        </is>
      </c>
      <c r="K277" s="7" t="n">
        <v>1982</v>
      </c>
      <c r="L277" s="15" t="n">
        <v>12</v>
      </c>
      <c r="M277" s="7" t="n">
        <v>1</v>
      </c>
      <c r="N277" s="7" t="inlineStr">
        <is>
          <t>関東</t>
        </is>
      </c>
      <c r="O277" s="7" t="inlineStr">
        <is>
          <t>ゴールド</t>
        </is>
      </c>
      <c r="P277" s="7" t="inlineStr">
        <is>
          <t>通勤</t>
        </is>
      </c>
      <c r="Q277" s="7" t="n">
        <v>7000</v>
      </c>
      <c r="R277" s="7" t="inlineStr">
        <is>
          <t>30歳以上</t>
        </is>
      </c>
      <c r="S277" s="7" t="inlineStr">
        <is>
          <t>本配</t>
        </is>
      </c>
      <c r="T277" s="7" t="inlineStr">
        <is>
          <t>無制限</t>
        </is>
      </c>
      <c r="U277" s="7" t="inlineStr">
        <is>
          <t>なし</t>
        </is>
      </c>
      <c r="V277" s="7" t="n">
        <v>1000</v>
      </c>
      <c r="W277" s="7" t="inlineStr">
        <is>
          <t>車内外</t>
        </is>
      </c>
      <c r="X277" s="7" t="n">
        <v>3000</v>
      </c>
      <c r="Y277" s="7" t="inlineStr">
        <is>
          <t>一般</t>
        </is>
      </c>
      <c r="Z277" s="7" t="n">
        <v>480</v>
      </c>
      <c r="AA277" s="7" t="inlineStr">
        <is>
          <t>免責金額なし</t>
        </is>
      </c>
      <c r="AB277" s="7" t="inlineStr">
        <is>
          <t>なし</t>
        </is>
      </c>
      <c r="AC277" s="7" t="inlineStr">
        <is>
          <t>なし</t>
        </is>
      </c>
      <c r="AD277" s="7" t="inlineStr">
        <is>
          <t>なし</t>
        </is>
      </c>
      <c r="AE277" s="7" t="inlineStr">
        <is>
          <t>あり</t>
        </is>
      </c>
      <c r="AF277" s="7" t="inlineStr">
        <is>
          <t>なし</t>
        </is>
      </c>
      <c r="AG277" s="7" t="inlineStr">
        <is>
          <t>なし</t>
        </is>
      </c>
      <c r="AH277" s="7" t="inlineStr">
        <is>
          <t>なし</t>
        </is>
      </c>
      <c r="AI277" s="7"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11</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480万円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c r="BU277" s="60" t="n">
        <v>105470</v>
      </c>
      <c r="BV277" s="60" t="n">
        <v>39690</v>
      </c>
      <c r="BW277" s="60" t="n">
        <v>18000</v>
      </c>
      <c r="BX277" s="60" t="n">
        <v>15000</v>
      </c>
      <c r="BY277" s="60" t="n">
        <v>0</v>
      </c>
      <c r="BZ277" s="60" t="inlineStr">
        <is>
          <t>車両免責エラー</t>
        </is>
      </c>
      <c r="CA277" s="60" t="n"/>
    </row>
    <row r="278">
      <c r="A278" s="60" t="n">
        <v>2022</v>
      </c>
      <c r="B278" s="7" t="n">
        <v>12</v>
      </c>
      <c r="C278" s="7" t="n">
        <v>1</v>
      </c>
      <c r="D278" s="7" t="inlineStr">
        <is>
          <t>6S</t>
        </is>
      </c>
      <c r="E278" s="7" t="inlineStr">
        <is>
          <t>なし</t>
        </is>
      </c>
      <c r="F278" s="7" t="inlineStr">
        <is>
          <t>30歳以上</t>
        </is>
      </c>
      <c r="G278" s="7" t="n">
        <v>2022</v>
      </c>
      <c r="H278" s="7" t="n">
        <v>11</v>
      </c>
      <c r="I278" s="7" t="inlineStr">
        <is>
          <t>KG2P</t>
        </is>
      </c>
      <c r="J278" s="7" t="inlineStr">
        <is>
          <t>なし</t>
        </is>
      </c>
      <c r="K278" s="7" t="n">
        <v>1977</v>
      </c>
      <c r="L278" s="15" t="n">
        <v>12</v>
      </c>
      <c r="M278" s="7" t="n">
        <v>1</v>
      </c>
      <c r="N278" s="7" t="inlineStr">
        <is>
          <t>関東</t>
        </is>
      </c>
      <c r="O278" s="7" t="inlineStr">
        <is>
          <t>ゴールド</t>
        </is>
      </c>
      <c r="P278" s="7" t="inlineStr">
        <is>
          <t>通勤</t>
        </is>
      </c>
      <c r="Q278" s="7" t="n">
        <v>7000</v>
      </c>
      <c r="R278" s="7" t="inlineStr">
        <is>
          <t>30歳以上</t>
        </is>
      </c>
      <c r="S278" s="7" t="inlineStr">
        <is>
          <t>本配</t>
        </is>
      </c>
      <c r="T278" s="7" t="inlineStr">
        <is>
          <t>無制限</t>
        </is>
      </c>
      <c r="U278" s="7" t="inlineStr">
        <is>
          <t>なし</t>
        </is>
      </c>
      <c r="V278" s="7" t="n">
        <v>1000</v>
      </c>
      <c r="W278" s="7" t="inlineStr">
        <is>
          <t>車内外</t>
        </is>
      </c>
      <c r="X278" s="7" t="n">
        <v>3000</v>
      </c>
      <c r="Y278" s="7" t="inlineStr">
        <is>
          <t>一般</t>
        </is>
      </c>
      <c r="Z278" s="7" t="n">
        <v>480</v>
      </c>
      <c r="AA278" s="7" t="inlineStr">
        <is>
          <t>免責金額なし</t>
        </is>
      </c>
      <c r="AB278" s="7" t="inlineStr">
        <is>
          <t>なし</t>
        </is>
      </c>
      <c r="AC278" s="7" t="inlineStr">
        <is>
          <t>なし</t>
        </is>
      </c>
      <c r="AD278" s="7" t="inlineStr">
        <is>
          <t>なし</t>
        </is>
      </c>
      <c r="AE278" s="7" t="inlineStr">
        <is>
          <t>あり</t>
        </is>
      </c>
      <c r="AF278" s="7" t="inlineStr">
        <is>
          <t>なし</t>
        </is>
      </c>
      <c r="AG278" s="7" t="inlineStr">
        <is>
          <t>なし</t>
        </is>
      </c>
      <c r="AH278" s="7" t="inlineStr">
        <is>
          <t>なし</t>
        </is>
      </c>
      <c r="AI278" s="7"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11</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480万円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c r="BU278" s="60" t="n">
        <v>108450</v>
      </c>
      <c r="BV278" s="60" t="n">
        <v>39890</v>
      </c>
      <c r="BW278" s="60" t="n">
        <v>18000</v>
      </c>
      <c r="BX278" s="60" t="n">
        <v>15000</v>
      </c>
      <c r="BY278" s="60" t="n">
        <v>0</v>
      </c>
      <c r="BZ278" s="60" t="inlineStr">
        <is>
          <t>車両免責エラー</t>
        </is>
      </c>
      <c r="CA278" s="60" t="n"/>
    </row>
    <row r="279">
      <c r="A279" s="60" t="n">
        <v>2022</v>
      </c>
      <c r="B279" s="7" t="n">
        <v>12</v>
      </c>
      <c r="C279" s="7" t="n">
        <v>1</v>
      </c>
      <c r="D279" s="7" t="inlineStr">
        <is>
          <t>6S</t>
        </is>
      </c>
      <c r="E279" s="7" t="inlineStr">
        <is>
          <t>なし</t>
        </is>
      </c>
      <c r="F279" s="7" t="inlineStr">
        <is>
          <t>30歳以上</t>
        </is>
      </c>
      <c r="G279" s="7" t="n">
        <v>2022</v>
      </c>
      <c r="H279" s="7" t="n">
        <v>11</v>
      </c>
      <c r="I279" s="7" t="inlineStr">
        <is>
          <t>KG2P</t>
        </is>
      </c>
      <c r="J279" s="7" t="inlineStr">
        <is>
          <t>なし</t>
        </is>
      </c>
      <c r="K279" s="7" t="n">
        <v>1972</v>
      </c>
      <c r="L279" s="15" t="n">
        <v>12</v>
      </c>
      <c r="M279" s="7" t="n">
        <v>1</v>
      </c>
      <c r="N279" s="7" t="inlineStr">
        <is>
          <t>関東</t>
        </is>
      </c>
      <c r="O279" s="7" t="inlineStr">
        <is>
          <t>ゴールド</t>
        </is>
      </c>
      <c r="P279" s="7" t="inlineStr">
        <is>
          <t>通勤</t>
        </is>
      </c>
      <c r="Q279" s="7" t="n">
        <v>7000</v>
      </c>
      <c r="R279" s="7" t="inlineStr">
        <is>
          <t>30歳以上</t>
        </is>
      </c>
      <c r="S279" s="7" t="inlineStr">
        <is>
          <t>本配</t>
        </is>
      </c>
      <c r="T279" s="7" t="inlineStr">
        <is>
          <t>無制限</t>
        </is>
      </c>
      <c r="U279" s="7" t="inlineStr">
        <is>
          <t>なし</t>
        </is>
      </c>
      <c r="V279" s="7" t="n">
        <v>1000</v>
      </c>
      <c r="W279" s="7" t="inlineStr">
        <is>
          <t>車内外</t>
        </is>
      </c>
      <c r="X279" s="7" t="n">
        <v>3000</v>
      </c>
      <c r="Y279" s="7" t="inlineStr">
        <is>
          <t>一般</t>
        </is>
      </c>
      <c r="Z279" s="7" t="n">
        <v>480</v>
      </c>
      <c r="AA279" s="7" t="inlineStr">
        <is>
          <t>免責金額なし</t>
        </is>
      </c>
      <c r="AB279" s="7" t="inlineStr">
        <is>
          <t>なし</t>
        </is>
      </c>
      <c r="AC279" s="7" t="inlineStr">
        <is>
          <t>なし</t>
        </is>
      </c>
      <c r="AD279" s="7" t="inlineStr">
        <is>
          <t>なし</t>
        </is>
      </c>
      <c r="AE279" s="7" t="inlineStr">
        <is>
          <t>あり</t>
        </is>
      </c>
      <c r="AF279" s="7" t="inlineStr">
        <is>
          <t>なし</t>
        </is>
      </c>
      <c r="AG279" s="7" t="inlineStr">
        <is>
          <t>なし</t>
        </is>
      </c>
      <c r="AH279" s="7" t="inlineStr">
        <is>
          <t>なし</t>
        </is>
      </c>
      <c r="AI279" s="7"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11</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480万円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c r="BU279" s="60" t="n">
        <v>109760</v>
      </c>
      <c r="BV279" s="60" t="n">
        <v>39730</v>
      </c>
      <c r="BW279" s="60" t="n">
        <v>18000</v>
      </c>
      <c r="BX279" s="60" t="n">
        <v>15000</v>
      </c>
      <c r="BY279" s="60" t="n">
        <v>0</v>
      </c>
      <c r="BZ279" s="60" t="inlineStr">
        <is>
          <t>車両免責エラー</t>
        </is>
      </c>
      <c r="CA279" s="60" t="n"/>
    </row>
    <row r="280">
      <c r="A280" s="60" t="n">
        <v>2022</v>
      </c>
      <c r="B280" s="7" t="n">
        <v>12</v>
      </c>
      <c r="C280" s="7" t="n">
        <v>1</v>
      </c>
      <c r="D280" s="7" t="inlineStr">
        <is>
          <t>6S</t>
        </is>
      </c>
      <c r="E280" s="7" t="inlineStr">
        <is>
          <t>なし</t>
        </is>
      </c>
      <c r="F280" s="7" t="inlineStr">
        <is>
          <t>30歳以上</t>
        </is>
      </c>
      <c r="G280" s="7" t="n">
        <v>2022</v>
      </c>
      <c r="H280" s="7" t="n">
        <v>11</v>
      </c>
      <c r="I280" s="7" t="inlineStr">
        <is>
          <t>KG2P</t>
        </is>
      </c>
      <c r="J280" s="7" t="inlineStr">
        <is>
          <t>なし</t>
        </is>
      </c>
      <c r="K280" s="7" t="n">
        <v>1962</v>
      </c>
      <c r="L280" s="15" t="n">
        <v>12</v>
      </c>
      <c r="M280" s="7" t="n">
        <v>1</v>
      </c>
      <c r="N280" s="7" t="inlineStr">
        <is>
          <t>関東</t>
        </is>
      </c>
      <c r="O280" s="7" t="inlineStr">
        <is>
          <t>ゴールド</t>
        </is>
      </c>
      <c r="P280" s="7" t="inlineStr">
        <is>
          <t>通勤</t>
        </is>
      </c>
      <c r="Q280" s="7" t="n">
        <v>7000</v>
      </c>
      <c r="R280" s="7" t="inlineStr">
        <is>
          <t>30歳以上</t>
        </is>
      </c>
      <c r="S280" s="7" t="inlineStr">
        <is>
          <t>本配</t>
        </is>
      </c>
      <c r="T280" s="7" t="inlineStr">
        <is>
          <t>無制限</t>
        </is>
      </c>
      <c r="U280" s="7" t="inlineStr">
        <is>
          <t>なし</t>
        </is>
      </c>
      <c r="V280" s="7" t="n">
        <v>1000</v>
      </c>
      <c r="W280" s="7" t="inlineStr">
        <is>
          <t>車内外</t>
        </is>
      </c>
      <c r="X280" s="7" t="n">
        <v>3000</v>
      </c>
      <c r="Y280" s="7" t="inlineStr">
        <is>
          <t>一般</t>
        </is>
      </c>
      <c r="Z280" s="7" t="n">
        <v>480</v>
      </c>
      <c r="AA280" s="7" t="inlineStr">
        <is>
          <t>免責金額なし</t>
        </is>
      </c>
      <c r="AB280" s="7" t="inlineStr">
        <is>
          <t>なし</t>
        </is>
      </c>
      <c r="AC280" s="7" t="inlineStr">
        <is>
          <t>なし</t>
        </is>
      </c>
      <c r="AD280" s="7" t="inlineStr">
        <is>
          <t>なし</t>
        </is>
      </c>
      <c r="AE280" s="7" t="inlineStr">
        <is>
          <t>あり</t>
        </is>
      </c>
      <c r="AF280" s="7" t="inlineStr">
        <is>
          <t>なし</t>
        </is>
      </c>
      <c r="AG280" s="7" t="inlineStr">
        <is>
          <t>なし</t>
        </is>
      </c>
      <c r="AH280" s="7" t="inlineStr">
        <is>
          <t>なし</t>
        </is>
      </c>
      <c r="AI280" s="7"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11</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480万円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c r="BU280" s="60" t="n">
        <v>119330</v>
      </c>
      <c r="BV280" s="60" t="n">
        <v>41980</v>
      </c>
      <c r="BW280" s="60" t="n">
        <v>18000</v>
      </c>
      <c r="BX280" s="60" t="n">
        <v>15000</v>
      </c>
      <c r="BY280" s="60" t="n">
        <v>0</v>
      </c>
      <c r="BZ280" s="60" t="inlineStr">
        <is>
          <t>車両免責エラー</t>
        </is>
      </c>
      <c r="CA280" s="60" t="n"/>
    </row>
    <row r="281">
      <c r="A281" s="60" t="n">
        <v>2022</v>
      </c>
      <c r="B281" s="7" t="n">
        <v>12</v>
      </c>
      <c r="C281" s="7" t="n">
        <v>1</v>
      </c>
      <c r="D281" s="7" t="inlineStr">
        <is>
          <t>6S</t>
        </is>
      </c>
      <c r="E281" s="7" t="inlineStr">
        <is>
          <t>なし</t>
        </is>
      </c>
      <c r="F281" s="7" t="inlineStr">
        <is>
          <t>30歳以上</t>
        </is>
      </c>
      <c r="G281" s="7" t="n">
        <v>2022</v>
      </c>
      <c r="H281" s="7" t="n">
        <v>11</v>
      </c>
      <c r="I281" s="7" t="inlineStr">
        <is>
          <t>KG2P</t>
        </is>
      </c>
      <c r="J281" s="7" t="inlineStr">
        <is>
          <t>なし</t>
        </is>
      </c>
      <c r="K281" s="7" t="n">
        <v>1952</v>
      </c>
      <c r="L281" s="15" t="n">
        <v>12</v>
      </c>
      <c r="M281" s="7" t="n">
        <v>1</v>
      </c>
      <c r="N281" s="7" t="inlineStr">
        <is>
          <t>関東</t>
        </is>
      </c>
      <c r="O281" s="7" t="inlineStr">
        <is>
          <t>ゴールド</t>
        </is>
      </c>
      <c r="P281" s="7" t="inlineStr">
        <is>
          <t>通勤</t>
        </is>
      </c>
      <c r="Q281" s="7" t="n">
        <v>7000</v>
      </c>
      <c r="R281" s="7" t="inlineStr">
        <is>
          <t>30歳以上</t>
        </is>
      </c>
      <c r="S281" s="7" t="inlineStr">
        <is>
          <t>本配</t>
        </is>
      </c>
      <c r="T281" s="7" t="inlineStr">
        <is>
          <t>無制限</t>
        </is>
      </c>
      <c r="U281" s="7" t="inlineStr">
        <is>
          <t>なし</t>
        </is>
      </c>
      <c r="V281" s="7" t="n">
        <v>1000</v>
      </c>
      <c r="W281" s="7" t="inlineStr">
        <is>
          <t>車内外</t>
        </is>
      </c>
      <c r="X281" s="7" t="n">
        <v>3000</v>
      </c>
      <c r="Y281" s="7" t="inlineStr">
        <is>
          <t>一般</t>
        </is>
      </c>
      <c r="Z281" s="7" t="n">
        <v>480</v>
      </c>
      <c r="AA281" s="7" t="inlineStr">
        <is>
          <t>免責金額なし</t>
        </is>
      </c>
      <c r="AB281" s="7" t="inlineStr">
        <is>
          <t>なし</t>
        </is>
      </c>
      <c r="AC281" s="7" t="inlineStr">
        <is>
          <t>なし</t>
        </is>
      </c>
      <c r="AD281" s="7" t="inlineStr">
        <is>
          <t>なし</t>
        </is>
      </c>
      <c r="AE281" s="7" t="inlineStr">
        <is>
          <t>あり</t>
        </is>
      </c>
      <c r="AF281" s="7" t="inlineStr">
        <is>
          <t>なし</t>
        </is>
      </c>
      <c r="AG281" s="7" t="inlineStr">
        <is>
          <t>なし</t>
        </is>
      </c>
      <c r="AH281" s="7" t="inlineStr">
        <is>
          <t>なし</t>
        </is>
      </c>
      <c r="AI281" s="7"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11</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480万円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c r="BU281" s="60" t="n">
        <v>148020</v>
      </c>
      <c r="BV281" s="60" t="n">
        <v>52870</v>
      </c>
      <c r="BW281" s="60" t="n">
        <v>20000</v>
      </c>
      <c r="BX281" s="60" t="n">
        <v>16000</v>
      </c>
      <c r="BY281" s="60" t="n">
        <v>0</v>
      </c>
      <c r="BZ281" s="60" t="inlineStr">
        <is>
          <t>車両免責エラー</t>
        </is>
      </c>
      <c r="CA281" s="60" t="n"/>
    </row>
    <row r="282">
      <c r="A282" s="60" t="n">
        <v>2022</v>
      </c>
      <c r="B282" s="7" t="n">
        <v>12</v>
      </c>
      <c r="C282" s="7" t="n">
        <v>1</v>
      </c>
      <c r="D282" s="7" t="inlineStr">
        <is>
          <t>6S</t>
        </is>
      </c>
      <c r="E282" s="7" t="inlineStr">
        <is>
          <t>なし</t>
        </is>
      </c>
      <c r="F282" s="7" t="inlineStr">
        <is>
          <t>30歳以上</t>
        </is>
      </c>
      <c r="G282" s="7" t="n">
        <v>2022</v>
      </c>
      <c r="H282" s="7" t="n">
        <v>11</v>
      </c>
      <c r="I282" s="7" t="inlineStr">
        <is>
          <t>KG2P</t>
        </is>
      </c>
      <c r="J282" s="7" t="inlineStr">
        <is>
          <t>なし</t>
        </is>
      </c>
      <c r="K282" s="7" t="n">
        <v>1992</v>
      </c>
      <c r="L282" s="15" t="n">
        <v>12</v>
      </c>
      <c r="M282" s="7" t="n">
        <v>1</v>
      </c>
      <c r="N282" s="7" t="inlineStr">
        <is>
          <t>関東</t>
        </is>
      </c>
      <c r="O282" s="7" t="inlineStr">
        <is>
          <t>ブルー</t>
        </is>
      </c>
      <c r="P282" s="7" t="inlineStr">
        <is>
          <t>日常</t>
        </is>
      </c>
      <c r="Q282" s="7" t="n">
        <v>3000</v>
      </c>
      <c r="R282" s="7" t="inlineStr">
        <is>
          <t>30歳以上</t>
        </is>
      </c>
      <c r="S282" s="7" t="inlineStr">
        <is>
          <t>本配</t>
        </is>
      </c>
      <c r="T282" s="7" t="inlineStr">
        <is>
          <t>無制限</t>
        </is>
      </c>
      <c r="U282" s="7" t="inlineStr">
        <is>
          <t>なし</t>
        </is>
      </c>
      <c r="V282" s="7" t="n">
        <v>1000</v>
      </c>
      <c r="W282" s="7" t="inlineStr">
        <is>
          <t>車内外</t>
        </is>
      </c>
      <c r="X282" s="7" t="n">
        <v>3000</v>
      </c>
      <c r="Y282" s="7" t="inlineStr">
        <is>
          <t>一般</t>
        </is>
      </c>
      <c r="Z282" s="7" t="n">
        <v>480</v>
      </c>
      <c r="AA282" s="7" t="inlineStr">
        <is>
          <t>免責金額なし</t>
        </is>
      </c>
      <c r="AB282" s="7" t="inlineStr">
        <is>
          <t>なし</t>
        </is>
      </c>
      <c r="AC282" s="7" t="inlineStr">
        <is>
          <t>なし</t>
        </is>
      </c>
      <c r="AD282" s="7" t="inlineStr">
        <is>
          <t>なし</t>
        </is>
      </c>
      <c r="AE282" s="7" t="inlineStr">
        <is>
          <t>あり</t>
        </is>
      </c>
      <c r="AF282" s="7" t="inlineStr">
        <is>
          <t>なし</t>
        </is>
      </c>
      <c r="AG282" s="7" t="inlineStr">
        <is>
          <t>なし</t>
        </is>
      </c>
      <c r="AH282" s="7" t="inlineStr">
        <is>
          <t>なし</t>
        </is>
      </c>
      <c r="AI282" s="7"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11</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480万円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c r="BU282" s="60" t="n">
        <v>72540</v>
      </c>
      <c r="BV282" s="60" t="n">
        <v>30660</v>
      </c>
      <c r="BW282" s="60" t="n">
        <v>16000</v>
      </c>
      <c r="BX282" s="60" t="n">
        <v>10000</v>
      </c>
      <c r="BY282" s="60" t="n">
        <v>0</v>
      </c>
      <c r="BZ282" s="60" t="inlineStr">
        <is>
          <t>車両免責エラー</t>
        </is>
      </c>
      <c r="CA282" s="60" t="n"/>
    </row>
    <row r="283">
      <c r="A283" s="60" t="n">
        <v>2022</v>
      </c>
      <c r="B283" s="7" t="n">
        <v>12</v>
      </c>
      <c r="C283" s="7" t="n">
        <v>1</v>
      </c>
      <c r="D283" s="7" t="inlineStr">
        <is>
          <t>6S</t>
        </is>
      </c>
      <c r="E283" s="7" t="inlineStr">
        <is>
          <t>なし</t>
        </is>
      </c>
      <c r="F283" s="7" t="inlineStr">
        <is>
          <t>30歳以上</t>
        </is>
      </c>
      <c r="G283" s="7" t="n">
        <v>2022</v>
      </c>
      <c r="H283" s="7" t="n">
        <v>11</v>
      </c>
      <c r="I283" s="7" t="inlineStr">
        <is>
          <t>KG2P</t>
        </is>
      </c>
      <c r="J283" s="7" t="inlineStr">
        <is>
          <t>なし</t>
        </is>
      </c>
      <c r="K283" s="7" t="n">
        <v>1987</v>
      </c>
      <c r="L283" s="15" t="n">
        <v>12</v>
      </c>
      <c r="M283" s="7" t="n">
        <v>1</v>
      </c>
      <c r="N283" s="7" t="inlineStr">
        <is>
          <t>関東</t>
        </is>
      </c>
      <c r="O283" s="7" t="inlineStr">
        <is>
          <t>ブルー</t>
        </is>
      </c>
      <c r="P283" s="7" t="inlineStr">
        <is>
          <t>日常</t>
        </is>
      </c>
      <c r="Q283" s="7" t="n">
        <v>3000</v>
      </c>
      <c r="R283" s="7" t="inlineStr">
        <is>
          <t>30歳以上</t>
        </is>
      </c>
      <c r="S283" s="7" t="inlineStr">
        <is>
          <t>本配</t>
        </is>
      </c>
      <c r="T283" s="7" t="inlineStr">
        <is>
          <t>無制限</t>
        </is>
      </c>
      <c r="U283" s="7" t="inlineStr">
        <is>
          <t>なし</t>
        </is>
      </c>
      <c r="V283" s="7" t="n">
        <v>1000</v>
      </c>
      <c r="W283" s="7" t="inlineStr">
        <is>
          <t>車内外</t>
        </is>
      </c>
      <c r="X283" s="7" t="n">
        <v>3000</v>
      </c>
      <c r="Y283" s="7" t="inlineStr">
        <is>
          <t>一般</t>
        </is>
      </c>
      <c r="Z283" s="7" t="n">
        <v>480</v>
      </c>
      <c r="AA283" s="7" t="inlineStr">
        <is>
          <t>免責金額なし</t>
        </is>
      </c>
      <c r="AB283" s="7" t="inlineStr">
        <is>
          <t>なし</t>
        </is>
      </c>
      <c r="AC283" s="7" t="inlineStr">
        <is>
          <t>なし</t>
        </is>
      </c>
      <c r="AD283" s="7" t="inlineStr">
        <is>
          <t>なし</t>
        </is>
      </c>
      <c r="AE283" s="7" t="inlineStr">
        <is>
          <t>あり</t>
        </is>
      </c>
      <c r="AF283" s="7" t="inlineStr">
        <is>
          <t>なし</t>
        </is>
      </c>
      <c r="AG283" s="7" t="inlineStr">
        <is>
          <t>なし</t>
        </is>
      </c>
      <c r="AH283" s="7" t="inlineStr">
        <is>
          <t>なし</t>
        </is>
      </c>
      <c r="AI283" s="7"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11</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480万円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c r="BU283" s="60" t="n">
        <v>71960</v>
      </c>
      <c r="BV283" s="60" t="n">
        <v>30410</v>
      </c>
      <c r="BW283" s="60" t="n">
        <v>16000</v>
      </c>
      <c r="BX283" s="60" t="n">
        <v>10000</v>
      </c>
      <c r="BY283" s="60" t="n">
        <v>0</v>
      </c>
      <c r="BZ283" s="60" t="inlineStr">
        <is>
          <t>車両免責エラー</t>
        </is>
      </c>
      <c r="CA283" s="60" t="n"/>
    </row>
    <row r="284">
      <c r="A284" s="60" t="n">
        <v>2022</v>
      </c>
      <c r="B284" s="7" t="n">
        <v>12</v>
      </c>
      <c r="C284" s="7" t="n">
        <v>1</v>
      </c>
      <c r="D284" s="7" t="inlineStr">
        <is>
          <t>6S</t>
        </is>
      </c>
      <c r="E284" s="7" t="inlineStr">
        <is>
          <t>なし</t>
        </is>
      </c>
      <c r="F284" s="7" t="inlineStr">
        <is>
          <t>30歳以上</t>
        </is>
      </c>
      <c r="G284" s="7" t="n">
        <v>2022</v>
      </c>
      <c r="H284" s="7" t="n">
        <v>11</v>
      </c>
      <c r="I284" s="7" t="inlineStr">
        <is>
          <t>KG2P</t>
        </is>
      </c>
      <c r="J284" s="7" t="inlineStr">
        <is>
          <t>なし</t>
        </is>
      </c>
      <c r="K284" s="7" t="n">
        <v>1982</v>
      </c>
      <c r="L284" s="15" t="n">
        <v>12</v>
      </c>
      <c r="M284" s="7" t="n">
        <v>1</v>
      </c>
      <c r="N284" s="7" t="inlineStr">
        <is>
          <t>関東</t>
        </is>
      </c>
      <c r="O284" s="7" t="inlineStr">
        <is>
          <t>ブルー</t>
        </is>
      </c>
      <c r="P284" s="7" t="inlineStr">
        <is>
          <t>日常</t>
        </is>
      </c>
      <c r="Q284" s="7" t="n">
        <v>3000</v>
      </c>
      <c r="R284" s="7" t="inlineStr">
        <is>
          <t>30歳以上</t>
        </is>
      </c>
      <c r="S284" s="7" t="inlineStr">
        <is>
          <t>本配</t>
        </is>
      </c>
      <c r="T284" s="7" t="inlineStr">
        <is>
          <t>無制限</t>
        </is>
      </c>
      <c r="U284" s="7" t="inlineStr">
        <is>
          <t>なし</t>
        </is>
      </c>
      <c r="V284" s="7" t="n">
        <v>1000</v>
      </c>
      <c r="W284" s="7" t="inlineStr">
        <is>
          <t>車内外</t>
        </is>
      </c>
      <c r="X284" s="7" t="n">
        <v>3000</v>
      </c>
      <c r="Y284" s="7" t="inlineStr">
        <is>
          <t>一般</t>
        </is>
      </c>
      <c r="Z284" s="7" t="n">
        <v>480</v>
      </c>
      <c r="AA284" s="7" t="inlineStr">
        <is>
          <t>免責金額なし</t>
        </is>
      </c>
      <c r="AB284" s="7" t="inlineStr">
        <is>
          <t>なし</t>
        </is>
      </c>
      <c r="AC284" s="7" t="inlineStr">
        <is>
          <t>なし</t>
        </is>
      </c>
      <c r="AD284" s="7" t="inlineStr">
        <is>
          <t>なし</t>
        </is>
      </c>
      <c r="AE284" s="7" t="inlineStr">
        <is>
          <t>あり</t>
        </is>
      </c>
      <c r="AF284" s="7" t="inlineStr">
        <is>
          <t>なし</t>
        </is>
      </c>
      <c r="AG284" s="7" t="inlineStr">
        <is>
          <t>なし</t>
        </is>
      </c>
      <c r="AH284" s="7" t="inlineStr">
        <is>
          <t>なし</t>
        </is>
      </c>
      <c r="AI284" s="7"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11</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480万円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c r="BU284" s="60" t="inlineStr">
        <is>
          <t>打鍵中</t>
        </is>
      </c>
    </row>
    <row r="285">
      <c r="A285" s="60" t="n">
        <v>2022</v>
      </c>
      <c r="B285" s="7" t="n">
        <v>12</v>
      </c>
      <c r="C285" s="7" t="n">
        <v>1</v>
      </c>
      <c r="D285" s="7" t="inlineStr">
        <is>
          <t>6S</t>
        </is>
      </c>
      <c r="E285" s="7" t="inlineStr">
        <is>
          <t>なし</t>
        </is>
      </c>
      <c r="F285" s="7" t="inlineStr">
        <is>
          <t>30歳以上</t>
        </is>
      </c>
      <c r="G285" s="7" t="n">
        <v>2022</v>
      </c>
      <c r="H285" s="7" t="n">
        <v>11</v>
      </c>
      <c r="I285" s="7" t="inlineStr">
        <is>
          <t>KG2P</t>
        </is>
      </c>
      <c r="J285" s="7" t="inlineStr">
        <is>
          <t>なし</t>
        </is>
      </c>
      <c r="K285" s="7" t="n">
        <v>1977</v>
      </c>
      <c r="L285" s="15" t="n">
        <v>12</v>
      </c>
      <c r="M285" s="7" t="n">
        <v>1</v>
      </c>
      <c r="N285" s="7" t="inlineStr">
        <is>
          <t>関東</t>
        </is>
      </c>
      <c r="O285" s="7" t="inlineStr">
        <is>
          <t>ブルー</t>
        </is>
      </c>
      <c r="P285" s="7" t="inlineStr">
        <is>
          <t>日常</t>
        </is>
      </c>
      <c r="Q285" s="7" t="n">
        <v>3000</v>
      </c>
      <c r="R285" s="7" t="inlineStr">
        <is>
          <t>30歳以上</t>
        </is>
      </c>
      <c r="S285" s="7" t="inlineStr">
        <is>
          <t>本配</t>
        </is>
      </c>
      <c r="T285" s="7" t="inlineStr">
        <is>
          <t>無制限</t>
        </is>
      </c>
      <c r="U285" s="7" t="inlineStr">
        <is>
          <t>なし</t>
        </is>
      </c>
      <c r="V285" s="7" t="n">
        <v>1000</v>
      </c>
      <c r="W285" s="7" t="inlineStr">
        <is>
          <t>車内外</t>
        </is>
      </c>
      <c r="X285" s="7" t="n">
        <v>3000</v>
      </c>
      <c r="Y285" s="7" t="inlineStr">
        <is>
          <t>一般</t>
        </is>
      </c>
      <c r="Z285" s="7" t="n">
        <v>480</v>
      </c>
      <c r="AA285" s="7" t="inlineStr">
        <is>
          <t>免責金額なし</t>
        </is>
      </c>
      <c r="AB285" s="7" t="inlineStr">
        <is>
          <t>なし</t>
        </is>
      </c>
      <c r="AC285" s="7" t="inlineStr">
        <is>
          <t>なし</t>
        </is>
      </c>
      <c r="AD285" s="7" t="inlineStr">
        <is>
          <t>なし</t>
        </is>
      </c>
      <c r="AE285" s="7" t="inlineStr">
        <is>
          <t>あり</t>
        </is>
      </c>
      <c r="AF285" s="7" t="inlineStr">
        <is>
          <t>なし</t>
        </is>
      </c>
      <c r="AG285" s="7" t="inlineStr">
        <is>
          <t>なし</t>
        </is>
      </c>
      <c r="AH285" s="7" t="inlineStr">
        <is>
          <t>なし</t>
        </is>
      </c>
      <c r="AI285" s="7"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11</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480万円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c r="BU285" s="60" t="inlineStr">
        <is>
          <t>打鍵中</t>
        </is>
      </c>
    </row>
    <row r="286">
      <c r="A286" s="60" t="n">
        <v>2022</v>
      </c>
      <c r="B286" s="7" t="n">
        <v>12</v>
      </c>
      <c r="C286" s="7" t="n">
        <v>1</v>
      </c>
      <c r="D286" s="7" t="inlineStr">
        <is>
          <t>6S</t>
        </is>
      </c>
      <c r="E286" s="7" t="inlineStr">
        <is>
          <t>なし</t>
        </is>
      </c>
      <c r="F286" s="7" t="inlineStr">
        <is>
          <t>30歳以上</t>
        </is>
      </c>
      <c r="G286" s="7" t="n">
        <v>2022</v>
      </c>
      <c r="H286" s="7" t="n">
        <v>11</v>
      </c>
      <c r="I286" s="7" t="inlineStr">
        <is>
          <t>KG2P</t>
        </is>
      </c>
      <c r="J286" s="7" t="inlineStr">
        <is>
          <t>なし</t>
        </is>
      </c>
      <c r="K286" s="7" t="n">
        <v>1972</v>
      </c>
      <c r="L286" s="15" t="n">
        <v>12</v>
      </c>
      <c r="M286" s="7" t="n">
        <v>1</v>
      </c>
      <c r="N286" s="7" t="inlineStr">
        <is>
          <t>関東</t>
        </is>
      </c>
      <c r="O286" s="7" t="inlineStr">
        <is>
          <t>ブルー</t>
        </is>
      </c>
      <c r="P286" s="7" t="inlineStr">
        <is>
          <t>日常</t>
        </is>
      </c>
      <c r="Q286" s="7" t="n">
        <v>3000</v>
      </c>
      <c r="R286" s="7" t="inlineStr">
        <is>
          <t>30歳以上</t>
        </is>
      </c>
      <c r="S286" s="7" t="inlineStr">
        <is>
          <t>本配</t>
        </is>
      </c>
      <c r="T286" s="7" t="inlineStr">
        <is>
          <t>無制限</t>
        </is>
      </c>
      <c r="U286" s="7" t="inlineStr">
        <is>
          <t>なし</t>
        </is>
      </c>
      <c r="V286" s="7" t="n">
        <v>1000</v>
      </c>
      <c r="W286" s="7" t="inlineStr">
        <is>
          <t>車内外</t>
        </is>
      </c>
      <c r="X286" s="7" t="n">
        <v>3000</v>
      </c>
      <c r="Y286" s="7" t="inlineStr">
        <is>
          <t>一般</t>
        </is>
      </c>
      <c r="Z286" s="7" t="n">
        <v>480</v>
      </c>
      <c r="AA286" s="7" t="inlineStr">
        <is>
          <t>免責金額なし</t>
        </is>
      </c>
      <c r="AB286" s="7" t="inlineStr">
        <is>
          <t>なし</t>
        </is>
      </c>
      <c r="AC286" s="7" t="inlineStr">
        <is>
          <t>なし</t>
        </is>
      </c>
      <c r="AD286" s="7" t="inlineStr">
        <is>
          <t>なし</t>
        </is>
      </c>
      <c r="AE286" s="7" t="inlineStr">
        <is>
          <t>あり</t>
        </is>
      </c>
      <c r="AF286" s="7" t="inlineStr">
        <is>
          <t>なし</t>
        </is>
      </c>
      <c r="AG286" s="7" t="inlineStr">
        <is>
          <t>なし</t>
        </is>
      </c>
      <c r="AH286" s="7" t="inlineStr">
        <is>
          <t>なし</t>
        </is>
      </c>
      <c r="AI286" s="7"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11</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480万円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c r="BU286" s="60" t="inlineStr">
        <is>
          <t>打鍵中</t>
        </is>
      </c>
    </row>
    <row r="287">
      <c r="A287" s="60" t="n">
        <v>2022</v>
      </c>
      <c r="B287" s="7" t="n">
        <v>12</v>
      </c>
      <c r="C287" s="7" t="n">
        <v>1</v>
      </c>
      <c r="D287" s="7" t="inlineStr">
        <is>
          <t>6S</t>
        </is>
      </c>
      <c r="E287" s="7" t="inlineStr">
        <is>
          <t>なし</t>
        </is>
      </c>
      <c r="F287" s="7" t="inlineStr">
        <is>
          <t>30歳以上</t>
        </is>
      </c>
      <c r="G287" s="7" t="n">
        <v>2022</v>
      </c>
      <c r="H287" s="7" t="n">
        <v>11</v>
      </c>
      <c r="I287" s="7" t="inlineStr">
        <is>
          <t>KG2P</t>
        </is>
      </c>
      <c r="J287" s="7" t="inlineStr">
        <is>
          <t>なし</t>
        </is>
      </c>
      <c r="K287" s="7" t="n">
        <v>1962</v>
      </c>
      <c r="L287" s="15" t="n">
        <v>12</v>
      </c>
      <c r="M287" s="7" t="n">
        <v>1</v>
      </c>
      <c r="N287" s="7" t="inlineStr">
        <is>
          <t>関東</t>
        </is>
      </c>
      <c r="O287" s="7" t="inlineStr">
        <is>
          <t>ブルー</t>
        </is>
      </c>
      <c r="P287" s="7" t="inlineStr">
        <is>
          <t>日常</t>
        </is>
      </c>
      <c r="Q287" s="7" t="n">
        <v>3000</v>
      </c>
      <c r="R287" s="7" t="inlineStr">
        <is>
          <t>30歳以上</t>
        </is>
      </c>
      <c r="S287" s="7" t="inlineStr">
        <is>
          <t>本配</t>
        </is>
      </c>
      <c r="T287" s="7" t="inlineStr">
        <is>
          <t>無制限</t>
        </is>
      </c>
      <c r="U287" s="7" t="inlineStr">
        <is>
          <t>なし</t>
        </is>
      </c>
      <c r="V287" s="7" t="n">
        <v>1000</v>
      </c>
      <c r="W287" s="7" t="inlineStr">
        <is>
          <t>車内外</t>
        </is>
      </c>
      <c r="X287" s="7" t="n">
        <v>3000</v>
      </c>
      <c r="Y287" s="7" t="inlineStr">
        <is>
          <t>一般</t>
        </is>
      </c>
      <c r="Z287" s="7" t="n">
        <v>480</v>
      </c>
      <c r="AA287" s="7" t="inlineStr">
        <is>
          <t>免責金額なし</t>
        </is>
      </c>
      <c r="AB287" s="7" t="inlineStr">
        <is>
          <t>なし</t>
        </is>
      </c>
      <c r="AC287" s="7" t="inlineStr">
        <is>
          <t>なし</t>
        </is>
      </c>
      <c r="AD287" s="7" t="inlineStr">
        <is>
          <t>なし</t>
        </is>
      </c>
      <c r="AE287" s="7" t="inlineStr">
        <is>
          <t>あり</t>
        </is>
      </c>
      <c r="AF287" s="7" t="inlineStr">
        <is>
          <t>なし</t>
        </is>
      </c>
      <c r="AG287" s="7" t="inlineStr">
        <is>
          <t>なし</t>
        </is>
      </c>
      <c r="AH287" s="7" t="inlineStr">
        <is>
          <t>なし</t>
        </is>
      </c>
      <c r="AI287" s="7"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11</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480万円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c r="BU287" s="60" t="inlineStr">
        <is>
          <t>打鍵中</t>
        </is>
      </c>
    </row>
    <row r="288">
      <c r="A288" s="60" t="n">
        <v>2022</v>
      </c>
      <c r="B288" s="7" t="n">
        <v>12</v>
      </c>
      <c r="C288" s="7" t="n">
        <v>1</v>
      </c>
      <c r="D288" s="7" t="inlineStr">
        <is>
          <t>6S</t>
        </is>
      </c>
      <c r="E288" s="7" t="inlineStr">
        <is>
          <t>なし</t>
        </is>
      </c>
      <c r="F288" s="7" t="inlineStr">
        <is>
          <t>30歳以上</t>
        </is>
      </c>
      <c r="G288" s="7" t="n">
        <v>2022</v>
      </c>
      <c r="H288" s="7" t="n">
        <v>11</v>
      </c>
      <c r="I288" s="7" t="inlineStr">
        <is>
          <t>KG2P</t>
        </is>
      </c>
      <c r="J288" s="7" t="inlineStr">
        <is>
          <t>なし</t>
        </is>
      </c>
      <c r="K288" s="7" t="n">
        <v>1952</v>
      </c>
      <c r="L288" s="15" t="n">
        <v>12</v>
      </c>
      <c r="M288" s="7" t="n">
        <v>1</v>
      </c>
      <c r="N288" s="7" t="inlineStr">
        <is>
          <t>関東</t>
        </is>
      </c>
      <c r="O288" s="7" t="inlineStr">
        <is>
          <t>ブルー</t>
        </is>
      </c>
      <c r="P288" s="7" t="inlineStr">
        <is>
          <t>日常</t>
        </is>
      </c>
      <c r="Q288" s="7" t="n">
        <v>3000</v>
      </c>
      <c r="R288" s="7" t="inlineStr">
        <is>
          <t>30歳以上</t>
        </is>
      </c>
      <c r="S288" s="7" t="inlineStr">
        <is>
          <t>本配</t>
        </is>
      </c>
      <c r="T288" s="7" t="inlineStr">
        <is>
          <t>無制限</t>
        </is>
      </c>
      <c r="U288" s="7" t="inlineStr">
        <is>
          <t>なし</t>
        </is>
      </c>
      <c r="V288" s="7" t="n">
        <v>1000</v>
      </c>
      <c r="W288" s="7" t="inlineStr">
        <is>
          <t>車内外</t>
        </is>
      </c>
      <c r="X288" s="7" t="n">
        <v>3000</v>
      </c>
      <c r="Y288" s="7" t="inlineStr">
        <is>
          <t>一般</t>
        </is>
      </c>
      <c r="Z288" s="7" t="n">
        <v>480</v>
      </c>
      <c r="AA288" s="7" t="inlineStr">
        <is>
          <t>免責金額なし</t>
        </is>
      </c>
      <c r="AB288" s="7" t="inlineStr">
        <is>
          <t>なし</t>
        </is>
      </c>
      <c r="AC288" s="7" t="inlineStr">
        <is>
          <t>なし</t>
        </is>
      </c>
      <c r="AD288" s="7" t="inlineStr">
        <is>
          <t>なし</t>
        </is>
      </c>
      <c r="AE288" s="7" t="inlineStr">
        <is>
          <t>あり</t>
        </is>
      </c>
      <c r="AF288" s="7" t="inlineStr">
        <is>
          <t>なし</t>
        </is>
      </c>
      <c r="AG288" s="7" t="inlineStr">
        <is>
          <t>なし</t>
        </is>
      </c>
      <c r="AH288" s="7" t="inlineStr">
        <is>
          <t>なし</t>
        </is>
      </c>
      <c r="AI288" s="7"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11</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480万円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c r="BU288" s="60" t="inlineStr">
        <is>
          <t>打鍵中</t>
        </is>
      </c>
    </row>
    <row r="289">
      <c r="A289" s="60" t="n">
        <v>2022</v>
      </c>
      <c r="B289" s="7" t="n">
        <v>12</v>
      </c>
      <c r="C289" s="7" t="n">
        <v>1</v>
      </c>
      <c r="D289" s="7" t="inlineStr">
        <is>
          <t>6S</t>
        </is>
      </c>
      <c r="E289" s="7" t="inlineStr">
        <is>
          <t>なし</t>
        </is>
      </c>
      <c r="F289" s="7" t="inlineStr">
        <is>
          <t>30歳以上</t>
        </is>
      </c>
      <c r="G289" s="7" t="n">
        <v>2022</v>
      </c>
      <c r="H289" s="7" t="n">
        <v>11</v>
      </c>
      <c r="I289" s="7" t="inlineStr">
        <is>
          <t>KG2P</t>
        </is>
      </c>
      <c r="J289" s="7" t="inlineStr">
        <is>
          <t>なし</t>
        </is>
      </c>
      <c r="K289" s="7" t="n">
        <v>1992</v>
      </c>
      <c r="L289" s="15" t="n">
        <v>12</v>
      </c>
      <c r="M289" s="7" t="n">
        <v>1</v>
      </c>
      <c r="N289" s="7" t="inlineStr">
        <is>
          <t>関東</t>
        </is>
      </c>
      <c r="O289" s="7" t="inlineStr">
        <is>
          <t>ブルー</t>
        </is>
      </c>
      <c r="P289" s="7" t="inlineStr">
        <is>
          <t>日常</t>
        </is>
      </c>
      <c r="Q289" s="7" t="n">
        <v>7000</v>
      </c>
      <c r="R289" s="7" t="inlineStr">
        <is>
          <t>30歳以上</t>
        </is>
      </c>
      <c r="S289" s="7" t="inlineStr">
        <is>
          <t>本配</t>
        </is>
      </c>
      <c r="T289" s="7" t="inlineStr">
        <is>
          <t>無制限</t>
        </is>
      </c>
      <c r="U289" s="7" t="inlineStr">
        <is>
          <t>なし</t>
        </is>
      </c>
      <c r="V289" s="7" t="n">
        <v>1000</v>
      </c>
      <c r="W289" s="7" t="inlineStr">
        <is>
          <t>車内外</t>
        </is>
      </c>
      <c r="X289" s="7" t="n">
        <v>3000</v>
      </c>
      <c r="Y289" s="7" t="inlineStr">
        <is>
          <t>一般</t>
        </is>
      </c>
      <c r="Z289" s="7" t="n">
        <v>480</v>
      </c>
      <c r="AA289" s="7" t="inlineStr">
        <is>
          <t>免責金額なし</t>
        </is>
      </c>
      <c r="AB289" s="7" t="inlineStr">
        <is>
          <t>なし</t>
        </is>
      </c>
      <c r="AC289" s="7" t="inlineStr">
        <is>
          <t>なし</t>
        </is>
      </c>
      <c r="AD289" s="7" t="inlineStr">
        <is>
          <t>なし</t>
        </is>
      </c>
      <c r="AE289" s="7" t="inlineStr">
        <is>
          <t>あり</t>
        </is>
      </c>
      <c r="AF289" s="7" t="inlineStr">
        <is>
          <t>なし</t>
        </is>
      </c>
      <c r="AG289" s="7" t="inlineStr">
        <is>
          <t>なし</t>
        </is>
      </c>
      <c r="AH289" s="7" t="inlineStr">
        <is>
          <t>なし</t>
        </is>
      </c>
      <c r="AI289" s="7"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11</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480万円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c r="BU289" s="60" t="inlineStr">
        <is>
          <t>打鍵中</t>
        </is>
      </c>
    </row>
    <row r="290">
      <c r="A290" s="60" t="n">
        <v>2022</v>
      </c>
      <c r="B290" s="7" t="n">
        <v>12</v>
      </c>
      <c r="C290" s="7" t="n">
        <v>1</v>
      </c>
      <c r="D290" s="7" t="inlineStr">
        <is>
          <t>6S</t>
        </is>
      </c>
      <c r="E290" s="7" t="inlineStr">
        <is>
          <t>なし</t>
        </is>
      </c>
      <c r="F290" s="7" t="inlineStr">
        <is>
          <t>30歳以上</t>
        </is>
      </c>
      <c r="G290" s="7" t="n">
        <v>2022</v>
      </c>
      <c r="H290" s="7" t="n">
        <v>11</v>
      </c>
      <c r="I290" s="7" t="inlineStr">
        <is>
          <t>KG2P</t>
        </is>
      </c>
      <c r="J290" s="7" t="inlineStr">
        <is>
          <t>なし</t>
        </is>
      </c>
      <c r="K290" s="7" t="n">
        <v>1987</v>
      </c>
      <c r="L290" s="15" t="n">
        <v>12</v>
      </c>
      <c r="M290" s="7" t="n">
        <v>1</v>
      </c>
      <c r="N290" s="7" t="inlineStr">
        <is>
          <t>関東</t>
        </is>
      </c>
      <c r="O290" s="7" t="inlineStr">
        <is>
          <t>ブルー</t>
        </is>
      </c>
      <c r="P290" s="7" t="inlineStr">
        <is>
          <t>日常</t>
        </is>
      </c>
      <c r="Q290" s="7" t="n">
        <v>7000</v>
      </c>
      <c r="R290" s="7" t="inlineStr">
        <is>
          <t>30歳以上</t>
        </is>
      </c>
      <c r="S290" s="7" t="inlineStr">
        <is>
          <t>本配</t>
        </is>
      </c>
      <c r="T290" s="7" t="inlineStr">
        <is>
          <t>無制限</t>
        </is>
      </c>
      <c r="U290" s="7" t="inlineStr">
        <is>
          <t>なし</t>
        </is>
      </c>
      <c r="V290" s="7" t="n">
        <v>1000</v>
      </c>
      <c r="W290" s="7" t="inlineStr">
        <is>
          <t>車内外</t>
        </is>
      </c>
      <c r="X290" s="7" t="n">
        <v>3000</v>
      </c>
      <c r="Y290" s="7" t="inlineStr">
        <is>
          <t>一般</t>
        </is>
      </c>
      <c r="Z290" s="7" t="n">
        <v>480</v>
      </c>
      <c r="AA290" s="7" t="inlineStr">
        <is>
          <t>免責金額なし</t>
        </is>
      </c>
      <c r="AB290" s="7" t="inlineStr">
        <is>
          <t>なし</t>
        </is>
      </c>
      <c r="AC290" s="7" t="inlineStr">
        <is>
          <t>なし</t>
        </is>
      </c>
      <c r="AD290" s="7" t="inlineStr">
        <is>
          <t>なし</t>
        </is>
      </c>
      <c r="AE290" s="7" t="inlineStr">
        <is>
          <t>あり</t>
        </is>
      </c>
      <c r="AF290" s="7" t="inlineStr">
        <is>
          <t>なし</t>
        </is>
      </c>
      <c r="AG290" s="7" t="inlineStr">
        <is>
          <t>なし</t>
        </is>
      </c>
      <c r="AH290" s="7" t="inlineStr">
        <is>
          <t>なし</t>
        </is>
      </c>
      <c r="AI290" s="7"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11</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480万円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c r="BU290" s="60" t="inlineStr">
        <is>
          <t>打鍵中</t>
        </is>
      </c>
    </row>
    <row r="291">
      <c r="A291" s="60" t="n">
        <v>2022</v>
      </c>
      <c r="B291" s="7" t="n">
        <v>12</v>
      </c>
      <c r="C291" s="7" t="n">
        <v>1</v>
      </c>
      <c r="D291" s="7" t="inlineStr">
        <is>
          <t>6S</t>
        </is>
      </c>
      <c r="E291" s="7" t="inlineStr">
        <is>
          <t>なし</t>
        </is>
      </c>
      <c r="F291" s="7" t="inlineStr">
        <is>
          <t>30歳以上</t>
        </is>
      </c>
      <c r="G291" s="7" t="n">
        <v>2022</v>
      </c>
      <c r="H291" s="7" t="n">
        <v>11</v>
      </c>
      <c r="I291" s="7" t="inlineStr">
        <is>
          <t>KG2P</t>
        </is>
      </c>
      <c r="J291" s="7" t="inlineStr">
        <is>
          <t>なし</t>
        </is>
      </c>
      <c r="K291" s="7" t="n">
        <v>1982</v>
      </c>
      <c r="L291" s="15" t="n">
        <v>12</v>
      </c>
      <c r="M291" s="7" t="n">
        <v>1</v>
      </c>
      <c r="N291" s="7" t="inlineStr">
        <is>
          <t>関東</t>
        </is>
      </c>
      <c r="O291" s="7" t="inlineStr">
        <is>
          <t>ブルー</t>
        </is>
      </c>
      <c r="P291" s="7" t="inlineStr">
        <is>
          <t>日常</t>
        </is>
      </c>
      <c r="Q291" s="7" t="n">
        <v>7000</v>
      </c>
      <c r="R291" s="7" t="inlineStr">
        <is>
          <t>30歳以上</t>
        </is>
      </c>
      <c r="S291" s="7" t="inlineStr">
        <is>
          <t>本配</t>
        </is>
      </c>
      <c r="T291" s="7" t="inlineStr">
        <is>
          <t>無制限</t>
        </is>
      </c>
      <c r="U291" s="7" t="inlineStr">
        <is>
          <t>なし</t>
        </is>
      </c>
      <c r="V291" s="7" t="n">
        <v>1000</v>
      </c>
      <c r="W291" s="7" t="inlineStr">
        <is>
          <t>車内外</t>
        </is>
      </c>
      <c r="X291" s="7" t="n">
        <v>3000</v>
      </c>
      <c r="Y291" s="7" t="inlineStr">
        <is>
          <t>一般</t>
        </is>
      </c>
      <c r="Z291" s="7" t="n">
        <v>480</v>
      </c>
      <c r="AA291" s="7" t="inlineStr">
        <is>
          <t>免責金額なし</t>
        </is>
      </c>
      <c r="AB291" s="7" t="inlineStr">
        <is>
          <t>なし</t>
        </is>
      </c>
      <c r="AC291" s="7" t="inlineStr">
        <is>
          <t>なし</t>
        </is>
      </c>
      <c r="AD291" s="7" t="inlineStr">
        <is>
          <t>なし</t>
        </is>
      </c>
      <c r="AE291" s="7" t="inlineStr">
        <is>
          <t>あり</t>
        </is>
      </c>
      <c r="AF291" s="7" t="inlineStr">
        <is>
          <t>なし</t>
        </is>
      </c>
      <c r="AG291" s="7" t="inlineStr">
        <is>
          <t>なし</t>
        </is>
      </c>
      <c r="AH291" s="7" t="inlineStr">
        <is>
          <t>なし</t>
        </is>
      </c>
      <c r="AI291" s="7"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11</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480万円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c r="BU291" s="60" t="inlineStr">
        <is>
          <t>打鍵中</t>
        </is>
      </c>
    </row>
    <row r="292">
      <c r="A292" s="60" t="n">
        <v>2022</v>
      </c>
      <c r="B292" s="7" t="n">
        <v>12</v>
      </c>
      <c r="C292" s="7" t="n">
        <v>1</v>
      </c>
      <c r="D292" s="7" t="inlineStr">
        <is>
          <t>6S</t>
        </is>
      </c>
      <c r="E292" s="7" t="inlineStr">
        <is>
          <t>なし</t>
        </is>
      </c>
      <c r="F292" s="7" t="inlineStr">
        <is>
          <t>30歳以上</t>
        </is>
      </c>
      <c r="G292" s="7" t="n">
        <v>2022</v>
      </c>
      <c r="H292" s="7" t="n">
        <v>11</v>
      </c>
      <c r="I292" s="7" t="inlineStr">
        <is>
          <t>KG2P</t>
        </is>
      </c>
      <c r="J292" s="7" t="inlineStr">
        <is>
          <t>なし</t>
        </is>
      </c>
      <c r="K292" s="7" t="n">
        <v>1977</v>
      </c>
      <c r="L292" s="15" t="n">
        <v>12</v>
      </c>
      <c r="M292" s="7" t="n">
        <v>1</v>
      </c>
      <c r="N292" s="7" t="inlineStr">
        <is>
          <t>関東</t>
        </is>
      </c>
      <c r="O292" s="7" t="inlineStr">
        <is>
          <t>ブルー</t>
        </is>
      </c>
      <c r="P292" s="7" t="inlineStr">
        <is>
          <t>日常</t>
        </is>
      </c>
      <c r="Q292" s="7" t="n">
        <v>7000</v>
      </c>
      <c r="R292" s="7" t="inlineStr">
        <is>
          <t>30歳以上</t>
        </is>
      </c>
      <c r="S292" s="7" t="inlineStr">
        <is>
          <t>本配</t>
        </is>
      </c>
      <c r="T292" s="7" t="inlineStr">
        <is>
          <t>無制限</t>
        </is>
      </c>
      <c r="U292" s="7" t="inlineStr">
        <is>
          <t>なし</t>
        </is>
      </c>
      <c r="V292" s="7" t="n">
        <v>1000</v>
      </c>
      <c r="W292" s="7" t="inlineStr">
        <is>
          <t>車内外</t>
        </is>
      </c>
      <c r="X292" s="7" t="n">
        <v>3000</v>
      </c>
      <c r="Y292" s="7" t="inlineStr">
        <is>
          <t>一般</t>
        </is>
      </c>
      <c r="Z292" s="7" t="n">
        <v>480</v>
      </c>
      <c r="AA292" s="7" t="inlineStr">
        <is>
          <t>免責金額なし</t>
        </is>
      </c>
      <c r="AB292" s="7" t="inlineStr">
        <is>
          <t>なし</t>
        </is>
      </c>
      <c r="AC292" s="7" t="inlineStr">
        <is>
          <t>なし</t>
        </is>
      </c>
      <c r="AD292" s="7" t="inlineStr">
        <is>
          <t>なし</t>
        </is>
      </c>
      <c r="AE292" s="7" t="inlineStr">
        <is>
          <t>あり</t>
        </is>
      </c>
      <c r="AF292" s="7" t="inlineStr">
        <is>
          <t>なし</t>
        </is>
      </c>
      <c r="AG292" s="7" t="inlineStr">
        <is>
          <t>なし</t>
        </is>
      </c>
      <c r="AH292" s="7" t="inlineStr">
        <is>
          <t>なし</t>
        </is>
      </c>
      <c r="AI292" s="7"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11</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480万円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c r="BU292" s="60" t="n">
        <v>89830</v>
      </c>
      <c r="BV292" s="60" t="n">
        <v>35620</v>
      </c>
      <c r="BW292" s="60" t="n">
        <v>16000</v>
      </c>
      <c r="BX292" s="60" t="n">
        <v>13000</v>
      </c>
      <c r="BY292" s="60" t="n">
        <v>0</v>
      </c>
      <c r="BZ292" s="60" t="inlineStr">
        <is>
          <t>車両免責エラー</t>
        </is>
      </c>
      <c r="CA292" s="60" t="n"/>
    </row>
    <row r="293">
      <c r="A293" s="60" t="n">
        <v>2022</v>
      </c>
      <c r="B293" s="7" t="n">
        <v>12</v>
      </c>
      <c r="C293" s="7" t="n">
        <v>1</v>
      </c>
      <c r="D293" s="7" t="inlineStr">
        <is>
          <t>6S</t>
        </is>
      </c>
      <c r="E293" s="7" t="inlineStr">
        <is>
          <t>なし</t>
        </is>
      </c>
      <c r="F293" s="7" t="inlineStr">
        <is>
          <t>30歳以上</t>
        </is>
      </c>
      <c r="G293" s="7" t="n">
        <v>2022</v>
      </c>
      <c r="H293" s="7" t="n">
        <v>11</v>
      </c>
      <c r="I293" s="7" t="inlineStr">
        <is>
          <t>KG2P</t>
        </is>
      </c>
      <c r="J293" s="7" t="inlineStr">
        <is>
          <t>なし</t>
        </is>
      </c>
      <c r="K293" s="7" t="n">
        <v>1972</v>
      </c>
      <c r="L293" s="15" t="n">
        <v>12</v>
      </c>
      <c r="M293" s="7" t="n">
        <v>1</v>
      </c>
      <c r="N293" s="7" t="inlineStr">
        <is>
          <t>関東</t>
        </is>
      </c>
      <c r="O293" s="7" t="inlineStr">
        <is>
          <t>ブルー</t>
        </is>
      </c>
      <c r="P293" s="7" t="inlineStr">
        <is>
          <t>日常</t>
        </is>
      </c>
      <c r="Q293" s="7" t="n">
        <v>7000</v>
      </c>
      <c r="R293" s="7" t="inlineStr">
        <is>
          <t>30歳以上</t>
        </is>
      </c>
      <c r="S293" s="7" t="inlineStr">
        <is>
          <t>本配</t>
        </is>
      </c>
      <c r="T293" s="7" t="inlineStr">
        <is>
          <t>無制限</t>
        </is>
      </c>
      <c r="U293" s="7" t="inlineStr">
        <is>
          <t>なし</t>
        </is>
      </c>
      <c r="V293" s="7" t="n">
        <v>1000</v>
      </c>
      <c r="W293" s="7" t="inlineStr">
        <is>
          <t>車内外</t>
        </is>
      </c>
      <c r="X293" s="7" t="n">
        <v>3000</v>
      </c>
      <c r="Y293" s="7" t="inlineStr">
        <is>
          <t>一般</t>
        </is>
      </c>
      <c r="Z293" s="7" t="n">
        <v>480</v>
      </c>
      <c r="AA293" s="7" t="inlineStr">
        <is>
          <t>免責金額なし</t>
        </is>
      </c>
      <c r="AB293" s="7" t="inlineStr">
        <is>
          <t>なし</t>
        </is>
      </c>
      <c r="AC293" s="7" t="inlineStr">
        <is>
          <t>なし</t>
        </is>
      </c>
      <c r="AD293" s="7" t="inlineStr">
        <is>
          <t>なし</t>
        </is>
      </c>
      <c r="AE293" s="7" t="inlineStr">
        <is>
          <t>あり</t>
        </is>
      </c>
      <c r="AF293" s="7" t="inlineStr">
        <is>
          <t>なし</t>
        </is>
      </c>
      <c r="AG293" s="7" t="inlineStr">
        <is>
          <t>なし</t>
        </is>
      </c>
      <c r="AH293" s="7" t="inlineStr">
        <is>
          <t>なし</t>
        </is>
      </c>
      <c r="AI293" s="7"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11</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480万円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c r="BU293" s="60" t="n">
        <v>90840</v>
      </c>
      <c r="BV293" s="60" t="n">
        <v>35460</v>
      </c>
      <c r="BW293" s="60" t="n">
        <v>16000</v>
      </c>
      <c r="BX293" s="60" t="n">
        <v>13000</v>
      </c>
      <c r="BY293" s="60" t="n">
        <v>0</v>
      </c>
      <c r="BZ293" s="60" t="inlineStr">
        <is>
          <t>車両免責エラー</t>
        </is>
      </c>
      <c r="CA293" s="60" t="n"/>
    </row>
    <row r="294">
      <c r="A294" s="60" t="n">
        <v>2022</v>
      </c>
      <c r="B294" s="7" t="n">
        <v>12</v>
      </c>
      <c r="C294" s="7" t="n">
        <v>1</v>
      </c>
      <c r="D294" s="7" t="inlineStr">
        <is>
          <t>6S</t>
        </is>
      </c>
      <c r="E294" s="7" t="inlineStr">
        <is>
          <t>なし</t>
        </is>
      </c>
      <c r="F294" s="7" t="inlineStr">
        <is>
          <t>30歳以上</t>
        </is>
      </c>
      <c r="G294" s="7" t="n">
        <v>2022</v>
      </c>
      <c r="H294" s="7" t="n">
        <v>11</v>
      </c>
      <c r="I294" s="7" t="inlineStr">
        <is>
          <t>KG2P</t>
        </is>
      </c>
      <c r="J294" s="7" t="inlineStr">
        <is>
          <t>なし</t>
        </is>
      </c>
      <c r="K294" s="7" t="n">
        <v>1962</v>
      </c>
      <c r="L294" s="15" t="n">
        <v>12</v>
      </c>
      <c r="M294" s="7" t="n">
        <v>1</v>
      </c>
      <c r="N294" s="7" t="inlineStr">
        <is>
          <t>関東</t>
        </is>
      </c>
      <c r="O294" s="7" t="inlineStr">
        <is>
          <t>ブルー</t>
        </is>
      </c>
      <c r="P294" s="7" t="inlineStr">
        <is>
          <t>日常</t>
        </is>
      </c>
      <c r="Q294" s="7" t="n">
        <v>7000</v>
      </c>
      <c r="R294" s="7" t="inlineStr">
        <is>
          <t>30歳以上</t>
        </is>
      </c>
      <c r="S294" s="7" t="inlineStr">
        <is>
          <t>本配</t>
        </is>
      </c>
      <c r="T294" s="7" t="inlineStr">
        <is>
          <t>無制限</t>
        </is>
      </c>
      <c r="U294" s="7" t="inlineStr">
        <is>
          <t>なし</t>
        </is>
      </c>
      <c r="V294" s="7" t="n">
        <v>1000</v>
      </c>
      <c r="W294" s="7" t="inlineStr">
        <is>
          <t>車内外</t>
        </is>
      </c>
      <c r="X294" s="7" t="n">
        <v>3000</v>
      </c>
      <c r="Y294" s="7" t="inlineStr">
        <is>
          <t>一般</t>
        </is>
      </c>
      <c r="Z294" s="7" t="n">
        <v>480</v>
      </c>
      <c r="AA294" s="7" t="inlineStr">
        <is>
          <t>免責金額なし</t>
        </is>
      </c>
      <c r="AB294" s="7" t="inlineStr">
        <is>
          <t>なし</t>
        </is>
      </c>
      <c r="AC294" s="7" t="inlineStr">
        <is>
          <t>なし</t>
        </is>
      </c>
      <c r="AD294" s="7" t="inlineStr">
        <is>
          <t>なし</t>
        </is>
      </c>
      <c r="AE294" s="7" t="inlineStr">
        <is>
          <t>あり</t>
        </is>
      </c>
      <c r="AF294" s="7" t="inlineStr">
        <is>
          <t>なし</t>
        </is>
      </c>
      <c r="AG294" s="7" t="inlineStr">
        <is>
          <t>なし</t>
        </is>
      </c>
      <c r="AH294" s="7" t="inlineStr">
        <is>
          <t>なし</t>
        </is>
      </c>
      <c r="AI294" s="7"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11</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480万円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c r="BU294" s="60" t="n">
        <v>98620</v>
      </c>
      <c r="BV294" s="60" t="n">
        <v>37410</v>
      </c>
      <c r="BW294" s="60" t="n">
        <v>16000</v>
      </c>
      <c r="BX294" s="60" t="n">
        <v>13000</v>
      </c>
      <c r="BY294" s="60" t="n">
        <v>0</v>
      </c>
      <c r="BZ294" s="60" t="inlineStr">
        <is>
          <t>車両免責エラー</t>
        </is>
      </c>
      <c r="CA294" s="60" t="n"/>
    </row>
    <row r="295">
      <c r="A295" s="60" t="n">
        <v>2022</v>
      </c>
      <c r="B295" s="7" t="n">
        <v>12</v>
      </c>
      <c r="C295" s="7" t="n">
        <v>1</v>
      </c>
      <c r="D295" s="7" t="inlineStr">
        <is>
          <t>6S</t>
        </is>
      </c>
      <c r="E295" s="7" t="inlineStr">
        <is>
          <t>なし</t>
        </is>
      </c>
      <c r="F295" s="7" t="inlineStr">
        <is>
          <t>30歳以上</t>
        </is>
      </c>
      <c r="G295" s="7" t="n">
        <v>2022</v>
      </c>
      <c r="H295" s="7" t="n">
        <v>11</v>
      </c>
      <c r="I295" s="7" t="inlineStr">
        <is>
          <t>KG2P</t>
        </is>
      </c>
      <c r="J295" s="7" t="inlineStr">
        <is>
          <t>なし</t>
        </is>
      </c>
      <c r="K295" s="7" t="n">
        <v>1952</v>
      </c>
      <c r="L295" s="15" t="n">
        <v>12</v>
      </c>
      <c r="M295" s="7" t="n">
        <v>1</v>
      </c>
      <c r="N295" s="7" t="inlineStr">
        <is>
          <t>関東</t>
        </is>
      </c>
      <c r="O295" s="7" t="inlineStr">
        <is>
          <t>ブルー</t>
        </is>
      </c>
      <c r="P295" s="7" t="inlineStr">
        <is>
          <t>日常</t>
        </is>
      </c>
      <c r="Q295" s="7" t="n">
        <v>7000</v>
      </c>
      <c r="R295" s="7" t="inlineStr">
        <is>
          <t>30歳以上</t>
        </is>
      </c>
      <c r="S295" s="7" t="inlineStr">
        <is>
          <t>本配</t>
        </is>
      </c>
      <c r="T295" s="7" t="inlineStr">
        <is>
          <t>無制限</t>
        </is>
      </c>
      <c r="U295" s="7" t="inlineStr">
        <is>
          <t>なし</t>
        </is>
      </c>
      <c r="V295" s="7" t="n">
        <v>1000</v>
      </c>
      <c r="W295" s="7" t="inlineStr">
        <is>
          <t>車内外</t>
        </is>
      </c>
      <c r="X295" s="7" t="n">
        <v>3000</v>
      </c>
      <c r="Y295" s="7" t="inlineStr">
        <is>
          <t>一般</t>
        </is>
      </c>
      <c r="Z295" s="7" t="n">
        <v>480</v>
      </c>
      <c r="AA295" s="7" t="inlineStr">
        <is>
          <t>免責金額なし</t>
        </is>
      </c>
      <c r="AB295" s="7" t="inlineStr">
        <is>
          <t>なし</t>
        </is>
      </c>
      <c r="AC295" s="7" t="inlineStr">
        <is>
          <t>なし</t>
        </is>
      </c>
      <c r="AD295" s="7" t="inlineStr">
        <is>
          <t>なし</t>
        </is>
      </c>
      <c r="AE295" s="7" t="inlineStr">
        <is>
          <t>あり</t>
        </is>
      </c>
      <c r="AF295" s="7" t="inlineStr">
        <is>
          <t>なし</t>
        </is>
      </c>
      <c r="AG295" s="7" t="inlineStr">
        <is>
          <t>なし</t>
        </is>
      </c>
      <c r="AH295" s="7" t="inlineStr">
        <is>
          <t>なし</t>
        </is>
      </c>
      <c r="AI295" s="7"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11</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480万円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c r="BU295" s="60" t="n">
        <v>121920</v>
      </c>
      <c r="BV295" s="60" t="n">
        <v>44750</v>
      </c>
      <c r="BW295" s="60" t="n">
        <v>18000</v>
      </c>
      <c r="BX295" s="60" t="n">
        <v>16000</v>
      </c>
      <c r="BY295" s="60" t="n">
        <v>0</v>
      </c>
      <c r="BZ295" s="60" t="inlineStr">
        <is>
          <t>車両免責エラー</t>
        </is>
      </c>
      <c r="CA295" s="60" t="n"/>
    </row>
    <row r="296">
      <c r="A296" s="60" t="n">
        <v>2022</v>
      </c>
      <c r="B296" s="7" t="n">
        <v>12</v>
      </c>
      <c r="C296" s="7" t="n">
        <v>1</v>
      </c>
      <c r="D296" s="7" t="inlineStr">
        <is>
          <t>6S</t>
        </is>
      </c>
      <c r="E296" s="7" t="inlineStr">
        <is>
          <t>なし</t>
        </is>
      </c>
      <c r="F296" s="7" t="inlineStr">
        <is>
          <t>30歳以上</t>
        </is>
      </c>
      <c r="G296" s="7" t="n">
        <v>2022</v>
      </c>
      <c r="H296" s="7" t="n">
        <v>11</v>
      </c>
      <c r="I296" s="7" t="inlineStr">
        <is>
          <t>KG2P</t>
        </is>
      </c>
      <c r="J296" s="7" t="inlineStr">
        <is>
          <t>なし</t>
        </is>
      </c>
      <c r="K296" s="7" t="n">
        <v>1992</v>
      </c>
      <c r="L296" s="15" t="n">
        <v>12</v>
      </c>
      <c r="M296" s="7" t="n">
        <v>1</v>
      </c>
      <c r="N296" s="7" t="inlineStr">
        <is>
          <t>関東</t>
        </is>
      </c>
      <c r="O296" s="7" t="inlineStr">
        <is>
          <t>ブルー</t>
        </is>
      </c>
      <c r="P296" s="7" t="inlineStr">
        <is>
          <t>通勤</t>
        </is>
      </c>
      <c r="Q296" s="7" t="n">
        <v>3000</v>
      </c>
      <c r="R296" s="7" t="inlineStr">
        <is>
          <t>30歳以上</t>
        </is>
      </c>
      <c r="S296" s="7" t="inlineStr">
        <is>
          <t>本配</t>
        </is>
      </c>
      <c r="T296" s="7" t="inlineStr">
        <is>
          <t>無制限</t>
        </is>
      </c>
      <c r="U296" s="7" t="inlineStr">
        <is>
          <t>なし</t>
        </is>
      </c>
      <c r="V296" s="7" t="n">
        <v>1000</v>
      </c>
      <c r="W296" s="7" t="inlineStr">
        <is>
          <t>車内外</t>
        </is>
      </c>
      <c r="X296" s="7" t="n">
        <v>3000</v>
      </c>
      <c r="Y296" s="7" t="inlineStr">
        <is>
          <t>一般</t>
        </is>
      </c>
      <c r="Z296" s="7" t="n">
        <v>480</v>
      </c>
      <c r="AA296" s="7" t="inlineStr">
        <is>
          <t>免責金額なし</t>
        </is>
      </c>
      <c r="AB296" s="7" t="inlineStr">
        <is>
          <t>なし</t>
        </is>
      </c>
      <c r="AC296" s="7" t="inlineStr">
        <is>
          <t>なし</t>
        </is>
      </c>
      <c r="AD296" s="7" t="inlineStr">
        <is>
          <t>なし</t>
        </is>
      </c>
      <c r="AE296" s="7" t="inlineStr">
        <is>
          <t>あり</t>
        </is>
      </c>
      <c r="AF296" s="7" t="inlineStr">
        <is>
          <t>なし</t>
        </is>
      </c>
      <c r="AG296" s="7" t="inlineStr">
        <is>
          <t>なし</t>
        </is>
      </c>
      <c r="AH296" s="7" t="inlineStr">
        <is>
          <t>なし</t>
        </is>
      </c>
      <c r="AI296" s="7"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11</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480万円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c r="BU296" s="60" t="n">
        <v>99430</v>
      </c>
      <c r="BV296" s="60" t="n">
        <v>38220</v>
      </c>
      <c r="BW296" s="60" t="n">
        <v>16000</v>
      </c>
      <c r="BX296" s="60" t="n">
        <v>13000</v>
      </c>
      <c r="BY296" s="60" t="n">
        <v>0</v>
      </c>
      <c r="BZ296" s="60" t="inlineStr">
        <is>
          <t>車両免責エラー</t>
        </is>
      </c>
      <c r="CA296" s="60" t="n"/>
    </row>
    <row r="297">
      <c r="A297" s="60" t="n">
        <v>2022</v>
      </c>
      <c r="B297" s="7" t="n">
        <v>12</v>
      </c>
      <c r="C297" s="7" t="n">
        <v>1</v>
      </c>
      <c r="D297" s="7" t="inlineStr">
        <is>
          <t>6S</t>
        </is>
      </c>
      <c r="E297" s="7" t="inlineStr">
        <is>
          <t>なし</t>
        </is>
      </c>
      <c r="F297" s="7" t="inlineStr">
        <is>
          <t>30歳以上</t>
        </is>
      </c>
      <c r="G297" s="7" t="n">
        <v>2022</v>
      </c>
      <c r="H297" s="7" t="n">
        <v>11</v>
      </c>
      <c r="I297" s="7" t="inlineStr">
        <is>
          <t>KG2P</t>
        </is>
      </c>
      <c r="J297" s="7" t="inlineStr">
        <is>
          <t>なし</t>
        </is>
      </c>
      <c r="K297" s="7" t="n">
        <v>1987</v>
      </c>
      <c r="L297" s="15" t="n">
        <v>12</v>
      </c>
      <c r="M297" s="7" t="n">
        <v>1</v>
      </c>
      <c r="N297" s="7" t="inlineStr">
        <is>
          <t>関東</t>
        </is>
      </c>
      <c r="O297" s="7" t="inlineStr">
        <is>
          <t>ブルー</t>
        </is>
      </c>
      <c r="P297" s="7" t="inlineStr">
        <is>
          <t>通勤</t>
        </is>
      </c>
      <c r="Q297" s="7" t="n">
        <v>3000</v>
      </c>
      <c r="R297" s="7" t="inlineStr">
        <is>
          <t>30歳以上</t>
        </is>
      </c>
      <c r="S297" s="7" t="inlineStr">
        <is>
          <t>本配</t>
        </is>
      </c>
      <c r="T297" s="7" t="inlineStr">
        <is>
          <t>無制限</t>
        </is>
      </c>
      <c r="U297" s="7" t="inlineStr">
        <is>
          <t>なし</t>
        </is>
      </c>
      <c r="V297" s="7" t="n">
        <v>1000</v>
      </c>
      <c r="W297" s="7" t="inlineStr">
        <is>
          <t>車内外</t>
        </is>
      </c>
      <c r="X297" s="7" t="n">
        <v>3000</v>
      </c>
      <c r="Y297" s="7" t="inlineStr">
        <is>
          <t>一般</t>
        </is>
      </c>
      <c r="Z297" s="7" t="n">
        <v>480</v>
      </c>
      <c r="AA297" s="7" t="inlineStr">
        <is>
          <t>免責金額なし</t>
        </is>
      </c>
      <c r="AB297" s="7" t="inlineStr">
        <is>
          <t>なし</t>
        </is>
      </c>
      <c r="AC297" s="7" t="inlineStr">
        <is>
          <t>なし</t>
        </is>
      </c>
      <c r="AD297" s="7" t="inlineStr">
        <is>
          <t>なし</t>
        </is>
      </c>
      <c r="AE297" s="7" t="inlineStr">
        <is>
          <t>あり</t>
        </is>
      </c>
      <c r="AF297" s="7" t="inlineStr">
        <is>
          <t>なし</t>
        </is>
      </c>
      <c r="AG297" s="7" t="inlineStr">
        <is>
          <t>なし</t>
        </is>
      </c>
      <c r="AH297" s="7" t="inlineStr">
        <is>
          <t>なし</t>
        </is>
      </c>
      <c r="AI297" s="7"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11</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480万円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c r="BU297" s="60" t="n">
        <v>98630</v>
      </c>
      <c r="BV297" s="60" t="n">
        <v>37870</v>
      </c>
      <c r="BW297" s="60" t="n">
        <v>16000</v>
      </c>
      <c r="BX297" s="60" t="n">
        <v>13000</v>
      </c>
      <c r="BY297" s="60" t="n">
        <v>0</v>
      </c>
      <c r="BZ297" s="60" t="inlineStr">
        <is>
          <t>車両免責エラー</t>
        </is>
      </c>
      <c r="CA297" s="60" t="n"/>
    </row>
    <row r="298">
      <c r="A298" s="60" t="n">
        <v>2022</v>
      </c>
      <c r="B298" s="7" t="n">
        <v>12</v>
      </c>
      <c r="C298" s="7" t="n">
        <v>1</v>
      </c>
      <c r="D298" s="7" t="inlineStr">
        <is>
          <t>6S</t>
        </is>
      </c>
      <c r="E298" s="7" t="inlineStr">
        <is>
          <t>なし</t>
        </is>
      </c>
      <c r="F298" s="7" t="inlineStr">
        <is>
          <t>30歳以上</t>
        </is>
      </c>
      <c r="G298" s="7" t="n">
        <v>2022</v>
      </c>
      <c r="H298" s="7" t="n">
        <v>11</v>
      </c>
      <c r="I298" s="7" t="inlineStr">
        <is>
          <t>KG2P</t>
        </is>
      </c>
      <c r="J298" s="7" t="inlineStr">
        <is>
          <t>なし</t>
        </is>
      </c>
      <c r="K298" s="7" t="n">
        <v>1982</v>
      </c>
      <c r="L298" s="15" t="n">
        <v>12</v>
      </c>
      <c r="M298" s="7" t="n">
        <v>1</v>
      </c>
      <c r="N298" s="7" t="inlineStr">
        <is>
          <t>関東</t>
        </is>
      </c>
      <c r="O298" s="7" t="inlineStr">
        <is>
          <t>ブルー</t>
        </is>
      </c>
      <c r="P298" s="7" t="inlineStr">
        <is>
          <t>通勤</t>
        </is>
      </c>
      <c r="Q298" s="7" t="n">
        <v>3000</v>
      </c>
      <c r="R298" s="7" t="inlineStr">
        <is>
          <t>30歳以上</t>
        </is>
      </c>
      <c r="S298" s="7" t="inlineStr">
        <is>
          <t>本配</t>
        </is>
      </c>
      <c r="T298" s="7" t="inlineStr">
        <is>
          <t>無制限</t>
        </is>
      </c>
      <c r="U298" s="7" t="inlineStr">
        <is>
          <t>なし</t>
        </is>
      </c>
      <c r="V298" s="7" t="n">
        <v>1000</v>
      </c>
      <c r="W298" s="7" t="inlineStr">
        <is>
          <t>車内外</t>
        </is>
      </c>
      <c r="X298" s="7" t="n">
        <v>3000</v>
      </c>
      <c r="Y298" s="7" t="inlineStr">
        <is>
          <t>一般</t>
        </is>
      </c>
      <c r="Z298" s="7" t="n">
        <v>480</v>
      </c>
      <c r="AA298" s="7" t="inlineStr">
        <is>
          <t>免責金額なし</t>
        </is>
      </c>
      <c r="AB298" s="7" t="inlineStr">
        <is>
          <t>なし</t>
        </is>
      </c>
      <c r="AC298" s="7" t="inlineStr">
        <is>
          <t>なし</t>
        </is>
      </c>
      <c r="AD298" s="7" t="inlineStr">
        <is>
          <t>なし</t>
        </is>
      </c>
      <c r="AE298" s="7" t="inlineStr">
        <is>
          <t>あり</t>
        </is>
      </c>
      <c r="AF298" s="7" t="inlineStr">
        <is>
          <t>なし</t>
        </is>
      </c>
      <c r="AG298" s="7" t="inlineStr">
        <is>
          <t>なし</t>
        </is>
      </c>
      <c r="AH298" s="7" t="inlineStr">
        <is>
          <t>なし</t>
        </is>
      </c>
      <c r="AI298" s="7"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11</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480万円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c r="BU298" s="60" t="inlineStr">
        <is>
          <t>E</t>
        </is>
      </c>
      <c r="BV298" s="60"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[0x007A5FD3+2187219]
	Ordinal0 [0x0073E6D1+1763025]
	Ordinal0 [0x00653E78+802424]
	Ordinal0 [0x00681C10+990224]
	Ordinal0 [0x00681EAB+990891]
	Ordinal0 [0x006AEC92+1174674]
	Ordinal0 [0x0069CBD4+1100756]
	Ordinal0 [0x006ACFC2+1167298]
	Ordinal0 [0x0069C9A6+1100198]
	Ordinal0 [0x00676F80+946048]
	Ordinal0 [0x00677E76+949878]
	GetHandleVerifier [0x00A490C2+2721218]
	GetHandleVerifier [0x00A3AAF0+2662384]
	GetHandleVerifier [0x0083137A+526458]
	GetHandleVerifier [0x00830416+522518]
	Ordinal0 [0x00744EAB+1789611]
	Ordinal0 [0x007497A8+1808296]
	Ordinal0 [0x00749895+1808533]
	Ordinal0 [0x007526C1+1844929]
	BaseThreadInitThunk [0x74F8FA29+25]
	RtlGetAppContainerNamedObjectPath [0x77007BBE+286]
	RtlGetAppContainerNamedObjectPath [0x77007B8E+238]
</t>
        </is>
      </c>
      <c r="BW298" s="60" t="n"/>
      <c r="BX298" s="60" t="n"/>
      <c r="BY298" s="60" t="n"/>
      <c r="BZ298" s="60" t="n"/>
      <c r="CA298" s="60" t="n"/>
    </row>
    <row r="299">
      <c r="A299" s="60" t="n">
        <v>2022</v>
      </c>
      <c r="B299" s="7" t="n">
        <v>12</v>
      </c>
      <c r="C299" s="7" t="n">
        <v>1</v>
      </c>
      <c r="D299" s="7" t="inlineStr">
        <is>
          <t>6S</t>
        </is>
      </c>
      <c r="E299" s="7" t="inlineStr">
        <is>
          <t>なし</t>
        </is>
      </c>
      <c r="F299" s="7" t="inlineStr">
        <is>
          <t>30歳以上</t>
        </is>
      </c>
      <c r="G299" s="7" t="n">
        <v>2022</v>
      </c>
      <c r="H299" s="7" t="n">
        <v>11</v>
      </c>
      <c r="I299" s="7" t="inlineStr">
        <is>
          <t>KG2P</t>
        </is>
      </c>
      <c r="J299" s="7" t="inlineStr">
        <is>
          <t>なし</t>
        </is>
      </c>
      <c r="K299" s="7" t="n">
        <v>1977</v>
      </c>
      <c r="L299" s="15" t="n">
        <v>12</v>
      </c>
      <c r="M299" s="7" t="n">
        <v>1</v>
      </c>
      <c r="N299" s="7" t="inlineStr">
        <is>
          <t>関東</t>
        </is>
      </c>
      <c r="O299" s="7" t="inlineStr">
        <is>
          <t>ブルー</t>
        </is>
      </c>
      <c r="P299" s="7" t="inlineStr">
        <is>
          <t>通勤</t>
        </is>
      </c>
      <c r="Q299" s="7" t="n">
        <v>3000</v>
      </c>
      <c r="R299" s="7" t="inlineStr">
        <is>
          <t>30歳以上</t>
        </is>
      </c>
      <c r="S299" s="7" t="inlineStr">
        <is>
          <t>本配</t>
        </is>
      </c>
      <c r="T299" s="7" t="inlineStr">
        <is>
          <t>無制限</t>
        </is>
      </c>
      <c r="U299" s="7" t="inlineStr">
        <is>
          <t>なし</t>
        </is>
      </c>
      <c r="V299" s="7" t="n">
        <v>1000</v>
      </c>
      <c r="W299" s="7" t="inlineStr">
        <is>
          <t>車内外</t>
        </is>
      </c>
      <c r="X299" s="7" t="n">
        <v>3000</v>
      </c>
      <c r="Y299" s="7" t="inlineStr">
        <is>
          <t>一般</t>
        </is>
      </c>
      <c r="Z299" s="7" t="n">
        <v>480</v>
      </c>
      <c r="AA299" s="7" t="inlineStr">
        <is>
          <t>免責金額なし</t>
        </is>
      </c>
      <c r="AB299" s="7" t="inlineStr">
        <is>
          <t>なし</t>
        </is>
      </c>
      <c r="AC299" s="7" t="inlineStr">
        <is>
          <t>なし</t>
        </is>
      </c>
      <c r="AD299" s="7" t="inlineStr">
        <is>
          <t>なし</t>
        </is>
      </c>
      <c r="AE299" s="7" t="inlineStr">
        <is>
          <t>あり</t>
        </is>
      </c>
      <c r="AF299" s="7" t="inlineStr">
        <is>
          <t>なし</t>
        </is>
      </c>
      <c r="AG299" s="7" t="inlineStr">
        <is>
          <t>なし</t>
        </is>
      </c>
      <c r="AH299" s="7" t="inlineStr">
        <is>
          <t>なし</t>
        </is>
      </c>
      <c r="AI299" s="7"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11</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480万円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c r="BU299" s="60" t="n">
        <v>102260</v>
      </c>
      <c r="BV299" s="60" t="n">
        <v>38530</v>
      </c>
      <c r="BW299" s="60" t="n">
        <v>16000</v>
      </c>
      <c r="BX299" s="60" t="n">
        <v>13000</v>
      </c>
      <c r="BY299" s="60" t="n">
        <v>0</v>
      </c>
      <c r="BZ299" s="60" t="inlineStr">
        <is>
          <t>車両免責エラー</t>
        </is>
      </c>
      <c r="CA299" s="60" t="n"/>
    </row>
    <row r="300">
      <c r="A300" s="60" t="n">
        <v>2022</v>
      </c>
      <c r="B300" s="7" t="n">
        <v>12</v>
      </c>
      <c r="C300" s="7" t="n">
        <v>1</v>
      </c>
      <c r="D300" s="7" t="inlineStr">
        <is>
          <t>6S</t>
        </is>
      </c>
      <c r="E300" s="7" t="inlineStr">
        <is>
          <t>なし</t>
        </is>
      </c>
      <c r="F300" s="7" t="inlineStr">
        <is>
          <t>30歳以上</t>
        </is>
      </c>
      <c r="G300" s="7" t="n">
        <v>2022</v>
      </c>
      <c r="H300" s="7" t="n">
        <v>11</v>
      </c>
      <c r="I300" s="7" t="inlineStr">
        <is>
          <t>KG2P</t>
        </is>
      </c>
      <c r="J300" s="7" t="inlineStr">
        <is>
          <t>なし</t>
        </is>
      </c>
      <c r="K300" s="7" t="n">
        <v>1972</v>
      </c>
      <c r="L300" s="15" t="n">
        <v>12</v>
      </c>
      <c r="M300" s="7" t="n">
        <v>1</v>
      </c>
      <c r="N300" s="7" t="inlineStr">
        <is>
          <t>関東</t>
        </is>
      </c>
      <c r="O300" s="7" t="inlineStr">
        <is>
          <t>ブルー</t>
        </is>
      </c>
      <c r="P300" s="7" t="inlineStr">
        <is>
          <t>通勤</t>
        </is>
      </c>
      <c r="Q300" s="7" t="n">
        <v>3000</v>
      </c>
      <c r="R300" s="7" t="inlineStr">
        <is>
          <t>30歳以上</t>
        </is>
      </c>
      <c r="S300" s="7" t="inlineStr">
        <is>
          <t>本配</t>
        </is>
      </c>
      <c r="T300" s="7" t="inlineStr">
        <is>
          <t>無制限</t>
        </is>
      </c>
      <c r="U300" s="7" t="inlineStr">
        <is>
          <t>なし</t>
        </is>
      </c>
      <c r="V300" s="7" t="n">
        <v>1000</v>
      </c>
      <c r="W300" s="7" t="inlineStr">
        <is>
          <t>車内外</t>
        </is>
      </c>
      <c r="X300" s="7" t="n">
        <v>3000</v>
      </c>
      <c r="Y300" s="7" t="inlineStr">
        <is>
          <t>一般</t>
        </is>
      </c>
      <c r="Z300" s="7" t="n">
        <v>480</v>
      </c>
      <c r="AA300" s="7" t="inlineStr">
        <is>
          <t>免責金額なし</t>
        </is>
      </c>
      <c r="AB300" s="7" t="inlineStr">
        <is>
          <t>なし</t>
        </is>
      </c>
      <c r="AC300" s="7" t="inlineStr">
        <is>
          <t>なし</t>
        </is>
      </c>
      <c r="AD300" s="7" t="inlineStr">
        <is>
          <t>なし</t>
        </is>
      </c>
      <c r="AE300" s="7" t="inlineStr">
        <is>
          <t>あり</t>
        </is>
      </c>
      <c r="AF300" s="7" t="inlineStr">
        <is>
          <t>なし</t>
        </is>
      </c>
      <c r="AG300" s="7" t="inlineStr">
        <is>
          <t>なし</t>
        </is>
      </c>
      <c r="AH300" s="7" t="inlineStr">
        <is>
          <t>なし</t>
        </is>
      </c>
      <c r="AI300" s="7"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11</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480万円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c r="BU300" s="60" t="inlineStr">
        <is>
          <t>E</t>
        </is>
      </c>
      <c r="BV300" s="60"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300" s="60" t="n"/>
      <c r="BX300" s="60" t="n"/>
      <c r="BY300" s="60" t="n"/>
      <c r="BZ300" s="60" t="n"/>
      <c r="CA300" s="60" t="n"/>
    </row>
    <row r="301">
      <c r="A301" s="60" t="n">
        <v>2022</v>
      </c>
      <c r="B301" s="7" t="n">
        <v>12</v>
      </c>
      <c r="C301" s="7" t="n">
        <v>1</v>
      </c>
      <c r="D301" s="7" t="inlineStr">
        <is>
          <t>6S</t>
        </is>
      </c>
      <c r="E301" s="7" t="inlineStr">
        <is>
          <t>なし</t>
        </is>
      </c>
      <c r="F301" s="7" t="inlineStr">
        <is>
          <t>30歳以上</t>
        </is>
      </c>
      <c r="G301" s="7" t="n">
        <v>2022</v>
      </c>
      <c r="H301" s="7" t="n">
        <v>11</v>
      </c>
      <c r="I301" s="7" t="inlineStr">
        <is>
          <t>KG2P</t>
        </is>
      </c>
      <c r="J301" s="7" t="inlineStr">
        <is>
          <t>なし</t>
        </is>
      </c>
      <c r="K301" s="7" t="n">
        <v>1962</v>
      </c>
      <c r="L301" s="15" t="n">
        <v>12</v>
      </c>
      <c r="M301" s="7" t="n">
        <v>1</v>
      </c>
      <c r="N301" s="7" t="inlineStr">
        <is>
          <t>関東</t>
        </is>
      </c>
      <c r="O301" s="7" t="inlineStr">
        <is>
          <t>ブルー</t>
        </is>
      </c>
      <c r="P301" s="7" t="inlineStr">
        <is>
          <t>通勤</t>
        </is>
      </c>
      <c r="Q301" s="7" t="n">
        <v>3000</v>
      </c>
      <c r="R301" s="7" t="inlineStr">
        <is>
          <t>30歳以上</t>
        </is>
      </c>
      <c r="S301" s="7" t="inlineStr">
        <is>
          <t>本配</t>
        </is>
      </c>
      <c r="T301" s="7" t="inlineStr">
        <is>
          <t>無制限</t>
        </is>
      </c>
      <c r="U301" s="7" t="inlineStr">
        <is>
          <t>なし</t>
        </is>
      </c>
      <c r="V301" s="7" t="n">
        <v>1000</v>
      </c>
      <c r="W301" s="7" t="inlineStr">
        <is>
          <t>車内外</t>
        </is>
      </c>
      <c r="X301" s="7" t="n">
        <v>3000</v>
      </c>
      <c r="Y301" s="7" t="inlineStr">
        <is>
          <t>一般</t>
        </is>
      </c>
      <c r="Z301" s="7" t="n">
        <v>480</v>
      </c>
      <c r="AA301" s="7" t="inlineStr">
        <is>
          <t>免責金額なし</t>
        </is>
      </c>
      <c r="AB301" s="7" t="inlineStr">
        <is>
          <t>なし</t>
        </is>
      </c>
      <c r="AC301" s="7" t="inlineStr">
        <is>
          <t>なし</t>
        </is>
      </c>
      <c r="AD301" s="7" t="inlineStr">
        <is>
          <t>なし</t>
        </is>
      </c>
      <c r="AE301" s="7" t="inlineStr">
        <is>
          <t>あり</t>
        </is>
      </c>
      <c r="AF301" s="7" t="inlineStr">
        <is>
          <t>なし</t>
        </is>
      </c>
      <c r="AG301" s="7" t="inlineStr">
        <is>
          <t>なし</t>
        </is>
      </c>
      <c r="AH301" s="7" t="inlineStr">
        <is>
          <t>なし</t>
        </is>
      </c>
      <c r="AI301" s="7"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11</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480万円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c r="BU301" s="60" t="n">
        <v>110460</v>
      </c>
      <c r="BV301" s="60" t="n">
        <v>40540</v>
      </c>
      <c r="BW301" s="60" t="n">
        <v>18000</v>
      </c>
      <c r="BX301" s="60" t="n">
        <v>13000</v>
      </c>
      <c r="BY301" s="60" t="n">
        <v>0</v>
      </c>
      <c r="BZ301" s="60" t="inlineStr">
        <is>
          <t>車両免責エラー</t>
        </is>
      </c>
      <c r="CA301" s="60" t="n"/>
    </row>
    <row r="302">
      <c r="A302" s="60" t="n">
        <v>2022</v>
      </c>
      <c r="B302" s="7" t="n">
        <v>12</v>
      </c>
      <c r="C302" s="7" t="n">
        <v>1</v>
      </c>
      <c r="D302" s="7" t="inlineStr">
        <is>
          <t>6S</t>
        </is>
      </c>
      <c r="E302" s="7" t="inlineStr">
        <is>
          <t>なし</t>
        </is>
      </c>
      <c r="F302" s="7" t="inlineStr">
        <is>
          <t>30歳以上</t>
        </is>
      </c>
      <c r="G302" s="7" t="n">
        <v>2022</v>
      </c>
      <c r="H302" s="7" t="n">
        <v>11</v>
      </c>
      <c r="I302" s="7" t="inlineStr">
        <is>
          <t>KG2P</t>
        </is>
      </c>
      <c r="J302" s="7" t="inlineStr">
        <is>
          <t>なし</t>
        </is>
      </c>
      <c r="K302" s="7" t="n">
        <v>1952</v>
      </c>
      <c r="L302" s="15" t="n">
        <v>12</v>
      </c>
      <c r="M302" s="7" t="n">
        <v>1</v>
      </c>
      <c r="N302" s="7" t="inlineStr">
        <is>
          <t>関東</t>
        </is>
      </c>
      <c r="O302" s="7" t="inlineStr">
        <is>
          <t>ブルー</t>
        </is>
      </c>
      <c r="P302" s="7" t="inlineStr">
        <is>
          <t>通勤</t>
        </is>
      </c>
      <c r="Q302" s="7" t="n">
        <v>3000</v>
      </c>
      <c r="R302" s="7" t="inlineStr">
        <is>
          <t>30歳以上</t>
        </is>
      </c>
      <c r="S302" s="7" t="inlineStr">
        <is>
          <t>本配</t>
        </is>
      </c>
      <c r="T302" s="7" t="inlineStr">
        <is>
          <t>無制限</t>
        </is>
      </c>
      <c r="U302" s="7" t="inlineStr">
        <is>
          <t>なし</t>
        </is>
      </c>
      <c r="V302" s="7" t="n">
        <v>1000</v>
      </c>
      <c r="W302" s="7" t="inlineStr">
        <is>
          <t>車内外</t>
        </is>
      </c>
      <c r="X302" s="7" t="n">
        <v>3000</v>
      </c>
      <c r="Y302" s="7" t="inlineStr">
        <is>
          <t>一般</t>
        </is>
      </c>
      <c r="Z302" s="7" t="n">
        <v>480</v>
      </c>
      <c r="AA302" s="7" t="inlineStr">
        <is>
          <t>免責金額なし</t>
        </is>
      </c>
      <c r="AB302" s="7" t="inlineStr">
        <is>
          <t>なし</t>
        </is>
      </c>
      <c r="AC302" s="7" t="inlineStr">
        <is>
          <t>なし</t>
        </is>
      </c>
      <c r="AD302" s="7" t="inlineStr">
        <is>
          <t>なし</t>
        </is>
      </c>
      <c r="AE302" s="7" t="inlineStr">
        <is>
          <t>あり</t>
        </is>
      </c>
      <c r="AF302" s="7" t="inlineStr">
        <is>
          <t>なし</t>
        </is>
      </c>
      <c r="AG302" s="7" t="inlineStr">
        <is>
          <t>なし</t>
        </is>
      </c>
      <c r="AH302" s="7" t="inlineStr">
        <is>
          <t>なし</t>
        </is>
      </c>
      <c r="AI302" s="7"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11</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480万円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c r="BU302" s="60" t="n">
        <v>137120</v>
      </c>
      <c r="BV302" s="60" t="n">
        <v>48700</v>
      </c>
      <c r="BW302" s="60" t="n">
        <v>20000</v>
      </c>
      <c r="BX302" s="60" t="n">
        <v>16000</v>
      </c>
      <c r="BY302" s="60" t="n">
        <v>0</v>
      </c>
      <c r="BZ302" s="60" t="inlineStr">
        <is>
          <t>車両免責エラー</t>
        </is>
      </c>
      <c r="CA302" s="60" t="n"/>
    </row>
    <row r="303">
      <c r="A303" s="60" t="n">
        <v>2022</v>
      </c>
      <c r="B303" s="7" t="n">
        <v>12</v>
      </c>
      <c r="C303" s="7" t="n">
        <v>1</v>
      </c>
      <c r="D303" s="7" t="inlineStr">
        <is>
          <t>6S</t>
        </is>
      </c>
      <c r="E303" s="7" t="inlineStr">
        <is>
          <t>なし</t>
        </is>
      </c>
      <c r="F303" s="7" t="inlineStr">
        <is>
          <t>30歳以上</t>
        </is>
      </c>
      <c r="G303" s="7" t="n">
        <v>2022</v>
      </c>
      <c r="H303" s="7" t="n">
        <v>11</v>
      </c>
      <c r="I303" s="7" t="inlineStr">
        <is>
          <t>KG2P</t>
        </is>
      </c>
      <c r="J303" s="7" t="inlineStr">
        <is>
          <t>なし</t>
        </is>
      </c>
      <c r="K303" s="7" t="n">
        <v>1992</v>
      </c>
      <c r="L303" s="15" t="n">
        <v>12</v>
      </c>
      <c r="M303" s="7" t="n">
        <v>1</v>
      </c>
      <c r="N303" s="7" t="inlineStr">
        <is>
          <t>関東</t>
        </is>
      </c>
      <c r="O303" s="7" t="inlineStr">
        <is>
          <t>ブルー</t>
        </is>
      </c>
      <c r="P303" s="7" t="inlineStr">
        <is>
          <t>通勤</t>
        </is>
      </c>
      <c r="Q303" s="7" t="n">
        <v>7000</v>
      </c>
      <c r="R303" s="7" t="inlineStr">
        <is>
          <t>30歳以上</t>
        </is>
      </c>
      <c r="S303" s="7" t="inlineStr">
        <is>
          <t>本配</t>
        </is>
      </c>
      <c r="T303" s="7" t="inlineStr">
        <is>
          <t>無制限</t>
        </is>
      </c>
      <c r="U303" s="7" t="inlineStr">
        <is>
          <t>なし</t>
        </is>
      </c>
      <c r="V303" s="7" t="n">
        <v>1000</v>
      </c>
      <c r="W303" s="7" t="inlineStr">
        <is>
          <t>車内外</t>
        </is>
      </c>
      <c r="X303" s="7" t="n">
        <v>3000</v>
      </c>
      <c r="Y303" s="7" t="inlineStr">
        <is>
          <t>一般</t>
        </is>
      </c>
      <c r="Z303" s="7" t="n">
        <v>480</v>
      </c>
      <c r="AA303" s="7" t="inlineStr">
        <is>
          <t>免責金額なし</t>
        </is>
      </c>
      <c r="AB303" s="7" t="inlineStr">
        <is>
          <t>なし</t>
        </is>
      </c>
      <c r="AC303" s="7" t="inlineStr">
        <is>
          <t>なし</t>
        </is>
      </c>
      <c r="AD303" s="7" t="inlineStr">
        <is>
          <t>なし</t>
        </is>
      </c>
      <c r="AE303" s="7" t="inlineStr">
        <is>
          <t>あり</t>
        </is>
      </c>
      <c r="AF303" s="7" t="inlineStr">
        <is>
          <t>なし</t>
        </is>
      </c>
      <c r="AG303" s="7" t="inlineStr">
        <is>
          <t>なし</t>
        </is>
      </c>
      <c r="AH303" s="7" t="inlineStr">
        <is>
          <t>なし</t>
        </is>
      </c>
      <c r="AI303" s="7"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11</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480万円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c r="BU303" s="60" t="n">
        <v>126950</v>
      </c>
      <c r="BV303" s="60" t="n">
        <v>49220</v>
      </c>
      <c r="BW303" s="60" t="n">
        <v>18000</v>
      </c>
      <c r="BX303" s="60" t="n">
        <v>16000</v>
      </c>
      <c r="BY303" s="60" t="n">
        <v>0</v>
      </c>
      <c r="BZ303" s="60" t="inlineStr">
        <is>
          <t>車両免責エラー</t>
        </is>
      </c>
      <c r="CA303" s="60" t="n"/>
    </row>
    <row r="304">
      <c r="A304" s="60" t="n">
        <v>2022</v>
      </c>
      <c r="B304" s="7" t="n">
        <v>12</v>
      </c>
      <c r="C304" s="7" t="n">
        <v>1</v>
      </c>
      <c r="D304" s="7" t="inlineStr">
        <is>
          <t>6S</t>
        </is>
      </c>
      <c r="E304" s="7" t="inlineStr">
        <is>
          <t>なし</t>
        </is>
      </c>
      <c r="F304" s="7" t="inlineStr">
        <is>
          <t>30歳以上</t>
        </is>
      </c>
      <c r="G304" s="7" t="n">
        <v>2022</v>
      </c>
      <c r="H304" s="7" t="n">
        <v>11</v>
      </c>
      <c r="I304" s="7" t="inlineStr">
        <is>
          <t>KG2P</t>
        </is>
      </c>
      <c r="J304" s="7" t="inlineStr">
        <is>
          <t>なし</t>
        </is>
      </c>
      <c r="K304" s="7" t="n">
        <v>1987</v>
      </c>
      <c r="L304" s="15" t="n">
        <v>12</v>
      </c>
      <c r="M304" s="7" t="n">
        <v>1</v>
      </c>
      <c r="N304" s="7" t="inlineStr">
        <is>
          <t>関東</t>
        </is>
      </c>
      <c r="O304" s="7" t="inlineStr">
        <is>
          <t>ブルー</t>
        </is>
      </c>
      <c r="P304" s="7" t="inlineStr">
        <is>
          <t>通勤</t>
        </is>
      </c>
      <c r="Q304" s="7" t="n">
        <v>7000</v>
      </c>
      <c r="R304" s="7" t="inlineStr">
        <is>
          <t>30歳以上</t>
        </is>
      </c>
      <c r="S304" s="7" t="inlineStr">
        <is>
          <t>本配</t>
        </is>
      </c>
      <c r="T304" s="7" t="inlineStr">
        <is>
          <t>無制限</t>
        </is>
      </c>
      <c r="U304" s="7" t="inlineStr">
        <is>
          <t>なし</t>
        </is>
      </c>
      <c r="V304" s="7" t="n">
        <v>1000</v>
      </c>
      <c r="W304" s="7" t="inlineStr">
        <is>
          <t>車内外</t>
        </is>
      </c>
      <c r="X304" s="7" t="n">
        <v>3000</v>
      </c>
      <c r="Y304" s="7" t="inlineStr">
        <is>
          <t>一般</t>
        </is>
      </c>
      <c r="Z304" s="7" t="n">
        <v>480</v>
      </c>
      <c r="AA304" s="7" t="inlineStr">
        <is>
          <t>免責金額なし</t>
        </is>
      </c>
      <c r="AB304" s="7" t="inlineStr">
        <is>
          <t>なし</t>
        </is>
      </c>
      <c r="AC304" s="7" t="inlineStr">
        <is>
          <t>なし</t>
        </is>
      </c>
      <c r="AD304" s="7" t="inlineStr">
        <is>
          <t>なし</t>
        </is>
      </c>
      <c r="AE304" s="7" t="inlineStr">
        <is>
          <t>あり</t>
        </is>
      </c>
      <c r="AF304" s="7" t="inlineStr">
        <is>
          <t>なし</t>
        </is>
      </c>
      <c r="AG304" s="7" t="inlineStr">
        <is>
          <t>なし</t>
        </is>
      </c>
      <c r="AH304" s="7" t="inlineStr">
        <is>
          <t>なし</t>
        </is>
      </c>
      <c r="AI304" s="7"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11</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480万円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c r="BU304" s="60" t="n">
        <v>125990</v>
      </c>
      <c r="BV304" s="60" t="n">
        <v>48820</v>
      </c>
      <c r="BW304" s="60" t="n">
        <v>18000</v>
      </c>
      <c r="BX304" s="60" t="n">
        <v>16000</v>
      </c>
      <c r="BY304" s="60" t="n">
        <v>0</v>
      </c>
      <c r="BZ304" s="60" t="inlineStr">
        <is>
          <t>車両免責エラー</t>
        </is>
      </c>
      <c r="CA304" s="60" t="n"/>
    </row>
    <row r="305">
      <c r="A305" s="60" t="n">
        <v>2022</v>
      </c>
      <c r="B305" s="7" t="n">
        <v>12</v>
      </c>
      <c r="C305" s="7" t="n">
        <v>1</v>
      </c>
      <c r="D305" s="7" t="inlineStr">
        <is>
          <t>6S</t>
        </is>
      </c>
      <c r="E305" s="7" t="inlineStr">
        <is>
          <t>なし</t>
        </is>
      </c>
      <c r="F305" s="7" t="inlineStr">
        <is>
          <t>30歳以上</t>
        </is>
      </c>
      <c r="G305" s="7" t="n">
        <v>2022</v>
      </c>
      <c r="H305" s="7" t="n">
        <v>11</v>
      </c>
      <c r="I305" s="7" t="inlineStr">
        <is>
          <t>KG2P</t>
        </is>
      </c>
      <c r="J305" s="7" t="inlineStr">
        <is>
          <t>なし</t>
        </is>
      </c>
      <c r="K305" s="7" t="n">
        <v>1982</v>
      </c>
      <c r="L305" s="15" t="n">
        <v>12</v>
      </c>
      <c r="M305" s="7" t="n">
        <v>1</v>
      </c>
      <c r="N305" s="7" t="inlineStr">
        <is>
          <t>関東</t>
        </is>
      </c>
      <c r="O305" s="7" t="inlineStr">
        <is>
          <t>ブルー</t>
        </is>
      </c>
      <c r="P305" s="7" t="inlineStr">
        <is>
          <t>通勤</t>
        </is>
      </c>
      <c r="Q305" s="7" t="n">
        <v>7000</v>
      </c>
      <c r="R305" s="7" t="inlineStr">
        <is>
          <t>30歳以上</t>
        </is>
      </c>
      <c r="S305" s="7" t="inlineStr">
        <is>
          <t>本配</t>
        </is>
      </c>
      <c r="T305" s="7" t="inlineStr">
        <is>
          <t>無制限</t>
        </is>
      </c>
      <c r="U305" s="7" t="inlineStr">
        <is>
          <t>なし</t>
        </is>
      </c>
      <c r="V305" s="7" t="n">
        <v>1000</v>
      </c>
      <c r="W305" s="7" t="inlineStr">
        <is>
          <t>車内外</t>
        </is>
      </c>
      <c r="X305" s="7" t="n">
        <v>3000</v>
      </c>
      <c r="Y305" s="7" t="inlineStr">
        <is>
          <t>一般</t>
        </is>
      </c>
      <c r="Z305" s="7" t="n">
        <v>480</v>
      </c>
      <c r="AA305" s="7" t="inlineStr">
        <is>
          <t>免責金額なし</t>
        </is>
      </c>
      <c r="AB305" s="7" t="inlineStr">
        <is>
          <t>なし</t>
        </is>
      </c>
      <c r="AC305" s="7" t="inlineStr">
        <is>
          <t>なし</t>
        </is>
      </c>
      <c r="AD305" s="7" t="inlineStr">
        <is>
          <t>なし</t>
        </is>
      </c>
      <c r="AE305" s="7" t="inlineStr">
        <is>
          <t>あり</t>
        </is>
      </c>
      <c r="AF305" s="7" t="inlineStr">
        <is>
          <t>なし</t>
        </is>
      </c>
      <c r="AG305" s="7" t="inlineStr">
        <is>
          <t>なし</t>
        </is>
      </c>
      <c r="AH305" s="7" t="inlineStr">
        <is>
          <t>なし</t>
        </is>
      </c>
      <c r="AI305" s="7"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11</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480万円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c r="BU305" s="60" t="n">
        <v>127130</v>
      </c>
      <c r="BV305" s="60" t="n">
        <v>49480</v>
      </c>
      <c r="BW305" s="60" t="n">
        <v>18000</v>
      </c>
      <c r="BX305" s="60" t="n">
        <v>16000</v>
      </c>
      <c r="BY305" s="60" t="n">
        <v>0</v>
      </c>
      <c r="BZ305" s="60" t="inlineStr">
        <is>
          <t>車両免責エラー</t>
        </is>
      </c>
      <c r="CA305" s="60" t="n"/>
    </row>
    <row r="306">
      <c r="A306" s="60" t="n">
        <v>2022</v>
      </c>
      <c r="B306" s="7" t="n">
        <v>12</v>
      </c>
      <c r="C306" s="7" t="n">
        <v>1</v>
      </c>
      <c r="D306" s="7" t="inlineStr">
        <is>
          <t>6S</t>
        </is>
      </c>
      <c r="E306" s="7" t="inlineStr">
        <is>
          <t>なし</t>
        </is>
      </c>
      <c r="F306" s="7" t="inlineStr">
        <is>
          <t>30歳以上</t>
        </is>
      </c>
      <c r="G306" s="7" t="n">
        <v>2022</v>
      </c>
      <c r="H306" s="7" t="n">
        <v>11</v>
      </c>
      <c r="I306" s="7" t="inlineStr">
        <is>
          <t>KG2P</t>
        </is>
      </c>
      <c r="J306" s="7" t="inlineStr">
        <is>
          <t>なし</t>
        </is>
      </c>
      <c r="K306" s="7" t="n">
        <v>1977</v>
      </c>
      <c r="L306" s="15" t="n">
        <v>12</v>
      </c>
      <c r="M306" s="7" t="n">
        <v>1</v>
      </c>
      <c r="N306" s="7" t="inlineStr">
        <is>
          <t>関東</t>
        </is>
      </c>
      <c r="O306" s="7" t="inlineStr">
        <is>
          <t>ブルー</t>
        </is>
      </c>
      <c r="P306" s="7" t="inlineStr">
        <is>
          <t>通勤</t>
        </is>
      </c>
      <c r="Q306" s="7" t="n">
        <v>7000</v>
      </c>
      <c r="R306" s="7" t="inlineStr">
        <is>
          <t>30歳以上</t>
        </is>
      </c>
      <c r="S306" s="7" t="inlineStr">
        <is>
          <t>本配</t>
        </is>
      </c>
      <c r="T306" s="7" t="inlineStr">
        <is>
          <t>無制限</t>
        </is>
      </c>
      <c r="U306" s="7" t="inlineStr">
        <is>
          <t>なし</t>
        </is>
      </c>
      <c r="V306" s="7" t="n">
        <v>1000</v>
      </c>
      <c r="W306" s="7" t="inlineStr">
        <is>
          <t>車内外</t>
        </is>
      </c>
      <c r="X306" s="7" t="n">
        <v>3000</v>
      </c>
      <c r="Y306" s="7" t="inlineStr">
        <is>
          <t>一般</t>
        </is>
      </c>
      <c r="Z306" s="7" t="n">
        <v>480</v>
      </c>
      <c r="AA306" s="7" t="inlineStr">
        <is>
          <t>免責金額なし</t>
        </is>
      </c>
      <c r="AB306" s="7" t="inlineStr">
        <is>
          <t>なし</t>
        </is>
      </c>
      <c r="AC306" s="7" t="inlineStr">
        <is>
          <t>なし</t>
        </is>
      </c>
      <c r="AD306" s="7" t="inlineStr">
        <is>
          <t>なし</t>
        </is>
      </c>
      <c r="AE306" s="7" t="inlineStr">
        <is>
          <t>あり</t>
        </is>
      </c>
      <c r="AF306" s="7" t="inlineStr">
        <is>
          <t>なし</t>
        </is>
      </c>
      <c r="AG306" s="7" t="inlineStr">
        <is>
          <t>なし</t>
        </is>
      </c>
      <c r="AH306" s="7" t="inlineStr">
        <is>
          <t>なし</t>
        </is>
      </c>
      <c r="AI306" s="7"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11</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480万円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c r="BU306" s="60" t="n">
        <v>130600</v>
      </c>
      <c r="BV306" s="60" t="n">
        <v>49730</v>
      </c>
      <c r="BW306" s="60" t="n">
        <v>18000</v>
      </c>
      <c r="BX306" s="60" t="n">
        <v>16000</v>
      </c>
      <c r="BY306" s="60" t="n">
        <v>0</v>
      </c>
      <c r="BZ306" s="60" t="inlineStr">
        <is>
          <t>車両免責エラー</t>
        </is>
      </c>
      <c r="CA306" s="60" t="n"/>
    </row>
    <row r="307">
      <c r="A307" s="60" t="n">
        <v>2022</v>
      </c>
      <c r="B307" s="7" t="n">
        <v>12</v>
      </c>
      <c r="C307" s="7" t="n">
        <v>1</v>
      </c>
      <c r="D307" s="7" t="inlineStr">
        <is>
          <t>6S</t>
        </is>
      </c>
      <c r="E307" s="7" t="inlineStr">
        <is>
          <t>なし</t>
        </is>
      </c>
      <c r="F307" s="7" t="inlineStr">
        <is>
          <t>30歳以上</t>
        </is>
      </c>
      <c r="G307" s="7" t="n">
        <v>2022</v>
      </c>
      <c r="H307" s="7" t="n">
        <v>11</v>
      </c>
      <c r="I307" s="7" t="inlineStr">
        <is>
          <t>KG2P</t>
        </is>
      </c>
      <c r="J307" s="7" t="inlineStr">
        <is>
          <t>なし</t>
        </is>
      </c>
      <c r="K307" s="7" t="n">
        <v>1972</v>
      </c>
      <c r="L307" s="15" t="n">
        <v>12</v>
      </c>
      <c r="M307" s="7" t="n">
        <v>1</v>
      </c>
      <c r="N307" s="7" t="inlineStr">
        <is>
          <t>関東</t>
        </is>
      </c>
      <c r="O307" s="7" t="inlineStr">
        <is>
          <t>ブルー</t>
        </is>
      </c>
      <c r="P307" s="7" t="inlineStr">
        <is>
          <t>通勤</t>
        </is>
      </c>
      <c r="Q307" s="7" t="n">
        <v>7000</v>
      </c>
      <c r="R307" s="7" t="inlineStr">
        <is>
          <t>30歳以上</t>
        </is>
      </c>
      <c r="S307" s="7" t="inlineStr">
        <is>
          <t>本配</t>
        </is>
      </c>
      <c r="T307" s="7" t="inlineStr">
        <is>
          <t>無制限</t>
        </is>
      </c>
      <c r="U307" s="7" t="inlineStr">
        <is>
          <t>なし</t>
        </is>
      </c>
      <c r="V307" s="7" t="n">
        <v>1000</v>
      </c>
      <c r="W307" s="7" t="inlineStr">
        <is>
          <t>車内外</t>
        </is>
      </c>
      <c r="X307" s="7" t="n">
        <v>3000</v>
      </c>
      <c r="Y307" s="7" t="inlineStr">
        <is>
          <t>一般</t>
        </is>
      </c>
      <c r="Z307" s="7" t="n">
        <v>480</v>
      </c>
      <c r="AA307" s="7" t="inlineStr">
        <is>
          <t>免責金額なし</t>
        </is>
      </c>
      <c r="AB307" s="7" t="inlineStr">
        <is>
          <t>なし</t>
        </is>
      </c>
      <c r="AC307" s="7" t="inlineStr">
        <is>
          <t>なし</t>
        </is>
      </c>
      <c r="AD307" s="7" t="inlineStr">
        <is>
          <t>なし</t>
        </is>
      </c>
      <c r="AE307" s="7" t="inlineStr">
        <is>
          <t>あり</t>
        </is>
      </c>
      <c r="AF307" s="7" t="inlineStr">
        <is>
          <t>なし</t>
        </is>
      </c>
      <c r="AG307" s="7" t="inlineStr">
        <is>
          <t>なし</t>
        </is>
      </c>
      <c r="AH307" s="7" t="inlineStr">
        <is>
          <t>なし</t>
        </is>
      </c>
      <c r="AI307" s="7"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11</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480万円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c r="BU307" s="60" t="n">
        <v>130150</v>
      </c>
      <c r="BV307" s="60" t="n">
        <v>49570</v>
      </c>
      <c r="BW307" s="60" t="n">
        <v>20000</v>
      </c>
      <c r="BX307" s="60" t="n">
        <v>16000</v>
      </c>
      <c r="BY307" s="60" t="n">
        <v>0</v>
      </c>
      <c r="BZ307" s="60" t="inlineStr">
        <is>
          <t>車両免責エラー</t>
        </is>
      </c>
      <c r="CA307" s="60" t="n"/>
    </row>
    <row r="308">
      <c r="A308" s="60" t="n">
        <v>2022</v>
      </c>
      <c r="B308" s="7" t="n">
        <v>12</v>
      </c>
      <c r="C308" s="7" t="n">
        <v>1</v>
      </c>
      <c r="D308" s="7" t="inlineStr">
        <is>
          <t>6S</t>
        </is>
      </c>
      <c r="E308" s="7" t="inlineStr">
        <is>
          <t>なし</t>
        </is>
      </c>
      <c r="F308" s="7" t="inlineStr">
        <is>
          <t>30歳以上</t>
        </is>
      </c>
      <c r="G308" s="7" t="n">
        <v>2022</v>
      </c>
      <c r="H308" s="7" t="n">
        <v>11</v>
      </c>
      <c r="I308" s="7" t="inlineStr">
        <is>
          <t>KG2P</t>
        </is>
      </c>
      <c r="J308" s="7" t="inlineStr">
        <is>
          <t>なし</t>
        </is>
      </c>
      <c r="K308" s="7" t="n">
        <v>1962</v>
      </c>
      <c r="L308" s="15" t="n">
        <v>12</v>
      </c>
      <c r="M308" s="7" t="n">
        <v>1</v>
      </c>
      <c r="N308" s="7" t="inlineStr">
        <is>
          <t>関東</t>
        </is>
      </c>
      <c r="O308" s="7" t="inlineStr">
        <is>
          <t>ブルー</t>
        </is>
      </c>
      <c r="P308" s="7" t="inlineStr">
        <is>
          <t>通勤</t>
        </is>
      </c>
      <c r="Q308" s="7" t="n">
        <v>7000</v>
      </c>
      <c r="R308" s="7" t="inlineStr">
        <is>
          <t>30歳以上</t>
        </is>
      </c>
      <c r="S308" s="7" t="inlineStr">
        <is>
          <t>本配</t>
        </is>
      </c>
      <c r="T308" s="7" t="inlineStr">
        <is>
          <t>無制限</t>
        </is>
      </c>
      <c r="U308" s="7" t="inlineStr">
        <is>
          <t>なし</t>
        </is>
      </c>
      <c r="V308" s="7" t="n">
        <v>1000</v>
      </c>
      <c r="W308" s="7" t="inlineStr">
        <is>
          <t>車内外</t>
        </is>
      </c>
      <c r="X308" s="7" t="n">
        <v>3000</v>
      </c>
      <c r="Y308" s="7" t="inlineStr">
        <is>
          <t>一般</t>
        </is>
      </c>
      <c r="Z308" s="7" t="n">
        <v>480</v>
      </c>
      <c r="AA308" s="7" t="inlineStr">
        <is>
          <t>免責金額なし</t>
        </is>
      </c>
      <c r="AB308" s="7" t="inlineStr">
        <is>
          <t>なし</t>
        </is>
      </c>
      <c r="AC308" s="7" t="inlineStr">
        <is>
          <t>なし</t>
        </is>
      </c>
      <c r="AD308" s="7" t="inlineStr">
        <is>
          <t>なし</t>
        </is>
      </c>
      <c r="AE308" s="7" t="inlineStr">
        <is>
          <t>あり</t>
        </is>
      </c>
      <c r="AF308" s="7" t="inlineStr">
        <is>
          <t>なし</t>
        </is>
      </c>
      <c r="AG308" s="7" t="inlineStr">
        <is>
          <t>なし</t>
        </is>
      </c>
      <c r="AH308" s="7" t="inlineStr">
        <is>
          <t>なし</t>
        </is>
      </c>
      <c r="AI308" s="7"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11</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480万円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c r="BU308" s="60" t="n">
        <v>141490</v>
      </c>
      <c r="BV308" s="60" t="n">
        <v>52410</v>
      </c>
      <c r="BW308" s="60" t="n">
        <v>20000</v>
      </c>
      <c r="BX308" s="60" t="n">
        <v>16000</v>
      </c>
      <c r="BY308" s="60" t="n">
        <v>0</v>
      </c>
      <c r="BZ308" s="60" t="inlineStr">
        <is>
          <t>車両免責エラー</t>
        </is>
      </c>
      <c r="CA308" s="60" t="n"/>
    </row>
    <row r="309">
      <c r="A309" s="60" t="n">
        <v>2022</v>
      </c>
      <c r="B309" s="7" t="n">
        <v>12</v>
      </c>
      <c r="C309" s="7" t="n">
        <v>1</v>
      </c>
      <c r="D309" s="7" t="inlineStr">
        <is>
          <t>6S</t>
        </is>
      </c>
      <c r="E309" s="7" t="inlineStr">
        <is>
          <t>なし</t>
        </is>
      </c>
      <c r="F309" s="7" t="inlineStr">
        <is>
          <t>30歳以上</t>
        </is>
      </c>
      <c r="G309" s="7" t="n">
        <v>2022</v>
      </c>
      <c r="H309" s="7" t="n">
        <v>11</v>
      </c>
      <c r="I309" s="7" t="inlineStr">
        <is>
          <t>KG2P</t>
        </is>
      </c>
      <c r="J309" s="7" t="inlineStr">
        <is>
          <t>なし</t>
        </is>
      </c>
      <c r="K309" s="7" t="n">
        <v>1952</v>
      </c>
      <c r="L309" s="15" t="n">
        <v>12</v>
      </c>
      <c r="M309" s="7" t="n">
        <v>1</v>
      </c>
      <c r="N309" s="7" t="inlineStr">
        <is>
          <t>関東</t>
        </is>
      </c>
      <c r="O309" s="7" t="inlineStr">
        <is>
          <t>ブルー</t>
        </is>
      </c>
      <c r="P309" s="7" t="inlineStr">
        <is>
          <t>通勤</t>
        </is>
      </c>
      <c r="Q309" s="7" t="n">
        <v>7000</v>
      </c>
      <c r="R309" s="7" t="inlineStr">
        <is>
          <t>30歳以上</t>
        </is>
      </c>
      <c r="S309" s="7" t="inlineStr">
        <is>
          <t>本配</t>
        </is>
      </c>
      <c r="T309" s="7" t="inlineStr">
        <is>
          <t>無制限</t>
        </is>
      </c>
      <c r="U309" s="7" t="inlineStr">
        <is>
          <t>なし</t>
        </is>
      </c>
      <c r="V309" s="7" t="n">
        <v>1000</v>
      </c>
      <c r="W309" s="7" t="inlineStr">
        <is>
          <t>車内外</t>
        </is>
      </c>
      <c r="X309" s="7" t="n">
        <v>3000</v>
      </c>
      <c r="Y309" s="7" t="inlineStr">
        <is>
          <t>一般</t>
        </is>
      </c>
      <c r="Z309" s="7" t="n">
        <v>480</v>
      </c>
      <c r="AA309" s="7" t="inlineStr">
        <is>
          <t>免責金額なし</t>
        </is>
      </c>
      <c r="AB309" s="7" t="inlineStr">
        <is>
          <t>なし</t>
        </is>
      </c>
      <c r="AC309" s="7" t="inlineStr">
        <is>
          <t>なし</t>
        </is>
      </c>
      <c r="AD309" s="7" t="inlineStr">
        <is>
          <t>なし</t>
        </is>
      </c>
      <c r="AE309" s="7" t="inlineStr">
        <is>
          <t>あり</t>
        </is>
      </c>
      <c r="AF309" s="7" t="inlineStr">
        <is>
          <t>なし</t>
        </is>
      </c>
      <c r="AG309" s="7" t="inlineStr">
        <is>
          <t>なし</t>
        </is>
      </c>
      <c r="AH309" s="7" t="inlineStr">
        <is>
          <t>なし</t>
        </is>
      </c>
      <c r="AI309" s="7"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11</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480万円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c r="BU309" s="60" t="n">
        <v>177950</v>
      </c>
      <c r="BV309" s="60" t="n">
        <v>67050</v>
      </c>
      <c r="BW309" s="60" t="n">
        <v>20000</v>
      </c>
      <c r="BX309" s="60" t="n">
        <v>16000</v>
      </c>
      <c r="BY309" s="60" t="n">
        <v>0</v>
      </c>
      <c r="BZ309" s="60" t="inlineStr">
        <is>
          <t>車両免責エラー</t>
        </is>
      </c>
      <c r="CA309" s="60" t="n"/>
    </row>
    <row r="310">
      <c r="A310" s="60" t="n">
        <v>2022</v>
      </c>
      <c r="B310" s="7" t="n">
        <v>12</v>
      </c>
      <c r="C310" s="7" t="n">
        <v>1</v>
      </c>
      <c r="D310" s="7" t="n">
        <v>20</v>
      </c>
      <c r="E310" s="7" t="inlineStr">
        <is>
          <t>なし</t>
        </is>
      </c>
      <c r="F310" s="7" t="inlineStr">
        <is>
          <t>30歳以上</t>
        </is>
      </c>
      <c r="G310" s="7" t="n">
        <v>2018</v>
      </c>
      <c r="H310" s="7" t="n">
        <v>11</v>
      </c>
      <c r="I310" s="7" t="inlineStr">
        <is>
          <t>ZVW40W</t>
        </is>
      </c>
      <c r="J310" s="7" t="inlineStr">
        <is>
          <t>なし</t>
        </is>
      </c>
      <c r="K310" s="7" t="n">
        <v>1982</v>
      </c>
      <c r="L310" s="15" t="n">
        <v>12</v>
      </c>
      <c r="M310" s="7" t="n">
        <v>1</v>
      </c>
      <c r="N310" s="7" t="inlineStr">
        <is>
          <t>関東</t>
        </is>
      </c>
      <c r="O310" s="7" t="inlineStr">
        <is>
          <t>ゴールド</t>
        </is>
      </c>
      <c r="P310" s="7" t="inlineStr">
        <is>
          <t>日常</t>
        </is>
      </c>
      <c r="Q310" s="7" t="n">
        <v>3000</v>
      </c>
      <c r="R310" s="7" t="inlineStr">
        <is>
          <t>30歳以上</t>
        </is>
      </c>
      <c r="S310" s="7" t="inlineStr">
        <is>
          <t>本配</t>
        </is>
      </c>
      <c r="T310" s="7" t="inlineStr">
        <is>
          <t>無制限</t>
        </is>
      </c>
      <c r="U310" s="7" t="inlineStr">
        <is>
          <t>あり</t>
        </is>
      </c>
      <c r="V310" s="7" t="n">
        <v>1000</v>
      </c>
      <c r="W310" s="7" t="inlineStr">
        <is>
          <t>車内外</t>
        </is>
      </c>
      <c r="X310" s="7" t="n">
        <v>5000</v>
      </c>
      <c r="Y310" s="7" t="inlineStr">
        <is>
          <t>一般</t>
        </is>
      </c>
      <c r="Z310" s="7" t="n">
        <v>180</v>
      </c>
      <c r="AA310" s="7" t="inlineStr">
        <is>
          <t>免責金額なし</t>
        </is>
      </c>
      <c r="AB310" s="7" t="inlineStr">
        <is>
          <t>なし</t>
        </is>
      </c>
      <c r="AC310" s="7" t="inlineStr">
        <is>
          <t>なし</t>
        </is>
      </c>
      <c r="AD310" s="7" t="inlineStr">
        <is>
          <t>なし</t>
        </is>
      </c>
      <c r="AE310" s="7" t="inlineStr">
        <is>
          <t>あり</t>
        </is>
      </c>
      <c r="AF310" s="7" t="inlineStr">
        <is>
          <t>なし</t>
        </is>
      </c>
      <c r="AG310" s="7" t="inlineStr">
        <is>
          <t>なし</t>
        </is>
      </c>
      <c r="AH310" s="7" t="inlineStr">
        <is>
          <t>なし</t>
        </is>
      </c>
      <c r="AI310" s="7"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2018(平成30)</t>
        </is>
      </c>
      <c r="AQ310" s="60" t="n">
        <v>11</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c r="BU310" s="60" t="n">
        <v>33860</v>
      </c>
      <c r="BV310" s="60" t="n">
        <v>20410</v>
      </c>
      <c r="BW310" s="60" t="n">
        <v>13000</v>
      </c>
      <c r="BX310" s="60" t="n">
        <v>6000</v>
      </c>
      <c r="BY310" s="60" t="n">
        <v>0</v>
      </c>
      <c r="BZ310" s="60" t="n"/>
      <c r="CA310" s="60" t="n"/>
    </row>
    <row r="311">
      <c r="A311" s="60" t="n">
        <v>2022</v>
      </c>
      <c r="B311" s="7" t="n">
        <v>12</v>
      </c>
      <c r="C311" s="7" t="n">
        <v>1</v>
      </c>
      <c r="D311" s="7" t="n">
        <v>20</v>
      </c>
      <c r="E311" s="7" t="inlineStr">
        <is>
          <t>なし</t>
        </is>
      </c>
      <c r="F311" s="7" t="inlineStr">
        <is>
          <t>30歳以上</t>
        </is>
      </c>
      <c r="G311" s="7" t="n">
        <v>2018</v>
      </c>
      <c r="H311" s="7" t="n">
        <v>11</v>
      </c>
      <c r="I311" s="7" t="inlineStr">
        <is>
          <t>ZVW40W</t>
        </is>
      </c>
      <c r="J311" s="7" t="inlineStr">
        <is>
          <t>なし</t>
        </is>
      </c>
      <c r="K311" s="7" t="n">
        <v>1972</v>
      </c>
      <c r="L311" s="15" t="n">
        <v>12</v>
      </c>
      <c r="M311" s="7" t="n">
        <v>1</v>
      </c>
      <c r="N311" s="7" t="inlineStr">
        <is>
          <t>関東</t>
        </is>
      </c>
      <c r="O311" s="7" t="inlineStr">
        <is>
          <t>ゴールド</t>
        </is>
      </c>
      <c r="P311" s="7" t="inlineStr">
        <is>
          <t>日常</t>
        </is>
      </c>
      <c r="Q311" s="7" t="n">
        <v>3000</v>
      </c>
      <c r="R311" s="7" t="inlineStr">
        <is>
          <t>30歳以上</t>
        </is>
      </c>
      <c r="S311" s="7" t="inlineStr">
        <is>
          <t>本配</t>
        </is>
      </c>
      <c r="T311" s="7" t="inlineStr">
        <is>
          <t>無制限</t>
        </is>
      </c>
      <c r="U311" s="7" t="inlineStr">
        <is>
          <t>あり</t>
        </is>
      </c>
      <c r="V311" s="7" t="n">
        <v>1000</v>
      </c>
      <c r="W311" s="7" t="inlineStr">
        <is>
          <t>車内外</t>
        </is>
      </c>
      <c r="X311" s="7" t="n">
        <v>5000</v>
      </c>
      <c r="Y311" s="7" t="inlineStr">
        <is>
          <t>一般</t>
        </is>
      </c>
      <c r="Z311" s="7" t="n">
        <v>180</v>
      </c>
      <c r="AA311" s="7" t="inlineStr">
        <is>
          <t>免責金額なし</t>
        </is>
      </c>
      <c r="AB311" s="7" t="inlineStr">
        <is>
          <t>なし</t>
        </is>
      </c>
      <c r="AC311" s="7" t="inlineStr">
        <is>
          <t>なし</t>
        </is>
      </c>
      <c r="AD311" s="7" t="inlineStr">
        <is>
          <t>なし</t>
        </is>
      </c>
      <c r="AE311" s="7" t="inlineStr">
        <is>
          <t>あり</t>
        </is>
      </c>
      <c r="AF311" s="7" t="inlineStr">
        <is>
          <t>なし</t>
        </is>
      </c>
      <c r="AG311" s="7" t="inlineStr">
        <is>
          <t>なし</t>
        </is>
      </c>
      <c r="AH311" s="7" t="inlineStr">
        <is>
          <t>なし</t>
        </is>
      </c>
      <c r="AI311" s="7"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2018(平成30)</t>
        </is>
      </c>
      <c r="AQ311" s="60" t="n">
        <v>11</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c r="BU311" s="60" t="n">
        <v>35090</v>
      </c>
      <c r="BV311" s="60" t="n">
        <v>20430</v>
      </c>
      <c r="BW311" s="60" t="n">
        <v>13000</v>
      </c>
      <c r="BX311" s="60" t="n">
        <v>6000</v>
      </c>
      <c r="BY311" s="60" t="n">
        <v>0</v>
      </c>
      <c r="BZ311" s="60" t="n"/>
      <c r="CA311" s="60" t="n"/>
    </row>
    <row r="312">
      <c r="A312" s="60" t="n">
        <v>2022</v>
      </c>
      <c r="B312" s="7" t="n">
        <v>12</v>
      </c>
      <c r="C312" s="7" t="n">
        <v>1</v>
      </c>
      <c r="D312" s="7" t="n">
        <v>20</v>
      </c>
      <c r="E312" s="7" t="inlineStr">
        <is>
          <t>なし</t>
        </is>
      </c>
      <c r="F312" s="7" t="inlineStr">
        <is>
          <t>30歳以上</t>
        </is>
      </c>
      <c r="G312" s="7" t="n">
        <v>2018</v>
      </c>
      <c r="H312" s="7" t="n">
        <v>11</v>
      </c>
      <c r="I312" s="7" t="inlineStr">
        <is>
          <t>ZVW40W</t>
        </is>
      </c>
      <c r="J312" s="7" t="inlineStr">
        <is>
          <t>なし</t>
        </is>
      </c>
      <c r="K312" s="7" t="n">
        <v>1962</v>
      </c>
      <c r="L312" s="15" t="n">
        <v>12</v>
      </c>
      <c r="M312" s="7" t="n">
        <v>1</v>
      </c>
      <c r="N312" s="7" t="inlineStr">
        <is>
          <t>関東</t>
        </is>
      </c>
      <c r="O312" s="7" t="inlineStr">
        <is>
          <t>ゴールド</t>
        </is>
      </c>
      <c r="P312" s="7" t="inlineStr">
        <is>
          <t>日常</t>
        </is>
      </c>
      <c r="Q312" s="7" t="n">
        <v>3000</v>
      </c>
      <c r="R312" s="7" t="inlineStr">
        <is>
          <t>30歳以上</t>
        </is>
      </c>
      <c r="S312" s="7" t="inlineStr">
        <is>
          <t>本配</t>
        </is>
      </c>
      <c r="T312" s="7" t="inlineStr">
        <is>
          <t>無制限</t>
        </is>
      </c>
      <c r="U312" s="7" t="inlineStr">
        <is>
          <t>あり</t>
        </is>
      </c>
      <c r="V312" s="7" t="n">
        <v>1000</v>
      </c>
      <c r="W312" s="7" t="inlineStr">
        <is>
          <t>車内外</t>
        </is>
      </c>
      <c r="X312" s="7" t="n">
        <v>5000</v>
      </c>
      <c r="Y312" s="7" t="inlineStr">
        <is>
          <t>一般</t>
        </is>
      </c>
      <c r="Z312" s="7" t="n">
        <v>180</v>
      </c>
      <c r="AA312" s="7" t="inlineStr">
        <is>
          <t>免責金額なし</t>
        </is>
      </c>
      <c r="AB312" s="7" t="inlineStr">
        <is>
          <t>なし</t>
        </is>
      </c>
      <c r="AC312" s="7" t="inlineStr">
        <is>
          <t>なし</t>
        </is>
      </c>
      <c r="AD312" s="7" t="inlineStr">
        <is>
          <t>なし</t>
        </is>
      </c>
      <c r="AE312" s="7" t="inlineStr">
        <is>
          <t>あり</t>
        </is>
      </c>
      <c r="AF312" s="7" t="inlineStr">
        <is>
          <t>なし</t>
        </is>
      </c>
      <c r="AG312" s="7" t="inlineStr">
        <is>
          <t>なし</t>
        </is>
      </c>
      <c r="AH312" s="7" t="inlineStr">
        <is>
          <t>なし</t>
        </is>
      </c>
      <c r="AI312" s="7"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2018(平成30)</t>
        </is>
      </c>
      <c r="AQ312" s="60" t="n">
        <v>11</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c r="BU312" s="60" t="n">
        <v>38070</v>
      </c>
      <c r="BV312" s="60" t="n">
        <v>21330</v>
      </c>
      <c r="BW312" s="60" t="n">
        <v>13000</v>
      </c>
      <c r="BX312" s="60" t="n">
        <v>6000</v>
      </c>
      <c r="BY312" s="60" t="n">
        <v>0</v>
      </c>
      <c r="BZ312" s="60" t="n"/>
      <c r="CA312" s="60" t="n"/>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9" t="inlineStr">
        <is>
          <t>西暦変換</t>
        </is>
      </c>
      <c r="C2" s="9" t="inlineStr">
        <is>
          <t>変換</t>
        </is>
      </c>
      <c r="E2" s="9" t="inlineStr">
        <is>
          <t>等級</t>
        </is>
      </c>
      <c r="F2" s="9" t="inlineStr">
        <is>
          <t>変換</t>
        </is>
      </c>
      <c r="H2" s="9" t="inlineStr">
        <is>
          <t>地域</t>
        </is>
      </c>
      <c r="I2" s="9" t="inlineStr">
        <is>
          <t>変換</t>
        </is>
      </c>
    </row>
    <row r="3">
      <c r="B3" s="10" t="n">
        <v>2018</v>
      </c>
      <c r="C3" s="41" t="inlineStr">
        <is>
          <t>2018(平成30)</t>
        </is>
      </c>
      <c r="E3" s="12" t="n">
        <v>20</v>
      </c>
      <c r="F3" s="41" t="inlineStr">
        <is>
          <t>20 等級</t>
        </is>
      </c>
      <c r="H3" s="10" t="inlineStr">
        <is>
          <t>北海道</t>
        </is>
      </c>
      <c r="I3" s="41" t="inlineStr">
        <is>
          <t>北海道</t>
        </is>
      </c>
      <c r="K3" s="16" t="inlineStr">
        <is>
          <t>車両保険種類</t>
        </is>
      </c>
      <c r="L3" s="9" t="inlineStr">
        <is>
          <t>車両変換</t>
        </is>
      </c>
    </row>
    <row r="4">
      <c r="B4" s="10" t="n">
        <v>2019</v>
      </c>
      <c r="C4" s="41" t="inlineStr">
        <is>
          <t>2019(令和01)</t>
        </is>
      </c>
      <c r="E4" s="12" t="n">
        <v>19</v>
      </c>
      <c r="F4" s="41" t="inlineStr">
        <is>
          <t>18 等級</t>
        </is>
      </c>
      <c r="H4" s="10" t="inlineStr">
        <is>
          <t>東北</t>
        </is>
      </c>
      <c r="I4" s="41" t="inlineStr">
        <is>
          <t>宮城</t>
        </is>
      </c>
      <c r="K4" s="10" t="inlineStr">
        <is>
          <t>一般</t>
        </is>
      </c>
      <c r="L4" s="1" t="inlineStr">
        <is>
          <t>ワイドカバー型（一般条件）</t>
        </is>
      </c>
    </row>
    <row r="5">
      <c r="B5" s="10" t="n">
        <v>2020</v>
      </c>
      <c r="C5" s="41" t="inlineStr">
        <is>
          <t>2020(令和02)</t>
        </is>
      </c>
      <c r="E5" s="12" t="n">
        <v>18</v>
      </c>
      <c r="F5" s="41" t="inlineStr">
        <is>
          <t>17 等級</t>
        </is>
      </c>
      <c r="H5" s="10" t="inlineStr">
        <is>
          <t>関東</t>
        </is>
      </c>
      <c r="I5" s="41" t="inlineStr">
        <is>
          <t>東京</t>
        </is>
      </c>
      <c r="K5" s="10" t="inlineStr">
        <is>
          <t>エコノミー</t>
        </is>
      </c>
      <c r="L5" s="1" t="inlineStr">
        <is>
          <t>限定カバー型</t>
        </is>
      </c>
    </row>
    <row r="6">
      <c r="B6" s="10" t="n">
        <v>2021</v>
      </c>
      <c r="C6" s="41" t="inlineStr">
        <is>
          <t>2021(令和03)</t>
        </is>
      </c>
      <c r="E6" s="12" t="n">
        <v>17</v>
      </c>
      <c r="F6" s="41" t="inlineStr">
        <is>
          <t>16 等級</t>
        </is>
      </c>
      <c r="H6" s="10" t="inlineStr">
        <is>
          <t>中部</t>
        </is>
      </c>
      <c r="I6" s="41" t="inlineStr">
        <is>
          <t>愛知</t>
        </is>
      </c>
      <c r="K6" s="10" t="inlineStr">
        <is>
          <t>全損のみ</t>
        </is>
      </c>
      <c r="L6" s="1" t="inlineStr">
        <is>
          <t>全損のみカバー型</t>
        </is>
      </c>
    </row>
    <row r="7">
      <c r="B7" s="10" t="n">
        <v>2022</v>
      </c>
      <c r="C7" s="41" t="inlineStr">
        <is>
          <t>2022(令和04)</t>
        </is>
      </c>
      <c r="E7" s="12" t="n">
        <v>16</v>
      </c>
      <c r="F7" s="41" t="inlineStr">
        <is>
          <t>15 等級</t>
        </is>
      </c>
      <c r="H7" s="10" t="inlineStr">
        <is>
          <t>近畿</t>
        </is>
      </c>
      <c r="I7" s="41" t="inlineStr">
        <is>
          <t>大阪</t>
        </is>
      </c>
    </row>
    <row r="8">
      <c r="B8" s="10" t="n">
        <v>2023</v>
      </c>
      <c r="C8" s="41" t="inlineStr">
        <is>
          <t>2023(令和05)</t>
        </is>
      </c>
      <c r="E8" s="12" t="n">
        <v>15</v>
      </c>
      <c r="F8" s="41" t="inlineStr">
        <is>
          <t>14 等級</t>
        </is>
      </c>
      <c r="H8" s="10" t="inlineStr">
        <is>
          <t>四国</t>
        </is>
      </c>
      <c r="I8" s="41" t="inlineStr">
        <is>
          <t>愛媛</t>
        </is>
      </c>
      <c r="K8" s="9" t="inlineStr">
        <is>
          <t>車両免責</t>
        </is>
      </c>
    </row>
    <row r="9">
      <c r="B9" s="10" t="n">
        <v>2024</v>
      </c>
      <c r="C9" s="41" t="inlineStr">
        <is>
          <t>2024(令和06)</t>
        </is>
      </c>
      <c r="E9" s="12" t="n">
        <v>14</v>
      </c>
      <c r="F9" s="41" t="inlineStr">
        <is>
          <t>13 等級</t>
        </is>
      </c>
      <c r="H9" s="10" t="inlineStr">
        <is>
          <t>九州</t>
        </is>
      </c>
      <c r="I9" s="41" t="inlineStr">
        <is>
          <t>福岡</t>
        </is>
      </c>
      <c r="K9" s="10" t="inlineStr">
        <is>
          <t>免責金額なし</t>
        </is>
      </c>
      <c r="L9" s="1" t="inlineStr">
        <is>
          <t>あり</t>
        </is>
      </c>
    </row>
    <row r="10">
      <c r="E10" s="12" t="n">
        <v>13</v>
      </c>
      <c r="F10" s="41" t="inlineStr">
        <is>
          <t>12 等級</t>
        </is>
      </c>
      <c r="K10" s="10" t="inlineStr">
        <is>
          <t>車対車事故のみ</t>
        </is>
      </c>
      <c r="L10" s="1" t="inlineStr">
        <is>
          <t>車対車事故のみ</t>
        </is>
      </c>
    </row>
    <row r="11">
      <c r="B11" s="9" t="inlineStr">
        <is>
          <t>月変換</t>
        </is>
      </c>
      <c r="C11" s="9" t="inlineStr">
        <is>
          <t>変換</t>
        </is>
      </c>
      <c r="E11" s="12" t="n">
        <v>12</v>
      </c>
      <c r="F11" s="41" t="inlineStr">
        <is>
          <t>11 等級</t>
        </is>
      </c>
      <c r="H11" s="9" t="inlineStr">
        <is>
          <t>年齢</t>
        </is>
      </c>
      <c r="I11" s="9" t="inlineStr">
        <is>
          <t>バリュー</t>
        </is>
      </c>
      <c r="K11" s="10" t="inlineStr">
        <is>
          <t>免責金額あり</t>
        </is>
      </c>
      <c r="L11" s="1" t="inlineStr">
        <is>
          <t>なし</t>
        </is>
      </c>
    </row>
    <row r="12">
      <c r="B12" s="10" t="n">
        <v>1</v>
      </c>
      <c r="C12" s="11" t="inlineStr">
        <is>
          <t>01</t>
        </is>
      </c>
      <c r="E12" s="12" t="n">
        <v>11</v>
      </c>
      <c r="F12" s="41" t="inlineStr">
        <is>
          <t>10 等級</t>
        </is>
      </c>
      <c r="H12" s="10" t="inlineStr">
        <is>
          <t>30歳以上</t>
        </is>
      </c>
      <c r="I12" s="1" t="n">
        <v>1</v>
      </c>
    </row>
    <row r="13">
      <c r="B13" s="10" t="n">
        <v>2</v>
      </c>
      <c r="C13" s="11" t="inlineStr">
        <is>
          <t>02</t>
        </is>
      </c>
      <c r="E13" s="12" t="n">
        <v>10</v>
      </c>
      <c r="F13" s="41" t="inlineStr">
        <is>
          <t>9 等級</t>
        </is>
      </c>
      <c r="H13" s="10" t="inlineStr">
        <is>
          <t>26歳以上</t>
        </is>
      </c>
      <c r="I13" s="1" t="n">
        <v>2</v>
      </c>
      <c r="K13" s="9" t="inlineStr">
        <is>
          <t>対物AMT</t>
        </is>
      </c>
      <c r="L13" s="9" t="inlineStr">
        <is>
          <t>対物変換</t>
        </is>
      </c>
    </row>
    <row r="14">
      <c r="B14" s="10" t="n">
        <v>3</v>
      </c>
      <c r="C14" s="11" t="inlineStr">
        <is>
          <t>03</t>
        </is>
      </c>
      <c r="E14" s="12" t="n">
        <v>9</v>
      </c>
      <c r="F14" s="41" t="inlineStr">
        <is>
          <t>8 等級</t>
        </is>
      </c>
      <c r="H14" s="10" t="inlineStr">
        <is>
          <t>21歳以上</t>
        </is>
      </c>
      <c r="I14" s="1" t="n">
        <v>3</v>
      </c>
      <c r="K14" s="10" t="n">
        <v>500</v>
      </c>
      <c r="L14" s="41" t="inlineStr">
        <is>
          <t>500万円</t>
        </is>
      </c>
    </row>
    <row r="15">
      <c r="B15" s="10" t="n">
        <v>4</v>
      </c>
      <c r="C15" s="11" t="inlineStr">
        <is>
          <t>04</t>
        </is>
      </c>
      <c r="E15" s="12" t="n">
        <v>8</v>
      </c>
      <c r="F15" s="41" t="inlineStr">
        <is>
          <t>7F 等級</t>
        </is>
      </c>
      <c r="H15" s="10" t="inlineStr">
        <is>
          <t>全年齢</t>
        </is>
      </c>
      <c r="I15" s="1" t="n">
        <v>4</v>
      </c>
      <c r="K15" s="10" t="n">
        <v>1000</v>
      </c>
      <c r="L15" s="41" t="inlineStr">
        <is>
          <t>1,000万円</t>
        </is>
      </c>
    </row>
    <row r="16">
      <c r="B16" s="10" t="n">
        <v>5</v>
      </c>
      <c r="C16" s="11" t="inlineStr">
        <is>
          <t>05</t>
        </is>
      </c>
      <c r="E16" s="12" t="n">
        <v>7</v>
      </c>
      <c r="F16" s="41" t="inlineStr">
        <is>
          <t>6F 等級</t>
        </is>
      </c>
      <c r="K16" s="10" t="n">
        <v>2000</v>
      </c>
      <c r="L16" s="41" t="inlineStr">
        <is>
          <t>2,000万円</t>
        </is>
      </c>
    </row>
    <row r="17">
      <c r="B17" s="10" t="n">
        <v>6</v>
      </c>
      <c r="C17" s="11" t="inlineStr">
        <is>
          <t>06</t>
        </is>
      </c>
      <c r="E17" s="12" t="n">
        <v>6</v>
      </c>
      <c r="F17" s="41" t="inlineStr">
        <is>
          <t>5 等級</t>
        </is>
      </c>
      <c r="H17" s="9" t="inlineStr">
        <is>
          <t>運限変換</t>
        </is>
      </c>
      <c r="I17" s="9" t="inlineStr">
        <is>
          <t>バリュー</t>
        </is>
      </c>
      <c r="K17" s="10" t="n">
        <v>3000</v>
      </c>
      <c r="L17" s="41" t="inlineStr">
        <is>
          <t>3,000万円</t>
        </is>
      </c>
    </row>
    <row r="18">
      <c r="B18" s="10" t="n">
        <v>7</v>
      </c>
      <c r="C18" s="11" t="inlineStr">
        <is>
          <t>07</t>
        </is>
      </c>
      <c r="E18" s="12" t="n">
        <v>5</v>
      </c>
      <c r="F18" s="41" t="inlineStr">
        <is>
          <t>4 等級</t>
        </is>
      </c>
      <c r="H18" s="10" t="inlineStr">
        <is>
          <t>本配</t>
        </is>
      </c>
      <c r="I18" s="1" t="inlineStr">
        <is>
          <t>本人と配偶者</t>
        </is>
      </c>
      <c r="K18" s="10" t="n">
        <v>5000</v>
      </c>
      <c r="L18" s="41" t="inlineStr">
        <is>
          <t>5,000万円</t>
        </is>
      </c>
    </row>
    <row r="19">
      <c r="B19" s="10" t="n">
        <v>8</v>
      </c>
      <c r="C19" s="11" t="inlineStr">
        <is>
          <t>08</t>
        </is>
      </c>
      <c r="E19" s="12" t="n">
        <v>4</v>
      </c>
      <c r="F19" s="41" t="inlineStr">
        <is>
          <t>3 等級</t>
        </is>
      </c>
      <c r="H19" s="10" t="inlineStr">
        <is>
          <t>家族</t>
        </is>
      </c>
      <c r="I19" s="1" t="inlineStr">
        <is>
          <t>家族</t>
        </is>
      </c>
      <c r="K19" s="10" t="inlineStr">
        <is>
          <t>無制限</t>
        </is>
      </c>
      <c r="L19" s="41" t="inlineStr">
        <is>
          <t>無制限</t>
        </is>
      </c>
    </row>
    <row r="20">
      <c r="B20" s="10" t="n">
        <v>9</v>
      </c>
      <c r="C20" s="11" t="inlineStr">
        <is>
          <t>09</t>
        </is>
      </c>
      <c r="E20" s="12" t="n">
        <v>3</v>
      </c>
      <c r="F20" s="41" t="inlineStr">
        <is>
          <t>2 等級</t>
        </is>
      </c>
      <c r="H20" s="10" t="inlineStr">
        <is>
          <t>限定なし</t>
        </is>
      </c>
      <c r="I20" s="1" t="inlineStr">
        <is>
          <t>限定しない</t>
        </is>
      </c>
    </row>
    <row r="21">
      <c r="B21" s="10" t="n">
        <v>10</v>
      </c>
      <c r="C21" s="11" t="inlineStr">
        <is>
          <t>10</t>
        </is>
      </c>
      <c r="E21" s="12" t="n">
        <v>2</v>
      </c>
      <c r="F21" s="41" t="inlineStr">
        <is>
          <t>1 等級</t>
        </is>
      </c>
      <c r="K21" s="9" t="inlineStr">
        <is>
          <t>搭傷AMT</t>
        </is>
      </c>
      <c r="L21" s="9" t="inlineStr">
        <is>
          <t>搭傷変換</t>
        </is>
      </c>
    </row>
    <row r="22">
      <c r="B22" s="10" t="n">
        <v>11</v>
      </c>
      <c r="C22" s="11" t="inlineStr">
        <is>
          <t>11</t>
        </is>
      </c>
      <c r="E22" s="12" t="n">
        <v>1</v>
      </c>
      <c r="F22" s="41" t="inlineStr">
        <is>
          <t>1 等級</t>
        </is>
      </c>
      <c r="H22" s="9" t="inlineStr">
        <is>
          <t>年限変換</t>
        </is>
      </c>
      <c r="I22" s="9" t="inlineStr">
        <is>
          <t>バリュー</t>
        </is>
      </c>
      <c r="K22" s="10" t="n">
        <v>500</v>
      </c>
      <c r="L22" s="41" t="inlineStr">
        <is>
          <t>500万円</t>
        </is>
      </c>
    </row>
    <row r="23">
      <c r="B23" s="10" t="n">
        <v>12</v>
      </c>
      <c r="C23" s="11" t="inlineStr">
        <is>
          <t>12</t>
        </is>
      </c>
      <c r="E23" s="10" t="inlineStr">
        <is>
          <t>6S</t>
        </is>
      </c>
      <c r="F23" s="41" t="inlineStr">
        <is>
          <t>6S</t>
        </is>
      </c>
      <c r="H23" s="10" t="inlineStr">
        <is>
          <t>30歳以上</t>
        </is>
      </c>
      <c r="I23" s="1" t="inlineStr">
        <is>
          <t>35歳以上補償</t>
        </is>
      </c>
      <c r="K23" s="10" t="n">
        <v>1000</v>
      </c>
      <c r="L23" s="41" t="inlineStr">
        <is>
          <t>1,000万円</t>
        </is>
      </c>
    </row>
    <row r="24">
      <c r="E24" s="10" t="inlineStr">
        <is>
          <t>7S</t>
        </is>
      </c>
      <c r="F24" s="41" t="inlineStr">
        <is>
          <t>7S</t>
        </is>
      </c>
      <c r="H24" s="10" t="inlineStr">
        <is>
          <t>26歳以上</t>
        </is>
      </c>
      <c r="I24" s="1" t="inlineStr">
        <is>
          <t>26歳以上補償</t>
        </is>
      </c>
      <c r="K24" s="10" t="n">
        <v>2000</v>
      </c>
      <c r="L24" s="41" t="inlineStr">
        <is>
          <t>2,000万円</t>
        </is>
      </c>
    </row>
    <row r="25">
      <c r="B25" s="9" t="inlineStr">
        <is>
          <t>日変換</t>
        </is>
      </c>
      <c r="C25" s="9" t="inlineStr">
        <is>
          <t>変換</t>
        </is>
      </c>
      <c r="H25" s="10" t="inlineStr">
        <is>
          <t>21歳以上</t>
        </is>
      </c>
      <c r="I25" s="1" t="inlineStr">
        <is>
          <t>21歳以上補償</t>
        </is>
      </c>
    </row>
    <row r="26">
      <c r="B26" s="10" t="n">
        <v>1</v>
      </c>
      <c r="C26" s="11" t="inlineStr">
        <is>
          <t>01</t>
        </is>
      </c>
      <c r="E26" s="9" t="inlineStr">
        <is>
          <t>走行距離</t>
        </is>
      </c>
      <c r="F26" s="9" t="inlineStr">
        <is>
          <t>バリュー</t>
        </is>
      </c>
      <c r="H26" s="10" t="inlineStr">
        <is>
          <t>全年齢</t>
        </is>
      </c>
      <c r="I26" s="1" t="inlineStr">
        <is>
          <t>年齢を問わず補償</t>
        </is>
      </c>
      <c r="K26" s="9" t="inlineStr">
        <is>
          <t>人傷AMT</t>
        </is>
      </c>
      <c r="L26" s="9" t="inlineStr">
        <is>
          <t>人傷変換</t>
        </is>
      </c>
    </row>
    <row r="27">
      <c r="B27" s="10" t="n">
        <v>2</v>
      </c>
      <c r="C27" s="11" t="inlineStr">
        <is>
          <t>02</t>
        </is>
      </c>
      <c r="E27" s="12" t="n">
        <v>1000</v>
      </c>
      <c r="F27" s="1" t="n">
        <v>1</v>
      </c>
      <c r="K27" s="10" t="n">
        <v>3000</v>
      </c>
      <c r="L27" s="41" t="inlineStr">
        <is>
          <t>3,000万円</t>
        </is>
      </c>
    </row>
    <row r="28">
      <c r="B28" s="10" t="n">
        <v>3</v>
      </c>
      <c r="C28" s="11" t="inlineStr">
        <is>
          <t>03</t>
        </is>
      </c>
      <c r="E28" s="12">
        <f>E27+1000</f>
        <v/>
      </c>
      <c r="F28" s="1" t="n">
        <v>1</v>
      </c>
      <c r="H28" s="9" t="inlineStr">
        <is>
          <t>年限変換２</t>
        </is>
      </c>
      <c r="I28" s="9" t="inlineStr">
        <is>
          <t>バリュー</t>
        </is>
      </c>
      <c r="K28" s="10" t="n">
        <v>4000</v>
      </c>
      <c r="L28" s="41" t="inlineStr">
        <is>
          <t>4,000万円</t>
        </is>
      </c>
    </row>
    <row r="29">
      <c r="B29" s="10" t="n">
        <v>4</v>
      </c>
      <c r="C29" s="11" t="inlineStr">
        <is>
          <t>04</t>
        </is>
      </c>
      <c r="E29" s="12">
        <f>E28+1000</f>
        <v/>
      </c>
      <c r="F29" s="1" t="n">
        <v>1</v>
      </c>
      <c r="H29" s="10" t="inlineStr">
        <is>
          <t>30歳以上</t>
        </is>
      </c>
      <c r="I29" s="1" t="inlineStr">
        <is>
          <t>30歳以上補償</t>
        </is>
      </c>
      <c r="K29" s="10" t="n">
        <v>5000</v>
      </c>
      <c r="L29" s="41" t="inlineStr">
        <is>
          <t>5,000万円</t>
        </is>
      </c>
    </row>
    <row r="30">
      <c r="B30" s="10" t="n">
        <v>5</v>
      </c>
      <c r="C30" s="11" t="inlineStr">
        <is>
          <t>05</t>
        </is>
      </c>
      <c r="E30" s="12">
        <f>E29+1000</f>
        <v/>
      </c>
      <c r="F30" s="1" t="n">
        <v>2</v>
      </c>
      <c r="H30" s="10" t="inlineStr">
        <is>
          <t>26歳以上</t>
        </is>
      </c>
      <c r="I30" s="1" t="inlineStr">
        <is>
          <t>26歳以上補償</t>
        </is>
      </c>
      <c r="K30" s="10" t="n">
        <v>6000</v>
      </c>
      <c r="L30" s="41" t="inlineStr">
        <is>
          <t>6,000万円</t>
        </is>
      </c>
    </row>
    <row r="31">
      <c r="B31" s="10" t="n">
        <v>6</v>
      </c>
      <c r="C31" s="11" t="inlineStr">
        <is>
          <t>06</t>
        </is>
      </c>
      <c r="E31" s="12">
        <f>E30+1000</f>
        <v/>
      </c>
      <c r="F31" s="1" t="n">
        <v>2</v>
      </c>
      <c r="H31" s="10" t="inlineStr">
        <is>
          <t>21歳以上</t>
        </is>
      </c>
      <c r="I31" s="1" t="inlineStr">
        <is>
          <t>21歳以上補償</t>
        </is>
      </c>
      <c r="K31" s="10" t="n">
        <v>7000</v>
      </c>
      <c r="L31" s="41" t="inlineStr">
        <is>
          <t>7,000万円</t>
        </is>
      </c>
    </row>
    <row r="32">
      <c r="B32" s="10" t="n">
        <v>7</v>
      </c>
      <c r="C32" s="11" t="inlineStr">
        <is>
          <t>07</t>
        </is>
      </c>
      <c r="E32" s="12">
        <f>E31+1000</f>
        <v/>
      </c>
      <c r="F32" s="1" t="n">
        <v>3</v>
      </c>
      <c r="H32" s="10" t="inlineStr">
        <is>
          <t>全年齢</t>
        </is>
      </c>
      <c r="I32" s="1" t="inlineStr">
        <is>
          <t>全年齢補償</t>
        </is>
      </c>
      <c r="K32" s="10" t="n">
        <v>8000</v>
      </c>
      <c r="L32" s="41" t="inlineStr">
        <is>
          <t>8,000万円</t>
        </is>
      </c>
    </row>
    <row r="33">
      <c r="B33" s="10" t="n">
        <v>8</v>
      </c>
      <c r="C33" s="11" t="inlineStr">
        <is>
          <t>08</t>
        </is>
      </c>
      <c r="E33" s="12">
        <f>E32+1000</f>
        <v/>
      </c>
      <c r="F33" s="1" t="n">
        <v>3</v>
      </c>
      <c r="K33" s="10" t="n">
        <v>9000</v>
      </c>
      <c r="L33" s="41" t="inlineStr">
        <is>
          <t>9,000万円</t>
        </is>
      </c>
    </row>
    <row r="34">
      <c r="B34" s="10" t="n">
        <v>9</v>
      </c>
      <c r="C34" s="11" t="inlineStr">
        <is>
          <t>09</t>
        </is>
      </c>
      <c r="E34" s="12">
        <f>E33+1000</f>
        <v/>
      </c>
      <c r="F34" s="1" t="n">
        <v>3</v>
      </c>
      <c r="K34" s="10" t="n">
        <v>10000</v>
      </c>
      <c r="L34" s="41" t="inlineStr">
        <is>
          <t>1億円</t>
        </is>
      </c>
    </row>
    <row r="35">
      <c r="B35" s="10" t="n">
        <v>10</v>
      </c>
      <c r="C35" s="11" t="inlineStr">
        <is>
          <t>10</t>
        </is>
      </c>
      <c r="E35" s="12">
        <f>E34+1000</f>
        <v/>
      </c>
      <c r="F35" s="1" t="n">
        <v>3</v>
      </c>
      <c r="K35" s="10" t="inlineStr">
        <is>
          <t>無制限</t>
        </is>
      </c>
      <c r="L35" s="41" t="inlineStr">
        <is>
          <t>無制限</t>
        </is>
      </c>
    </row>
    <row r="36">
      <c r="B36" s="10" t="n">
        <v>11</v>
      </c>
      <c r="C36" s="11" t="inlineStr">
        <is>
          <t>11</t>
        </is>
      </c>
      <c r="E36" s="12">
        <f>E35+1000</f>
        <v/>
      </c>
      <c r="F36" s="1" t="n">
        <v>3</v>
      </c>
    </row>
    <row r="37">
      <c r="B37" s="10" t="n">
        <v>12</v>
      </c>
      <c r="C37" s="11" t="inlineStr">
        <is>
          <t>12</t>
        </is>
      </c>
      <c r="E37" s="12">
        <f>E36+1000</f>
        <v/>
      </c>
      <c r="F37" s="1" t="n">
        <v>4</v>
      </c>
      <c r="K37" s="9" t="inlineStr">
        <is>
          <t>対物LL種類</t>
        </is>
      </c>
      <c r="L37" s="9" t="inlineStr">
        <is>
          <t>LL変換</t>
        </is>
      </c>
    </row>
    <row r="38">
      <c r="B38" s="10" t="n">
        <v>13</v>
      </c>
      <c r="C38" s="11" t="inlineStr">
        <is>
          <t>13</t>
        </is>
      </c>
      <c r="E38" s="12">
        <f>E37+1000</f>
        <v/>
      </c>
      <c r="F38" s="1" t="n">
        <v>4</v>
      </c>
      <c r="K38" s="10" t="inlineStr">
        <is>
          <t>なし</t>
        </is>
      </c>
      <c r="L38" s="41" t="inlineStr">
        <is>
          <t>なし</t>
        </is>
      </c>
    </row>
    <row r="39">
      <c r="B39" s="10" t="n">
        <v>14</v>
      </c>
      <c r="C39" s="11" t="inlineStr">
        <is>
          <t>14</t>
        </is>
      </c>
      <c r="E39" s="12">
        <f>E38+1000</f>
        <v/>
      </c>
      <c r="F39" s="1" t="n">
        <v>4</v>
      </c>
      <c r="K39" s="10" t="inlineStr">
        <is>
          <t>あり</t>
        </is>
      </c>
      <c r="L39" s="41" t="inlineStr">
        <is>
          <t>50万円</t>
        </is>
      </c>
    </row>
    <row r="40">
      <c r="B40" s="10" t="n">
        <v>15</v>
      </c>
      <c r="C40" s="11" t="inlineStr">
        <is>
          <t>15</t>
        </is>
      </c>
      <c r="E40" s="12">
        <f>E39+1000</f>
        <v/>
      </c>
      <c r="F40" s="1" t="n">
        <v>4</v>
      </c>
      <c r="K40" s="10" t="inlineStr">
        <is>
          <t>無制限</t>
        </is>
      </c>
      <c r="L40" s="41" t="inlineStr">
        <is>
          <t>無制限</t>
        </is>
      </c>
    </row>
    <row r="41">
      <c r="B41" s="10" t="n">
        <v>16</v>
      </c>
      <c r="C41" s="11" t="inlineStr">
        <is>
          <t>16</t>
        </is>
      </c>
      <c r="E41" s="12">
        <f>E40+1000</f>
        <v/>
      </c>
      <c r="F41" s="1" t="n">
        <v>4</v>
      </c>
    </row>
    <row r="42">
      <c r="B42" s="10" t="n">
        <v>17</v>
      </c>
      <c r="C42" s="11" t="inlineStr">
        <is>
          <t>17</t>
        </is>
      </c>
      <c r="E42" s="12">
        <f>E41+1000</f>
        <v/>
      </c>
      <c r="F42" s="1" t="n">
        <v>5</v>
      </c>
      <c r="K42" s="9" t="inlineStr">
        <is>
          <t>車両身の回り品</t>
        </is>
      </c>
    </row>
    <row r="43">
      <c r="B43" s="10" t="n">
        <v>18</v>
      </c>
      <c r="C43" s="11" t="inlineStr">
        <is>
          <t>18</t>
        </is>
      </c>
      <c r="E43" s="12">
        <f>E42+1000</f>
        <v/>
      </c>
      <c r="F43" s="1" t="n">
        <v>5</v>
      </c>
      <c r="K43" s="10" t="inlineStr">
        <is>
          <t>なし</t>
        </is>
      </c>
    </row>
    <row r="44">
      <c r="B44" s="10" t="n">
        <v>19</v>
      </c>
      <c r="C44" s="11" t="inlineStr">
        <is>
          <t>19</t>
        </is>
      </c>
      <c r="E44" s="12">
        <f>E43+1000</f>
        <v/>
      </c>
      <c r="F44" s="1" t="n">
        <v>5</v>
      </c>
      <c r="K44" s="10" t="inlineStr">
        <is>
          <t>5万円</t>
        </is>
      </c>
    </row>
    <row r="45">
      <c r="B45" s="10" t="n">
        <v>20</v>
      </c>
      <c r="C45" s="11" t="inlineStr">
        <is>
          <t>20</t>
        </is>
      </c>
      <c r="E45" s="12">
        <f>E44+1000</f>
        <v/>
      </c>
      <c r="F45" s="1" t="n">
        <v>5</v>
      </c>
      <c r="K45" s="10" t="inlineStr">
        <is>
          <t>10万円</t>
        </is>
      </c>
    </row>
    <row r="46">
      <c r="B46" s="10" t="n">
        <v>21</v>
      </c>
      <c r="C46" s="11" t="inlineStr">
        <is>
          <t>21</t>
        </is>
      </c>
      <c r="E46" s="12">
        <f>E45+1000</f>
        <v/>
      </c>
      <c r="F46" s="1" t="n">
        <v>5</v>
      </c>
      <c r="K46" s="10" t="inlineStr">
        <is>
          <t>15万円</t>
        </is>
      </c>
    </row>
    <row r="47">
      <c r="B47" s="10" t="n">
        <v>22</v>
      </c>
      <c r="C47" s="11" t="inlineStr">
        <is>
          <t>22</t>
        </is>
      </c>
      <c r="E47" s="12">
        <f>E46+1000</f>
        <v/>
      </c>
      <c r="F47" s="1" t="n">
        <v>5</v>
      </c>
      <c r="K47" s="10" t="inlineStr">
        <is>
          <t>20万円</t>
        </is>
      </c>
    </row>
    <row r="48">
      <c r="B48" s="10" t="n">
        <v>23</v>
      </c>
      <c r="C48" s="11" t="inlineStr">
        <is>
          <t>23</t>
        </is>
      </c>
      <c r="E48" s="12">
        <f>E47+1000</f>
        <v/>
      </c>
      <c r="F48" s="1" t="n">
        <v>5</v>
      </c>
      <c r="K48" s="10" t="inlineStr">
        <is>
          <t>25万円</t>
        </is>
      </c>
    </row>
    <row r="49">
      <c r="B49" s="10" t="n">
        <v>24</v>
      </c>
      <c r="C49" s="11" t="inlineStr">
        <is>
          <t>24</t>
        </is>
      </c>
      <c r="E49" s="12">
        <f>E48+1000</f>
        <v/>
      </c>
      <c r="F49" s="1" t="n">
        <v>5</v>
      </c>
      <c r="K49" s="10" t="inlineStr">
        <is>
          <t>30万円</t>
        </is>
      </c>
    </row>
    <row r="50">
      <c r="B50" s="10" t="n">
        <v>25</v>
      </c>
      <c r="C50" s="11" t="inlineStr">
        <is>
          <t>25</t>
        </is>
      </c>
      <c r="E50" s="12">
        <f>E49+1000</f>
        <v/>
      </c>
      <c r="F50" s="1" t="n">
        <v>5</v>
      </c>
    </row>
    <row r="51">
      <c r="B51" s="10" t="n">
        <v>26</v>
      </c>
      <c r="C51" s="11" t="inlineStr">
        <is>
          <t>26</t>
        </is>
      </c>
      <c r="E51" s="12">
        <f>E50+1000</f>
        <v/>
      </c>
      <c r="F51" s="1" t="n">
        <v>5</v>
      </c>
      <c r="K51" s="9" t="inlineStr">
        <is>
          <t>個賠</t>
        </is>
      </c>
      <c r="L51" s="9" t="inlineStr">
        <is>
          <t>個賠変換</t>
        </is>
      </c>
    </row>
    <row r="52">
      <c r="B52" s="10" t="n">
        <v>27</v>
      </c>
      <c r="C52" s="11" t="inlineStr">
        <is>
          <t>27</t>
        </is>
      </c>
      <c r="E52" s="12">
        <f>E51+1000</f>
        <v/>
      </c>
      <c r="F52" s="1" t="n">
        <v>5</v>
      </c>
      <c r="K52" s="10" t="inlineStr">
        <is>
          <t>なし</t>
        </is>
      </c>
      <c r="L52" s="41" t="inlineStr">
        <is>
          <t>なし</t>
        </is>
      </c>
    </row>
    <row r="53">
      <c r="B53" s="10" t="n">
        <v>28</v>
      </c>
      <c r="C53" s="11" t="inlineStr">
        <is>
          <t>28</t>
        </is>
      </c>
      <c r="E53" s="12">
        <f>E52+1000</f>
        <v/>
      </c>
      <c r="F53" s="1" t="n">
        <v>5</v>
      </c>
      <c r="K53" s="10" t="n">
        <v>3000</v>
      </c>
      <c r="L53" s="41" t="inlineStr">
        <is>
          <t>3,000万円</t>
        </is>
      </c>
    </row>
    <row r="54">
      <c r="B54" s="10" t="n">
        <v>29</v>
      </c>
      <c r="C54" s="11" t="inlineStr">
        <is>
          <t>29</t>
        </is>
      </c>
      <c r="E54" s="12">
        <f>E53+1000</f>
        <v/>
      </c>
      <c r="F54" s="1" t="n">
        <v>5</v>
      </c>
      <c r="K54" s="10" t="n">
        <v>5000</v>
      </c>
      <c r="L54" s="41" t="inlineStr">
        <is>
          <t>5,000万円</t>
        </is>
      </c>
    </row>
    <row r="55">
      <c r="B55" s="10" t="n">
        <v>30</v>
      </c>
      <c r="C55" s="11" t="inlineStr">
        <is>
          <t>30</t>
        </is>
      </c>
      <c r="E55" s="12">
        <f>E54+1000</f>
        <v/>
      </c>
      <c r="F55" s="1" t="n">
        <v>5</v>
      </c>
      <c r="K55" s="10" t="n">
        <v>10000</v>
      </c>
      <c r="L55" s="41" t="inlineStr">
        <is>
          <t>1億円</t>
        </is>
      </c>
    </row>
    <row r="56">
      <c r="B56" s="10" t="n">
        <v>31</v>
      </c>
      <c r="C56" s="11" t="inlineStr">
        <is>
          <t>31</t>
        </is>
      </c>
      <c r="E56" s="12">
        <f>E55+1000</f>
        <v/>
      </c>
      <c r="F56" s="1" t="n">
        <v>5</v>
      </c>
    </row>
    <row r="57">
      <c r="K57" s="9" t="inlineStr">
        <is>
          <t>傷害特約・地震死亡</t>
        </is>
      </c>
      <c r="L57" s="9" t="inlineStr">
        <is>
          <t>変換</t>
        </is>
      </c>
    </row>
    <row r="58">
      <c r="B58" s="9" t="inlineStr">
        <is>
          <t>生年初度変換</t>
        </is>
      </c>
      <c r="C58" s="9" t="inlineStr">
        <is>
          <t>変換</t>
        </is>
      </c>
      <c r="K58" s="10" t="inlineStr">
        <is>
          <t>なし</t>
        </is>
      </c>
      <c r="L58" s="41" t="inlineStr">
        <is>
          <t>なし</t>
        </is>
      </c>
    </row>
    <row r="59">
      <c r="B59" s="10" t="n">
        <v>2026</v>
      </c>
      <c r="C59" s="41" t="inlineStr">
        <is>
          <t>2026(令和08)</t>
        </is>
      </c>
      <c r="K59" s="10" t="inlineStr">
        <is>
          <t>本人</t>
        </is>
      </c>
      <c r="L59" s="41" t="inlineStr">
        <is>
          <t>本人のみ補償型</t>
        </is>
      </c>
    </row>
    <row r="60">
      <c r="B60" s="10">
        <f>B59-1</f>
        <v/>
      </c>
      <c r="C60" s="41" t="inlineStr">
        <is>
          <t>2025(令和07)</t>
        </is>
      </c>
      <c r="K60" s="10" t="inlineStr">
        <is>
          <t>夫婦</t>
        </is>
      </c>
      <c r="L60" s="41" t="inlineStr">
        <is>
          <t>夫婦のみ補償型</t>
        </is>
      </c>
    </row>
    <row r="61">
      <c r="B61" s="10">
        <f>B60-1</f>
        <v/>
      </c>
      <c r="C61" s="41" t="inlineStr">
        <is>
          <t>2024(令和06)</t>
        </is>
      </c>
      <c r="K61" s="10" t="inlineStr">
        <is>
          <t>家族</t>
        </is>
      </c>
      <c r="L61" s="41" t="inlineStr">
        <is>
          <t>家族補償型</t>
        </is>
      </c>
    </row>
    <row r="62">
      <c r="B62" s="10">
        <f>B61-1</f>
        <v/>
      </c>
      <c r="C62" s="41" t="inlineStr">
        <is>
          <t>2023(令和05)</t>
        </is>
      </c>
    </row>
    <row r="63">
      <c r="B63" s="10">
        <f>B62-1</f>
        <v/>
      </c>
      <c r="C63" s="41" t="inlineStr">
        <is>
          <t>2022(令和04)</t>
        </is>
      </c>
      <c r="K63" s="9" t="inlineStr">
        <is>
          <t>人傷種類</t>
        </is>
      </c>
    </row>
    <row r="64">
      <c r="B64" s="10">
        <f>B63-1</f>
        <v/>
      </c>
      <c r="C64" s="41" t="inlineStr">
        <is>
          <t>2021(令和03)</t>
        </is>
      </c>
      <c r="K64" s="10" t="inlineStr">
        <is>
          <t>車内外</t>
        </is>
      </c>
    </row>
    <row r="65">
      <c r="B65" s="10">
        <f>B64-1</f>
        <v/>
      </c>
      <c r="C65" s="41" t="inlineStr">
        <is>
          <t>2020(令和02)</t>
        </is>
      </c>
      <c r="K65" s="10" t="inlineStr">
        <is>
          <t>車内</t>
        </is>
      </c>
    </row>
    <row r="66">
      <c r="B66" s="10">
        <f>B65-1</f>
        <v/>
      </c>
      <c r="C66" s="41" t="inlineStr">
        <is>
          <t>2019(令和01)</t>
        </is>
      </c>
    </row>
    <row r="67">
      <c r="B67" s="10">
        <f>B66-1</f>
        <v/>
      </c>
      <c r="C67" s="41" t="inlineStr">
        <is>
          <t>2018(平成30)</t>
        </is>
      </c>
    </row>
    <row r="68">
      <c r="B68" s="10">
        <f>B67-1</f>
        <v/>
      </c>
      <c r="C68" s="41" t="inlineStr">
        <is>
          <t>2017(平成29)</t>
        </is>
      </c>
    </row>
    <row r="69">
      <c r="B69" s="10">
        <f>B68-1</f>
        <v/>
      </c>
      <c r="C69" s="41" t="inlineStr">
        <is>
          <t>2016(平成28)</t>
        </is>
      </c>
    </row>
    <row r="70">
      <c r="B70" s="10">
        <f>B69-1</f>
        <v/>
      </c>
      <c r="C70" s="41" t="inlineStr">
        <is>
          <t>2015(平成27)</t>
        </is>
      </c>
    </row>
    <row r="71">
      <c r="B71" s="10">
        <f>B70-1</f>
        <v/>
      </c>
      <c r="C71" s="41" t="inlineStr">
        <is>
          <t>2014(平成26)</t>
        </is>
      </c>
    </row>
    <row r="72">
      <c r="B72" s="10">
        <f>B71-1</f>
        <v/>
      </c>
      <c r="C72" s="41" t="inlineStr">
        <is>
          <t>2013(平成25)</t>
        </is>
      </c>
    </row>
    <row r="73">
      <c r="B73" s="10">
        <f>B72-1</f>
        <v/>
      </c>
      <c r="C73" s="41" t="inlineStr">
        <is>
          <t>2012(平成24)</t>
        </is>
      </c>
    </row>
    <row r="74">
      <c r="B74" s="10">
        <f>B73-1</f>
        <v/>
      </c>
      <c r="C74" s="41" t="inlineStr">
        <is>
          <t>2011(平成23)</t>
        </is>
      </c>
    </row>
    <row r="75">
      <c r="B75" s="10">
        <f>B74-1</f>
        <v/>
      </c>
      <c r="C75" s="41" t="inlineStr">
        <is>
          <t>2010(平成22)</t>
        </is>
      </c>
    </row>
    <row r="76">
      <c r="B76" s="10">
        <f>B75-1</f>
        <v/>
      </c>
      <c r="C76" s="41" t="inlineStr">
        <is>
          <t>2009(平成21)</t>
        </is>
      </c>
    </row>
    <row r="77">
      <c r="B77" s="10">
        <f>B76-1</f>
        <v/>
      </c>
      <c r="C77" s="41" t="inlineStr">
        <is>
          <t>2008(平成20)</t>
        </is>
      </c>
    </row>
    <row r="78">
      <c r="B78" s="10">
        <f>B77-1</f>
        <v/>
      </c>
      <c r="C78" s="41" t="inlineStr">
        <is>
          <t>2007(平成19)</t>
        </is>
      </c>
    </row>
    <row r="79">
      <c r="B79" s="10">
        <f>B78-1</f>
        <v/>
      </c>
      <c r="C79" s="41" t="inlineStr">
        <is>
          <t>2006(平成18)</t>
        </is>
      </c>
    </row>
    <row r="80">
      <c r="B80" s="10">
        <f>B79-1</f>
        <v/>
      </c>
      <c r="C80" s="41" t="inlineStr">
        <is>
          <t>2005(平成17)</t>
        </is>
      </c>
    </row>
    <row r="81">
      <c r="B81" s="10">
        <f>B80-1</f>
        <v/>
      </c>
      <c r="C81" s="41" t="inlineStr">
        <is>
          <t>2004(平成16)</t>
        </is>
      </c>
    </row>
    <row r="82">
      <c r="B82" s="10">
        <f>B81-1</f>
        <v/>
      </c>
      <c r="C82" s="41" t="inlineStr">
        <is>
          <t>2003(平成15)</t>
        </is>
      </c>
    </row>
    <row r="83">
      <c r="B83" s="10">
        <f>B82-1</f>
        <v/>
      </c>
      <c r="C83" s="41" t="inlineStr">
        <is>
          <t>2002(平成14)</t>
        </is>
      </c>
    </row>
    <row r="84">
      <c r="B84" s="10">
        <f>B83-1</f>
        <v/>
      </c>
      <c r="C84" s="41" t="inlineStr">
        <is>
          <t>2001(平成13)</t>
        </is>
      </c>
    </row>
    <row r="85">
      <c r="B85" s="10">
        <f>B84-1</f>
        <v/>
      </c>
      <c r="C85" s="41" t="inlineStr">
        <is>
          <t>2000(平成12)</t>
        </is>
      </c>
    </row>
    <row r="86">
      <c r="B86" s="10">
        <f>B85-1</f>
        <v/>
      </c>
      <c r="C86" s="41" t="inlineStr">
        <is>
          <t>1999(平成11)</t>
        </is>
      </c>
    </row>
    <row r="87">
      <c r="B87" s="10">
        <f>B86-1</f>
        <v/>
      </c>
      <c r="C87" s="41" t="inlineStr">
        <is>
          <t>1998(平成10)</t>
        </is>
      </c>
    </row>
    <row r="88">
      <c r="B88" s="10">
        <f>B87-1</f>
        <v/>
      </c>
      <c r="C88" s="41" t="inlineStr">
        <is>
          <t>1997(平成09)</t>
        </is>
      </c>
    </row>
    <row r="89">
      <c r="B89" s="10">
        <f>B88-1</f>
        <v/>
      </c>
      <c r="C89" s="41" t="inlineStr">
        <is>
          <t>1996(平成08)</t>
        </is>
      </c>
    </row>
    <row r="90">
      <c r="B90" s="10">
        <f>B89-1</f>
        <v/>
      </c>
      <c r="C90" s="41" t="inlineStr">
        <is>
          <t>1995(平成07)</t>
        </is>
      </c>
    </row>
    <row r="91">
      <c r="B91" s="10">
        <f>B90-1</f>
        <v/>
      </c>
      <c r="C91" s="41" t="inlineStr">
        <is>
          <t>1994(平成06)</t>
        </is>
      </c>
    </row>
    <row r="92">
      <c r="B92" s="10">
        <f>B91-1</f>
        <v/>
      </c>
      <c r="C92" s="41" t="inlineStr">
        <is>
          <t>1993(平成05)</t>
        </is>
      </c>
    </row>
    <row r="93">
      <c r="B93" s="10">
        <f>B92-1</f>
        <v/>
      </c>
      <c r="C93" s="41" t="inlineStr">
        <is>
          <t>1992(平成04)</t>
        </is>
      </c>
    </row>
    <row r="94">
      <c r="B94" s="10">
        <f>B93-1</f>
        <v/>
      </c>
      <c r="C94" s="41" t="inlineStr">
        <is>
          <t>1991(平成03)</t>
        </is>
      </c>
    </row>
    <row r="95">
      <c r="B95" s="10">
        <f>B94-1</f>
        <v/>
      </c>
      <c r="C95" s="41" t="inlineStr">
        <is>
          <t>1990(平成02)</t>
        </is>
      </c>
    </row>
    <row r="96">
      <c r="B96" s="10">
        <f>B95-1</f>
        <v/>
      </c>
      <c r="C96" s="41" t="inlineStr">
        <is>
          <t>1989(平成01)</t>
        </is>
      </c>
    </row>
    <row r="97">
      <c r="B97" s="10">
        <f>B96-1</f>
        <v/>
      </c>
      <c r="C97" s="41" t="inlineStr">
        <is>
          <t>1988(昭和63)</t>
        </is>
      </c>
    </row>
    <row r="98">
      <c r="B98" s="10">
        <f>B97-1</f>
        <v/>
      </c>
      <c r="C98" s="41" t="inlineStr">
        <is>
          <t>1987(昭和62)</t>
        </is>
      </c>
    </row>
    <row r="99">
      <c r="B99" s="10">
        <f>B98-1</f>
        <v/>
      </c>
      <c r="C99" s="41" t="inlineStr">
        <is>
          <t>1986(昭和61)</t>
        </is>
      </c>
    </row>
    <row r="100">
      <c r="B100" s="10">
        <f>B99-1</f>
        <v/>
      </c>
      <c r="C100" s="41" t="inlineStr">
        <is>
          <t>1985(昭和60)</t>
        </is>
      </c>
    </row>
    <row r="101">
      <c r="B101" s="10">
        <f>B100-1</f>
        <v/>
      </c>
      <c r="C101" s="41" t="inlineStr">
        <is>
          <t>1984(昭和59)</t>
        </is>
      </c>
    </row>
    <row r="102">
      <c r="B102" s="10">
        <f>B101-1</f>
        <v/>
      </c>
      <c r="C102" s="41" t="inlineStr">
        <is>
          <t>1983(昭和58)</t>
        </is>
      </c>
    </row>
    <row r="103">
      <c r="B103" s="10">
        <f>B102-1</f>
        <v/>
      </c>
      <c r="C103" s="41" t="inlineStr">
        <is>
          <t>1982(昭和57)</t>
        </is>
      </c>
    </row>
    <row r="104">
      <c r="B104" s="10">
        <f>B103-1</f>
        <v/>
      </c>
      <c r="C104" s="41" t="inlineStr">
        <is>
          <t>1981(昭和56)</t>
        </is>
      </c>
    </row>
    <row r="105">
      <c r="B105" s="10">
        <f>B104-1</f>
        <v/>
      </c>
      <c r="C105" s="41" t="inlineStr">
        <is>
          <t>1980(昭和55)</t>
        </is>
      </c>
    </row>
    <row r="106">
      <c r="B106" s="10">
        <f>B105-1</f>
        <v/>
      </c>
      <c r="C106" s="41" t="inlineStr">
        <is>
          <t>1979(昭和54)</t>
        </is>
      </c>
    </row>
    <row r="107">
      <c r="B107" s="10">
        <f>B106-1</f>
        <v/>
      </c>
      <c r="C107" s="41" t="inlineStr">
        <is>
          <t>1978(昭和53)</t>
        </is>
      </c>
    </row>
    <row r="108">
      <c r="B108" s="10">
        <f>B107-1</f>
        <v/>
      </c>
      <c r="C108" s="41" t="inlineStr">
        <is>
          <t>1977(昭和52)</t>
        </is>
      </c>
    </row>
    <row r="109">
      <c r="B109" s="10">
        <f>B108-1</f>
        <v/>
      </c>
      <c r="C109" s="41" t="inlineStr">
        <is>
          <t>1976(昭和51)</t>
        </is>
      </c>
    </row>
    <row r="110">
      <c r="B110" s="10">
        <f>B109-1</f>
        <v/>
      </c>
      <c r="C110" s="41" t="inlineStr">
        <is>
          <t>1975(昭和50)</t>
        </is>
      </c>
    </row>
    <row r="111">
      <c r="B111" s="10">
        <f>B110-1</f>
        <v/>
      </c>
      <c r="C111" s="41" t="inlineStr">
        <is>
          <t>1974(昭和49)</t>
        </is>
      </c>
    </row>
    <row r="112">
      <c r="B112" s="10">
        <f>B111-1</f>
        <v/>
      </c>
      <c r="C112" s="41" t="inlineStr">
        <is>
          <t>1973(昭和48)</t>
        </is>
      </c>
    </row>
    <row r="113">
      <c r="B113" s="10">
        <f>B112-1</f>
        <v/>
      </c>
      <c r="C113" s="41" t="inlineStr">
        <is>
          <t>1972(昭和47)</t>
        </is>
      </c>
    </row>
    <row r="114">
      <c r="B114" s="10">
        <f>B113-1</f>
        <v/>
      </c>
      <c r="C114" s="41" t="inlineStr">
        <is>
          <t>1971(昭和46)</t>
        </is>
      </c>
    </row>
    <row r="115">
      <c r="B115" s="10">
        <f>B114-1</f>
        <v/>
      </c>
      <c r="C115" s="41" t="inlineStr">
        <is>
          <t>1970(昭和45)</t>
        </is>
      </c>
    </row>
    <row r="116">
      <c r="B116" s="10">
        <f>B115-1</f>
        <v/>
      </c>
      <c r="C116" s="41" t="inlineStr">
        <is>
          <t>1969(昭和44)</t>
        </is>
      </c>
    </row>
    <row r="117">
      <c r="B117" s="10">
        <f>B116-1</f>
        <v/>
      </c>
      <c r="C117" s="41" t="inlineStr">
        <is>
          <t>1968(昭和43)</t>
        </is>
      </c>
    </row>
    <row r="118">
      <c r="B118" s="10">
        <f>B117-1</f>
        <v/>
      </c>
      <c r="C118" s="41" t="inlineStr">
        <is>
          <t>1967(昭和42)</t>
        </is>
      </c>
    </row>
    <row r="119">
      <c r="B119" s="10">
        <f>B118-1</f>
        <v/>
      </c>
      <c r="C119" s="41" t="inlineStr">
        <is>
          <t>1966(昭和41)</t>
        </is>
      </c>
    </row>
    <row r="120">
      <c r="B120" s="10">
        <f>B119-1</f>
        <v/>
      </c>
      <c r="C120" s="41" t="inlineStr">
        <is>
          <t>1965(昭和40)</t>
        </is>
      </c>
    </row>
    <row r="121">
      <c r="B121" s="10">
        <f>B120-1</f>
        <v/>
      </c>
      <c r="C121" s="41" t="inlineStr">
        <is>
          <t>1964(昭和39)</t>
        </is>
      </c>
    </row>
    <row r="122">
      <c r="B122" s="10">
        <f>B121-1</f>
        <v/>
      </c>
      <c r="C122" s="41" t="inlineStr">
        <is>
          <t>1963(昭和38)</t>
        </is>
      </c>
    </row>
    <row r="123">
      <c r="B123" s="10">
        <f>B122-1</f>
        <v/>
      </c>
      <c r="C123" s="41" t="inlineStr">
        <is>
          <t>1962(昭和37)</t>
        </is>
      </c>
    </row>
    <row r="124">
      <c r="B124" s="10">
        <f>B123-1</f>
        <v/>
      </c>
      <c r="C124" s="41" t="inlineStr">
        <is>
          <t>1961(昭和36)</t>
        </is>
      </c>
    </row>
    <row r="125">
      <c r="B125" s="10">
        <f>B124-1</f>
        <v/>
      </c>
      <c r="C125" s="41" t="inlineStr">
        <is>
          <t>1960(昭和35)</t>
        </is>
      </c>
    </row>
    <row r="126">
      <c r="B126" s="10">
        <f>B125-1</f>
        <v/>
      </c>
      <c r="C126" s="41" t="inlineStr">
        <is>
          <t>1959(昭和34)</t>
        </is>
      </c>
    </row>
    <row r="127">
      <c r="B127" s="10">
        <f>B126-1</f>
        <v/>
      </c>
      <c r="C127" s="41" t="inlineStr">
        <is>
          <t>1958(昭和33)</t>
        </is>
      </c>
    </row>
    <row r="128">
      <c r="B128" s="10">
        <f>B127-1</f>
        <v/>
      </c>
      <c r="C128" s="41" t="inlineStr">
        <is>
          <t>1957(昭和32)</t>
        </is>
      </c>
    </row>
    <row r="129">
      <c r="B129" s="10">
        <f>B128-1</f>
        <v/>
      </c>
      <c r="C129" s="41" t="inlineStr">
        <is>
          <t>1956(昭和31)</t>
        </is>
      </c>
    </row>
    <row r="130">
      <c r="B130" s="10">
        <f>B129-1</f>
        <v/>
      </c>
      <c r="C130" s="41" t="inlineStr">
        <is>
          <t>1955(昭和30)</t>
        </is>
      </c>
    </row>
    <row r="131">
      <c r="B131" s="10">
        <f>B130-1</f>
        <v/>
      </c>
      <c r="C131" s="41" t="inlineStr">
        <is>
          <t>1954(昭和29)</t>
        </is>
      </c>
    </row>
    <row r="132">
      <c r="B132" s="10">
        <f>B131-1</f>
        <v/>
      </c>
      <c r="C132" s="41" t="inlineStr">
        <is>
          <t>1953(昭和28)</t>
        </is>
      </c>
    </row>
    <row r="133">
      <c r="B133" s="10">
        <f>B132-1</f>
        <v/>
      </c>
      <c r="C133" s="41" t="inlineStr">
        <is>
          <t>1952(昭和27)</t>
        </is>
      </c>
    </row>
    <row r="134">
      <c r="B134" s="10">
        <f>B133-1</f>
        <v/>
      </c>
      <c r="C134" s="41" t="inlineStr">
        <is>
          <t>1951(昭和26)</t>
        </is>
      </c>
    </row>
    <row r="135">
      <c r="B135" s="10">
        <f>B134-1</f>
        <v/>
      </c>
      <c r="C135" s="41" t="inlineStr">
        <is>
          <t>1950(昭和25)</t>
        </is>
      </c>
    </row>
    <row r="136">
      <c r="B136" s="10">
        <f>B135-1</f>
        <v/>
      </c>
      <c r="C136" s="41" t="inlineStr">
        <is>
          <t>1949(昭和24)</t>
        </is>
      </c>
    </row>
    <row r="137">
      <c r="B137" s="10">
        <f>B136-1</f>
        <v/>
      </c>
      <c r="C137" s="41" t="inlineStr">
        <is>
          <t>1948(昭和23)</t>
        </is>
      </c>
    </row>
    <row r="138">
      <c r="B138" s="10">
        <f>B137-1</f>
        <v/>
      </c>
      <c r="C138" s="41" t="inlineStr">
        <is>
          <t>1947(昭和22)</t>
        </is>
      </c>
    </row>
    <row r="139">
      <c r="B139" s="10">
        <f>B138-1</f>
        <v/>
      </c>
      <c r="C139" s="41" t="inlineStr">
        <is>
          <t>1946(昭和21)</t>
        </is>
      </c>
    </row>
    <row r="140">
      <c r="B140" s="10">
        <f>B139-1</f>
        <v/>
      </c>
      <c r="C140" s="41" t="inlineStr">
        <is>
          <t>1945(昭和20)</t>
        </is>
      </c>
    </row>
    <row r="141">
      <c r="B141" s="10">
        <f>B140-1</f>
        <v/>
      </c>
      <c r="C141" s="41" t="inlineStr">
        <is>
          <t>1944(昭和19)</t>
        </is>
      </c>
    </row>
    <row r="142">
      <c r="B142" s="10">
        <f>B141-1</f>
        <v/>
      </c>
      <c r="C142" s="41" t="inlineStr">
        <is>
          <t>1943(昭和18)</t>
        </is>
      </c>
    </row>
    <row r="143">
      <c r="B143" s="10">
        <f>B142-1</f>
        <v/>
      </c>
      <c r="C143" s="41" t="inlineStr">
        <is>
          <t>1942(昭和17)</t>
        </is>
      </c>
    </row>
    <row r="144">
      <c r="B144" s="10">
        <f>B143-1</f>
        <v/>
      </c>
      <c r="C144" s="41" t="inlineStr">
        <is>
          <t>1941(昭和16)</t>
        </is>
      </c>
    </row>
    <row r="145">
      <c r="B145" s="10">
        <f>B144-1</f>
        <v/>
      </c>
      <c r="C145" s="41" t="inlineStr">
        <is>
          <t>1940(昭和15)</t>
        </is>
      </c>
    </row>
    <row r="146">
      <c r="B146" s="10">
        <f>B145-1</f>
        <v/>
      </c>
      <c r="C146" s="41" t="inlineStr">
        <is>
          <t>1939(昭和14)</t>
        </is>
      </c>
    </row>
    <row r="147">
      <c r="B147" s="10">
        <f>B146-1</f>
        <v/>
      </c>
      <c r="C147" s="41" t="inlineStr">
        <is>
          <t>1938(昭和13)</t>
        </is>
      </c>
    </row>
    <row r="148">
      <c r="B148" s="10">
        <f>B147-1</f>
        <v/>
      </c>
      <c r="C148" s="41" t="inlineStr">
        <is>
          <t>1937(昭和12)</t>
        </is>
      </c>
    </row>
    <row r="149">
      <c r="B149" s="10">
        <f>B148-1</f>
        <v/>
      </c>
      <c r="C149" s="41" t="inlineStr">
        <is>
          <t>1936(昭和11)</t>
        </is>
      </c>
    </row>
    <row r="150">
      <c r="B150" s="10">
        <f>B149-1</f>
        <v/>
      </c>
      <c r="C150" s="41" t="inlineStr">
        <is>
          <t>1935(昭和10)</t>
        </is>
      </c>
    </row>
    <row r="151">
      <c r="B151" s="10">
        <f>B150-1</f>
        <v/>
      </c>
      <c r="C151" s="41" t="inlineStr">
        <is>
          <t>1934(昭和09)</t>
        </is>
      </c>
    </row>
    <row r="152">
      <c r="B152" s="10">
        <f>B151-1</f>
        <v/>
      </c>
      <c r="C152" s="41" t="inlineStr">
        <is>
          <t>1933(昭和08)</t>
        </is>
      </c>
    </row>
    <row r="153">
      <c r="B153" s="10">
        <f>B152-1</f>
        <v/>
      </c>
      <c r="C153" s="41" t="inlineStr">
        <is>
          <t>1932(昭和07)</t>
        </is>
      </c>
    </row>
    <row r="154">
      <c r="B154" s="10">
        <f>B153-1</f>
        <v/>
      </c>
      <c r="C154" s="41" t="inlineStr">
        <is>
          <t>1931(昭和06)</t>
        </is>
      </c>
    </row>
    <row r="155">
      <c r="B155" s="10">
        <f>B154-1</f>
        <v/>
      </c>
      <c r="C155" s="41" t="inlineStr">
        <is>
          <t>1930(昭和05)</t>
        </is>
      </c>
    </row>
    <row r="156">
      <c r="B156" s="10">
        <f>B155-1</f>
        <v/>
      </c>
      <c r="C156" s="41" t="inlineStr">
        <is>
          <t>1929(昭和04)</t>
        </is>
      </c>
    </row>
    <row r="157">
      <c r="B157" s="10">
        <f>B156-1</f>
        <v/>
      </c>
      <c r="C157" s="41" t="inlineStr">
        <is>
          <t>1928(昭和03)</t>
        </is>
      </c>
    </row>
    <row r="158">
      <c r="B158" s="10">
        <f>B157-1</f>
        <v/>
      </c>
      <c r="C158" s="41" t="inlineStr">
        <is>
          <t>1927(昭和02)</t>
        </is>
      </c>
    </row>
    <row r="159">
      <c r="B159" s="10">
        <f>B158-1</f>
        <v/>
      </c>
      <c r="C159" s="41" t="inlineStr">
        <is>
          <t>1926(昭和01)</t>
        </is>
      </c>
    </row>
    <row r="160">
      <c r="B160" s="10">
        <f>B159-1</f>
        <v/>
      </c>
      <c r="C160" s="41" t="inlineStr">
        <is>
          <t>1925(大正14)</t>
        </is>
      </c>
    </row>
    <row r="161">
      <c r="B161" s="10">
        <f>B160-1</f>
        <v/>
      </c>
      <c r="C161" s="41" t="inlineStr">
        <is>
          <t>1924(大正13)</t>
        </is>
      </c>
    </row>
    <row r="162">
      <c r="B162" s="10">
        <f>B161-1</f>
        <v/>
      </c>
      <c r="C162" s="41" t="inlineStr">
        <is>
          <t>1923(大正12)</t>
        </is>
      </c>
    </row>
    <row r="163">
      <c r="B163" s="10">
        <f>B162-1</f>
        <v/>
      </c>
      <c r="C163" s="41" t="inlineStr">
        <is>
          <t>1922(大正11)</t>
        </is>
      </c>
    </row>
    <row r="164">
      <c r="B164" s="10">
        <f>B163-1</f>
        <v/>
      </c>
      <c r="C164" s="41" t="inlineStr">
        <is>
          <t>1921(大正10)</t>
        </is>
      </c>
    </row>
    <row r="165">
      <c r="B165" s="10">
        <f>B164-1</f>
        <v/>
      </c>
      <c r="C165" s="41" t="inlineStr">
        <is>
          <t>1920(大正09)</t>
        </is>
      </c>
    </row>
    <row r="166">
      <c r="B166" s="10">
        <f>B165-1</f>
        <v/>
      </c>
      <c r="C166" s="41"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8" t="inlineStr">
        <is>
          <t>年齢</t>
        </is>
      </c>
      <c r="I2" s="18" t="inlineStr">
        <is>
          <t>生年</t>
        </is>
      </c>
      <c r="K2" s="18" t="inlineStr">
        <is>
          <t>年齢</t>
        </is>
      </c>
      <c r="L2" s="18" t="inlineStr">
        <is>
          <t>生年</t>
        </is>
      </c>
    </row>
    <row r="3">
      <c r="H3" s="12" t="n">
        <v>30</v>
      </c>
      <c r="I3" s="1">
        <f>$E$9</f>
        <v/>
      </c>
      <c r="K3" s="12">
        <f>K4-1</f>
        <v/>
      </c>
      <c r="L3" s="1">
        <f>L4+1</f>
        <v/>
      </c>
    </row>
    <row r="4">
      <c r="H4" s="12">
        <f>H3+1</f>
        <v/>
      </c>
      <c r="I4" s="1">
        <f>I3-1</f>
        <v/>
      </c>
      <c r="K4" s="12">
        <f>K5-1</f>
        <v/>
      </c>
      <c r="L4" s="1">
        <f>L5+1</f>
        <v/>
      </c>
    </row>
    <row r="5">
      <c r="H5" s="12">
        <f>H4+1</f>
        <v/>
      </c>
      <c r="I5" s="1">
        <f>I4-1</f>
        <v/>
      </c>
      <c r="K5" s="12">
        <f>K6-1</f>
        <v/>
      </c>
      <c r="L5" s="1">
        <f>L6+1</f>
        <v/>
      </c>
    </row>
    <row r="6">
      <c r="H6" s="12">
        <f>H5+1</f>
        <v/>
      </c>
      <c r="I6" s="1">
        <f>I5-1</f>
        <v/>
      </c>
      <c r="K6" s="12">
        <f>K7-1</f>
        <v/>
      </c>
      <c r="L6" s="1">
        <f>L7+1</f>
        <v/>
      </c>
    </row>
    <row r="7">
      <c r="H7" s="12">
        <f>H6+1</f>
        <v/>
      </c>
      <c r="I7" s="1">
        <f>I6-1</f>
        <v/>
      </c>
      <c r="K7" s="12">
        <f>K8-1</f>
        <v/>
      </c>
      <c r="L7" s="1">
        <f>L8+1</f>
        <v/>
      </c>
    </row>
    <row r="8">
      <c r="D8" s="18" t="inlineStr">
        <is>
          <t>生年</t>
        </is>
      </c>
      <c r="H8" s="12">
        <f>H7+1</f>
        <v/>
      </c>
      <c r="I8" s="1">
        <f>I7-1</f>
        <v/>
      </c>
      <c r="K8" s="12">
        <f>K9-1</f>
        <v/>
      </c>
      <c r="L8" s="1">
        <f>L9+1</f>
        <v/>
      </c>
    </row>
    <row r="9">
      <c r="D9" s="12" t="n">
        <v>1</v>
      </c>
      <c r="E9" s="1">
        <f>説明書!$U$22-30</f>
        <v/>
      </c>
      <c r="H9" s="12">
        <f>H8+1</f>
        <v/>
      </c>
      <c r="I9" s="1">
        <f>I8-1</f>
        <v/>
      </c>
      <c r="K9" s="12">
        <f>K10-1</f>
        <v/>
      </c>
      <c r="L9" s="1">
        <f>L10+1</f>
        <v/>
      </c>
    </row>
    <row r="10">
      <c r="D10" s="12" t="n">
        <v>2</v>
      </c>
      <c r="E10" s="1">
        <f>説明書!$U$22-35</f>
        <v/>
      </c>
      <c r="H10" s="12">
        <f>H9+1</f>
        <v/>
      </c>
      <c r="I10" s="1">
        <f>I9-1</f>
        <v/>
      </c>
      <c r="K10" s="12">
        <f>K11-1</f>
        <v/>
      </c>
      <c r="L10" s="1">
        <f>L11+1</f>
        <v/>
      </c>
    </row>
    <row r="11">
      <c r="D11" s="12" t="n">
        <v>3</v>
      </c>
      <c r="E11" s="1">
        <f>説明書!$U$22-40</f>
        <v/>
      </c>
      <c r="H11" s="12">
        <f>H10+1</f>
        <v/>
      </c>
      <c r="I11" s="1">
        <f>I10-1</f>
        <v/>
      </c>
      <c r="K11" s="12">
        <f>K12-1</f>
        <v/>
      </c>
      <c r="L11" s="1">
        <f>L12+1</f>
        <v/>
      </c>
    </row>
    <row r="12">
      <c r="D12" s="12" t="n">
        <v>4</v>
      </c>
      <c r="E12" s="1">
        <f>説明書!$U$22-45</f>
        <v/>
      </c>
      <c r="H12" s="12">
        <f>H11+1</f>
        <v/>
      </c>
      <c r="I12" s="1">
        <f>I11-1</f>
        <v/>
      </c>
      <c r="K12" s="12">
        <f>K13-1</f>
        <v/>
      </c>
      <c r="L12" s="1">
        <f>L13+1</f>
        <v/>
      </c>
    </row>
    <row r="13">
      <c r="D13" s="12" t="n">
        <v>5</v>
      </c>
      <c r="E13" s="1">
        <f>説明書!$U$22-50</f>
        <v/>
      </c>
      <c r="H13" s="12">
        <f>H12+1</f>
        <v/>
      </c>
      <c r="I13" s="1">
        <f>I12-1</f>
        <v/>
      </c>
      <c r="K13" s="12" t="n">
        <v>30</v>
      </c>
      <c r="L13" s="1">
        <f>説明書!$U$104-30</f>
        <v/>
      </c>
    </row>
    <row r="14">
      <c r="D14" s="12" t="n">
        <v>6</v>
      </c>
      <c r="E14" s="1">
        <f>説明書!$U$22-60</f>
        <v/>
      </c>
      <c r="H14" s="12">
        <f>H13+1</f>
        <v/>
      </c>
      <c r="I14" s="1">
        <f>I13-1</f>
        <v/>
      </c>
      <c r="K14" s="12">
        <f>K13+1</f>
        <v/>
      </c>
      <c r="L14" s="1">
        <f>L13-1</f>
        <v/>
      </c>
    </row>
    <row r="15">
      <c r="D15" s="12" t="n">
        <v>7</v>
      </c>
      <c r="E15" s="1">
        <f>説明書!$U$22-70</f>
        <v/>
      </c>
      <c r="H15" s="12">
        <f>H14+1</f>
        <v/>
      </c>
      <c r="I15" s="1">
        <f>I14-1</f>
        <v/>
      </c>
      <c r="K15" s="12">
        <f>K14+1</f>
        <v/>
      </c>
      <c r="L15" s="1">
        <f>L14-1</f>
        <v/>
      </c>
    </row>
    <row r="16">
      <c r="H16" s="12">
        <f>H15+1</f>
        <v/>
      </c>
      <c r="I16" s="1">
        <f>I15-1</f>
        <v/>
      </c>
      <c r="K16" s="12">
        <f>K15+1</f>
        <v/>
      </c>
      <c r="L16" s="1">
        <f>L15-1</f>
        <v/>
      </c>
    </row>
    <row r="17">
      <c r="D17" s="4" t="inlineStr">
        <is>
          <t>使用目的</t>
        </is>
      </c>
      <c r="H17" s="12">
        <f>H16+1</f>
        <v/>
      </c>
      <c r="I17" s="1">
        <f>I16-1</f>
        <v/>
      </c>
      <c r="K17" s="12">
        <f>K16+1</f>
        <v/>
      </c>
      <c r="L17" s="1">
        <f>L16-1</f>
        <v/>
      </c>
    </row>
    <row r="18">
      <c r="D18" s="12" t="n">
        <v>1</v>
      </c>
      <c r="E18" s="41" t="inlineStr">
        <is>
          <t>日常</t>
        </is>
      </c>
      <c r="H18" s="12">
        <f>H17+1</f>
        <v/>
      </c>
      <c r="I18" s="1">
        <f>I17-1</f>
        <v/>
      </c>
      <c r="K18" s="12">
        <f>K17+1</f>
        <v/>
      </c>
      <c r="L18" s="1">
        <f>L17-1</f>
        <v/>
      </c>
    </row>
    <row r="19">
      <c r="D19" s="12" t="n">
        <v>2</v>
      </c>
      <c r="E19" s="41" t="inlineStr">
        <is>
          <t>通勤</t>
        </is>
      </c>
      <c r="H19" s="12">
        <f>H18+1</f>
        <v/>
      </c>
      <c r="I19" s="1">
        <f>I18-1</f>
        <v/>
      </c>
      <c r="K19" s="12">
        <f>K18+1</f>
        <v/>
      </c>
      <c r="L19" s="1">
        <f>L18-1</f>
        <v/>
      </c>
    </row>
    <row r="20">
      <c r="H20" s="12">
        <f>H19+1</f>
        <v/>
      </c>
      <c r="I20" s="1">
        <f>I19-1</f>
        <v/>
      </c>
      <c r="K20" s="12">
        <f>K19+1</f>
        <v/>
      </c>
      <c r="L20" s="1">
        <f>L19-1</f>
        <v/>
      </c>
    </row>
    <row r="21">
      <c r="D21" s="4" t="inlineStr">
        <is>
          <t>走行距離</t>
        </is>
      </c>
      <c r="H21" s="12">
        <f>H20+1</f>
        <v/>
      </c>
      <c r="I21" s="1">
        <f>I20-1</f>
        <v/>
      </c>
      <c r="K21" s="12">
        <f>K20+1</f>
        <v/>
      </c>
      <c r="L21" s="1">
        <f>L20-1</f>
        <v/>
      </c>
    </row>
    <row r="22">
      <c r="D22" s="12" t="n">
        <v>1</v>
      </c>
      <c r="E22" s="1" t="n">
        <v>3000</v>
      </c>
      <c r="H22" s="12">
        <f>H21+1</f>
        <v/>
      </c>
      <c r="I22" s="1">
        <f>I21-1</f>
        <v/>
      </c>
      <c r="K22" s="12">
        <f>K21+1</f>
        <v/>
      </c>
      <c r="L22" s="1">
        <f>L21-1</f>
        <v/>
      </c>
    </row>
    <row r="23">
      <c r="D23" s="12" t="n">
        <v>2</v>
      </c>
      <c r="E23" s="1" t="n">
        <v>7000</v>
      </c>
      <c r="H23" s="12">
        <f>H22+1</f>
        <v/>
      </c>
      <c r="I23" s="1">
        <f>I22-1</f>
        <v/>
      </c>
      <c r="K23" s="12">
        <f>K22+1</f>
        <v/>
      </c>
      <c r="L23" s="1">
        <f>L22-1</f>
        <v/>
      </c>
    </row>
    <row r="24">
      <c r="H24" s="12">
        <f>H23+1</f>
        <v/>
      </c>
      <c r="I24" s="1">
        <f>I23-1</f>
        <v/>
      </c>
      <c r="K24" s="12">
        <f>K23+1</f>
        <v/>
      </c>
      <c r="L24" s="1">
        <f>L23-1</f>
        <v/>
      </c>
    </row>
    <row r="25">
      <c r="H25" s="12">
        <f>H24+1</f>
        <v/>
      </c>
      <c r="I25" s="1">
        <f>I24-1</f>
        <v/>
      </c>
      <c r="K25" s="12">
        <f>K24+1</f>
        <v/>
      </c>
      <c r="L25" s="1">
        <f>L24-1</f>
        <v/>
      </c>
    </row>
    <row r="26">
      <c r="H26" s="12">
        <f>H25+1</f>
        <v/>
      </c>
      <c r="I26" s="1">
        <f>I25-1</f>
        <v/>
      </c>
      <c r="K26" s="12">
        <f>K25+1</f>
        <v/>
      </c>
      <c r="L26" s="1">
        <f>L25-1</f>
        <v/>
      </c>
    </row>
    <row r="27">
      <c r="H27" s="12">
        <f>H26+1</f>
        <v/>
      </c>
      <c r="I27" s="1">
        <f>I26-1</f>
        <v/>
      </c>
      <c r="K27" s="12">
        <f>K26+1</f>
        <v/>
      </c>
      <c r="L27" s="1">
        <f>L26-1</f>
        <v/>
      </c>
    </row>
    <row r="28">
      <c r="H28" s="12">
        <f>H27+1</f>
        <v/>
      </c>
      <c r="I28" s="1">
        <f>I27-1</f>
        <v/>
      </c>
      <c r="K28" s="12">
        <f>K27+1</f>
        <v/>
      </c>
      <c r="L28" s="1">
        <f>L27-1</f>
        <v/>
      </c>
    </row>
    <row r="29">
      <c r="H29" s="12">
        <f>H28+1</f>
        <v/>
      </c>
      <c r="I29" s="1">
        <f>I28-1</f>
        <v/>
      </c>
      <c r="K29" s="12">
        <f>K28+1</f>
        <v/>
      </c>
      <c r="L29" s="1">
        <f>L28-1</f>
        <v/>
      </c>
    </row>
    <row r="30">
      <c r="H30" s="12">
        <f>H29+1</f>
        <v/>
      </c>
      <c r="I30" s="1">
        <f>I29-1</f>
        <v/>
      </c>
      <c r="K30" s="12">
        <f>K29+1</f>
        <v/>
      </c>
      <c r="L30" s="1">
        <f>L29-1</f>
        <v/>
      </c>
    </row>
    <row r="31">
      <c r="H31" s="12">
        <f>H30+1</f>
        <v/>
      </c>
      <c r="I31" s="1">
        <f>I30-1</f>
        <v/>
      </c>
      <c r="K31" s="12">
        <f>K30+1</f>
        <v/>
      </c>
      <c r="L31" s="1">
        <f>L30-1</f>
        <v/>
      </c>
    </row>
    <row r="32">
      <c r="H32" s="12">
        <f>H31+1</f>
        <v/>
      </c>
      <c r="I32" s="1">
        <f>I31-1</f>
        <v/>
      </c>
      <c r="K32" s="12">
        <f>K31+1</f>
        <v/>
      </c>
      <c r="L32" s="1">
        <f>L31-1</f>
        <v/>
      </c>
    </row>
    <row r="33">
      <c r="H33" s="12">
        <f>H32+1</f>
        <v/>
      </c>
      <c r="I33" s="1">
        <f>I32-1</f>
        <v/>
      </c>
      <c r="K33" s="12">
        <f>K32+1</f>
        <v/>
      </c>
      <c r="L33" s="1">
        <f>L32-1</f>
        <v/>
      </c>
    </row>
    <row r="34">
      <c r="H34" s="12">
        <f>H33+1</f>
        <v/>
      </c>
      <c r="I34" s="1">
        <f>I33-1</f>
        <v/>
      </c>
      <c r="K34" s="12">
        <f>K33+1</f>
        <v/>
      </c>
      <c r="L34" s="1">
        <f>L33-1</f>
        <v/>
      </c>
    </row>
    <row r="35">
      <c r="H35" s="12">
        <f>H34+1</f>
        <v/>
      </c>
      <c r="I35" s="1">
        <f>I34-1</f>
        <v/>
      </c>
      <c r="K35" s="12">
        <f>K34+1</f>
        <v/>
      </c>
      <c r="L35" s="1">
        <f>L34-1</f>
        <v/>
      </c>
    </row>
    <row r="36">
      <c r="H36" s="12">
        <f>H35+1</f>
        <v/>
      </c>
      <c r="I36" s="1">
        <f>I35-1</f>
        <v/>
      </c>
      <c r="K36" s="12">
        <f>K35+1</f>
        <v/>
      </c>
      <c r="L36" s="1">
        <f>L35-1</f>
        <v/>
      </c>
    </row>
    <row r="37">
      <c r="H37" s="12">
        <f>H36+1</f>
        <v/>
      </c>
      <c r="I37" s="1">
        <f>I36-1</f>
        <v/>
      </c>
      <c r="K37" s="12">
        <f>K36+1</f>
        <v/>
      </c>
      <c r="L37" s="1">
        <f>L36-1</f>
        <v/>
      </c>
    </row>
    <row r="38">
      <c r="H38" s="12">
        <f>H37+1</f>
        <v/>
      </c>
      <c r="I38" s="1">
        <f>I37-1</f>
        <v/>
      </c>
      <c r="K38" s="12">
        <f>K37+1</f>
        <v/>
      </c>
      <c r="L38" s="1">
        <f>L37-1</f>
        <v/>
      </c>
    </row>
    <row r="39">
      <c r="H39" s="12">
        <f>H38+1</f>
        <v/>
      </c>
      <c r="I39" s="1">
        <f>I38-1</f>
        <v/>
      </c>
      <c r="K39" s="12">
        <f>K38+1</f>
        <v/>
      </c>
      <c r="L39" s="1">
        <f>L38-1</f>
        <v/>
      </c>
    </row>
    <row r="40">
      <c r="H40" s="12">
        <f>H39+1</f>
        <v/>
      </c>
      <c r="I40" s="1">
        <f>I39-1</f>
        <v/>
      </c>
      <c r="K40" s="12">
        <f>K39+1</f>
        <v/>
      </c>
      <c r="L40" s="1">
        <f>L39-1</f>
        <v/>
      </c>
    </row>
    <row r="41">
      <c r="H41" s="12">
        <f>H40+1</f>
        <v/>
      </c>
      <c r="I41" s="1">
        <f>I40-1</f>
        <v/>
      </c>
      <c r="K41" s="12">
        <f>K40+1</f>
        <v/>
      </c>
      <c r="L41" s="1">
        <f>L40-1</f>
        <v/>
      </c>
    </row>
    <row r="42">
      <c r="H42" s="12">
        <f>H41+1</f>
        <v/>
      </c>
      <c r="I42" s="1">
        <f>I41-1</f>
        <v/>
      </c>
      <c r="K42" s="12">
        <f>K41+1</f>
        <v/>
      </c>
      <c r="L42" s="1">
        <f>L41-1</f>
        <v/>
      </c>
    </row>
    <row r="43">
      <c r="K43" s="12">
        <f>K42+1</f>
        <v/>
      </c>
      <c r="L43" s="1">
        <f>L42-1</f>
        <v/>
      </c>
    </row>
    <row r="44">
      <c r="K44" s="12">
        <f>K43+1</f>
        <v/>
      </c>
      <c r="L44" s="1">
        <f>L43-1</f>
        <v/>
      </c>
    </row>
    <row r="45">
      <c r="K45" s="12">
        <f>K44+1</f>
        <v/>
      </c>
      <c r="L45" s="1">
        <f>L44-1</f>
        <v/>
      </c>
    </row>
    <row r="46">
      <c r="K46" s="12">
        <f>K45+1</f>
        <v/>
      </c>
      <c r="L46" s="1">
        <f>L45-1</f>
        <v/>
      </c>
    </row>
    <row r="47">
      <c r="K47" s="12">
        <f>K46+1</f>
        <v/>
      </c>
      <c r="L47" s="1">
        <f>L46-1</f>
        <v/>
      </c>
    </row>
    <row r="48">
      <c r="K48" s="12">
        <f>K47+1</f>
        <v/>
      </c>
      <c r="L48" s="1">
        <f>L47-1</f>
        <v/>
      </c>
    </row>
    <row r="49">
      <c r="K49" s="12">
        <f>K48+1</f>
        <v/>
      </c>
      <c r="L49" s="1">
        <f>L48-1</f>
        <v/>
      </c>
    </row>
    <row r="50">
      <c r="K50" s="12">
        <f>K49+1</f>
        <v/>
      </c>
      <c r="L50" s="1">
        <f>L49-1</f>
        <v/>
      </c>
    </row>
    <row r="51">
      <c r="K51" s="12">
        <f>K50+1</f>
        <v/>
      </c>
      <c r="L51" s="1">
        <f>L50-1</f>
        <v/>
      </c>
    </row>
    <row r="52">
      <c r="K52" s="12">
        <f>K51+1</f>
        <v/>
      </c>
      <c r="L52" s="1">
        <f>L51-1</f>
        <v/>
      </c>
    </row>
    <row r="53">
      <c r="K53" s="12">
        <f>K52+1</f>
        <v/>
      </c>
      <c r="L53" s="1">
        <f>L52-1</f>
        <v/>
      </c>
    </row>
    <row r="54">
      <c r="K54" s="12">
        <f>K53+1</f>
        <v/>
      </c>
      <c r="L54" s="1">
        <f>L53-1</f>
        <v/>
      </c>
    </row>
    <row r="55">
      <c r="K55" s="12">
        <f>K54+1</f>
        <v/>
      </c>
      <c r="L55" s="1">
        <f>L54-1</f>
        <v/>
      </c>
    </row>
    <row r="56">
      <c r="K56" s="12">
        <f>K55+1</f>
        <v/>
      </c>
      <c r="L56" s="1">
        <f>L55-1</f>
        <v/>
      </c>
    </row>
    <row r="57">
      <c r="K57" s="12">
        <f>K56+1</f>
        <v/>
      </c>
      <c r="L57" s="1">
        <f>L56-1</f>
        <v/>
      </c>
    </row>
    <row r="58">
      <c r="K58" s="12">
        <f>K57+1</f>
        <v/>
      </c>
      <c r="L58" s="1">
        <f>L57-1</f>
        <v/>
      </c>
    </row>
    <row r="59">
      <c r="K59" s="12">
        <f>K58+1</f>
        <v/>
      </c>
      <c r="L59" s="1">
        <f>L58-1</f>
        <v/>
      </c>
    </row>
    <row r="60">
      <c r="K60" s="12">
        <f>K59+1</f>
        <v/>
      </c>
      <c r="L60" s="1">
        <f>L59-1</f>
        <v/>
      </c>
    </row>
    <row r="61">
      <c r="K61" s="12">
        <f>K60+1</f>
        <v/>
      </c>
      <c r="L61" s="1">
        <f>L60-1</f>
        <v/>
      </c>
    </row>
    <row r="62">
      <c r="K62" s="12">
        <f>K61+1</f>
        <v/>
      </c>
      <c r="L62" s="1">
        <f>L61-1</f>
        <v/>
      </c>
    </row>
    <row r="63">
      <c r="K63" s="12">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6">
        <f>CONCATENATE(Z打鍵!A1,"3")</f>
        <v/>
      </c>
      <c r="B1" s="6">
        <f>CONCATENATE(Z打鍵!B1,"3")</f>
        <v/>
      </c>
      <c r="C1" s="6">
        <f>CONCATENATE(Z打鍵!C1,"3")</f>
        <v/>
      </c>
      <c r="D1" s="6">
        <f>CONCATENATE(Z打鍵!D1,"3")</f>
        <v/>
      </c>
      <c r="E1" s="6">
        <f>CONCATENATE(Z打鍵!E1,"3")</f>
        <v/>
      </c>
      <c r="F1" s="6">
        <f>CONCATENATE(Z打鍵!F1,"3")</f>
        <v/>
      </c>
      <c r="G1" s="6">
        <f>CONCATENATE(Z打鍵!G1,"3")</f>
        <v/>
      </c>
      <c r="H1" s="6">
        <f>CONCATENATE(Z打鍵!H1,"3")</f>
        <v/>
      </c>
      <c r="I1" s="6">
        <f>CONCATENATE(Z打鍵!I1,"3")</f>
        <v/>
      </c>
      <c r="J1" s="6" t="inlineStr">
        <is>
          <t>ASV3</t>
        </is>
      </c>
      <c r="K1" s="6">
        <f>CONCATENATE(Z打鍵!K1,"3")</f>
        <v/>
      </c>
      <c r="L1" s="6">
        <f>CONCATENATE(Z打鍵!L1,"3")</f>
        <v/>
      </c>
      <c r="M1" s="6">
        <f>CONCATENATE(Z打鍵!M1,"3")</f>
        <v/>
      </c>
      <c r="N1" s="6">
        <f>CONCATENATE(Z打鍵!N1,"3")</f>
        <v/>
      </c>
      <c r="O1" s="6">
        <f>CONCATENATE(Z打鍵!O1,"3")</f>
        <v/>
      </c>
      <c r="P1" s="6">
        <f>CONCATENATE(Z打鍵!P1,"3")</f>
        <v/>
      </c>
      <c r="Q1" s="6">
        <f>CONCATENATE(Z打鍵!Q1,"3")</f>
        <v/>
      </c>
      <c r="R1" s="6">
        <f>CONCATENATE(Z打鍵!R1,"3")</f>
        <v/>
      </c>
      <c r="S1" s="6">
        <f>CONCATENATE(Z打鍵!S1,"3")</f>
        <v/>
      </c>
      <c r="T1" s="6">
        <f>CONCATENATE(Z打鍵!T1,"3")</f>
        <v/>
      </c>
      <c r="U1" s="6">
        <f>CONCATENATE(Z打鍵!U1,"3")</f>
        <v/>
      </c>
      <c r="V1" s="6">
        <f>CONCATENATE(Z打鍵!V1,"3")</f>
        <v/>
      </c>
      <c r="W1" s="6">
        <f>CONCATENATE(Z打鍵!W1,"3")</f>
        <v/>
      </c>
      <c r="X1" s="6" t="inlineStr">
        <is>
          <t>人傷AMT3</t>
        </is>
      </c>
      <c r="Y1" s="6">
        <f>CONCATENATE(Z打鍵!Y1,"3")</f>
        <v/>
      </c>
      <c r="Z1" s="6">
        <f>CONCATENATE(Z打鍵!Z1,"3")</f>
        <v/>
      </c>
      <c r="AA1" s="6">
        <f>CONCATENATE(Z打鍵!AA1,"3")</f>
        <v/>
      </c>
      <c r="AB1" s="6">
        <f>CONCATENATE(Z打鍵!AB1,"3")</f>
        <v/>
      </c>
      <c r="AC1" s="6">
        <f>CONCATENATE(Z打鍵!AC1,"3")</f>
        <v/>
      </c>
      <c r="AD1" s="6">
        <f>CONCATENATE(Z打鍵!AD1,"3")</f>
        <v/>
      </c>
      <c r="AE1" s="6">
        <f>CONCATENATE(Z打鍵!AE1,"3")</f>
        <v/>
      </c>
      <c r="AF1" s="6">
        <f>CONCATENATE(Z打鍵!AF1,"3")</f>
        <v/>
      </c>
      <c r="AG1" s="6">
        <f>CONCATENATE(Z打鍵!AG1,"3")</f>
        <v/>
      </c>
      <c r="AH1" s="6">
        <f>CONCATENATE(Z打鍵!AH1,"3")</f>
        <v/>
      </c>
      <c r="AI1" s="6">
        <f>CONCATENATE(Z打鍵!AI1,"3")</f>
        <v/>
      </c>
      <c r="AJ1" s="6" t="inlineStr">
        <is>
          <t>純新規フラグ3</t>
        </is>
      </c>
      <c r="AK1" s="6" t="inlineStr">
        <is>
          <t>連結3</t>
        </is>
      </c>
      <c r="AL1" s="2" t="inlineStr">
        <is>
          <t>総件数</t>
        </is>
      </c>
      <c r="AM1" s="2" t="inlineStr">
        <is>
          <t>現件数</t>
        </is>
      </c>
      <c r="AN1" s="2" t="inlineStr">
        <is>
          <t>現数字件数</t>
        </is>
      </c>
      <c r="AO1" s="2" t="inlineStr">
        <is>
          <t>保存数字件数</t>
        </is>
      </c>
      <c r="AP1" s="2" t="inlineStr">
        <is>
          <t>打鍵数</t>
        </is>
      </c>
    </row>
    <row r="2">
      <c r="A2" s="7">
        <f>VLOOKUP(Z打鍵!$A2,ヘンスウチ!$B$3:$C$9,2,FALSE)</f>
        <v/>
      </c>
      <c r="B2" s="7">
        <f>Z打鍵!$B2</f>
        <v/>
      </c>
      <c r="C2" s="7">
        <f>Z打鍵!$C2</f>
        <v/>
      </c>
      <c r="D2" s="7">
        <f>VLOOKUP(Z打鍵!$D2,ヘンスウチ!$E$3:$F$24,2,FALSE)</f>
        <v/>
      </c>
      <c r="E2" s="7">
        <f>Z打鍵!$E2</f>
        <v/>
      </c>
      <c r="F2" s="7">
        <f>VLOOKUP(Z打鍵!$F2,ヘンスウチ!$H$23:$I$26,2,FALSE)</f>
        <v/>
      </c>
      <c r="G2" s="7">
        <f>VLOOKUP(Z打鍵!$G2,ヘンスウチ!$B$59:$C$166,2,FALSE)</f>
        <v/>
      </c>
      <c r="H2" s="7">
        <f>Z打鍵!$H2</f>
        <v/>
      </c>
      <c r="I2" s="7">
        <f>Z打鍵!$I2</f>
        <v/>
      </c>
      <c r="J2" s="7">
        <f>Z打鍵!$J2</f>
        <v/>
      </c>
      <c r="K2" s="7">
        <f>IF(AND(Z打鍵!$K2=1989,Z打鍵!$L2=1,Z打鍵!$M2&lt;=7),"1989(昭和64)",VLOOKUP(Z打鍵!$K2,ヘンスウチ!$B$65:$C$166,2,FALSE))</f>
        <v/>
      </c>
      <c r="L2" s="28">
        <f>Z打鍵!$L2</f>
        <v/>
      </c>
      <c r="M2" s="7">
        <f>Z打鍵!$M2</f>
        <v/>
      </c>
      <c r="N2" s="7">
        <f>VLOOKUP(Z打鍵!$N2,ヘンスウチ!$H$3:$I$9,2,FALSE)</f>
        <v/>
      </c>
      <c r="O2" s="7">
        <f>Z打鍵!$O2</f>
        <v/>
      </c>
      <c r="P2" s="7">
        <f>Z打鍵!$P2</f>
        <v/>
      </c>
      <c r="Q2" s="7">
        <f>VLOOKUP(Z打鍵!$Q2,ヘンスウチ!$E$26:$F$56,2,FALSE)</f>
        <v/>
      </c>
      <c r="R2" s="7">
        <f>VLOOKUP(Z打鍵!$R2,ヘンスウチ!$H$29:$I$32,2,FALSE)</f>
        <v/>
      </c>
      <c r="S2" s="7">
        <f>VLOOKUP(Z打鍵!$S2,ヘンスウチ!$H$18:$I$20,2,FALSE)</f>
        <v/>
      </c>
      <c r="T2" s="7">
        <f>VLOOKUP(Z打鍵!$T2,ヘンスウチ!$K$14:$L$19,2,FALSE)</f>
        <v/>
      </c>
      <c r="U2" s="7">
        <f>VLOOKUP(Z打鍵!$U2,ヘンスウチ!$K$38:$L$40,2,FALSE)</f>
        <v/>
      </c>
      <c r="V2" s="7">
        <f>VLOOKUP(Z打鍵!$V2,ヘンスウチ!$K$22:$L$24,2,FALSE)</f>
        <v/>
      </c>
      <c r="W2" s="7">
        <f>Z打鍵!$W2</f>
        <v/>
      </c>
      <c r="X2" s="7">
        <f>VLOOKUP(Z打鍵!$X2,ヘンスウチ!$K$27:$L$35,2,FALSE)</f>
        <v/>
      </c>
      <c r="Y2" s="7">
        <f>VLOOKUP(Z打鍵!$Y2,ヘンスウチ!$K$4:$L$6,2,FALSE)</f>
        <v/>
      </c>
      <c r="Z2" s="7">
        <f>CONCATENATE(Z打鍵!$Z2,"万円")</f>
        <v/>
      </c>
      <c r="AA2" s="7">
        <f>VLOOKUP(Z打鍵!$AA2,ヘンスウチ!$K$9:$L$11,2,FALSE)</f>
        <v/>
      </c>
      <c r="AB2" s="7">
        <f>Z打鍵!$AB2</f>
        <v/>
      </c>
      <c r="AC2" s="7">
        <f>Z打鍵!$AC2</f>
        <v/>
      </c>
      <c r="AD2" s="7">
        <f>Z打鍵!$AD2</f>
        <v/>
      </c>
      <c r="AE2" s="7">
        <f>Z打鍵!$AE2</f>
        <v/>
      </c>
      <c r="AF2" s="7">
        <f>Z打鍵!$AF2</f>
        <v/>
      </c>
      <c r="AG2" s="7">
        <f>VLOOKUP(Z打鍵!$AG2,ヘンスウチ!$K$52:$L$55,2,FALSE)</f>
        <v/>
      </c>
      <c r="AH2" s="7">
        <f>VLOOKUP(Z打鍵!$AH2,ヘンスウチ!$K$58:$L$61,2,FALSE)</f>
        <v/>
      </c>
      <c r="AI2" s="7">
        <f>VLOOKUP(Z打鍵!$AI2,ヘンスウチ!$K$58:$L$61,2,FALSE)</f>
        <v/>
      </c>
      <c r="AJ2" s="7">
        <f>IF(OR(Z打鍵!$D2="6S",Z打鍵!$D2="7S"),"純新規","純新規以外")</f>
        <v/>
      </c>
      <c r="AK2" s="7">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7">
        <f>COUNTA(Z打鍵!$A:$A)-1+2</f>
        <v/>
      </c>
      <c r="AM2" s="28">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2022-11-07T06:35:41Z</dcterms:modified>
  <cp:lastModifiedBy>柳川 俊介</cp:lastModifiedBy>
</cp:coreProperties>
</file>